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2\grudzien\"/>
    </mc:Choice>
  </mc:AlternateContent>
  <xr:revisionPtr revIDLastSave="0" documentId="13_ncr:1_{B5E5CF44-72B3-4F65-B327-88A249BE53B4}" xr6:coauthVersionLast="47" xr6:coauthVersionMax="47" xr10:uidLastSave="{00000000-0000-0000-0000-000000000000}"/>
  <bookViews>
    <workbookView xWindow="-110" yWindow="-110" windowWidth="19420" windowHeight="10300" activeTab="3" xr2:uid="{5BDC5C73-6A82-44C3-A997-DEC140D8514C}"/>
  </bookViews>
  <sheets>
    <sheet name="dane" sheetId="2" r:id="rId1"/>
    <sheet name="4.1" sheetId="3" r:id="rId2"/>
    <sheet name="4.2" sheetId="4" r:id="rId3"/>
    <sheet name="4.3" sheetId="5" r:id="rId4"/>
  </sheets>
  <definedNames>
    <definedName name="_xlnm._FilterDatabase" localSheetId="1" hidden="1">'4.1'!$A$1:$H$366</definedName>
    <definedName name="_xlnm._FilterDatabase" localSheetId="3" hidden="1">'4.3'!$A$1:$H$366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5" l="1"/>
  <c r="G2" i="5"/>
  <c r="I2" i="5"/>
  <c r="E366" i="5"/>
  <c r="F366" i="5" s="1"/>
  <c r="C366" i="5"/>
  <c r="D366" i="5" s="1"/>
  <c r="C365" i="5"/>
  <c r="E364" i="5"/>
  <c r="C364" i="5"/>
  <c r="E363" i="5"/>
  <c r="F363" i="5" s="1"/>
  <c r="D363" i="5" s="1"/>
  <c r="C363" i="5"/>
  <c r="E362" i="5"/>
  <c r="F362" i="5" s="1"/>
  <c r="C362" i="5"/>
  <c r="D362" i="5" s="1"/>
  <c r="E361" i="5"/>
  <c r="F361" i="5" s="1"/>
  <c r="C361" i="5"/>
  <c r="D361" i="5" s="1"/>
  <c r="C360" i="5"/>
  <c r="C359" i="5"/>
  <c r="E358" i="5"/>
  <c r="F358" i="5" s="1"/>
  <c r="C358" i="5"/>
  <c r="E357" i="5"/>
  <c r="F357" i="5" s="1"/>
  <c r="C357" i="5"/>
  <c r="C356" i="5"/>
  <c r="E355" i="5"/>
  <c r="F355" i="5" s="1"/>
  <c r="D355" i="5"/>
  <c r="C355" i="5"/>
  <c r="E354" i="5"/>
  <c r="F354" i="5" s="1"/>
  <c r="C354" i="5"/>
  <c r="D354" i="5" s="1"/>
  <c r="C353" i="5"/>
  <c r="C352" i="5"/>
  <c r="E351" i="5"/>
  <c r="F351" i="5" s="1"/>
  <c r="D351" i="5" s="1"/>
  <c r="C351" i="5"/>
  <c r="E350" i="5"/>
  <c r="F350" i="5" s="1"/>
  <c r="C350" i="5"/>
  <c r="D350" i="5" s="1"/>
  <c r="C349" i="5"/>
  <c r="D349" i="5" s="1"/>
  <c r="F348" i="5"/>
  <c r="E348" i="5"/>
  <c r="E349" i="5" s="1"/>
  <c r="F349" i="5" s="1"/>
  <c r="C348" i="5"/>
  <c r="D348" i="5" s="1"/>
  <c r="C347" i="5"/>
  <c r="C346" i="5"/>
  <c r="C345" i="5"/>
  <c r="D345" i="5" s="1"/>
  <c r="E344" i="5"/>
  <c r="E345" i="5" s="1"/>
  <c r="F345" i="5" s="1"/>
  <c r="C344" i="5"/>
  <c r="E343" i="5"/>
  <c r="F343" i="5" s="1"/>
  <c r="C343" i="5"/>
  <c r="D343" i="5" s="1"/>
  <c r="E342" i="5"/>
  <c r="F342" i="5" s="1"/>
  <c r="C342" i="5"/>
  <c r="E341" i="5"/>
  <c r="F341" i="5" s="1"/>
  <c r="C341" i="5"/>
  <c r="F340" i="5"/>
  <c r="E340" i="5"/>
  <c r="C340" i="5"/>
  <c r="C339" i="5"/>
  <c r="C338" i="5"/>
  <c r="C337" i="5"/>
  <c r="C336" i="5"/>
  <c r="C335" i="5"/>
  <c r="C334" i="5"/>
  <c r="C333" i="5"/>
  <c r="D333" i="5" s="1"/>
  <c r="E332" i="5"/>
  <c r="E333" i="5" s="1"/>
  <c r="F333" i="5" s="1"/>
  <c r="C332" i="5"/>
  <c r="E331" i="5"/>
  <c r="F331" i="5" s="1"/>
  <c r="C331" i="5"/>
  <c r="D331" i="5" s="1"/>
  <c r="E330" i="5"/>
  <c r="F330" i="5" s="1"/>
  <c r="C330" i="5"/>
  <c r="D330" i="5" s="1"/>
  <c r="C329" i="5"/>
  <c r="C328" i="5"/>
  <c r="E327" i="5"/>
  <c r="F327" i="5" s="1"/>
  <c r="C327" i="5"/>
  <c r="D327" i="5" s="1"/>
  <c r="E326" i="5"/>
  <c r="F326" i="5" s="1"/>
  <c r="C326" i="5"/>
  <c r="E325" i="5"/>
  <c r="F325" i="5" s="1"/>
  <c r="C325" i="5"/>
  <c r="F324" i="5"/>
  <c r="E324" i="5"/>
  <c r="C324" i="5"/>
  <c r="C323" i="5"/>
  <c r="C322" i="5"/>
  <c r="C321" i="5"/>
  <c r="C320" i="5"/>
  <c r="C319" i="5"/>
  <c r="C318" i="5"/>
  <c r="E317" i="5"/>
  <c r="F317" i="5" s="1"/>
  <c r="C317" i="5"/>
  <c r="E316" i="5"/>
  <c r="F316" i="5" s="1"/>
  <c r="C316" i="5"/>
  <c r="E315" i="5"/>
  <c r="F315" i="5" s="1"/>
  <c r="D315" i="5"/>
  <c r="C315" i="5"/>
  <c r="E314" i="5"/>
  <c r="F314" i="5" s="1"/>
  <c r="C314" i="5"/>
  <c r="D314" i="5" s="1"/>
  <c r="E313" i="5"/>
  <c r="F313" i="5" s="1"/>
  <c r="C313" i="5"/>
  <c r="D313" i="5" s="1"/>
  <c r="F312" i="5"/>
  <c r="E312" i="5"/>
  <c r="C312" i="5"/>
  <c r="D312" i="5" s="1"/>
  <c r="E311" i="5"/>
  <c r="F311" i="5" s="1"/>
  <c r="C311" i="5"/>
  <c r="D311" i="5" s="1"/>
  <c r="E310" i="5"/>
  <c r="F310" i="5" s="1"/>
  <c r="C310" i="5"/>
  <c r="E309" i="5"/>
  <c r="F309" i="5" s="1"/>
  <c r="C309" i="5"/>
  <c r="F308" i="5"/>
  <c r="E308" i="5"/>
  <c r="C308" i="5"/>
  <c r="C307" i="5"/>
  <c r="C306" i="5"/>
  <c r="C305" i="5"/>
  <c r="C304" i="5"/>
  <c r="C303" i="5"/>
  <c r="E302" i="5"/>
  <c r="F302" i="5" s="1"/>
  <c r="C302" i="5"/>
  <c r="E301" i="5"/>
  <c r="F301" i="5" s="1"/>
  <c r="C301" i="5"/>
  <c r="D301" i="5" s="1"/>
  <c r="E300" i="5"/>
  <c r="F300" i="5" s="1"/>
  <c r="C300" i="5"/>
  <c r="E299" i="5"/>
  <c r="F299" i="5" s="1"/>
  <c r="C299" i="5"/>
  <c r="D299" i="5" s="1"/>
  <c r="E298" i="5"/>
  <c r="F298" i="5" s="1"/>
  <c r="C298" i="5"/>
  <c r="D298" i="5" s="1"/>
  <c r="E297" i="5"/>
  <c r="F297" i="5" s="1"/>
  <c r="C297" i="5"/>
  <c r="D297" i="5" s="1"/>
  <c r="F296" i="5"/>
  <c r="E296" i="5"/>
  <c r="C296" i="5"/>
  <c r="D296" i="5" s="1"/>
  <c r="C295" i="5"/>
  <c r="C294" i="5"/>
  <c r="C293" i="5"/>
  <c r="C292" i="5"/>
  <c r="C291" i="5"/>
  <c r="C290" i="5"/>
  <c r="C289" i="5"/>
  <c r="E288" i="5"/>
  <c r="C288" i="5"/>
  <c r="E287" i="5"/>
  <c r="F287" i="5" s="1"/>
  <c r="D287" i="5" s="1"/>
  <c r="C287" i="5"/>
  <c r="E286" i="5"/>
  <c r="F286" i="5" s="1"/>
  <c r="C286" i="5"/>
  <c r="D286" i="5" s="1"/>
  <c r="E285" i="5"/>
  <c r="F285" i="5" s="1"/>
  <c r="C285" i="5"/>
  <c r="E284" i="5"/>
  <c r="F284" i="5" s="1"/>
  <c r="C284" i="5"/>
  <c r="D284" i="5" s="1"/>
  <c r="C283" i="5"/>
  <c r="C282" i="5"/>
  <c r="C281" i="5"/>
  <c r="C280" i="5"/>
  <c r="C279" i="5"/>
  <c r="E278" i="5"/>
  <c r="F278" i="5" s="1"/>
  <c r="C278" i="5"/>
  <c r="E277" i="5"/>
  <c r="F277" i="5" s="1"/>
  <c r="C277" i="5"/>
  <c r="F276" i="5"/>
  <c r="E276" i="5"/>
  <c r="C276" i="5"/>
  <c r="E275" i="5"/>
  <c r="F275" i="5" s="1"/>
  <c r="D275" i="5" s="1"/>
  <c r="C275" i="5"/>
  <c r="E274" i="5"/>
  <c r="F274" i="5" s="1"/>
  <c r="C274" i="5"/>
  <c r="E273" i="5"/>
  <c r="F273" i="5" s="1"/>
  <c r="C273" i="5"/>
  <c r="C272" i="5"/>
  <c r="C271" i="5"/>
  <c r="C270" i="5"/>
  <c r="C269" i="5"/>
  <c r="C268" i="5"/>
  <c r="C267" i="5"/>
  <c r="C266" i="5"/>
  <c r="E265" i="5"/>
  <c r="F265" i="5" s="1"/>
  <c r="C265" i="5"/>
  <c r="D265" i="5" s="1"/>
  <c r="F264" i="5"/>
  <c r="E264" i="5"/>
  <c r="C264" i="5"/>
  <c r="D264" i="5" s="1"/>
  <c r="E263" i="5"/>
  <c r="F263" i="5" s="1"/>
  <c r="C263" i="5"/>
  <c r="D263" i="5" s="1"/>
  <c r="C262" i="5"/>
  <c r="C261" i="5"/>
  <c r="C260" i="5"/>
  <c r="C259" i="5"/>
  <c r="E258" i="5"/>
  <c r="C258" i="5"/>
  <c r="E257" i="5"/>
  <c r="F257" i="5" s="1"/>
  <c r="C257" i="5"/>
  <c r="E256" i="5"/>
  <c r="F256" i="5" s="1"/>
  <c r="C256" i="5"/>
  <c r="C255" i="5"/>
  <c r="C254" i="5"/>
  <c r="C253" i="5"/>
  <c r="E252" i="5"/>
  <c r="C252" i="5"/>
  <c r="F251" i="5"/>
  <c r="E251" i="5"/>
  <c r="C251" i="5"/>
  <c r="D251" i="5" s="1"/>
  <c r="E250" i="5"/>
  <c r="F250" i="5" s="1"/>
  <c r="D250" i="5"/>
  <c r="C250" i="5"/>
  <c r="F249" i="5"/>
  <c r="E249" i="5"/>
  <c r="C249" i="5"/>
  <c r="D249" i="5" s="1"/>
  <c r="E248" i="5"/>
  <c r="F248" i="5" s="1"/>
  <c r="D248" i="5" s="1"/>
  <c r="C248" i="5"/>
  <c r="F247" i="5"/>
  <c r="E247" i="5"/>
  <c r="C247" i="5"/>
  <c r="D247" i="5" s="1"/>
  <c r="E246" i="5"/>
  <c r="F246" i="5" s="1"/>
  <c r="D246" i="5" s="1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E224" i="5"/>
  <c r="C224" i="5"/>
  <c r="F223" i="5"/>
  <c r="E223" i="5"/>
  <c r="C223" i="5"/>
  <c r="D223" i="5" s="1"/>
  <c r="E222" i="5"/>
  <c r="F222" i="5" s="1"/>
  <c r="D222" i="5" s="1"/>
  <c r="C222" i="5"/>
  <c r="F221" i="5"/>
  <c r="E221" i="5"/>
  <c r="C221" i="5"/>
  <c r="D221" i="5" s="1"/>
  <c r="C220" i="5"/>
  <c r="C219" i="5"/>
  <c r="C218" i="5"/>
  <c r="C217" i="5"/>
  <c r="C216" i="5"/>
  <c r="C215" i="5"/>
  <c r="C214" i="5"/>
  <c r="C213" i="5"/>
  <c r="C212" i="5"/>
  <c r="C211" i="5"/>
  <c r="E210" i="5"/>
  <c r="C210" i="5"/>
  <c r="F209" i="5"/>
  <c r="E209" i="5"/>
  <c r="C209" i="5"/>
  <c r="E208" i="5"/>
  <c r="F208" i="5" s="1"/>
  <c r="D208" i="5"/>
  <c r="C208" i="5"/>
  <c r="F207" i="5"/>
  <c r="E207" i="5"/>
  <c r="C207" i="5"/>
  <c r="C206" i="5"/>
  <c r="C205" i="5"/>
  <c r="E204" i="5"/>
  <c r="C204" i="5"/>
  <c r="F203" i="5"/>
  <c r="E203" i="5"/>
  <c r="C203" i="5"/>
  <c r="D203" i="5" s="1"/>
  <c r="E202" i="5"/>
  <c r="F202" i="5" s="1"/>
  <c r="D202" i="5"/>
  <c r="C202" i="5"/>
  <c r="F201" i="5"/>
  <c r="E201" i="5"/>
  <c r="C201" i="5"/>
  <c r="D201" i="5" s="1"/>
  <c r="E200" i="5"/>
  <c r="F200" i="5" s="1"/>
  <c r="D200" i="5"/>
  <c r="C200" i="5"/>
  <c r="F199" i="5"/>
  <c r="E199" i="5"/>
  <c r="C199" i="5"/>
  <c r="C198" i="5"/>
  <c r="C197" i="5"/>
  <c r="C196" i="5"/>
  <c r="C195" i="5"/>
  <c r="E194" i="5"/>
  <c r="C194" i="5"/>
  <c r="F193" i="5"/>
  <c r="E193" i="5"/>
  <c r="C193" i="5"/>
  <c r="D193" i="5" s="1"/>
  <c r="C192" i="5"/>
  <c r="C191" i="5"/>
  <c r="E190" i="5"/>
  <c r="C190" i="5"/>
  <c r="F189" i="5"/>
  <c r="E189" i="5"/>
  <c r="C189" i="5"/>
  <c r="D189" i="5" s="1"/>
  <c r="E188" i="5"/>
  <c r="F188" i="5" s="1"/>
  <c r="D188" i="5"/>
  <c r="C188" i="5"/>
  <c r="C187" i="5"/>
  <c r="C186" i="5"/>
  <c r="C185" i="5"/>
  <c r="C184" i="5"/>
  <c r="C183" i="5"/>
  <c r="C182" i="5"/>
  <c r="C181" i="5"/>
  <c r="E180" i="5"/>
  <c r="F180" i="5" s="1"/>
  <c r="C180" i="5"/>
  <c r="D180" i="5" s="1"/>
  <c r="F179" i="5"/>
  <c r="E179" i="5"/>
  <c r="C179" i="5"/>
  <c r="E178" i="5"/>
  <c r="F178" i="5" s="1"/>
  <c r="D178" i="5"/>
  <c r="C178" i="5"/>
  <c r="C177" i="5"/>
  <c r="C176" i="5"/>
  <c r="C175" i="5"/>
  <c r="C174" i="5"/>
  <c r="C173" i="5"/>
  <c r="C172" i="5"/>
  <c r="C171" i="5"/>
  <c r="C170" i="5"/>
  <c r="E169" i="5"/>
  <c r="E170" i="5" s="1"/>
  <c r="C169" i="5"/>
  <c r="C168" i="5"/>
  <c r="C167" i="5"/>
  <c r="C166" i="5"/>
  <c r="C165" i="5"/>
  <c r="C164" i="5"/>
  <c r="C163" i="5"/>
  <c r="C162" i="5"/>
  <c r="C161" i="5"/>
  <c r="E160" i="5"/>
  <c r="F160" i="5" s="1"/>
  <c r="C160" i="5"/>
  <c r="D160" i="5" s="1"/>
  <c r="E159" i="5"/>
  <c r="F159" i="5" s="1"/>
  <c r="C159" i="5"/>
  <c r="E158" i="5"/>
  <c r="F158" i="5" s="1"/>
  <c r="D158" i="5"/>
  <c r="C158" i="5"/>
  <c r="E157" i="5"/>
  <c r="F157" i="5" s="1"/>
  <c r="C157" i="5"/>
  <c r="E156" i="5"/>
  <c r="F156" i="5" s="1"/>
  <c r="C156" i="5"/>
  <c r="E155" i="5"/>
  <c r="F155" i="5" s="1"/>
  <c r="C155" i="5"/>
  <c r="E154" i="5"/>
  <c r="F154" i="5" s="1"/>
  <c r="C154" i="5"/>
  <c r="D154" i="5" s="1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E140" i="5"/>
  <c r="C140" i="5"/>
  <c r="E139" i="5"/>
  <c r="F139" i="5" s="1"/>
  <c r="C139" i="5"/>
  <c r="E138" i="5"/>
  <c r="F138" i="5" s="1"/>
  <c r="C138" i="5"/>
  <c r="D138" i="5" s="1"/>
  <c r="E137" i="5"/>
  <c r="F137" i="5" s="1"/>
  <c r="C137" i="5"/>
  <c r="C136" i="5"/>
  <c r="C135" i="5"/>
  <c r="C134" i="5"/>
  <c r="E133" i="5"/>
  <c r="C133" i="5"/>
  <c r="E132" i="5"/>
  <c r="F132" i="5" s="1"/>
  <c r="D132" i="5"/>
  <c r="C132" i="5"/>
  <c r="F131" i="5"/>
  <c r="E131" i="5"/>
  <c r="C131" i="5"/>
  <c r="C130" i="5"/>
  <c r="C129" i="5"/>
  <c r="C128" i="5"/>
  <c r="C127" i="5"/>
  <c r="C126" i="5"/>
  <c r="C125" i="5"/>
  <c r="E124" i="5"/>
  <c r="F124" i="5" s="1"/>
  <c r="C124" i="5"/>
  <c r="D124" i="5" s="1"/>
  <c r="F123" i="5"/>
  <c r="E123" i="5"/>
  <c r="C123" i="5"/>
  <c r="E122" i="5"/>
  <c r="F122" i="5" s="1"/>
  <c r="C122" i="5"/>
  <c r="D122" i="5" s="1"/>
  <c r="F121" i="5"/>
  <c r="E121" i="5"/>
  <c r="C121" i="5"/>
  <c r="E120" i="5"/>
  <c r="F120" i="5" s="1"/>
  <c r="C120" i="5"/>
  <c r="D120" i="5" s="1"/>
  <c r="F119" i="5"/>
  <c r="E119" i="5"/>
  <c r="C119" i="5"/>
  <c r="C118" i="5"/>
  <c r="C117" i="5"/>
  <c r="C116" i="5"/>
  <c r="C115" i="5"/>
  <c r="C114" i="5"/>
  <c r="C113" i="5"/>
  <c r="C112" i="5"/>
  <c r="C111" i="5"/>
  <c r="C110" i="5"/>
  <c r="C109" i="5"/>
  <c r="E108" i="5"/>
  <c r="F108" i="5" s="1"/>
  <c r="C108" i="5"/>
  <c r="F107" i="5"/>
  <c r="E107" i="5"/>
  <c r="C107" i="5"/>
  <c r="D107" i="5" s="1"/>
  <c r="E106" i="5"/>
  <c r="F106" i="5" s="1"/>
  <c r="C106" i="5"/>
  <c r="D106" i="5" s="1"/>
  <c r="C105" i="5"/>
  <c r="E104" i="5"/>
  <c r="F104" i="5" s="1"/>
  <c r="D104" i="5" s="1"/>
  <c r="C104" i="5"/>
  <c r="C103" i="5"/>
  <c r="C102" i="5"/>
  <c r="C101" i="5"/>
  <c r="C100" i="5"/>
  <c r="F99" i="5"/>
  <c r="E99" i="5"/>
  <c r="E100" i="5" s="1"/>
  <c r="C99" i="5"/>
  <c r="D99" i="5" s="1"/>
  <c r="E98" i="5"/>
  <c r="F98" i="5" s="1"/>
  <c r="C98" i="5"/>
  <c r="D98" i="5" s="1"/>
  <c r="F97" i="5"/>
  <c r="E97" i="5"/>
  <c r="C97" i="5"/>
  <c r="D97" i="5" s="1"/>
  <c r="C96" i="5"/>
  <c r="C95" i="5"/>
  <c r="C94" i="5"/>
  <c r="E93" i="5"/>
  <c r="F93" i="5" s="1"/>
  <c r="D93" i="5" s="1"/>
  <c r="C93" i="5"/>
  <c r="E92" i="5"/>
  <c r="F92" i="5" s="1"/>
  <c r="C92" i="5"/>
  <c r="D92" i="5" s="1"/>
  <c r="F91" i="5"/>
  <c r="E91" i="5"/>
  <c r="C91" i="5"/>
  <c r="C90" i="5"/>
  <c r="C89" i="5"/>
  <c r="C88" i="5"/>
  <c r="C87" i="5"/>
  <c r="C86" i="5"/>
  <c r="C85" i="5"/>
  <c r="C84" i="5"/>
  <c r="C83" i="5"/>
  <c r="E82" i="5"/>
  <c r="C82" i="5"/>
  <c r="E81" i="5"/>
  <c r="F81" i="5" s="1"/>
  <c r="C81" i="5"/>
  <c r="D81" i="5" s="1"/>
  <c r="E80" i="5"/>
  <c r="F80" i="5" s="1"/>
  <c r="C80" i="5"/>
  <c r="D80" i="5" s="1"/>
  <c r="F79" i="5"/>
  <c r="E79" i="5"/>
  <c r="C79" i="5"/>
  <c r="D79" i="5" s="1"/>
  <c r="E78" i="5"/>
  <c r="F78" i="5" s="1"/>
  <c r="C78" i="5"/>
  <c r="D78" i="5" s="1"/>
  <c r="E77" i="5"/>
  <c r="F77" i="5" s="1"/>
  <c r="D77" i="5" s="1"/>
  <c r="C77" i="5"/>
  <c r="E76" i="5"/>
  <c r="F76" i="5" s="1"/>
  <c r="D76" i="5"/>
  <c r="C76" i="5"/>
  <c r="E75" i="5"/>
  <c r="F75" i="5" s="1"/>
  <c r="C75" i="5"/>
  <c r="C74" i="5"/>
  <c r="C73" i="5"/>
  <c r="E72" i="5"/>
  <c r="F72" i="5" s="1"/>
  <c r="C72" i="5"/>
  <c r="D72" i="5" s="1"/>
  <c r="F71" i="5"/>
  <c r="E71" i="5"/>
  <c r="C71" i="5"/>
  <c r="D71" i="5" s="1"/>
  <c r="C70" i="5"/>
  <c r="F69" i="5"/>
  <c r="E69" i="5"/>
  <c r="E70" i="5" s="1"/>
  <c r="F70" i="5" s="1"/>
  <c r="C69" i="5"/>
  <c r="E68" i="5"/>
  <c r="F68" i="5" s="1"/>
  <c r="C68" i="5"/>
  <c r="D68" i="5" s="1"/>
  <c r="C67" i="5"/>
  <c r="F66" i="5"/>
  <c r="E66" i="5"/>
  <c r="E67" i="5" s="1"/>
  <c r="F67" i="5" s="1"/>
  <c r="C66" i="5"/>
  <c r="E65" i="5"/>
  <c r="F65" i="5" s="1"/>
  <c r="C65" i="5"/>
  <c r="E64" i="5"/>
  <c r="F64" i="5" s="1"/>
  <c r="D64" i="5"/>
  <c r="C64" i="5"/>
  <c r="F63" i="5"/>
  <c r="E63" i="5"/>
  <c r="C63" i="5"/>
  <c r="F62" i="5"/>
  <c r="E62" i="5"/>
  <c r="D62" i="5"/>
  <c r="C62" i="5"/>
  <c r="F61" i="5"/>
  <c r="D61" i="5" s="1"/>
  <c r="E61" i="5"/>
  <c r="C61" i="5"/>
  <c r="E60" i="5"/>
  <c r="F60" i="5" s="1"/>
  <c r="D60" i="5" s="1"/>
  <c r="C60" i="5"/>
  <c r="F59" i="5"/>
  <c r="E59" i="5"/>
  <c r="C59" i="5"/>
  <c r="D59" i="5" s="1"/>
  <c r="F58" i="5"/>
  <c r="E58" i="5"/>
  <c r="D58" i="5"/>
  <c r="C58" i="5"/>
  <c r="C57" i="5"/>
  <c r="C56" i="5"/>
  <c r="F55" i="5"/>
  <c r="E55" i="5"/>
  <c r="E56" i="5" s="1"/>
  <c r="C55" i="5"/>
  <c r="F54" i="5"/>
  <c r="E54" i="5"/>
  <c r="D54" i="5"/>
  <c r="C54" i="5"/>
  <c r="C53" i="5"/>
  <c r="C52" i="5"/>
  <c r="F51" i="5"/>
  <c r="E51" i="5"/>
  <c r="E52" i="5" s="1"/>
  <c r="C51" i="5"/>
  <c r="D51" i="5" s="1"/>
  <c r="C50" i="5"/>
  <c r="C49" i="5"/>
  <c r="E48" i="5"/>
  <c r="F48" i="5" s="1"/>
  <c r="D48" i="5" s="1"/>
  <c r="C48" i="5"/>
  <c r="F47" i="5"/>
  <c r="E47" i="5"/>
  <c r="C47" i="5"/>
  <c r="F46" i="5"/>
  <c r="E46" i="5"/>
  <c r="D46" i="5"/>
  <c r="C46" i="5"/>
  <c r="F45" i="5"/>
  <c r="D45" i="5" s="1"/>
  <c r="E45" i="5"/>
  <c r="C45" i="5"/>
  <c r="E44" i="5"/>
  <c r="F44" i="5" s="1"/>
  <c r="D44" i="5" s="1"/>
  <c r="C44" i="5"/>
  <c r="F43" i="5"/>
  <c r="E43" i="5"/>
  <c r="C43" i="5"/>
  <c r="C42" i="5"/>
  <c r="C41" i="5"/>
  <c r="C40" i="5"/>
  <c r="F39" i="5"/>
  <c r="E39" i="5"/>
  <c r="E40" i="5" s="1"/>
  <c r="C39" i="5"/>
  <c r="F38" i="5"/>
  <c r="E38" i="5"/>
  <c r="D38" i="5"/>
  <c r="C38" i="5"/>
  <c r="F37" i="5"/>
  <c r="D37" i="5" s="1"/>
  <c r="E37" i="5"/>
  <c r="C37" i="5"/>
  <c r="C36" i="5"/>
  <c r="C35" i="5"/>
  <c r="C34" i="5"/>
  <c r="C33" i="5"/>
  <c r="C32" i="5"/>
  <c r="C31" i="5"/>
  <c r="C30" i="5"/>
  <c r="C29" i="5"/>
  <c r="E28" i="5"/>
  <c r="F28" i="5" s="1"/>
  <c r="D28" i="5" s="1"/>
  <c r="C28" i="5"/>
  <c r="E27" i="5"/>
  <c r="F27" i="5" s="1"/>
  <c r="C27" i="5"/>
  <c r="F26" i="5"/>
  <c r="E26" i="5"/>
  <c r="D26" i="5"/>
  <c r="C26" i="5"/>
  <c r="F25" i="5"/>
  <c r="D25" i="5" s="1"/>
  <c r="E25" i="5"/>
  <c r="C25" i="5"/>
  <c r="E24" i="5"/>
  <c r="F24" i="5" s="1"/>
  <c r="D24" i="5" s="1"/>
  <c r="C24" i="5"/>
  <c r="C23" i="5"/>
  <c r="C22" i="5"/>
  <c r="C21" i="5"/>
  <c r="C20" i="5"/>
  <c r="C19" i="5"/>
  <c r="C18" i="5"/>
  <c r="C17" i="5"/>
  <c r="C16" i="5"/>
  <c r="E15" i="5"/>
  <c r="E16" i="5" s="1"/>
  <c r="C15" i="5"/>
  <c r="F14" i="5"/>
  <c r="E14" i="5"/>
  <c r="D14" i="5"/>
  <c r="C14" i="5"/>
  <c r="F13" i="5"/>
  <c r="D13" i="5" s="1"/>
  <c r="E13" i="5"/>
  <c r="C13" i="5"/>
  <c r="E12" i="5"/>
  <c r="F12" i="5" s="1"/>
  <c r="D12" i="5" s="1"/>
  <c r="C12" i="5"/>
  <c r="E11" i="5"/>
  <c r="F11" i="5" s="1"/>
  <c r="C11" i="5"/>
  <c r="F10" i="5"/>
  <c r="E10" i="5"/>
  <c r="C10" i="5"/>
  <c r="D10" i="5" s="1"/>
  <c r="F9" i="5"/>
  <c r="D9" i="5" s="1"/>
  <c r="E9" i="5"/>
  <c r="C9" i="5"/>
  <c r="C8" i="5"/>
  <c r="C7" i="5"/>
  <c r="C6" i="5"/>
  <c r="C5" i="5"/>
  <c r="C4" i="5"/>
  <c r="E3" i="5"/>
  <c r="E4" i="5" s="1"/>
  <c r="C3" i="5"/>
  <c r="F2" i="5"/>
  <c r="E2" i="5"/>
  <c r="C2" i="5"/>
  <c r="D2" i="5" s="1"/>
  <c r="H2" i="5" s="1"/>
  <c r="G3" i="5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2" i="4"/>
  <c r="I1" i="3"/>
  <c r="G2" i="3"/>
  <c r="F286" i="3"/>
  <c r="F287" i="3"/>
  <c r="F353" i="3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24" i="3"/>
  <c r="F24" i="3" s="1"/>
  <c r="E25" i="3"/>
  <c r="F25" i="3" s="1"/>
  <c r="E26" i="3"/>
  <c r="F26" i="3" s="1"/>
  <c r="E27" i="3"/>
  <c r="F27" i="3" s="1"/>
  <c r="E28" i="3"/>
  <c r="E37" i="3"/>
  <c r="F37" i="3" s="1"/>
  <c r="E39" i="3"/>
  <c r="E40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E51" i="3"/>
  <c r="F51" i="3" s="1"/>
  <c r="E52" i="3"/>
  <c r="E54" i="3"/>
  <c r="F54" i="3" s="1"/>
  <c r="E55" i="3"/>
  <c r="E56" i="3" s="1"/>
  <c r="E58" i="3"/>
  <c r="E60" i="3"/>
  <c r="F60" i="3" s="1"/>
  <c r="E61" i="3"/>
  <c r="F61" i="3" s="1"/>
  <c r="E63" i="3"/>
  <c r="F63" i="3" s="1"/>
  <c r="E64" i="3"/>
  <c r="F64" i="3" s="1"/>
  <c r="E65" i="3"/>
  <c r="F65" i="3" s="1"/>
  <c r="E66" i="3"/>
  <c r="E68" i="3"/>
  <c r="F68" i="3" s="1"/>
  <c r="E69" i="3"/>
  <c r="F69" i="3" s="1"/>
  <c r="E70" i="3"/>
  <c r="F70" i="3" s="1"/>
  <c r="E71" i="3"/>
  <c r="F71" i="3" s="1"/>
  <c r="E72" i="3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E91" i="3"/>
  <c r="F91" i="3" s="1"/>
  <c r="E92" i="3"/>
  <c r="F92" i="3" s="1"/>
  <c r="E93" i="3"/>
  <c r="F93" i="3" s="1"/>
  <c r="E97" i="3"/>
  <c r="F97" i="3" s="1"/>
  <c r="E98" i="3"/>
  <c r="E104" i="3"/>
  <c r="E106" i="3"/>
  <c r="F106" i="3" s="1"/>
  <c r="E107" i="3"/>
  <c r="F107" i="3" s="1"/>
  <c r="E108" i="3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E131" i="3"/>
  <c r="F131" i="3" s="1"/>
  <c r="E132" i="3"/>
  <c r="E137" i="3"/>
  <c r="F137" i="3" s="1"/>
  <c r="E138" i="3"/>
  <c r="F138" i="3" s="1"/>
  <c r="E139" i="3"/>
  <c r="F139" i="3" s="1"/>
  <c r="E140" i="3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E160" i="3" s="1"/>
  <c r="E169" i="3"/>
  <c r="E170" i="3" s="1"/>
  <c r="E178" i="3"/>
  <c r="F178" i="3" s="1"/>
  <c r="E179" i="3"/>
  <c r="F179" i="3" s="1"/>
  <c r="E180" i="3"/>
  <c r="E188" i="3"/>
  <c r="F188" i="3" s="1"/>
  <c r="E189" i="3"/>
  <c r="F189" i="3" s="1"/>
  <c r="E193" i="3"/>
  <c r="F193" i="3" s="1"/>
  <c r="E194" i="3"/>
  <c r="F194" i="3" s="1"/>
  <c r="E195" i="3"/>
  <c r="F195" i="3" s="1"/>
  <c r="E199" i="3"/>
  <c r="F199" i="3" s="1"/>
  <c r="E200" i="3"/>
  <c r="F200" i="3" s="1"/>
  <c r="E201" i="3"/>
  <c r="F201" i="3" s="1"/>
  <c r="E202" i="3"/>
  <c r="F202" i="3" s="1"/>
  <c r="E203" i="3"/>
  <c r="F203" i="3" s="1"/>
  <c r="E204" i="3"/>
  <c r="E207" i="3"/>
  <c r="F207" i="3" s="1"/>
  <c r="E208" i="3"/>
  <c r="F208" i="3" s="1"/>
  <c r="E209" i="3"/>
  <c r="E210" i="3" s="1"/>
  <c r="E221" i="3"/>
  <c r="F221" i="3" s="1"/>
  <c r="E222" i="3"/>
  <c r="F222" i="3" s="1"/>
  <c r="E223" i="3"/>
  <c r="F223" i="3" s="1"/>
  <c r="E224" i="3"/>
  <c r="F224" i="3" s="1"/>
  <c r="E246" i="3"/>
  <c r="F246" i="3" s="1"/>
  <c r="E247" i="3"/>
  <c r="F247" i="3" s="1"/>
  <c r="E248" i="3"/>
  <c r="F248" i="3" s="1"/>
  <c r="E249" i="3"/>
  <c r="F249" i="3" s="1"/>
  <c r="E250" i="3"/>
  <c r="F250" i="3" s="1"/>
  <c r="E251" i="3"/>
  <c r="F251" i="3" s="1"/>
  <c r="E252" i="3"/>
  <c r="E256" i="3"/>
  <c r="F256" i="3" s="1"/>
  <c r="E257" i="3"/>
  <c r="E258" i="3" s="1"/>
  <c r="E263" i="3"/>
  <c r="F263" i="3" s="1"/>
  <c r="E264" i="3"/>
  <c r="F264" i="3" s="1"/>
  <c r="E265" i="3"/>
  <c r="E266" i="3" s="1"/>
  <c r="E273" i="3"/>
  <c r="F273" i="3" s="1"/>
  <c r="E274" i="3"/>
  <c r="F274" i="3" s="1"/>
  <c r="E275" i="3"/>
  <c r="F275" i="3" s="1"/>
  <c r="E276" i="3"/>
  <c r="F276" i="3" s="1"/>
  <c r="E277" i="3"/>
  <c r="F277" i="3" s="1"/>
  <c r="E284" i="3"/>
  <c r="F284" i="3" s="1"/>
  <c r="E285" i="3"/>
  <c r="F285" i="3" s="1"/>
  <c r="E286" i="3"/>
  <c r="E287" i="3"/>
  <c r="E288" i="3" s="1"/>
  <c r="E296" i="3"/>
  <c r="F296" i="3" s="1"/>
  <c r="E297" i="3"/>
  <c r="F297" i="3" s="1"/>
  <c r="E298" i="3"/>
  <c r="F298" i="3" s="1"/>
  <c r="E299" i="3"/>
  <c r="F299" i="3" s="1"/>
  <c r="E300" i="3"/>
  <c r="F300" i="3" s="1"/>
  <c r="E301" i="3"/>
  <c r="F301" i="3" s="1"/>
  <c r="E302" i="3"/>
  <c r="F302" i="3" s="1"/>
  <c r="E303" i="3"/>
  <c r="E304" i="3" s="1"/>
  <c r="E308" i="3"/>
  <c r="F308" i="3" s="1"/>
  <c r="E309" i="3"/>
  <c r="F309" i="3" s="1"/>
  <c r="E310" i="3"/>
  <c r="F310" i="3" s="1"/>
  <c r="E311" i="3"/>
  <c r="F311" i="3" s="1"/>
  <c r="E312" i="3"/>
  <c r="F312" i="3" s="1"/>
  <c r="E313" i="3"/>
  <c r="F313" i="3" s="1"/>
  <c r="E314" i="3"/>
  <c r="F314" i="3" s="1"/>
  <c r="E315" i="3"/>
  <c r="F315" i="3" s="1"/>
  <c r="E316" i="3"/>
  <c r="E317" i="3" s="1"/>
  <c r="E318" i="3" s="1"/>
  <c r="E319" i="3" s="1"/>
  <c r="E320" i="3" s="1"/>
  <c r="E321" i="3" s="1"/>
  <c r="E322" i="3" s="1"/>
  <c r="E323" i="3" s="1"/>
  <c r="F323" i="3" s="1"/>
  <c r="E324" i="3"/>
  <c r="F324" i="3" s="1"/>
  <c r="E325" i="3"/>
  <c r="F325" i="3" s="1"/>
  <c r="E326" i="3"/>
  <c r="F326" i="3" s="1"/>
  <c r="E327" i="3"/>
  <c r="E328" i="3" s="1"/>
  <c r="E329" i="3" s="1"/>
  <c r="F329" i="3" s="1"/>
  <c r="E330" i="3"/>
  <c r="F330" i="3" s="1"/>
  <c r="E331" i="3"/>
  <c r="F331" i="3" s="1"/>
  <c r="E332" i="3"/>
  <c r="E333" i="3" s="1"/>
  <c r="E334" i="3" s="1"/>
  <c r="E335" i="3" s="1"/>
  <c r="E336" i="3" s="1"/>
  <c r="E337" i="3" s="1"/>
  <c r="E338" i="3" s="1"/>
  <c r="E339" i="3" s="1"/>
  <c r="F339" i="3" s="1"/>
  <c r="E340" i="3"/>
  <c r="F340" i="3" s="1"/>
  <c r="E341" i="3"/>
  <c r="F341" i="3" s="1"/>
  <c r="E348" i="3"/>
  <c r="E349" i="3" s="1"/>
  <c r="E350" i="3" s="1"/>
  <c r="F350" i="3" s="1"/>
  <c r="E351" i="3"/>
  <c r="E352" i="3" s="1"/>
  <c r="E353" i="3" s="1"/>
  <c r="E354" i="3"/>
  <c r="F354" i="3" s="1"/>
  <c r="E355" i="3"/>
  <c r="F355" i="3" s="1"/>
  <c r="E357" i="3"/>
  <c r="F357" i="3" s="1"/>
  <c r="E361" i="3"/>
  <c r="E362" i="3" s="1"/>
  <c r="F362" i="3" s="1"/>
  <c r="E363" i="3"/>
  <c r="F363" i="3" s="1"/>
  <c r="E366" i="3"/>
  <c r="F366" i="3" s="1"/>
  <c r="E2" i="3"/>
  <c r="E3" i="3" s="1"/>
  <c r="C3" i="3"/>
  <c r="C4" i="3"/>
  <c r="C5" i="3"/>
  <c r="C6" i="3"/>
  <c r="C7" i="3"/>
  <c r="C8" i="3"/>
  <c r="C9" i="3"/>
  <c r="C10" i="3"/>
  <c r="D10" i="3" s="1"/>
  <c r="C11" i="3"/>
  <c r="D11" i="3" s="1"/>
  <c r="C12" i="3"/>
  <c r="D12" i="3" s="1"/>
  <c r="C13" i="3"/>
  <c r="D13" i="3" s="1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D26" i="3" s="1"/>
  <c r="C27" i="3"/>
  <c r="D27" i="3" s="1"/>
  <c r="C28" i="3"/>
  <c r="C29" i="3"/>
  <c r="C30" i="3"/>
  <c r="C31" i="3"/>
  <c r="C32" i="3"/>
  <c r="C33" i="3"/>
  <c r="C34" i="3"/>
  <c r="C35" i="3"/>
  <c r="C36" i="3"/>
  <c r="C37" i="3"/>
  <c r="D37" i="3" s="1"/>
  <c r="C38" i="3"/>
  <c r="C39" i="3"/>
  <c r="C40" i="3"/>
  <c r="C41" i="3"/>
  <c r="C42" i="3"/>
  <c r="C43" i="3"/>
  <c r="C44" i="3"/>
  <c r="D44" i="3" s="1"/>
  <c r="C45" i="3"/>
  <c r="D45" i="3" s="1"/>
  <c r="C46" i="3"/>
  <c r="D46" i="3" s="1"/>
  <c r="C47" i="3"/>
  <c r="C48" i="3"/>
  <c r="C49" i="3"/>
  <c r="C50" i="3"/>
  <c r="C51" i="3"/>
  <c r="D51" i="3" s="1"/>
  <c r="C52" i="3"/>
  <c r="C53" i="3"/>
  <c r="C54" i="3"/>
  <c r="C55" i="3"/>
  <c r="C56" i="3"/>
  <c r="C57" i="3"/>
  <c r="C58" i="3"/>
  <c r="C59" i="3"/>
  <c r="C60" i="3"/>
  <c r="D60" i="3" s="1"/>
  <c r="C61" i="3"/>
  <c r="D61" i="3" s="1"/>
  <c r="C62" i="3"/>
  <c r="C63" i="3"/>
  <c r="C64" i="3"/>
  <c r="C65" i="3"/>
  <c r="C66" i="3"/>
  <c r="C67" i="3"/>
  <c r="C68" i="3"/>
  <c r="C69" i="3"/>
  <c r="D69" i="3" s="1"/>
  <c r="C70" i="3"/>
  <c r="D70" i="3" s="1"/>
  <c r="C71" i="3"/>
  <c r="C72" i="3"/>
  <c r="C73" i="3"/>
  <c r="C74" i="3"/>
  <c r="C75" i="3"/>
  <c r="C76" i="3"/>
  <c r="D76" i="3" s="1"/>
  <c r="C77" i="3"/>
  <c r="D77" i="3" s="1"/>
  <c r="C78" i="3"/>
  <c r="C79" i="3"/>
  <c r="C80" i="3"/>
  <c r="D80" i="3" s="1"/>
  <c r="C81" i="3"/>
  <c r="C82" i="3"/>
  <c r="C83" i="3"/>
  <c r="C84" i="3"/>
  <c r="C85" i="3"/>
  <c r="C86" i="3"/>
  <c r="C87" i="3"/>
  <c r="C88" i="3"/>
  <c r="C89" i="3"/>
  <c r="C90" i="3"/>
  <c r="C91" i="3"/>
  <c r="C92" i="3"/>
  <c r="D92" i="3" s="1"/>
  <c r="C93" i="3"/>
  <c r="D93" i="3" s="1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D106" i="3" s="1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D122" i="3" s="1"/>
  <c r="C123" i="3"/>
  <c r="D123" i="3" s="1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D138" i="3" s="1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D178" i="3" s="1"/>
  <c r="C179" i="3"/>
  <c r="C180" i="3"/>
  <c r="C181" i="3"/>
  <c r="C182" i="3"/>
  <c r="C183" i="3"/>
  <c r="C184" i="3"/>
  <c r="C185" i="3"/>
  <c r="C186" i="3"/>
  <c r="C187" i="3"/>
  <c r="C188" i="3"/>
  <c r="D188" i="3" s="1"/>
  <c r="C189" i="3"/>
  <c r="D189" i="3" s="1"/>
  <c r="C190" i="3"/>
  <c r="C191" i="3"/>
  <c r="C192" i="3"/>
  <c r="C193" i="3"/>
  <c r="C194" i="3"/>
  <c r="D194" i="3" s="1"/>
  <c r="C195" i="3"/>
  <c r="C196" i="3"/>
  <c r="C197" i="3"/>
  <c r="C198" i="3"/>
  <c r="C199" i="3"/>
  <c r="C200" i="3"/>
  <c r="C201" i="3"/>
  <c r="C202" i="3"/>
  <c r="D202" i="3" s="1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D221" i="3" s="1"/>
  <c r="C222" i="3"/>
  <c r="D222" i="3" s="1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D250" i="3" s="1"/>
  <c r="C251" i="3"/>
  <c r="D251" i="3" s="1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D274" i="3" s="1"/>
  <c r="C275" i="3"/>
  <c r="C276" i="3"/>
  <c r="D276" i="3" s="1"/>
  <c r="C277" i="3"/>
  <c r="D277" i="3" s="1"/>
  <c r="C278" i="3"/>
  <c r="C279" i="3"/>
  <c r="C280" i="3"/>
  <c r="C281" i="3"/>
  <c r="C282" i="3"/>
  <c r="C283" i="3"/>
  <c r="C284" i="3"/>
  <c r="D284" i="3" s="1"/>
  <c r="C285" i="3"/>
  <c r="D285" i="3" s="1"/>
  <c r="C286" i="3"/>
  <c r="C287" i="3"/>
  <c r="C288" i="3"/>
  <c r="C289" i="3"/>
  <c r="C290" i="3"/>
  <c r="C291" i="3"/>
  <c r="C292" i="3"/>
  <c r="C293" i="3"/>
  <c r="C294" i="3"/>
  <c r="C295" i="3"/>
  <c r="C296" i="3"/>
  <c r="D296" i="3" s="1"/>
  <c r="C297" i="3"/>
  <c r="C298" i="3"/>
  <c r="D298" i="3" s="1"/>
  <c r="C299" i="3"/>
  <c r="C300" i="3"/>
  <c r="D300" i="3" s="1"/>
  <c r="C301" i="3"/>
  <c r="D301" i="3" s="1"/>
  <c r="C302" i="3"/>
  <c r="C303" i="3"/>
  <c r="C304" i="3"/>
  <c r="C305" i="3"/>
  <c r="C306" i="3"/>
  <c r="C307" i="3"/>
  <c r="C308" i="3"/>
  <c r="D308" i="3" s="1"/>
  <c r="C309" i="3"/>
  <c r="D309" i="3" s="1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D324" i="3" s="1"/>
  <c r="C325" i="3"/>
  <c r="D325" i="3" s="1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D340" i="3" s="1"/>
  <c r="C341" i="3"/>
  <c r="D341" i="3" s="1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2" i="3"/>
  <c r="F56" i="5" l="1"/>
  <c r="D56" i="5" s="1"/>
  <c r="E57" i="5"/>
  <c r="F57" i="5" s="1"/>
  <c r="D57" i="5" s="1"/>
  <c r="D11" i="5"/>
  <c r="D39" i="5"/>
  <c r="D43" i="5"/>
  <c r="D55" i="5"/>
  <c r="D70" i="5"/>
  <c r="F40" i="5"/>
  <c r="D40" i="5" s="1"/>
  <c r="E41" i="5"/>
  <c r="F4" i="5"/>
  <c r="D4" i="5" s="1"/>
  <c r="E5" i="5"/>
  <c r="F3" i="5"/>
  <c r="D3" i="5" s="1"/>
  <c r="H3" i="5" s="1"/>
  <c r="F15" i="5"/>
  <c r="D27" i="5"/>
  <c r="F16" i="5"/>
  <c r="D16" i="5" s="1"/>
  <c r="E17" i="5"/>
  <c r="D47" i="5"/>
  <c r="D65" i="5"/>
  <c r="D69" i="5"/>
  <c r="E83" i="5"/>
  <c r="F82" i="5"/>
  <c r="D82" i="5" s="1"/>
  <c r="D15" i="5"/>
  <c r="F52" i="5"/>
  <c r="D52" i="5" s="1"/>
  <c r="E53" i="5"/>
  <c r="F53" i="5" s="1"/>
  <c r="D53" i="5" s="1"/>
  <c r="D63" i="5"/>
  <c r="D66" i="5"/>
  <c r="F100" i="5"/>
  <c r="E101" i="5"/>
  <c r="E29" i="5"/>
  <c r="E49" i="5"/>
  <c r="D67" i="5"/>
  <c r="E105" i="5"/>
  <c r="F105" i="5" s="1"/>
  <c r="D105" i="5" s="1"/>
  <c r="E109" i="5"/>
  <c r="D156" i="5"/>
  <c r="E73" i="5"/>
  <c r="D75" i="5"/>
  <c r="E94" i="5"/>
  <c r="F140" i="5"/>
  <c r="D140" i="5" s="1"/>
  <c r="E141" i="5"/>
  <c r="D100" i="5"/>
  <c r="E134" i="5"/>
  <c r="F133" i="5"/>
  <c r="D133" i="5" s="1"/>
  <c r="D108" i="5"/>
  <c r="D119" i="5"/>
  <c r="D121" i="5"/>
  <c r="D123" i="5"/>
  <c r="E125" i="5"/>
  <c r="D139" i="5"/>
  <c r="D155" i="5"/>
  <c r="F170" i="5"/>
  <c r="D170" i="5" s="1"/>
  <c r="E171" i="5"/>
  <c r="D137" i="5"/>
  <c r="F190" i="5"/>
  <c r="D190" i="5" s="1"/>
  <c r="E191" i="5"/>
  <c r="F252" i="5"/>
  <c r="D252" i="5" s="1"/>
  <c r="E253" i="5"/>
  <c r="D157" i="5"/>
  <c r="F169" i="5"/>
  <c r="D169" i="5" s="1"/>
  <c r="D159" i="5"/>
  <c r="F210" i="5"/>
  <c r="D210" i="5" s="1"/>
  <c r="E211" i="5"/>
  <c r="E365" i="5"/>
  <c r="F365" i="5" s="1"/>
  <c r="D365" i="5" s="1"/>
  <c r="F364" i="5"/>
  <c r="D364" i="5" s="1"/>
  <c r="D131" i="5"/>
  <c r="E161" i="5"/>
  <c r="D179" i="5"/>
  <c r="F204" i="5"/>
  <c r="D204" i="5" s="1"/>
  <c r="E205" i="5"/>
  <c r="E289" i="5"/>
  <c r="F288" i="5"/>
  <c r="D288" i="5" s="1"/>
  <c r="D91" i="5"/>
  <c r="E181" i="5"/>
  <c r="D207" i="5"/>
  <c r="D209" i="5"/>
  <c r="F258" i="5"/>
  <c r="E259" i="5"/>
  <c r="D316" i="5"/>
  <c r="F194" i="5"/>
  <c r="D194" i="5" s="1"/>
  <c r="E195" i="5"/>
  <c r="D199" i="5"/>
  <c r="F224" i="5"/>
  <c r="D224" i="5" s="1"/>
  <c r="E225" i="5"/>
  <c r="D256" i="5"/>
  <c r="D258" i="5"/>
  <c r="D273" i="5"/>
  <c r="E279" i="5"/>
  <c r="E352" i="5"/>
  <c r="D357" i="5"/>
  <c r="E359" i="5"/>
  <c r="E303" i="5"/>
  <c r="E318" i="5"/>
  <c r="D276" i="5"/>
  <c r="D278" i="5"/>
  <c r="D308" i="5"/>
  <c r="D310" i="5"/>
  <c r="D325" i="5"/>
  <c r="D341" i="5"/>
  <c r="D257" i="5"/>
  <c r="D274" i="5"/>
  <c r="D356" i="5"/>
  <c r="D358" i="5"/>
  <c r="D285" i="5"/>
  <c r="D300" i="5"/>
  <c r="D302" i="5"/>
  <c r="D317" i="5"/>
  <c r="E334" i="5"/>
  <c r="E346" i="5"/>
  <c r="E356" i="5"/>
  <c r="F356" i="5" s="1"/>
  <c r="E266" i="5"/>
  <c r="D277" i="5"/>
  <c r="D309" i="5"/>
  <c r="D324" i="5"/>
  <c r="D326" i="5"/>
  <c r="E328" i="5"/>
  <c r="F332" i="5"/>
  <c r="D332" i="5" s="1"/>
  <c r="D340" i="5"/>
  <c r="D342" i="5"/>
  <c r="F344" i="5"/>
  <c r="D344" i="5" s="1"/>
  <c r="D203" i="3"/>
  <c r="D139" i="3"/>
  <c r="D91" i="3"/>
  <c r="D75" i="3"/>
  <c r="E15" i="3"/>
  <c r="E16" i="3" s="1"/>
  <c r="F352" i="3"/>
  <c r="D352" i="3" s="1"/>
  <c r="F337" i="3"/>
  <c r="D337" i="3" s="1"/>
  <c r="D313" i="3"/>
  <c r="F336" i="3"/>
  <c r="D273" i="3"/>
  <c r="D256" i="3"/>
  <c r="D224" i="3"/>
  <c r="D208" i="3"/>
  <c r="D120" i="3"/>
  <c r="D64" i="3"/>
  <c r="E62" i="3"/>
  <c r="F62" i="3" s="1"/>
  <c r="F321" i="3"/>
  <c r="D321" i="3" s="1"/>
  <c r="D353" i="3"/>
  <c r="F320" i="3"/>
  <c r="D68" i="3"/>
  <c r="D287" i="3"/>
  <c r="D78" i="3"/>
  <c r="D62" i="3"/>
  <c r="D14" i="3"/>
  <c r="D53" i="3"/>
  <c r="D180" i="3"/>
  <c r="F3" i="3"/>
  <c r="D3" i="3" s="1"/>
  <c r="E4" i="3"/>
  <c r="D357" i="3"/>
  <c r="D349" i="3"/>
  <c r="E267" i="3"/>
  <c r="F266" i="3"/>
  <c r="E133" i="3"/>
  <c r="F132" i="3"/>
  <c r="D132" i="3" s="1"/>
  <c r="E109" i="3"/>
  <c r="F108" i="3"/>
  <c r="E67" i="3"/>
  <c r="F67" i="3" s="1"/>
  <c r="F66" i="3"/>
  <c r="E57" i="3"/>
  <c r="F57" i="3" s="1"/>
  <c r="D57" i="3" s="1"/>
  <c r="F56" i="3"/>
  <c r="D56" i="3" s="1"/>
  <c r="F361" i="3"/>
  <c r="F209" i="3"/>
  <c r="D209" i="3" s="1"/>
  <c r="D140" i="3"/>
  <c r="D108" i="3"/>
  <c r="E211" i="3"/>
  <c r="F210" i="3"/>
  <c r="F328" i="3"/>
  <c r="D363" i="3"/>
  <c r="D355" i="3"/>
  <c r="D339" i="3"/>
  <c r="D331" i="3"/>
  <c r="D323" i="3"/>
  <c r="D315" i="3"/>
  <c r="D299" i="3"/>
  <c r="D275" i="3"/>
  <c r="D195" i="3"/>
  <c r="D179" i="3"/>
  <c r="D131" i="3"/>
  <c r="D107" i="3"/>
  <c r="D67" i="3"/>
  <c r="D43" i="3"/>
  <c r="E358" i="3"/>
  <c r="E342" i="3"/>
  <c r="E278" i="3"/>
  <c r="E196" i="3"/>
  <c r="E181" i="3"/>
  <c r="F180" i="3"/>
  <c r="E125" i="3"/>
  <c r="F124" i="3"/>
  <c r="D124" i="3" s="1"/>
  <c r="E53" i="3"/>
  <c r="F53" i="3" s="1"/>
  <c r="F52" i="3"/>
  <c r="D52" i="3" s="1"/>
  <c r="E41" i="3"/>
  <c r="F40" i="3"/>
  <c r="D40" i="3" s="1"/>
  <c r="E17" i="3"/>
  <c r="F16" i="3"/>
  <c r="F2" i="3"/>
  <c r="D2" i="3" s="1"/>
  <c r="H2" i="3" s="1"/>
  <c r="G3" i="3" s="1"/>
  <c r="F351" i="3"/>
  <c r="F335" i="3"/>
  <c r="F327" i="3"/>
  <c r="F319" i="3"/>
  <c r="F265" i="3"/>
  <c r="D265" i="3" s="1"/>
  <c r="F169" i="3"/>
  <c r="D169" i="3" s="1"/>
  <c r="E105" i="3"/>
  <c r="F105" i="3" s="1"/>
  <c r="F104" i="3"/>
  <c r="D104" i="3" s="1"/>
  <c r="E83" i="3"/>
  <c r="F82" i="3"/>
  <c r="E73" i="3"/>
  <c r="F72" i="3"/>
  <c r="D72" i="3" s="1"/>
  <c r="E38" i="3"/>
  <c r="F38" i="3" s="1"/>
  <c r="D38" i="3" s="1"/>
  <c r="F334" i="3"/>
  <c r="D334" i="3" s="1"/>
  <c r="F318" i="3"/>
  <c r="F39" i="3"/>
  <c r="D39" i="3" s="1"/>
  <c r="D266" i="3"/>
  <c r="D361" i="3"/>
  <c r="D257" i="3"/>
  <c r="D249" i="3"/>
  <c r="D201" i="3"/>
  <c r="D193" i="3"/>
  <c r="D137" i="3"/>
  <c r="D121" i="3"/>
  <c r="D105" i="3"/>
  <c r="D97" i="3"/>
  <c r="D81" i="3"/>
  <c r="D65" i="3"/>
  <c r="D25" i="3"/>
  <c r="D9" i="3"/>
  <c r="E356" i="3"/>
  <c r="F356" i="3" s="1"/>
  <c r="D356" i="3" s="1"/>
  <c r="E225" i="3"/>
  <c r="E205" i="3"/>
  <c r="F204" i="3"/>
  <c r="D204" i="3" s="1"/>
  <c r="E141" i="3"/>
  <c r="F140" i="3"/>
  <c r="E99" i="3"/>
  <c r="F98" i="3"/>
  <c r="D98" i="3" s="1"/>
  <c r="E49" i="3"/>
  <c r="F48" i="3"/>
  <c r="D48" i="3" s="1"/>
  <c r="F349" i="3"/>
  <c r="F333" i="3"/>
  <c r="D333" i="3" s="1"/>
  <c r="F317" i="3"/>
  <c r="D317" i="3" s="1"/>
  <c r="F257" i="3"/>
  <c r="D354" i="3"/>
  <c r="D330" i="3"/>
  <c r="D82" i="3"/>
  <c r="E259" i="3"/>
  <c r="F258" i="3"/>
  <c r="D258" i="3" s="1"/>
  <c r="D329" i="3"/>
  <c r="D336" i="3"/>
  <c r="D328" i="3"/>
  <c r="D320" i="3"/>
  <c r="D312" i="3"/>
  <c r="D288" i="3"/>
  <c r="D264" i="3"/>
  <c r="D248" i="3"/>
  <c r="D200" i="3"/>
  <c r="D24" i="3"/>
  <c r="D16" i="3"/>
  <c r="E305" i="3"/>
  <c r="F304" i="3"/>
  <c r="D304" i="3" s="1"/>
  <c r="E289" i="3"/>
  <c r="F288" i="3"/>
  <c r="E253" i="3"/>
  <c r="F252" i="3"/>
  <c r="D252" i="3" s="1"/>
  <c r="E171" i="3"/>
  <c r="F170" i="3"/>
  <c r="D170" i="3" s="1"/>
  <c r="E29" i="3"/>
  <c r="F28" i="3"/>
  <c r="D28" i="3" s="1"/>
  <c r="F348" i="3"/>
  <c r="D348" i="3" s="1"/>
  <c r="F332" i="3"/>
  <c r="D332" i="3" s="1"/>
  <c r="F316" i="3"/>
  <c r="D316" i="3" s="1"/>
  <c r="F159" i="3"/>
  <c r="D210" i="3"/>
  <c r="D66" i="3"/>
  <c r="D297" i="3"/>
  <c r="D327" i="3"/>
  <c r="D311" i="3"/>
  <c r="D263" i="3"/>
  <c r="D247" i="3"/>
  <c r="D223" i="3"/>
  <c r="D207" i="3"/>
  <c r="D199" i="3"/>
  <c r="D159" i="3"/>
  <c r="D119" i="3"/>
  <c r="D79" i="3"/>
  <c r="D71" i="3"/>
  <c r="D63" i="3"/>
  <c r="D47" i="3"/>
  <c r="E364" i="3"/>
  <c r="E161" i="3"/>
  <c r="F160" i="3"/>
  <c r="D160" i="3" s="1"/>
  <c r="F303" i="3"/>
  <c r="D303" i="3" s="1"/>
  <c r="D362" i="3"/>
  <c r="D314" i="3"/>
  <c r="D351" i="3"/>
  <c r="D335" i="3"/>
  <c r="D319" i="3"/>
  <c r="D366" i="3"/>
  <c r="D350" i="3"/>
  <c r="D326" i="3"/>
  <c r="D318" i="3"/>
  <c r="D310" i="3"/>
  <c r="D302" i="3"/>
  <c r="D286" i="3"/>
  <c r="D246" i="3"/>
  <c r="D54" i="3"/>
  <c r="E190" i="3"/>
  <c r="E94" i="3"/>
  <c r="E59" i="3"/>
  <c r="F59" i="3" s="1"/>
  <c r="D59" i="3" s="1"/>
  <c r="F58" i="3"/>
  <c r="D58" i="3" s="1"/>
  <c r="F338" i="3"/>
  <c r="D338" i="3" s="1"/>
  <c r="F322" i="3"/>
  <c r="D322" i="3" s="1"/>
  <c r="F55" i="3"/>
  <c r="D55" i="3" s="1"/>
  <c r="F15" i="3"/>
  <c r="D15" i="3" s="1"/>
  <c r="G4" i="5" l="1"/>
  <c r="H4" i="5" s="1"/>
  <c r="I3" i="5"/>
  <c r="F181" i="5"/>
  <c r="D181" i="5" s="1"/>
  <c r="E182" i="5"/>
  <c r="F134" i="5"/>
  <c r="D134" i="5" s="1"/>
  <c r="E135" i="5"/>
  <c r="E95" i="5"/>
  <c r="F94" i="5"/>
  <c r="D94" i="5" s="1"/>
  <c r="E30" i="5"/>
  <c r="F29" i="5"/>
  <c r="D29" i="5" s="1"/>
  <c r="F83" i="5"/>
  <c r="D83" i="5" s="1"/>
  <c r="E84" i="5"/>
  <c r="E42" i="5"/>
  <c r="F42" i="5" s="1"/>
  <c r="D42" i="5" s="1"/>
  <c r="F41" i="5"/>
  <c r="D41" i="5" s="1"/>
  <c r="F279" i="5"/>
  <c r="D279" i="5" s="1"/>
  <c r="E280" i="5"/>
  <c r="F161" i="5"/>
  <c r="D161" i="5" s="1"/>
  <c r="E162" i="5"/>
  <c r="F125" i="5"/>
  <c r="D125" i="5" s="1"/>
  <c r="E126" i="5"/>
  <c r="F266" i="5"/>
  <c r="D266" i="5" s="1"/>
  <c r="E267" i="5"/>
  <c r="E110" i="5"/>
  <c r="F109" i="5"/>
  <c r="D109" i="5" s="1"/>
  <c r="E329" i="5"/>
  <c r="F329" i="5" s="1"/>
  <c r="D329" i="5" s="1"/>
  <c r="F328" i="5"/>
  <c r="D328" i="5" s="1"/>
  <c r="E353" i="5"/>
  <c r="F353" i="5" s="1"/>
  <c r="D353" i="5" s="1"/>
  <c r="F352" i="5"/>
  <c r="D352" i="5" s="1"/>
  <c r="E206" i="5"/>
  <c r="F206" i="5" s="1"/>
  <c r="D206" i="5" s="1"/>
  <c r="F205" i="5"/>
  <c r="D205" i="5" s="1"/>
  <c r="F73" i="5"/>
  <c r="D73" i="5" s="1"/>
  <c r="E74" i="5"/>
  <c r="F74" i="5" s="1"/>
  <c r="D74" i="5" s="1"/>
  <c r="F101" i="5"/>
  <c r="D101" i="5" s="1"/>
  <c r="E102" i="5"/>
  <c r="F346" i="5"/>
  <c r="D346" i="5" s="1"/>
  <c r="E347" i="5"/>
  <c r="F347" i="5" s="1"/>
  <c r="D347" i="5" s="1"/>
  <c r="F259" i="5"/>
  <c r="D259" i="5" s="1"/>
  <c r="E260" i="5"/>
  <c r="F211" i="5"/>
  <c r="D211" i="5" s="1"/>
  <c r="E212" i="5"/>
  <c r="F334" i="5"/>
  <c r="D334" i="5" s="1"/>
  <c r="E335" i="5"/>
  <c r="F318" i="5"/>
  <c r="D318" i="5" s="1"/>
  <c r="E319" i="5"/>
  <c r="F141" i="5"/>
  <c r="D141" i="5" s="1"/>
  <c r="E142" i="5"/>
  <c r="F359" i="5"/>
  <c r="D359" i="5" s="1"/>
  <c r="E360" i="5"/>
  <c r="F360" i="5" s="1"/>
  <c r="D360" i="5" s="1"/>
  <c r="E226" i="5"/>
  <c r="F225" i="5"/>
  <c r="D225" i="5" s="1"/>
  <c r="F253" i="5"/>
  <c r="D253" i="5" s="1"/>
  <c r="E254" i="5"/>
  <c r="F303" i="5"/>
  <c r="D303" i="5" s="1"/>
  <c r="E304" i="5"/>
  <c r="E172" i="5"/>
  <c r="F171" i="5"/>
  <c r="D171" i="5" s="1"/>
  <c r="E196" i="5"/>
  <c r="F195" i="5"/>
  <c r="D195" i="5" s="1"/>
  <c r="F289" i="5"/>
  <c r="D289" i="5" s="1"/>
  <c r="E290" i="5"/>
  <c r="E192" i="5"/>
  <c r="F192" i="5" s="1"/>
  <c r="D192" i="5" s="1"/>
  <c r="F191" i="5"/>
  <c r="D191" i="5" s="1"/>
  <c r="E50" i="5"/>
  <c r="F50" i="5" s="1"/>
  <c r="D50" i="5" s="1"/>
  <c r="F49" i="5"/>
  <c r="D49" i="5" s="1"/>
  <c r="E18" i="5"/>
  <c r="F17" i="5"/>
  <c r="D17" i="5" s="1"/>
  <c r="E6" i="5"/>
  <c r="F5" i="5"/>
  <c r="D5" i="5" s="1"/>
  <c r="F190" i="3"/>
  <c r="D190" i="3" s="1"/>
  <c r="E191" i="3"/>
  <c r="E226" i="3"/>
  <c r="F225" i="3"/>
  <c r="D225" i="3" s="1"/>
  <c r="E18" i="3"/>
  <c r="F17" i="3"/>
  <c r="D17" i="3" s="1"/>
  <c r="E182" i="3"/>
  <c r="F181" i="3"/>
  <c r="D181" i="3" s="1"/>
  <c r="E110" i="3"/>
  <c r="F109" i="3"/>
  <c r="D109" i="3" s="1"/>
  <c r="E5" i="3"/>
  <c r="F4" i="3"/>
  <c r="D4" i="3" s="1"/>
  <c r="E100" i="3"/>
  <c r="F99" i="3"/>
  <c r="D99" i="3" s="1"/>
  <c r="F342" i="3"/>
  <c r="D342" i="3" s="1"/>
  <c r="E343" i="3"/>
  <c r="E172" i="3"/>
  <c r="F171" i="3"/>
  <c r="D171" i="3" s="1"/>
  <c r="F278" i="3"/>
  <c r="D278" i="3" s="1"/>
  <c r="E279" i="3"/>
  <c r="E134" i="3"/>
  <c r="F133" i="3"/>
  <c r="D133" i="3" s="1"/>
  <c r="E254" i="3"/>
  <c r="F253" i="3"/>
  <c r="D253" i="3" s="1"/>
  <c r="E260" i="3"/>
  <c r="F259" i="3"/>
  <c r="D259" i="3" s="1"/>
  <c r="E74" i="3"/>
  <c r="F74" i="3" s="1"/>
  <c r="D74" i="3" s="1"/>
  <c r="F73" i="3"/>
  <c r="D73" i="3" s="1"/>
  <c r="E212" i="3"/>
  <c r="F211" i="3"/>
  <c r="D211" i="3" s="1"/>
  <c r="H3" i="3"/>
  <c r="G4" i="3" s="1"/>
  <c r="H4" i="3" s="1"/>
  <c r="G5" i="3" s="1"/>
  <c r="E162" i="3"/>
  <c r="F161" i="3"/>
  <c r="D161" i="3" s="1"/>
  <c r="F358" i="3"/>
  <c r="D358" i="3" s="1"/>
  <c r="E359" i="3"/>
  <c r="E268" i="3"/>
  <c r="F267" i="3"/>
  <c r="D267" i="3" s="1"/>
  <c r="E126" i="3"/>
  <c r="F125" i="3"/>
  <c r="D125" i="3" s="1"/>
  <c r="E50" i="3"/>
  <c r="F50" i="3" s="1"/>
  <c r="D50" i="3" s="1"/>
  <c r="F49" i="3"/>
  <c r="D49" i="3" s="1"/>
  <c r="E197" i="3"/>
  <c r="F196" i="3"/>
  <c r="D196" i="3" s="1"/>
  <c r="E42" i="3"/>
  <c r="F42" i="3" s="1"/>
  <c r="D42" i="3" s="1"/>
  <c r="F41" i="3"/>
  <c r="D41" i="3" s="1"/>
  <c r="E365" i="3"/>
  <c r="F365" i="3" s="1"/>
  <c r="D365" i="3" s="1"/>
  <c r="F364" i="3"/>
  <c r="D364" i="3" s="1"/>
  <c r="E290" i="3"/>
  <c r="F289" i="3"/>
  <c r="D289" i="3" s="1"/>
  <c r="E142" i="3"/>
  <c r="F141" i="3"/>
  <c r="D141" i="3" s="1"/>
  <c r="E84" i="3"/>
  <c r="F83" i="3"/>
  <c r="D83" i="3" s="1"/>
  <c r="F94" i="3"/>
  <c r="D94" i="3" s="1"/>
  <c r="E95" i="3"/>
  <c r="E30" i="3"/>
  <c r="F29" i="3"/>
  <c r="D29" i="3" s="1"/>
  <c r="E306" i="3"/>
  <c r="F305" i="3"/>
  <c r="D305" i="3" s="1"/>
  <c r="E206" i="3"/>
  <c r="F206" i="3" s="1"/>
  <c r="D206" i="3" s="1"/>
  <c r="F205" i="3"/>
  <c r="D205" i="3" s="1"/>
  <c r="G5" i="5" l="1"/>
  <c r="H5" i="5" s="1"/>
  <c r="I4" i="5"/>
  <c r="F18" i="5"/>
  <c r="D18" i="5" s="1"/>
  <c r="E19" i="5"/>
  <c r="F335" i="5"/>
  <c r="D335" i="5" s="1"/>
  <c r="E336" i="5"/>
  <c r="E103" i="5"/>
  <c r="F103" i="5" s="1"/>
  <c r="D103" i="5" s="1"/>
  <c r="F102" i="5"/>
  <c r="D102" i="5" s="1"/>
  <c r="F226" i="5"/>
  <c r="D226" i="5" s="1"/>
  <c r="E227" i="5"/>
  <c r="F30" i="5"/>
  <c r="D30" i="5" s="1"/>
  <c r="E31" i="5"/>
  <c r="E281" i="5"/>
  <c r="F280" i="5"/>
  <c r="D280" i="5" s="1"/>
  <c r="F110" i="5"/>
  <c r="D110" i="5" s="1"/>
  <c r="E111" i="5"/>
  <c r="F95" i="5"/>
  <c r="D95" i="5" s="1"/>
  <c r="E96" i="5"/>
  <c r="F96" i="5" s="1"/>
  <c r="D96" i="5" s="1"/>
  <c r="F212" i="5"/>
  <c r="D212" i="5" s="1"/>
  <c r="E213" i="5"/>
  <c r="F172" i="5"/>
  <c r="D172" i="5" s="1"/>
  <c r="E173" i="5"/>
  <c r="E261" i="5"/>
  <c r="F260" i="5"/>
  <c r="D260" i="5" s="1"/>
  <c r="E136" i="5"/>
  <c r="F136" i="5" s="1"/>
  <c r="D136" i="5" s="1"/>
  <c r="F135" i="5"/>
  <c r="D135" i="5" s="1"/>
  <c r="F304" i="5"/>
  <c r="D304" i="5" s="1"/>
  <c r="E305" i="5"/>
  <c r="F142" i="5"/>
  <c r="D142" i="5" s="1"/>
  <c r="E143" i="5"/>
  <c r="F267" i="5"/>
  <c r="D267" i="5" s="1"/>
  <c r="E268" i="5"/>
  <c r="F290" i="5"/>
  <c r="D290" i="5" s="1"/>
  <c r="E291" i="5"/>
  <c r="F6" i="5"/>
  <c r="D6" i="5" s="1"/>
  <c r="E7" i="5"/>
  <c r="F254" i="5"/>
  <c r="D254" i="5" s="1"/>
  <c r="E255" i="5"/>
  <c r="F255" i="5" s="1"/>
  <c r="D255" i="5" s="1"/>
  <c r="F319" i="5"/>
  <c r="D319" i="5" s="1"/>
  <c r="E320" i="5"/>
  <c r="F126" i="5"/>
  <c r="D126" i="5" s="1"/>
  <c r="E127" i="5"/>
  <c r="F84" i="5"/>
  <c r="D84" i="5" s="1"/>
  <c r="E85" i="5"/>
  <c r="F182" i="5"/>
  <c r="D182" i="5" s="1"/>
  <c r="E183" i="5"/>
  <c r="F196" i="5"/>
  <c r="D196" i="5" s="1"/>
  <c r="E197" i="5"/>
  <c r="F162" i="5"/>
  <c r="D162" i="5" s="1"/>
  <c r="E163" i="5"/>
  <c r="E255" i="3"/>
  <c r="F255" i="3" s="1"/>
  <c r="D255" i="3" s="1"/>
  <c r="F254" i="3"/>
  <c r="D254" i="3" s="1"/>
  <c r="E127" i="3"/>
  <c r="F126" i="3"/>
  <c r="D126" i="3" s="1"/>
  <c r="E269" i="3"/>
  <c r="F268" i="3"/>
  <c r="D268" i="3" s="1"/>
  <c r="E31" i="3"/>
  <c r="F30" i="3"/>
  <c r="D30" i="3" s="1"/>
  <c r="E291" i="3"/>
  <c r="F290" i="3"/>
  <c r="D290" i="3" s="1"/>
  <c r="E163" i="3"/>
  <c r="F162" i="3"/>
  <c r="D162" i="3" s="1"/>
  <c r="E344" i="3"/>
  <c r="F343" i="3"/>
  <c r="D343" i="3" s="1"/>
  <c r="H5" i="3"/>
  <c r="G6" i="3" s="1"/>
  <c r="E213" i="3"/>
  <c r="F212" i="3"/>
  <c r="D212" i="3" s="1"/>
  <c r="E135" i="3"/>
  <c r="F134" i="3"/>
  <c r="D134" i="3" s="1"/>
  <c r="E101" i="3"/>
  <c r="F100" i="3"/>
  <c r="D100" i="3" s="1"/>
  <c r="E19" i="3"/>
  <c r="F18" i="3"/>
  <c r="D18" i="3" s="1"/>
  <c r="E280" i="3"/>
  <c r="F279" i="3"/>
  <c r="D279" i="3" s="1"/>
  <c r="E96" i="3"/>
  <c r="F96" i="3" s="1"/>
  <c r="D96" i="3" s="1"/>
  <c r="F95" i="3"/>
  <c r="D95" i="3" s="1"/>
  <c r="E227" i="3"/>
  <c r="F226" i="3"/>
  <c r="D226" i="3" s="1"/>
  <c r="E143" i="3"/>
  <c r="F142" i="3"/>
  <c r="D142" i="3" s="1"/>
  <c r="E198" i="3"/>
  <c r="F198" i="3" s="1"/>
  <c r="D198" i="3" s="1"/>
  <c r="F197" i="3"/>
  <c r="D197" i="3" s="1"/>
  <c r="E192" i="3"/>
  <c r="F192" i="3" s="1"/>
  <c r="D192" i="3" s="1"/>
  <c r="F191" i="3"/>
  <c r="D191" i="3" s="1"/>
  <c r="E183" i="3"/>
  <c r="F182" i="3"/>
  <c r="D182" i="3" s="1"/>
  <c r="E85" i="3"/>
  <c r="F84" i="3"/>
  <c r="D84" i="3" s="1"/>
  <c r="E360" i="3"/>
  <c r="F360" i="3" s="1"/>
  <c r="D360" i="3" s="1"/>
  <c r="F359" i="3"/>
  <c r="D359" i="3" s="1"/>
  <c r="E6" i="3"/>
  <c r="F5" i="3"/>
  <c r="D5" i="3" s="1"/>
  <c r="E307" i="3"/>
  <c r="F307" i="3" s="1"/>
  <c r="D307" i="3" s="1"/>
  <c r="F306" i="3"/>
  <c r="D306" i="3" s="1"/>
  <c r="E261" i="3"/>
  <c r="F260" i="3"/>
  <c r="D260" i="3" s="1"/>
  <c r="E173" i="3"/>
  <c r="F172" i="3"/>
  <c r="D172" i="3" s="1"/>
  <c r="E111" i="3"/>
  <c r="F110" i="3"/>
  <c r="D110" i="3" s="1"/>
  <c r="G6" i="5" l="1"/>
  <c r="I5" i="5"/>
  <c r="H6" i="5"/>
  <c r="E198" i="5"/>
  <c r="F198" i="5" s="1"/>
  <c r="D198" i="5" s="1"/>
  <c r="F197" i="5"/>
  <c r="D197" i="5" s="1"/>
  <c r="E321" i="5"/>
  <c r="F320" i="5"/>
  <c r="D320" i="5" s="1"/>
  <c r="F268" i="5"/>
  <c r="D268" i="5" s="1"/>
  <c r="E269" i="5"/>
  <c r="F111" i="5"/>
  <c r="D111" i="5" s="1"/>
  <c r="E112" i="5"/>
  <c r="F183" i="5"/>
  <c r="D183" i="5" s="1"/>
  <c r="E184" i="5"/>
  <c r="F143" i="5"/>
  <c r="D143" i="5" s="1"/>
  <c r="E144" i="5"/>
  <c r="F173" i="5"/>
  <c r="D173" i="5" s="1"/>
  <c r="E174" i="5"/>
  <c r="E337" i="5"/>
  <c r="F336" i="5"/>
  <c r="D336" i="5" s="1"/>
  <c r="F281" i="5"/>
  <c r="D281" i="5" s="1"/>
  <c r="E282" i="5"/>
  <c r="E86" i="5"/>
  <c r="F85" i="5"/>
  <c r="D85" i="5" s="1"/>
  <c r="E8" i="5"/>
  <c r="F8" i="5" s="1"/>
  <c r="D8" i="5" s="1"/>
  <c r="F7" i="5"/>
  <c r="D7" i="5" s="1"/>
  <c r="F305" i="5"/>
  <c r="D305" i="5" s="1"/>
  <c r="E306" i="5"/>
  <c r="F213" i="5"/>
  <c r="D213" i="5" s="1"/>
  <c r="E214" i="5"/>
  <c r="E32" i="5"/>
  <c r="F31" i="5"/>
  <c r="D31" i="5" s="1"/>
  <c r="F261" i="5"/>
  <c r="D261" i="5" s="1"/>
  <c r="E262" i="5"/>
  <c r="F262" i="5" s="1"/>
  <c r="D262" i="5" s="1"/>
  <c r="E20" i="5"/>
  <c r="F19" i="5"/>
  <c r="D19" i="5" s="1"/>
  <c r="F163" i="5"/>
  <c r="D163" i="5" s="1"/>
  <c r="E164" i="5"/>
  <c r="F127" i="5"/>
  <c r="D127" i="5" s="1"/>
  <c r="E128" i="5"/>
  <c r="F291" i="5"/>
  <c r="D291" i="5" s="1"/>
  <c r="E292" i="5"/>
  <c r="E228" i="5"/>
  <c r="F227" i="5"/>
  <c r="D227" i="5" s="1"/>
  <c r="E136" i="3"/>
  <c r="F136" i="3" s="1"/>
  <c r="D136" i="3" s="1"/>
  <c r="F135" i="3"/>
  <c r="D135" i="3" s="1"/>
  <c r="E174" i="3"/>
  <c r="F173" i="3"/>
  <c r="D173" i="3" s="1"/>
  <c r="E281" i="3"/>
  <c r="F280" i="3"/>
  <c r="D280" i="3" s="1"/>
  <c r="E214" i="3"/>
  <c r="F213" i="3"/>
  <c r="D213" i="3" s="1"/>
  <c r="E32" i="3"/>
  <c r="F31" i="3"/>
  <c r="D31" i="3" s="1"/>
  <c r="E262" i="3"/>
  <c r="F262" i="3" s="1"/>
  <c r="D262" i="3" s="1"/>
  <c r="F261" i="3"/>
  <c r="D261" i="3" s="1"/>
  <c r="E144" i="3"/>
  <c r="F143" i="3"/>
  <c r="D143" i="3" s="1"/>
  <c r="E112" i="3"/>
  <c r="F111" i="3"/>
  <c r="D111" i="3" s="1"/>
  <c r="E7" i="3"/>
  <c r="F6" i="3"/>
  <c r="D6" i="3" s="1"/>
  <c r="H6" i="3"/>
  <c r="G7" i="3" s="1"/>
  <c r="E86" i="3"/>
  <c r="F85" i="3"/>
  <c r="D85" i="3" s="1"/>
  <c r="E20" i="3"/>
  <c r="F19" i="3"/>
  <c r="D19" i="3" s="1"/>
  <c r="E345" i="3"/>
  <c r="F344" i="3"/>
  <c r="D344" i="3" s="1"/>
  <c r="E270" i="3"/>
  <c r="F269" i="3"/>
  <c r="D269" i="3" s="1"/>
  <c r="E184" i="3"/>
  <c r="F183" i="3"/>
  <c r="D183" i="3" s="1"/>
  <c r="E228" i="3"/>
  <c r="F227" i="3"/>
  <c r="D227" i="3" s="1"/>
  <c r="E102" i="3"/>
  <c r="F101" i="3"/>
  <c r="D101" i="3" s="1"/>
  <c r="E164" i="3"/>
  <c r="F163" i="3"/>
  <c r="D163" i="3" s="1"/>
  <c r="E128" i="3"/>
  <c r="F127" i="3"/>
  <c r="D127" i="3" s="1"/>
  <c r="E292" i="3"/>
  <c r="F291" i="3"/>
  <c r="D291" i="3" s="1"/>
  <c r="G7" i="5" l="1"/>
  <c r="H7" i="5" s="1"/>
  <c r="I6" i="5"/>
  <c r="F228" i="5"/>
  <c r="D228" i="5" s="1"/>
  <c r="E229" i="5"/>
  <c r="F20" i="5"/>
  <c r="D20" i="5" s="1"/>
  <c r="E21" i="5"/>
  <c r="F337" i="5"/>
  <c r="D337" i="5" s="1"/>
  <c r="E338" i="5"/>
  <c r="F112" i="5"/>
  <c r="D112" i="5" s="1"/>
  <c r="E113" i="5"/>
  <c r="E293" i="5"/>
  <c r="F292" i="5"/>
  <c r="D292" i="5" s="1"/>
  <c r="F174" i="5"/>
  <c r="D174" i="5" s="1"/>
  <c r="E175" i="5"/>
  <c r="F144" i="5"/>
  <c r="D144" i="5" s="1"/>
  <c r="E145" i="5"/>
  <c r="F269" i="5"/>
  <c r="D269" i="5" s="1"/>
  <c r="E270" i="5"/>
  <c r="F128" i="5"/>
  <c r="D128" i="5" s="1"/>
  <c r="E129" i="5"/>
  <c r="F32" i="5"/>
  <c r="D32" i="5" s="1"/>
  <c r="E33" i="5"/>
  <c r="F86" i="5"/>
  <c r="D86" i="5" s="1"/>
  <c r="E87" i="5"/>
  <c r="F164" i="5"/>
  <c r="D164" i="5" s="1"/>
  <c r="E165" i="5"/>
  <c r="F214" i="5"/>
  <c r="D214" i="5" s="1"/>
  <c r="E215" i="5"/>
  <c r="F282" i="5"/>
  <c r="D282" i="5" s="1"/>
  <c r="E283" i="5"/>
  <c r="F283" i="5" s="1"/>
  <c r="D283" i="5" s="1"/>
  <c r="F184" i="5"/>
  <c r="D184" i="5" s="1"/>
  <c r="E185" i="5"/>
  <c r="F321" i="5"/>
  <c r="D321" i="5" s="1"/>
  <c r="E322" i="5"/>
  <c r="F306" i="5"/>
  <c r="D306" i="5" s="1"/>
  <c r="E307" i="5"/>
  <c r="F307" i="5" s="1"/>
  <c r="D307" i="5" s="1"/>
  <c r="E229" i="3"/>
  <c r="F228" i="3"/>
  <c r="D228" i="3" s="1"/>
  <c r="E293" i="3"/>
  <c r="F292" i="3"/>
  <c r="D292" i="3" s="1"/>
  <c r="E103" i="3"/>
  <c r="F103" i="3" s="1"/>
  <c r="D103" i="3" s="1"/>
  <c r="F102" i="3"/>
  <c r="D102" i="3" s="1"/>
  <c r="E346" i="3"/>
  <c r="F345" i="3"/>
  <c r="D345" i="3" s="1"/>
  <c r="E145" i="3"/>
  <c r="F144" i="3"/>
  <c r="D144" i="3" s="1"/>
  <c r="E282" i="3"/>
  <c r="F281" i="3"/>
  <c r="D281" i="3" s="1"/>
  <c r="E129" i="3"/>
  <c r="F128" i="3"/>
  <c r="D128" i="3" s="1"/>
  <c r="E185" i="3"/>
  <c r="F184" i="3"/>
  <c r="D184" i="3" s="1"/>
  <c r="E87" i="3"/>
  <c r="F86" i="3"/>
  <c r="D86" i="3" s="1"/>
  <c r="H7" i="3"/>
  <c r="G8" i="3" s="1"/>
  <c r="E175" i="3"/>
  <c r="F174" i="3"/>
  <c r="D174" i="3" s="1"/>
  <c r="E165" i="3"/>
  <c r="F164" i="3"/>
  <c r="D164" i="3" s="1"/>
  <c r="E271" i="3"/>
  <c r="F270" i="3"/>
  <c r="D270" i="3" s="1"/>
  <c r="E113" i="3"/>
  <c r="F112" i="3"/>
  <c r="D112" i="3" s="1"/>
  <c r="E215" i="3"/>
  <c r="F214" i="3"/>
  <c r="D214" i="3" s="1"/>
  <c r="E21" i="3"/>
  <c r="F20" i="3"/>
  <c r="D20" i="3" s="1"/>
  <c r="E8" i="3"/>
  <c r="F8" i="3" s="1"/>
  <c r="D8" i="3" s="1"/>
  <c r="F7" i="3"/>
  <c r="D7" i="3" s="1"/>
  <c r="E33" i="3"/>
  <c r="F32" i="3"/>
  <c r="D32" i="3" s="1"/>
  <c r="G8" i="5" l="1"/>
  <c r="H8" i="5" s="1"/>
  <c r="I7" i="5"/>
  <c r="F215" i="5"/>
  <c r="D215" i="5" s="1"/>
  <c r="E216" i="5"/>
  <c r="F113" i="5"/>
  <c r="D113" i="5" s="1"/>
  <c r="E114" i="5"/>
  <c r="F338" i="5"/>
  <c r="D338" i="5" s="1"/>
  <c r="E339" i="5"/>
  <c r="F339" i="5" s="1"/>
  <c r="F129" i="5"/>
  <c r="D129" i="5" s="1"/>
  <c r="E130" i="5"/>
  <c r="F130" i="5" s="1"/>
  <c r="D130" i="5" s="1"/>
  <c r="F185" i="5"/>
  <c r="D185" i="5" s="1"/>
  <c r="E186" i="5"/>
  <c r="F87" i="5"/>
  <c r="D87" i="5" s="1"/>
  <c r="E88" i="5"/>
  <c r="F145" i="5"/>
  <c r="D145" i="5" s="1"/>
  <c r="E146" i="5"/>
  <c r="E34" i="5"/>
  <c r="F33" i="5"/>
  <c r="D33" i="5" s="1"/>
  <c r="F175" i="5"/>
  <c r="D175" i="5" s="1"/>
  <c r="E176" i="5"/>
  <c r="E22" i="5"/>
  <c r="F21" i="5"/>
  <c r="D21" i="5" s="1"/>
  <c r="F293" i="5"/>
  <c r="D293" i="5" s="1"/>
  <c r="E294" i="5"/>
  <c r="E230" i="5"/>
  <c r="F229" i="5"/>
  <c r="D229" i="5" s="1"/>
  <c r="F322" i="5"/>
  <c r="D322" i="5" s="1"/>
  <c r="E323" i="5"/>
  <c r="F323" i="5" s="1"/>
  <c r="D323" i="5" s="1"/>
  <c r="E166" i="5"/>
  <c r="F165" i="5"/>
  <c r="D165" i="5" s="1"/>
  <c r="F270" i="5"/>
  <c r="D270" i="5" s="1"/>
  <c r="E271" i="5"/>
  <c r="E272" i="3"/>
  <c r="F272" i="3" s="1"/>
  <c r="D272" i="3" s="1"/>
  <c r="F271" i="3"/>
  <c r="D271" i="3" s="1"/>
  <c r="E186" i="3"/>
  <c r="F185" i="3"/>
  <c r="D185" i="3" s="1"/>
  <c r="E347" i="3"/>
  <c r="F347" i="3" s="1"/>
  <c r="D347" i="3" s="1"/>
  <c r="F346" i="3"/>
  <c r="D346" i="3" s="1"/>
  <c r="E22" i="3"/>
  <c r="F21" i="3"/>
  <c r="D21" i="3" s="1"/>
  <c r="E166" i="3"/>
  <c r="F165" i="3"/>
  <c r="D165" i="3" s="1"/>
  <c r="E130" i="3"/>
  <c r="F130" i="3" s="1"/>
  <c r="D130" i="3" s="1"/>
  <c r="F129" i="3"/>
  <c r="D129" i="3" s="1"/>
  <c r="H8" i="3"/>
  <c r="G9" i="3" s="1"/>
  <c r="H9" i="3" s="1"/>
  <c r="G10" i="3" s="1"/>
  <c r="H10" i="3" s="1"/>
  <c r="G11" i="3" s="1"/>
  <c r="H11" i="3" s="1"/>
  <c r="G12" i="3" s="1"/>
  <c r="H12" i="3" s="1"/>
  <c r="G13" i="3" s="1"/>
  <c r="H13" i="3" s="1"/>
  <c r="G14" i="3" s="1"/>
  <c r="H14" i="3" s="1"/>
  <c r="G15" i="3" s="1"/>
  <c r="H15" i="3" s="1"/>
  <c r="G16" i="3" s="1"/>
  <c r="H16" i="3" s="1"/>
  <c r="G17" i="3" s="1"/>
  <c r="H17" i="3" s="1"/>
  <c r="G18" i="3" s="1"/>
  <c r="H18" i="3" s="1"/>
  <c r="G19" i="3" s="1"/>
  <c r="H19" i="3" s="1"/>
  <c r="G20" i="3" s="1"/>
  <c r="H20" i="3" s="1"/>
  <c r="G21" i="3" s="1"/>
  <c r="E283" i="3"/>
  <c r="F283" i="3" s="1"/>
  <c r="D283" i="3" s="1"/>
  <c r="F282" i="3"/>
  <c r="D282" i="3" s="1"/>
  <c r="E294" i="3"/>
  <c r="F293" i="3"/>
  <c r="D293" i="3" s="1"/>
  <c r="E216" i="3"/>
  <c r="F215" i="3"/>
  <c r="D215" i="3" s="1"/>
  <c r="E176" i="3"/>
  <c r="F175" i="3"/>
  <c r="D175" i="3" s="1"/>
  <c r="E34" i="3"/>
  <c r="F33" i="3"/>
  <c r="D33" i="3" s="1"/>
  <c r="E114" i="3"/>
  <c r="F113" i="3"/>
  <c r="D113" i="3" s="1"/>
  <c r="E88" i="3"/>
  <c r="F87" i="3"/>
  <c r="D87" i="3" s="1"/>
  <c r="E146" i="3"/>
  <c r="F145" i="3"/>
  <c r="D145" i="3" s="1"/>
  <c r="E230" i="3"/>
  <c r="F229" i="3"/>
  <c r="D229" i="3" s="1"/>
  <c r="G9" i="5" l="1"/>
  <c r="H9" i="5" s="1"/>
  <c r="I8" i="5"/>
  <c r="F216" i="5"/>
  <c r="D216" i="5" s="1"/>
  <c r="E217" i="5"/>
  <c r="F230" i="5"/>
  <c r="D230" i="5" s="1"/>
  <c r="E231" i="5"/>
  <c r="E35" i="5"/>
  <c r="F34" i="5"/>
  <c r="D34" i="5" s="1"/>
  <c r="F176" i="5"/>
  <c r="D176" i="5" s="1"/>
  <c r="E177" i="5"/>
  <c r="F177" i="5" s="1"/>
  <c r="D177" i="5" s="1"/>
  <c r="F186" i="5"/>
  <c r="D186" i="5" s="1"/>
  <c r="E187" i="5"/>
  <c r="F187" i="5" s="1"/>
  <c r="D187" i="5" s="1"/>
  <c r="F271" i="5"/>
  <c r="D271" i="5" s="1"/>
  <c r="E272" i="5"/>
  <c r="F272" i="5" s="1"/>
  <c r="D272" i="5" s="1"/>
  <c r="F294" i="5"/>
  <c r="D294" i="5" s="1"/>
  <c r="E295" i="5"/>
  <c r="F295" i="5" s="1"/>
  <c r="D295" i="5" s="1"/>
  <c r="F146" i="5"/>
  <c r="D146" i="5" s="1"/>
  <c r="E147" i="5"/>
  <c r="D339" i="5"/>
  <c r="F88" i="5"/>
  <c r="D88" i="5" s="1"/>
  <c r="E89" i="5"/>
  <c r="F114" i="5"/>
  <c r="D114" i="5" s="1"/>
  <c r="E115" i="5"/>
  <c r="F166" i="5"/>
  <c r="D166" i="5" s="1"/>
  <c r="E167" i="5"/>
  <c r="F22" i="5"/>
  <c r="D22" i="5" s="1"/>
  <c r="E23" i="5"/>
  <c r="F23" i="5" s="1"/>
  <c r="D23" i="5" s="1"/>
  <c r="E115" i="3"/>
  <c r="F114" i="3"/>
  <c r="D114" i="3" s="1"/>
  <c r="E295" i="3"/>
  <c r="F295" i="3" s="1"/>
  <c r="D295" i="3" s="1"/>
  <c r="F294" i="3"/>
  <c r="D294" i="3" s="1"/>
  <c r="E23" i="3"/>
  <c r="F23" i="3" s="1"/>
  <c r="D23" i="3" s="1"/>
  <c r="F22" i="3"/>
  <c r="D22" i="3" s="1"/>
  <c r="E231" i="3"/>
  <c r="F230" i="3"/>
  <c r="D230" i="3" s="1"/>
  <c r="E35" i="3"/>
  <c r="F34" i="3"/>
  <c r="D34" i="3" s="1"/>
  <c r="H21" i="3"/>
  <c r="G22" i="3" s="1"/>
  <c r="E187" i="3"/>
  <c r="F187" i="3" s="1"/>
  <c r="D187" i="3" s="1"/>
  <c r="F186" i="3"/>
  <c r="D186" i="3" s="1"/>
  <c r="E89" i="3"/>
  <c r="F88" i="3"/>
  <c r="D88" i="3" s="1"/>
  <c r="E217" i="3"/>
  <c r="F216" i="3"/>
  <c r="D216" i="3" s="1"/>
  <c r="E147" i="3"/>
  <c r="F146" i="3"/>
  <c r="D146" i="3" s="1"/>
  <c r="E177" i="3"/>
  <c r="F177" i="3" s="1"/>
  <c r="D177" i="3" s="1"/>
  <c r="F176" i="3"/>
  <c r="D176" i="3" s="1"/>
  <c r="E167" i="3"/>
  <c r="F166" i="3"/>
  <c r="D166" i="3" s="1"/>
  <c r="G10" i="5" l="1"/>
  <c r="H10" i="5" s="1"/>
  <c r="I9" i="5"/>
  <c r="E168" i="5"/>
  <c r="F168" i="5" s="1"/>
  <c r="D168" i="5" s="1"/>
  <c r="F167" i="5"/>
  <c r="D167" i="5" s="1"/>
  <c r="E148" i="5"/>
  <c r="F147" i="5"/>
  <c r="D147" i="5" s="1"/>
  <c r="E36" i="5"/>
  <c r="F36" i="5" s="1"/>
  <c r="D36" i="5" s="1"/>
  <c r="F35" i="5"/>
  <c r="D35" i="5" s="1"/>
  <c r="F89" i="5"/>
  <c r="D89" i="5" s="1"/>
  <c r="E90" i="5"/>
  <c r="F90" i="5" s="1"/>
  <c r="D90" i="5" s="1"/>
  <c r="F231" i="5"/>
  <c r="D231" i="5" s="1"/>
  <c r="E232" i="5"/>
  <c r="F115" i="5"/>
  <c r="D115" i="5" s="1"/>
  <c r="E116" i="5"/>
  <c r="F217" i="5"/>
  <c r="D217" i="5" s="1"/>
  <c r="E218" i="5"/>
  <c r="E232" i="3"/>
  <c r="F231" i="3"/>
  <c r="D231" i="3" s="1"/>
  <c r="E168" i="3"/>
  <c r="F168" i="3" s="1"/>
  <c r="D168" i="3" s="1"/>
  <c r="F167" i="3"/>
  <c r="D167" i="3" s="1"/>
  <c r="E90" i="3"/>
  <c r="F90" i="3" s="1"/>
  <c r="D90" i="3" s="1"/>
  <c r="F89" i="3"/>
  <c r="D89" i="3" s="1"/>
  <c r="E218" i="3"/>
  <c r="F217" i="3"/>
  <c r="D217" i="3" s="1"/>
  <c r="E148" i="3"/>
  <c r="F147" i="3"/>
  <c r="D147" i="3" s="1"/>
  <c r="H22" i="3"/>
  <c r="G23" i="3" s="1"/>
  <c r="H23" i="3" s="1"/>
  <c r="G24" i="3" s="1"/>
  <c r="H24" i="3" s="1"/>
  <c r="G25" i="3" s="1"/>
  <c r="H25" i="3" s="1"/>
  <c r="G26" i="3" s="1"/>
  <c r="H26" i="3" s="1"/>
  <c r="G27" i="3" s="1"/>
  <c r="H27" i="3" s="1"/>
  <c r="G28" i="3" s="1"/>
  <c r="H28" i="3" s="1"/>
  <c r="G29" i="3" s="1"/>
  <c r="H29" i="3" s="1"/>
  <c r="G30" i="3" s="1"/>
  <c r="H30" i="3" s="1"/>
  <c r="G31" i="3" s="1"/>
  <c r="H31" i="3" s="1"/>
  <c r="G32" i="3" s="1"/>
  <c r="H32" i="3" s="1"/>
  <c r="G33" i="3" s="1"/>
  <c r="H33" i="3" s="1"/>
  <c r="G34" i="3" s="1"/>
  <c r="H34" i="3" s="1"/>
  <c r="G35" i="3" s="1"/>
  <c r="E36" i="3"/>
  <c r="F36" i="3" s="1"/>
  <c r="D36" i="3" s="1"/>
  <c r="F35" i="3"/>
  <c r="D35" i="3" s="1"/>
  <c r="E116" i="3"/>
  <c r="F115" i="3"/>
  <c r="D115" i="3" s="1"/>
  <c r="G11" i="5" l="1"/>
  <c r="H11" i="5" s="1"/>
  <c r="I10" i="5"/>
  <c r="F218" i="5"/>
  <c r="D218" i="5" s="1"/>
  <c r="E219" i="5"/>
  <c r="F116" i="5"/>
  <c r="D116" i="5" s="1"/>
  <c r="E117" i="5"/>
  <c r="F148" i="5"/>
  <c r="D148" i="5" s="1"/>
  <c r="E149" i="5"/>
  <c r="F232" i="5"/>
  <c r="D232" i="5" s="1"/>
  <c r="E233" i="5"/>
  <c r="E219" i="3"/>
  <c r="F218" i="3"/>
  <c r="D218" i="3" s="1"/>
  <c r="E117" i="3"/>
  <c r="F116" i="3"/>
  <c r="D116" i="3" s="1"/>
  <c r="H35" i="3"/>
  <c r="G36" i="3" s="1"/>
  <c r="H36" i="3" s="1"/>
  <c r="G37" i="3" s="1"/>
  <c r="H37" i="3" s="1"/>
  <c r="G38" i="3" s="1"/>
  <c r="H38" i="3" s="1"/>
  <c r="G39" i="3" s="1"/>
  <c r="H39" i="3" s="1"/>
  <c r="G40" i="3" s="1"/>
  <c r="H40" i="3" s="1"/>
  <c r="G41" i="3" s="1"/>
  <c r="H41" i="3" s="1"/>
  <c r="G42" i="3" s="1"/>
  <c r="H42" i="3" s="1"/>
  <c r="G43" i="3" s="1"/>
  <c r="H43" i="3" s="1"/>
  <c r="G44" i="3" s="1"/>
  <c r="H44" i="3" s="1"/>
  <c r="G45" i="3" s="1"/>
  <c r="H45" i="3" s="1"/>
  <c r="G46" i="3" s="1"/>
  <c r="H46" i="3" s="1"/>
  <c r="G47" i="3" s="1"/>
  <c r="H47" i="3" s="1"/>
  <c r="G48" i="3" s="1"/>
  <c r="H48" i="3" s="1"/>
  <c r="G49" i="3" s="1"/>
  <c r="H49" i="3" s="1"/>
  <c r="G50" i="3" s="1"/>
  <c r="H50" i="3" s="1"/>
  <c r="G51" i="3" s="1"/>
  <c r="H51" i="3" s="1"/>
  <c r="G52" i="3" s="1"/>
  <c r="H52" i="3" s="1"/>
  <c r="G53" i="3" s="1"/>
  <c r="H53" i="3" s="1"/>
  <c r="G54" i="3" s="1"/>
  <c r="H54" i="3" s="1"/>
  <c r="G55" i="3" s="1"/>
  <c r="H55" i="3" s="1"/>
  <c r="G56" i="3" s="1"/>
  <c r="H56" i="3" s="1"/>
  <c r="G57" i="3" s="1"/>
  <c r="H57" i="3" s="1"/>
  <c r="G58" i="3" s="1"/>
  <c r="H58" i="3" s="1"/>
  <c r="G59" i="3" s="1"/>
  <c r="H59" i="3" s="1"/>
  <c r="G60" i="3" s="1"/>
  <c r="H60" i="3" s="1"/>
  <c r="G61" i="3" s="1"/>
  <c r="H61" i="3" s="1"/>
  <c r="G62" i="3" s="1"/>
  <c r="H62" i="3" s="1"/>
  <c r="G63" i="3" s="1"/>
  <c r="H63" i="3" s="1"/>
  <c r="G64" i="3" s="1"/>
  <c r="H64" i="3" s="1"/>
  <c r="G65" i="3" s="1"/>
  <c r="H65" i="3" s="1"/>
  <c r="G66" i="3" s="1"/>
  <c r="H66" i="3" s="1"/>
  <c r="G67" i="3" s="1"/>
  <c r="H67" i="3" s="1"/>
  <c r="G68" i="3" s="1"/>
  <c r="H68" i="3" s="1"/>
  <c r="G69" i="3" s="1"/>
  <c r="H69" i="3" s="1"/>
  <c r="G70" i="3" s="1"/>
  <c r="H70" i="3" s="1"/>
  <c r="G71" i="3" s="1"/>
  <c r="H71" i="3" s="1"/>
  <c r="G72" i="3" s="1"/>
  <c r="H72" i="3" s="1"/>
  <c r="G73" i="3" s="1"/>
  <c r="H73" i="3" s="1"/>
  <c r="G74" i="3" s="1"/>
  <c r="H74" i="3" s="1"/>
  <c r="G75" i="3" s="1"/>
  <c r="H75" i="3" s="1"/>
  <c r="G76" i="3" s="1"/>
  <c r="H76" i="3" s="1"/>
  <c r="G77" i="3" s="1"/>
  <c r="H77" i="3" s="1"/>
  <c r="G78" i="3" s="1"/>
  <c r="H78" i="3" s="1"/>
  <c r="G79" i="3" s="1"/>
  <c r="H79" i="3" s="1"/>
  <c r="G80" i="3" s="1"/>
  <c r="H80" i="3" s="1"/>
  <c r="G81" i="3" s="1"/>
  <c r="H81" i="3" s="1"/>
  <c r="G82" i="3" s="1"/>
  <c r="H82" i="3" s="1"/>
  <c r="G83" i="3" s="1"/>
  <c r="H83" i="3" s="1"/>
  <c r="G84" i="3" s="1"/>
  <c r="H84" i="3" s="1"/>
  <c r="G85" i="3" s="1"/>
  <c r="H85" i="3" s="1"/>
  <c r="G86" i="3" s="1"/>
  <c r="H86" i="3" s="1"/>
  <c r="G87" i="3" s="1"/>
  <c r="H87" i="3" s="1"/>
  <c r="G88" i="3" s="1"/>
  <c r="H88" i="3" s="1"/>
  <c r="G89" i="3" s="1"/>
  <c r="H89" i="3" s="1"/>
  <c r="G90" i="3" s="1"/>
  <c r="H90" i="3" s="1"/>
  <c r="G91" i="3" s="1"/>
  <c r="H91" i="3" s="1"/>
  <c r="G92" i="3" s="1"/>
  <c r="H92" i="3" s="1"/>
  <c r="G93" i="3" s="1"/>
  <c r="H93" i="3" s="1"/>
  <c r="G94" i="3" s="1"/>
  <c r="H94" i="3" s="1"/>
  <c r="G95" i="3" s="1"/>
  <c r="H95" i="3" s="1"/>
  <c r="G96" i="3" s="1"/>
  <c r="H96" i="3" s="1"/>
  <c r="G97" i="3" s="1"/>
  <c r="H97" i="3" s="1"/>
  <c r="G98" i="3" s="1"/>
  <c r="H98" i="3" s="1"/>
  <c r="G99" i="3" s="1"/>
  <c r="H99" i="3" s="1"/>
  <c r="G100" i="3" s="1"/>
  <c r="H100" i="3" s="1"/>
  <c r="G101" i="3" s="1"/>
  <c r="H101" i="3" s="1"/>
  <c r="G102" i="3" s="1"/>
  <c r="H102" i="3" s="1"/>
  <c r="G103" i="3" s="1"/>
  <c r="H103" i="3" s="1"/>
  <c r="G104" i="3" s="1"/>
  <c r="H104" i="3" s="1"/>
  <c r="G105" i="3" s="1"/>
  <c r="H105" i="3" s="1"/>
  <c r="G106" i="3" s="1"/>
  <c r="H106" i="3" s="1"/>
  <c r="G107" i="3" s="1"/>
  <c r="H107" i="3" s="1"/>
  <c r="G108" i="3" s="1"/>
  <c r="H108" i="3" s="1"/>
  <c r="G109" i="3" s="1"/>
  <c r="H109" i="3" s="1"/>
  <c r="G110" i="3" s="1"/>
  <c r="H110" i="3" s="1"/>
  <c r="G111" i="3" s="1"/>
  <c r="H111" i="3" s="1"/>
  <c r="G112" i="3" s="1"/>
  <c r="H112" i="3" s="1"/>
  <c r="G113" i="3" s="1"/>
  <c r="H113" i="3" s="1"/>
  <c r="G114" i="3" s="1"/>
  <c r="H114" i="3" s="1"/>
  <c r="G115" i="3" s="1"/>
  <c r="H115" i="3" s="1"/>
  <c r="G116" i="3" s="1"/>
  <c r="H116" i="3" s="1"/>
  <c r="G117" i="3" s="1"/>
  <c r="E149" i="3"/>
  <c r="F148" i="3"/>
  <c r="D148" i="3" s="1"/>
  <c r="E233" i="3"/>
  <c r="F232" i="3"/>
  <c r="D232" i="3" s="1"/>
  <c r="G12" i="5" l="1"/>
  <c r="H12" i="5" s="1"/>
  <c r="I11" i="5"/>
  <c r="E234" i="5"/>
  <c r="F233" i="5"/>
  <c r="D233" i="5" s="1"/>
  <c r="E220" i="5"/>
  <c r="F220" i="5" s="1"/>
  <c r="D220" i="5" s="1"/>
  <c r="F219" i="5"/>
  <c r="D219" i="5" s="1"/>
  <c r="E150" i="5"/>
  <c r="F149" i="5"/>
  <c r="D149" i="5" s="1"/>
  <c r="F117" i="5"/>
  <c r="E118" i="5"/>
  <c r="F118" i="5" s="1"/>
  <c r="D118" i="5" s="1"/>
  <c r="E150" i="3"/>
  <c r="F149" i="3"/>
  <c r="D149" i="3" s="1"/>
  <c r="E118" i="3"/>
  <c r="F118" i="3" s="1"/>
  <c r="D118" i="3" s="1"/>
  <c r="F117" i="3"/>
  <c r="D117" i="3" s="1"/>
  <c r="H117" i="3" s="1"/>
  <c r="G118" i="3" s="1"/>
  <c r="H118" i="3" s="1"/>
  <c r="G119" i="3" s="1"/>
  <c r="H119" i="3" s="1"/>
  <c r="G120" i="3" s="1"/>
  <c r="H120" i="3" s="1"/>
  <c r="G121" i="3" s="1"/>
  <c r="H121" i="3" s="1"/>
  <c r="G122" i="3" s="1"/>
  <c r="H122" i="3" s="1"/>
  <c r="G123" i="3" s="1"/>
  <c r="H123" i="3" s="1"/>
  <c r="G124" i="3" s="1"/>
  <c r="H124" i="3" s="1"/>
  <c r="G125" i="3" s="1"/>
  <c r="H125" i="3" s="1"/>
  <c r="G126" i="3" s="1"/>
  <c r="H126" i="3" s="1"/>
  <c r="G127" i="3" s="1"/>
  <c r="H127" i="3" s="1"/>
  <c r="G128" i="3" s="1"/>
  <c r="H128" i="3" s="1"/>
  <c r="G129" i="3" s="1"/>
  <c r="H129" i="3" s="1"/>
  <c r="G130" i="3" s="1"/>
  <c r="H130" i="3" s="1"/>
  <c r="G131" i="3" s="1"/>
  <c r="H131" i="3" s="1"/>
  <c r="G132" i="3" s="1"/>
  <c r="H132" i="3" s="1"/>
  <c r="G133" i="3" s="1"/>
  <c r="H133" i="3" s="1"/>
  <c r="G134" i="3" s="1"/>
  <c r="H134" i="3" s="1"/>
  <c r="G135" i="3" s="1"/>
  <c r="H135" i="3" s="1"/>
  <c r="G136" i="3" s="1"/>
  <c r="H136" i="3" s="1"/>
  <c r="G137" i="3" s="1"/>
  <c r="H137" i="3" s="1"/>
  <c r="G138" i="3" s="1"/>
  <c r="H138" i="3" s="1"/>
  <c r="G139" i="3" s="1"/>
  <c r="H139" i="3" s="1"/>
  <c r="G140" i="3" s="1"/>
  <c r="H140" i="3" s="1"/>
  <c r="G141" i="3" s="1"/>
  <c r="H141" i="3" s="1"/>
  <c r="G142" i="3" s="1"/>
  <c r="H142" i="3" s="1"/>
  <c r="G143" i="3" s="1"/>
  <c r="H143" i="3" s="1"/>
  <c r="G144" i="3" s="1"/>
  <c r="H144" i="3" s="1"/>
  <c r="G145" i="3" s="1"/>
  <c r="H145" i="3" s="1"/>
  <c r="G146" i="3" s="1"/>
  <c r="H146" i="3" s="1"/>
  <c r="G147" i="3" s="1"/>
  <c r="H147" i="3" s="1"/>
  <c r="G148" i="3" s="1"/>
  <c r="H148" i="3" s="1"/>
  <c r="G149" i="3" s="1"/>
  <c r="H149" i="3" s="1"/>
  <c r="G150" i="3" s="1"/>
  <c r="E234" i="3"/>
  <c r="F233" i="3"/>
  <c r="D233" i="3" s="1"/>
  <c r="E220" i="3"/>
  <c r="F220" i="3" s="1"/>
  <c r="D220" i="3" s="1"/>
  <c r="F219" i="3"/>
  <c r="D219" i="3" s="1"/>
  <c r="G13" i="5" l="1"/>
  <c r="H13" i="5" s="1"/>
  <c r="I12" i="5"/>
  <c r="D117" i="5"/>
  <c r="F234" i="5"/>
  <c r="D234" i="5" s="1"/>
  <c r="E235" i="5"/>
  <c r="F150" i="5"/>
  <c r="D150" i="5" s="1"/>
  <c r="E151" i="5"/>
  <c r="E235" i="3"/>
  <c r="F234" i="3"/>
  <c r="D234" i="3" s="1"/>
  <c r="E151" i="3"/>
  <c r="F150" i="3"/>
  <c r="D150" i="3" s="1"/>
  <c r="H150" i="3" s="1"/>
  <c r="G151" i="3" s="1"/>
  <c r="G14" i="5" l="1"/>
  <c r="H14" i="5" s="1"/>
  <c r="I13" i="5"/>
  <c r="E152" i="5"/>
  <c r="F151" i="5"/>
  <c r="D151" i="5" s="1"/>
  <c r="E236" i="5"/>
  <c r="F235" i="5"/>
  <c r="D235" i="5" s="1"/>
  <c r="E152" i="3"/>
  <c r="F151" i="3"/>
  <c r="D151" i="3" s="1"/>
  <c r="H151" i="3" s="1"/>
  <c r="G152" i="3" s="1"/>
  <c r="E236" i="3"/>
  <c r="F235" i="3"/>
  <c r="D235" i="3" s="1"/>
  <c r="G15" i="5" l="1"/>
  <c r="H15" i="5" s="1"/>
  <c r="I14" i="5"/>
  <c r="F236" i="5"/>
  <c r="D236" i="5" s="1"/>
  <c r="E237" i="5"/>
  <c r="F152" i="5"/>
  <c r="D152" i="5" s="1"/>
  <c r="E153" i="5"/>
  <c r="F153" i="5" s="1"/>
  <c r="D153" i="5" s="1"/>
  <c r="E237" i="3"/>
  <c r="F236" i="3"/>
  <c r="D236" i="3" s="1"/>
  <c r="E153" i="3"/>
  <c r="F153" i="3" s="1"/>
  <c r="D153" i="3" s="1"/>
  <c r="F152" i="3"/>
  <c r="D152" i="3" s="1"/>
  <c r="H152" i="3" s="1"/>
  <c r="G153" i="3" s="1"/>
  <c r="H153" i="3" s="1"/>
  <c r="G154" i="3" s="1"/>
  <c r="H154" i="3" s="1"/>
  <c r="G155" i="3" s="1"/>
  <c r="H155" i="3" s="1"/>
  <c r="G156" i="3" s="1"/>
  <c r="H156" i="3" s="1"/>
  <c r="G157" i="3" s="1"/>
  <c r="H157" i="3" s="1"/>
  <c r="G158" i="3" s="1"/>
  <c r="H158" i="3" s="1"/>
  <c r="G159" i="3" s="1"/>
  <c r="H159" i="3" s="1"/>
  <c r="G160" i="3" s="1"/>
  <c r="H160" i="3" s="1"/>
  <c r="G161" i="3" s="1"/>
  <c r="H161" i="3" s="1"/>
  <c r="G162" i="3" s="1"/>
  <c r="H162" i="3" s="1"/>
  <c r="G163" i="3" s="1"/>
  <c r="H163" i="3" s="1"/>
  <c r="G164" i="3" s="1"/>
  <c r="H164" i="3" s="1"/>
  <c r="G165" i="3" s="1"/>
  <c r="H165" i="3" s="1"/>
  <c r="G166" i="3" s="1"/>
  <c r="H166" i="3" s="1"/>
  <c r="G167" i="3" s="1"/>
  <c r="H167" i="3" s="1"/>
  <c r="G168" i="3" s="1"/>
  <c r="H168" i="3" s="1"/>
  <c r="G169" i="3" s="1"/>
  <c r="H169" i="3" s="1"/>
  <c r="G170" i="3" s="1"/>
  <c r="H170" i="3" s="1"/>
  <c r="G171" i="3" s="1"/>
  <c r="H171" i="3" s="1"/>
  <c r="G172" i="3" s="1"/>
  <c r="H172" i="3" s="1"/>
  <c r="G173" i="3" s="1"/>
  <c r="H173" i="3" s="1"/>
  <c r="G174" i="3" s="1"/>
  <c r="H174" i="3" s="1"/>
  <c r="G175" i="3" s="1"/>
  <c r="H175" i="3" s="1"/>
  <c r="G176" i="3" s="1"/>
  <c r="H176" i="3" s="1"/>
  <c r="G177" i="3" s="1"/>
  <c r="H177" i="3" s="1"/>
  <c r="G178" i="3" s="1"/>
  <c r="H178" i="3" s="1"/>
  <c r="G179" i="3" s="1"/>
  <c r="H179" i="3" s="1"/>
  <c r="G180" i="3" s="1"/>
  <c r="H180" i="3" s="1"/>
  <c r="G181" i="3" s="1"/>
  <c r="H181" i="3" s="1"/>
  <c r="G182" i="3" s="1"/>
  <c r="H182" i="3" s="1"/>
  <c r="G183" i="3" s="1"/>
  <c r="H183" i="3" s="1"/>
  <c r="G184" i="3" s="1"/>
  <c r="H184" i="3" s="1"/>
  <c r="G185" i="3" s="1"/>
  <c r="H185" i="3" s="1"/>
  <c r="G186" i="3" s="1"/>
  <c r="H186" i="3" s="1"/>
  <c r="G187" i="3" s="1"/>
  <c r="H187" i="3" s="1"/>
  <c r="G188" i="3" s="1"/>
  <c r="H188" i="3" s="1"/>
  <c r="G189" i="3" s="1"/>
  <c r="H189" i="3" s="1"/>
  <c r="G190" i="3" s="1"/>
  <c r="H190" i="3" s="1"/>
  <c r="G191" i="3" s="1"/>
  <c r="H191" i="3" s="1"/>
  <c r="G192" i="3" s="1"/>
  <c r="H192" i="3" s="1"/>
  <c r="G193" i="3" s="1"/>
  <c r="H193" i="3" s="1"/>
  <c r="G194" i="3" s="1"/>
  <c r="H194" i="3" s="1"/>
  <c r="G195" i="3" s="1"/>
  <c r="H195" i="3" s="1"/>
  <c r="G196" i="3" s="1"/>
  <c r="H196" i="3" s="1"/>
  <c r="G197" i="3" s="1"/>
  <c r="H197" i="3" s="1"/>
  <c r="G198" i="3" s="1"/>
  <c r="H198" i="3" s="1"/>
  <c r="G199" i="3" s="1"/>
  <c r="H199" i="3" s="1"/>
  <c r="G200" i="3" s="1"/>
  <c r="H200" i="3" s="1"/>
  <c r="G201" i="3" s="1"/>
  <c r="H201" i="3" s="1"/>
  <c r="G202" i="3" s="1"/>
  <c r="H202" i="3" s="1"/>
  <c r="G203" i="3" s="1"/>
  <c r="H203" i="3" s="1"/>
  <c r="G204" i="3" s="1"/>
  <c r="H204" i="3" s="1"/>
  <c r="G205" i="3" s="1"/>
  <c r="H205" i="3" s="1"/>
  <c r="G206" i="3" s="1"/>
  <c r="H206" i="3" s="1"/>
  <c r="G207" i="3" s="1"/>
  <c r="H207" i="3" s="1"/>
  <c r="G208" i="3" s="1"/>
  <c r="H208" i="3" s="1"/>
  <c r="G209" i="3" s="1"/>
  <c r="H209" i="3" s="1"/>
  <c r="G210" i="3" s="1"/>
  <c r="H210" i="3" s="1"/>
  <c r="G211" i="3" s="1"/>
  <c r="H211" i="3" s="1"/>
  <c r="G212" i="3" s="1"/>
  <c r="H212" i="3" s="1"/>
  <c r="G213" i="3" s="1"/>
  <c r="H213" i="3" s="1"/>
  <c r="G214" i="3" s="1"/>
  <c r="H214" i="3" s="1"/>
  <c r="G215" i="3" s="1"/>
  <c r="H215" i="3" s="1"/>
  <c r="G216" i="3" s="1"/>
  <c r="H216" i="3" s="1"/>
  <c r="G217" i="3" s="1"/>
  <c r="H217" i="3" s="1"/>
  <c r="G218" i="3" s="1"/>
  <c r="H218" i="3" s="1"/>
  <c r="G219" i="3" s="1"/>
  <c r="H219" i="3" s="1"/>
  <c r="G220" i="3" s="1"/>
  <c r="H220" i="3" s="1"/>
  <c r="G221" i="3" s="1"/>
  <c r="H221" i="3" s="1"/>
  <c r="G222" i="3" s="1"/>
  <c r="H222" i="3" s="1"/>
  <c r="G223" i="3" s="1"/>
  <c r="H223" i="3" s="1"/>
  <c r="G224" i="3" s="1"/>
  <c r="H224" i="3" s="1"/>
  <c r="G225" i="3" s="1"/>
  <c r="H225" i="3" s="1"/>
  <c r="G226" i="3" s="1"/>
  <c r="H226" i="3" s="1"/>
  <c r="G227" i="3" s="1"/>
  <c r="H227" i="3" s="1"/>
  <c r="G228" i="3" s="1"/>
  <c r="H228" i="3" s="1"/>
  <c r="G229" i="3" s="1"/>
  <c r="H229" i="3" s="1"/>
  <c r="G230" i="3" s="1"/>
  <c r="H230" i="3" s="1"/>
  <c r="G231" i="3" s="1"/>
  <c r="H231" i="3" s="1"/>
  <c r="G232" i="3" s="1"/>
  <c r="H232" i="3" s="1"/>
  <c r="G233" i="3" s="1"/>
  <c r="H233" i="3" s="1"/>
  <c r="G234" i="3" s="1"/>
  <c r="H234" i="3" s="1"/>
  <c r="G235" i="3" s="1"/>
  <c r="H235" i="3" s="1"/>
  <c r="G236" i="3" s="1"/>
  <c r="H236" i="3" s="1"/>
  <c r="G237" i="3" s="1"/>
  <c r="G16" i="5" l="1"/>
  <c r="H16" i="5" s="1"/>
  <c r="I15" i="5"/>
  <c r="E238" i="5"/>
  <c r="F237" i="5"/>
  <c r="D237" i="5" s="1"/>
  <c r="E238" i="3"/>
  <c r="F237" i="3"/>
  <c r="D237" i="3" s="1"/>
  <c r="H237" i="3" s="1"/>
  <c r="G238" i="3" s="1"/>
  <c r="G17" i="5" l="1"/>
  <c r="H17" i="5" s="1"/>
  <c r="I16" i="5"/>
  <c r="F238" i="5"/>
  <c r="D238" i="5" s="1"/>
  <c r="E239" i="5"/>
  <c r="E239" i="3"/>
  <c r="F238" i="3"/>
  <c r="D238" i="3" s="1"/>
  <c r="H238" i="3" s="1"/>
  <c r="G239" i="3" s="1"/>
  <c r="G18" i="5" l="1"/>
  <c r="H18" i="5" s="1"/>
  <c r="I17" i="5"/>
  <c r="E240" i="5"/>
  <c r="F239" i="5"/>
  <c r="D239" i="5" s="1"/>
  <c r="E240" i="3"/>
  <c r="F239" i="3"/>
  <c r="D239" i="3" s="1"/>
  <c r="H239" i="3" s="1"/>
  <c r="G240" i="3" s="1"/>
  <c r="G19" i="5" l="1"/>
  <c r="H19" i="5" s="1"/>
  <c r="I18" i="5"/>
  <c r="F240" i="5"/>
  <c r="D240" i="5" s="1"/>
  <c r="E241" i="5"/>
  <c r="E241" i="3"/>
  <c r="F240" i="3"/>
  <c r="D240" i="3" s="1"/>
  <c r="H240" i="3" s="1"/>
  <c r="G241" i="3" s="1"/>
  <c r="G20" i="5" l="1"/>
  <c r="H20" i="5" s="1"/>
  <c r="I19" i="5"/>
  <c r="F241" i="5"/>
  <c r="D241" i="5" s="1"/>
  <c r="E242" i="5"/>
  <c r="E242" i="3"/>
  <c r="F241" i="3"/>
  <c r="D241" i="3" s="1"/>
  <c r="H241" i="3" s="1"/>
  <c r="G242" i="3" s="1"/>
  <c r="G21" i="5" l="1"/>
  <c r="H21" i="5" s="1"/>
  <c r="I20" i="5"/>
  <c r="F242" i="5"/>
  <c r="D242" i="5" s="1"/>
  <c r="E243" i="5"/>
  <c r="E243" i="3"/>
  <c r="F242" i="3"/>
  <c r="D242" i="3" s="1"/>
  <c r="H242" i="3" s="1"/>
  <c r="G243" i="3" s="1"/>
  <c r="G22" i="5" l="1"/>
  <c r="H22" i="5" s="1"/>
  <c r="I21" i="5"/>
  <c r="F243" i="5"/>
  <c r="D243" i="5" s="1"/>
  <c r="E244" i="5"/>
  <c r="E244" i="3"/>
  <c r="F243" i="3"/>
  <c r="D243" i="3" s="1"/>
  <c r="H243" i="3" s="1"/>
  <c r="G244" i="3" s="1"/>
  <c r="G23" i="5" l="1"/>
  <c r="H23" i="5" s="1"/>
  <c r="I22" i="5"/>
  <c r="F244" i="5"/>
  <c r="D244" i="5" s="1"/>
  <c r="E245" i="5"/>
  <c r="F245" i="5" s="1"/>
  <c r="E245" i="3"/>
  <c r="F245" i="3" s="1"/>
  <c r="D245" i="3" s="1"/>
  <c r="F244" i="3"/>
  <c r="D244" i="3" s="1"/>
  <c r="H244" i="3" s="1"/>
  <c r="G245" i="3" s="1"/>
  <c r="H245" i="3" s="1"/>
  <c r="G246" i="3" s="1"/>
  <c r="H246" i="3" s="1"/>
  <c r="G247" i="3" s="1"/>
  <c r="H247" i="3" s="1"/>
  <c r="G248" i="3" s="1"/>
  <c r="H248" i="3" s="1"/>
  <c r="G249" i="3" s="1"/>
  <c r="H249" i="3" s="1"/>
  <c r="G250" i="3" s="1"/>
  <c r="H250" i="3" s="1"/>
  <c r="G251" i="3" s="1"/>
  <c r="H251" i="3" s="1"/>
  <c r="G252" i="3" s="1"/>
  <c r="H252" i="3" s="1"/>
  <c r="G253" i="3" s="1"/>
  <c r="H253" i="3" s="1"/>
  <c r="G254" i="3" s="1"/>
  <c r="H254" i="3" s="1"/>
  <c r="G255" i="3" s="1"/>
  <c r="H255" i="3" s="1"/>
  <c r="G256" i="3" s="1"/>
  <c r="H256" i="3" s="1"/>
  <c r="G257" i="3" s="1"/>
  <c r="H257" i="3" s="1"/>
  <c r="G258" i="3" s="1"/>
  <c r="H258" i="3" s="1"/>
  <c r="G259" i="3" s="1"/>
  <c r="H259" i="3" s="1"/>
  <c r="G260" i="3" s="1"/>
  <c r="H260" i="3" s="1"/>
  <c r="G261" i="3" s="1"/>
  <c r="H261" i="3" s="1"/>
  <c r="G262" i="3" s="1"/>
  <c r="H262" i="3" s="1"/>
  <c r="G263" i="3" s="1"/>
  <c r="H263" i="3" s="1"/>
  <c r="G264" i="3" s="1"/>
  <c r="H264" i="3" s="1"/>
  <c r="G265" i="3" s="1"/>
  <c r="H265" i="3" s="1"/>
  <c r="G266" i="3" s="1"/>
  <c r="H266" i="3" s="1"/>
  <c r="G267" i="3" s="1"/>
  <c r="H267" i="3" s="1"/>
  <c r="G268" i="3" s="1"/>
  <c r="H268" i="3" s="1"/>
  <c r="G269" i="3" s="1"/>
  <c r="H269" i="3" s="1"/>
  <c r="G270" i="3" s="1"/>
  <c r="H270" i="3" s="1"/>
  <c r="G271" i="3" s="1"/>
  <c r="H271" i="3" s="1"/>
  <c r="G272" i="3" s="1"/>
  <c r="H272" i="3" s="1"/>
  <c r="G273" i="3" s="1"/>
  <c r="H273" i="3" s="1"/>
  <c r="G274" i="3" s="1"/>
  <c r="H274" i="3" s="1"/>
  <c r="G275" i="3" s="1"/>
  <c r="H275" i="3" s="1"/>
  <c r="G276" i="3" s="1"/>
  <c r="H276" i="3" s="1"/>
  <c r="G277" i="3" s="1"/>
  <c r="H277" i="3" s="1"/>
  <c r="G278" i="3" s="1"/>
  <c r="H278" i="3" s="1"/>
  <c r="G279" i="3" s="1"/>
  <c r="H279" i="3" s="1"/>
  <c r="G280" i="3" s="1"/>
  <c r="H280" i="3" s="1"/>
  <c r="G281" i="3" s="1"/>
  <c r="H281" i="3" s="1"/>
  <c r="G282" i="3" s="1"/>
  <c r="H282" i="3" s="1"/>
  <c r="G283" i="3" s="1"/>
  <c r="H283" i="3" s="1"/>
  <c r="G284" i="3" s="1"/>
  <c r="H284" i="3" s="1"/>
  <c r="G285" i="3" s="1"/>
  <c r="H285" i="3" s="1"/>
  <c r="G286" i="3" s="1"/>
  <c r="H286" i="3" s="1"/>
  <c r="G287" i="3" s="1"/>
  <c r="H287" i="3" s="1"/>
  <c r="G288" i="3" s="1"/>
  <c r="H288" i="3" s="1"/>
  <c r="G289" i="3" s="1"/>
  <c r="H289" i="3" s="1"/>
  <c r="G290" i="3" s="1"/>
  <c r="H290" i="3" s="1"/>
  <c r="G291" i="3" s="1"/>
  <c r="H291" i="3" s="1"/>
  <c r="G292" i="3" s="1"/>
  <c r="H292" i="3" s="1"/>
  <c r="G293" i="3" s="1"/>
  <c r="H293" i="3" s="1"/>
  <c r="G294" i="3" s="1"/>
  <c r="H294" i="3" s="1"/>
  <c r="G295" i="3" s="1"/>
  <c r="H295" i="3" s="1"/>
  <c r="G296" i="3" s="1"/>
  <c r="H296" i="3" s="1"/>
  <c r="G297" i="3" s="1"/>
  <c r="H297" i="3" s="1"/>
  <c r="G298" i="3" s="1"/>
  <c r="H298" i="3" s="1"/>
  <c r="G299" i="3" s="1"/>
  <c r="H299" i="3" s="1"/>
  <c r="G300" i="3" s="1"/>
  <c r="H300" i="3" s="1"/>
  <c r="G301" i="3" s="1"/>
  <c r="H301" i="3" s="1"/>
  <c r="G302" i="3" s="1"/>
  <c r="H302" i="3" s="1"/>
  <c r="G303" i="3" s="1"/>
  <c r="H303" i="3" s="1"/>
  <c r="G304" i="3" s="1"/>
  <c r="H304" i="3" s="1"/>
  <c r="G305" i="3" s="1"/>
  <c r="H305" i="3" s="1"/>
  <c r="G306" i="3" s="1"/>
  <c r="H306" i="3" s="1"/>
  <c r="G307" i="3" s="1"/>
  <c r="H307" i="3" s="1"/>
  <c r="G308" i="3" s="1"/>
  <c r="H308" i="3" s="1"/>
  <c r="G309" i="3" s="1"/>
  <c r="H309" i="3" s="1"/>
  <c r="G310" i="3" s="1"/>
  <c r="H310" i="3" s="1"/>
  <c r="G311" i="3" s="1"/>
  <c r="H311" i="3" s="1"/>
  <c r="G312" i="3" s="1"/>
  <c r="H312" i="3" s="1"/>
  <c r="G313" i="3" s="1"/>
  <c r="H313" i="3" s="1"/>
  <c r="G314" i="3" s="1"/>
  <c r="H314" i="3" s="1"/>
  <c r="G315" i="3" s="1"/>
  <c r="H315" i="3" s="1"/>
  <c r="G316" i="3" s="1"/>
  <c r="H316" i="3" s="1"/>
  <c r="G317" i="3" s="1"/>
  <c r="H317" i="3" s="1"/>
  <c r="G318" i="3" s="1"/>
  <c r="H318" i="3" s="1"/>
  <c r="G319" i="3" s="1"/>
  <c r="H319" i="3" s="1"/>
  <c r="G320" i="3" s="1"/>
  <c r="H320" i="3" s="1"/>
  <c r="G321" i="3" s="1"/>
  <c r="H321" i="3" s="1"/>
  <c r="G322" i="3" s="1"/>
  <c r="H322" i="3" s="1"/>
  <c r="G323" i="3" s="1"/>
  <c r="H323" i="3" s="1"/>
  <c r="G324" i="3" s="1"/>
  <c r="H324" i="3" s="1"/>
  <c r="G325" i="3" s="1"/>
  <c r="H325" i="3" s="1"/>
  <c r="G326" i="3" s="1"/>
  <c r="H326" i="3" s="1"/>
  <c r="G327" i="3" s="1"/>
  <c r="H327" i="3" s="1"/>
  <c r="G328" i="3" s="1"/>
  <c r="H328" i="3" s="1"/>
  <c r="G329" i="3" s="1"/>
  <c r="H329" i="3" s="1"/>
  <c r="G330" i="3" s="1"/>
  <c r="H330" i="3" s="1"/>
  <c r="G331" i="3" s="1"/>
  <c r="H331" i="3" s="1"/>
  <c r="G332" i="3" s="1"/>
  <c r="H332" i="3" s="1"/>
  <c r="G333" i="3" s="1"/>
  <c r="H333" i="3" s="1"/>
  <c r="G334" i="3" s="1"/>
  <c r="H334" i="3" s="1"/>
  <c r="G335" i="3" s="1"/>
  <c r="H335" i="3" s="1"/>
  <c r="G336" i="3" s="1"/>
  <c r="H336" i="3" s="1"/>
  <c r="G337" i="3" s="1"/>
  <c r="H337" i="3" s="1"/>
  <c r="G338" i="3" s="1"/>
  <c r="H338" i="3" s="1"/>
  <c r="G339" i="3" s="1"/>
  <c r="H339" i="3" s="1"/>
  <c r="G340" i="3" s="1"/>
  <c r="H340" i="3" s="1"/>
  <c r="G341" i="3" s="1"/>
  <c r="H341" i="3" s="1"/>
  <c r="G342" i="3" s="1"/>
  <c r="H342" i="3" s="1"/>
  <c r="G343" i="3" s="1"/>
  <c r="H343" i="3" s="1"/>
  <c r="G344" i="3" s="1"/>
  <c r="H344" i="3" s="1"/>
  <c r="G345" i="3" s="1"/>
  <c r="H345" i="3" s="1"/>
  <c r="G346" i="3" s="1"/>
  <c r="H346" i="3" s="1"/>
  <c r="G347" i="3" s="1"/>
  <c r="H347" i="3" s="1"/>
  <c r="G348" i="3" s="1"/>
  <c r="H348" i="3" s="1"/>
  <c r="G349" i="3" s="1"/>
  <c r="H349" i="3" s="1"/>
  <c r="G350" i="3" s="1"/>
  <c r="H350" i="3" s="1"/>
  <c r="G351" i="3" s="1"/>
  <c r="H351" i="3" s="1"/>
  <c r="G352" i="3" s="1"/>
  <c r="H352" i="3" s="1"/>
  <c r="G353" i="3" s="1"/>
  <c r="H353" i="3" s="1"/>
  <c r="G354" i="3" s="1"/>
  <c r="H354" i="3" s="1"/>
  <c r="G355" i="3" s="1"/>
  <c r="H355" i="3" s="1"/>
  <c r="G356" i="3" s="1"/>
  <c r="H356" i="3" s="1"/>
  <c r="G357" i="3" s="1"/>
  <c r="H357" i="3" s="1"/>
  <c r="G358" i="3" s="1"/>
  <c r="H358" i="3" s="1"/>
  <c r="G359" i="3" s="1"/>
  <c r="H359" i="3" s="1"/>
  <c r="G360" i="3" s="1"/>
  <c r="H360" i="3" s="1"/>
  <c r="G361" i="3" s="1"/>
  <c r="H361" i="3" s="1"/>
  <c r="G362" i="3" s="1"/>
  <c r="H362" i="3" s="1"/>
  <c r="G363" i="3" s="1"/>
  <c r="H363" i="3" s="1"/>
  <c r="G364" i="3" s="1"/>
  <c r="H364" i="3" s="1"/>
  <c r="G365" i="3" s="1"/>
  <c r="H365" i="3" s="1"/>
  <c r="G366" i="3" s="1"/>
  <c r="H366" i="3" s="1"/>
  <c r="G24" i="5" l="1"/>
  <c r="H24" i="5" s="1"/>
  <c r="I23" i="5"/>
  <c r="D245" i="5"/>
  <c r="G25" i="5" l="1"/>
  <c r="H25" i="5" s="1"/>
  <c r="I24" i="5"/>
  <c r="G26" i="5" l="1"/>
  <c r="H26" i="5" s="1"/>
  <c r="I25" i="5"/>
  <c r="G27" i="5" l="1"/>
  <c r="H27" i="5" s="1"/>
  <c r="I26" i="5"/>
  <c r="G28" i="5" l="1"/>
  <c r="H28" i="5" s="1"/>
  <c r="I27" i="5"/>
  <c r="G29" i="5" l="1"/>
  <c r="H29" i="5" s="1"/>
  <c r="I28" i="5"/>
  <c r="G30" i="5" l="1"/>
  <c r="H30" i="5" s="1"/>
  <c r="I29" i="5"/>
  <c r="G31" i="5" l="1"/>
  <c r="H31" i="5" s="1"/>
  <c r="I30" i="5"/>
  <c r="G32" i="5" l="1"/>
  <c r="H32" i="5" s="1"/>
  <c r="I31" i="5"/>
  <c r="G33" i="5" l="1"/>
  <c r="H33" i="5" s="1"/>
  <c r="I32" i="5"/>
  <c r="G34" i="5" l="1"/>
  <c r="H34" i="5" s="1"/>
  <c r="I33" i="5"/>
  <c r="G35" i="5" l="1"/>
  <c r="H35" i="5" s="1"/>
  <c r="I34" i="5"/>
  <c r="G36" i="5" l="1"/>
  <c r="H36" i="5" s="1"/>
  <c r="I35" i="5"/>
  <c r="G37" i="5" l="1"/>
  <c r="H37" i="5" s="1"/>
  <c r="I36" i="5"/>
  <c r="G38" i="5" l="1"/>
  <c r="H38" i="5" s="1"/>
  <c r="I37" i="5"/>
  <c r="G39" i="5" l="1"/>
  <c r="H39" i="5" s="1"/>
  <c r="I38" i="5"/>
  <c r="G40" i="5" l="1"/>
  <c r="H40" i="5" s="1"/>
  <c r="I39" i="5"/>
  <c r="G41" i="5" l="1"/>
  <c r="H41" i="5" s="1"/>
  <c r="I40" i="5"/>
  <c r="G42" i="5" l="1"/>
  <c r="H42" i="5" s="1"/>
  <c r="I41" i="5"/>
  <c r="G43" i="5" l="1"/>
  <c r="H43" i="5" s="1"/>
  <c r="I42" i="5"/>
  <c r="G44" i="5" l="1"/>
  <c r="H44" i="5" s="1"/>
  <c r="I43" i="5"/>
  <c r="G45" i="5" l="1"/>
  <c r="H45" i="5" s="1"/>
  <c r="I44" i="5"/>
  <c r="G46" i="5" l="1"/>
  <c r="H46" i="5" s="1"/>
  <c r="I45" i="5"/>
  <c r="G47" i="5" l="1"/>
  <c r="H47" i="5" s="1"/>
  <c r="I46" i="5"/>
  <c r="G48" i="5" l="1"/>
  <c r="H48" i="5" s="1"/>
  <c r="I47" i="5"/>
  <c r="G49" i="5" l="1"/>
  <c r="H49" i="5" s="1"/>
  <c r="I48" i="5"/>
  <c r="G50" i="5" l="1"/>
  <c r="H50" i="5" s="1"/>
  <c r="I49" i="5"/>
  <c r="G51" i="5" l="1"/>
  <c r="H51" i="5" s="1"/>
  <c r="I50" i="5"/>
  <c r="G52" i="5" l="1"/>
  <c r="H52" i="5" s="1"/>
  <c r="I51" i="5"/>
  <c r="G53" i="5" l="1"/>
  <c r="H53" i="5" s="1"/>
  <c r="I52" i="5"/>
  <c r="G54" i="5" l="1"/>
  <c r="H54" i="5" s="1"/>
  <c r="I53" i="5"/>
  <c r="G55" i="5" l="1"/>
  <c r="H55" i="5" s="1"/>
  <c r="I54" i="5"/>
  <c r="G56" i="5" l="1"/>
  <c r="H56" i="5" s="1"/>
  <c r="I55" i="5"/>
  <c r="G57" i="5" l="1"/>
  <c r="H57" i="5" s="1"/>
  <c r="I56" i="5"/>
  <c r="G58" i="5" l="1"/>
  <c r="H58" i="5" s="1"/>
  <c r="I57" i="5"/>
  <c r="G59" i="5" l="1"/>
  <c r="H59" i="5" s="1"/>
  <c r="I58" i="5"/>
  <c r="G60" i="5" l="1"/>
  <c r="H60" i="5" s="1"/>
  <c r="I59" i="5"/>
  <c r="G61" i="5" l="1"/>
  <c r="H61" i="5" s="1"/>
  <c r="I60" i="5"/>
  <c r="G62" i="5" l="1"/>
  <c r="H62" i="5" s="1"/>
  <c r="I61" i="5"/>
  <c r="G63" i="5" l="1"/>
  <c r="H63" i="5" s="1"/>
  <c r="I62" i="5"/>
  <c r="G64" i="5" l="1"/>
  <c r="H64" i="5" s="1"/>
  <c r="I63" i="5"/>
  <c r="G65" i="5" l="1"/>
  <c r="H65" i="5" s="1"/>
  <c r="I64" i="5"/>
  <c r="G66" i="5" l="1"/>
  <c r="H66" i="5" s="1"/>
  <c r="I65" i="5"/>
  <c r="G67" i="5" l="1"/>
  <c r="H67" i="5" s="1"/>
  <c r="I66" i="5"/>
  <c r="G68" i="5" l="1"/>
  <c r="H68" i="5" s="1"/>
  <c r="I67" i="5"/>
  <c r="G69" i="5" l="1"/>
  <c r="H69" i="5" s="1"/>
  <c r="I68" i="5"/>
  <c r="G70" i="5" l="1"/>
  <c r="H70" i="5" s="1"/>
  <c r="I69" i="5"/>
  <c r="G71" i="5" l="1"/>
  <c r="H71" i="5" s="1"/>
  <c r="I70" i="5"/>
  <c r="G72" i="5" l="1"/>
  <c r="H72" i="5" s="1"/>
  <c r="I71" i="5"/>
  <c r="G73" i="5" l="1"/>
  <c r="H73" i="5" s="1"/>
  <c r="I72" i="5"/>
  <c r="G74" i="5" l="1"/>
  <c r="H74" i="5" s="1"/>
  <c r="I73" i="5"/>
  <c r="G75" i="5" l="1"/>
  <c r="H75" i="5" s="1"/>
  <c r="I74" i="5"/>
  <c r="G76" i="5" l="1"/>
  <c r="H76" i="5" s="1"/>
  <c r="I75" i="5"/>
  <c r="G77" i="5" l="1"/>
  <c r="H77" i="5" s="1"/>
  <c r="I76" i="5"/>
  <c r="G78" i="5" l="1"/>
  <c r="H78" i="5" s="1"/>
  <c r="I77" i="5"/>
  <c r="G79" i="5" l="1"/>
  <c r="H79" i="5" s="1"/>
  <c r="I78" i="5"/>
  <c r="G80" i="5" l="1"/>
  <c r="H80" i="5" s="1"/>
  <c r="I79" i="5"/>
  <c r="G81" i="5" l="1"/>
  <c r="H81" i="5" s="1"/>
  <c r="I80" i="5"/>
  <c r="G82" i="5" l="1"/>
  <c r="H82" i="5" s="1"/>
  <c r="I81" i="5"/>
  <c r="G83" i="5" l="1"/>
  <c r="H83" i="5" s="1"/>
  <c r="I82" i="5"/>
  <c r="G84" i="5" l="1"/>
  <c r="H84" i="5" s="1"/>
  <c r="I83" i="5"/>
  <c r="G85" i="5" l="1"/>
  <c r="H85" i="5" s="1"/>
  <c r="I84" i="5"/>
  <c r="G86" i="5" l="1"/>
  <c r="H86" i="5" s="1"/>
  <c r="I85" i="5"/>
  <c r="G87" i="5" l="1"/>
  <c r="H87" i="5" s="1"/>
  <c r="I86" i="5"/>
  <c r="G88" i="5" l="1"/>
  <c r="H88" i="5" s="1"/>
  <c r="I87" i="5"/>
  <c r="G89" i="5" l="1"/>
  <c r="H89" i="5" s="1"/>
  <c r="I88" i="5"/>
  <c r="G90" i="5" l="1"/>
  <c r="H90" i="5" s="1"/>
  <c r="I89" i="5"/>
  <c r="G91" i="5" l="1"/>
  <c r="H91" i="5" s="1"/>
  <c r="I90" i="5"/>
  <c r="G92" i="5" l="1"/>
  <c r="H92" i="5" s="1"/>
  <c r="I91" i="5"/>
  <c r="G93" i="5" l="1"/>
  <c r="H93" i="5" s="1"/>
  <c r="I92" i="5"/>
  <c r="G94" i="5" l="1"/>
  <c r="H94" i="5" s="1"/>
  <c r="I93" i="5"/>
  <c r="G95" i="5" l="1"/>
  <c r="H95" i="5" s="1"/>
  <c r="I94" i="5"/>
  <c r="G96" i="5" l="1"/>
  <c r="H96" i="5" s="1"/>
  <c r="I95" i="5"/>
  <c r="G97" i="5" l="1"/>
  <c r="H97" i="5" s="1"/>
  <c r="I96" i="5"/>
  <c r="G98" i="5" l="1"/>
  <c r="H98" i="5" s="1"/>
  <c r="I97" i="5"/>
  <c r="G99" i="5" l="1"/>
  <c r="H99" i="5" s="1"/>
  <c r="I98" i="5"/>
  <c r="G100" i="5" l="1"/>
  <c r="H100" i="5" s="1"/>
  <c r="I99" i="5"/>
  <c r="G101" i="5" l="1"/>
  <c r="H101" i="5" s="1"/>
  <c r="I100" i="5"/>
  <c r="G102" i="5" l="1"/>
  <c r="H102" i="5" s="1"/>
  <c r="I101" i="5"/>
  <c r="G103" i="5" l="1"/>
  <c r="H103" i="5" s="1"/>
  <c r="I102" i="5"/>
  <c r="G104" i="5" l="1"/>
  <c r="H104" i="5" s="1"/>
  <c r="I103" i="5"/>
  <c r="G105" i="5" l="1"/>
  <c r="H105" i="5" s="1"/>
  <c r="I104" i="5"/>
  <c r="G106" i="5" l="1"/>
  <c r="H106" i="5" s="1"/>
  <c r="I105" i="5"/>
  <c r="G107" i="5" l="1"/>
  <c r="H107" i="5" s="1"/>
  <c r="I106" i="5"/>
  <c r="G108" i="5" l="1"/>
  <c r="H108" i="5" s="1"/>
  <c r="I107" i="5"/>
  <c r="G109" i="5" l="1"/>
  <c r="H109" i="5" s="1"/>
  <c r="I108" i="5"/>
  <c r="G110" i="5" l="1"/>
  <c r="H110" i="5" s="1"/>
  <c r="I109" i="5"/>
  <c r="G111" i="5" l="1"/>
  <c r="H111" i="5" s="1"/>
  <c r="I110" i="5"/>
  <c r="G112" i="5" l="1"/>
  <c r="H112" i="5" s="1"/>
  <c r="I111" i="5"/>
  <c r="G113" i="5" l="1"/>
  <c r="H113" i="5" s="1"/>
  <c r="I112" i="5"/>
  <c r="G114" i="5" l="1"/>
  <c r="H114" i="5" s="1"/>
  <c r="I113" i="5"/>
  <c r="G115" i="5" l="1"/>
  <c r="H115" i="5" s="1"/>
  <c r="I114" i="5"/>
  <c r="G116" i="5" l="1"/>
  <c r="H116" i="5" s="1"/>
  <c r="I115" i="5"/>
  <c r="G117" i="5" l="1"/>
  <c r="H117" i="5" s="1"/>
  <c r="I116" i="5"/>
  <c r="G118" i="5" l="1"/>
  <c r="H118" i="5" s="1"/>
  <c r="I117" i="5"/>
  <c r="G119" i="5" l="1"/>
  <c r="H119" i="5" s="1"/>
  <c r="I118" i="5"/>
  <c r="G120" i="5" l="1"/>
  <c r="H120" i="5" s="1"/>
  <c r="I119" i="5"/>
  <c r="G121" i="5" l="1"/>
  <c r="H121" i="5" s="1"/>
  <c r="I120" i="5"/>
  <c r="G122" i="5" l="1"/>
  <c r="H122" i="5" s="1"/>
  <c r="I121" i="5"/>
  <c r="G123" i="5" l="1"/>
  <c r="H123" i="5" s="1"/>
  <c r="I122" i="5"/>
  <c r="G124" i="5" l="1"/>
  <c r="H124" i="5" s="1"/>
  <c r="I123" i="5"/>
  <c r="G125" i="5" l="1"/>
  <c r="H125" i="5" s="1"/>
  <c r="I124" i="5"/>
  <c r="G126" i="5" l="1"/>
  <c r="H126" i="5" s="1"/>
  <c r="I125" i="5"/>
  <c r="G127" i="5" l="1"/>
  <c r="H127" i="5" s="1"/>
  <c r="I126" i="5"/>
  <c r="G128" i="5" l="1"/>
  <c r="H128" i="5" s="1"/>
  <c r="I127" i="5"/>
  <c r="G129" i="5" l="1"/>
  <c r="H129" i="5" s="1"/>
  <c r="I128" i="5"/>
  <c r="G130" i="5" l="1"/>
  <c r="H130" i="5" s="1"/>
  <c r="I129" i="5"/>
  <c r="G131" i="5" l="1"/>
  <c r="H131" i="5" s="1"/>
  <c r="I130" i="5"/>
  <c r="G132" i="5" l="1"/>
  <c r="H132" i="5" s="1"/>
  <c r="I131" i="5"/>
  <c r="G133" i="5" l="1"/>
  <c r="H133" i="5" s="1"/>
  <c r="I132" i="5"/>
  <c r="G134" i="5" l="1"/>
  <c r="H134" i="5" s="1"/>
  <c r="I133" i="5"/>
  <c r="G135" i="5" l="1"/>
  <c r="H135" i="5" s="1"/>
  <c r="I134" i="5"/>
  <c r="G136" i="5" l="1"/>
  <c r="H136" i="5" s="1"/>
  <c r="I135" i="5"/>
  <c r="G137" i="5" l="1"/>
  <c r="H137" i="5" s="1"/>
  <c r="I136" i="5"/>
  <c r="G138" i="5" l="1"/>
  <c r="H138" i="5" s="1"/>
  <c r="I137" i="5"/>
  <c r="G139" i="5" l="1"/>
  <c r="H139" i="5" s="1"/>
  <c r="I138" i="5"/>
  <c r="G140" i="5" l="1"/>
  <c r="H140" i="5" s="1"/>
  <c r="I139" i="5"/>
  <c r="G141" i="5" l="1"/>
  <c r="H141" i="5" s="1"/>
  <c r="I140" i="5"/>
  <c r="G142" i="5" l="1"/>
  <c r="H142" i="5" s="1"/>
  <c r="I141" i="5"/>
  <c r="G143" i="5" l="1"/>
  <c r="H143" i="5" s="1"/>
  <c r="I142" i="5"/>
  <c r="G144" i="5" l="1"/>
  <c r="H144" i="5" s="1"/>
  <c r="I143" i="5"/>
  <c r="G145" i="5" l="1"/>
  <c r="H145" i="5" s="1"/>
  <c r="I144" i="5"/>
  <c r="G146" i="5" l="1"/>
  <c r="H146" i="5" s="1"/>
  <c r="I145" i="5"/>
  <c r="G147" i="5" l="1"/>
  <c r="H147" i="5" s="1"/>
  <c r="I146" i="5"/>
  <c r="G148" i="5" l="1"/>
  <c r="H148" i="5" s="1"/>
  <c r="I147" i="5"/>
  <c r="G149" i="5" l="1"/>
  <c r="H149" i="5" s="1"/>
  <c r="I148" i="5"/>
  <c r="G150" i="5" l="1"/>
  <c r="H150" i="5" s="1"/>
  <c r="I149" i="5"/>
  <c r="G151" i="5" l="1"/>
  <c r="H151" i="5" s="1"/>
  <c r="I150" i="5"/>
  <c r="G152" i="5" l="1"/>
  <c r="H152" i="5" s="1"/>
  <c r="I151" i="5"/>
  <c r="G153" i="5" l="1"/>
  <c r="H153" i="5" s="1"/>
  <c r="I152" i="5"/>
  <c r="G154" i="5" l="1"/>
  <c r="H154" i="5" s="1"/>
  <c r="I153" i="5"/>
  <c r="G155" i="5" l="1"/>
  <c r="H155" i="5" s="1"/>
  <c r="I154" i="5"/>
  <c r="G156" i="5" l="1"/>
  <c r="H156" i="5" s="1"/>
  <c r="I155" i="5"/>
  <c r="G157" i="5" l="1"/>
  <c r="H157" i="5" s="1"/>
  <c r="I156" i="5"/>
  <c r="G158" i="5" l="1"/>
  <c r="H158" i="5" s="1"/>
  <c r="I157" i="5"/>
  <c r="G159" i="5" l="1"/>
  <c r="H159" i="5" s="1"/>
  <c r="I158" i="5"/>
  <c r="G160" i="5" l="1"/>
  <c r="H160" i="5" s="1"/>
  <c r="I159" i="5"/>
  <c r="G161" i="5" l="1"/>
  <c r="H161" i="5" s="1"/>
  <c r="I160" i="5"/>
  <c r="G162" i="5" l="1"/>
  <c r="H162" i="5" s="1"/>
  <c r="I161" i="5"/>
  <c r="G163" i="5" l="1"/>
  <c r="H163" i="5" s="1"/>
  <c r="I162" i="5"/>
  <c r="G164" i="5" l="1"/>
  <c r="H164" i="5" s="1"/>
  <c r="I163" i="5"/>
  <c r="G165" i="5" l="1"/>
  <c r="H165" i="5" s="1"/>
  <c r="I164" i="5"/>
  <c r="G166" i="5" l="1"/>
  <c r="H166" i="5" s="1"/>
  <c r="I165" i="5"/>
  <c r="G167" i="5" l="1"/>
  <c r="H167" i="5" s="1"/>
  <c r="I166" i="5"/>
  <c r="G168" i="5" l="1"/>
  <c r="H168" i="5" s="1"/>
  <c r="I167" i="5"/>
  <c r="G169" i="5" l="1"/>
  <c r="H169" i="5" s="1"/>
  <c r="I168" i="5"/>
  <c r="G170" i="5" l="1"/>
  <c r="H170" i="5" s="1"/>
  <c r="I169" i="5"/>
  <c r="G171" i="5" l="1"/>
  <c r="H171" i="5" s="1"/>
  <c r="I170" i="5"/>
  <c r="G172" i="5" l="1"/>
  <c r="H172" i="5" s="1"/>
  <c r="I171" i="5"/>
  <c r="G173" i="5" l="1"/>
  <c r="H173" i="5" s="1"/>
  <c r="I172" i="5"/>
  <c r="G174" i="5" l="1"/>
  <c r="H174" i="5" s="1"/>
  <c r="I173" i="5"/>
  <c r="G175" i="5" l="1"/>
  <c r="H175" i="5" s="1"/>
  <c r="I174" i="5"/>
  <c r="G176" i="5" l="1"/>
  <c r="H176" i="5" s="1"/>
  <c r="I175" i="5"/>
  <c r="G177" i="5" l="1"/>
  <c r="H177" i="5" s="1"/>
  <c r="I176" i="5"/>
  <c r="G178" i="5" l="1"/>
  <c r="H178" i="5" s="1"/>
  <c r="I177" i="5"/>
  <c r="G179" i="5" l="1"/>
  <c r="H179" i="5" s="1"/>
  <c r="I178" i="5"/>
  <c r="G180" i="5" l="1"/>
  <c r="H180" i="5" s="1"/>
  <c r="I179" i="5"/>
  <c r="G181" i="5" l="1"/>
  <c r="H181" i="5" s="1"/>
  <c r="I180" i="5"/>
  <c r="G182" i="5" l="1"/>
  <c r="H182" i="5" s="1"/>
  <c r="I181" i="5"/>
  <c r="G183" i="5" l="1"/>
  <c r="H183" i="5" s="1"/>
  <c r="I182" i="5"/>
  <c r="G184" i="5" l="1"/>
  <c r="H184" i="5" s="1"/>
  <c r="I183" i="5"/>
  <c r="G185" i="5" l="1"/>
  <c r="H185" i="5" s="1"/>
  <c r="I184" i="5"/>
  <c r="G186" i="5" l="1"/>
  <c r="H186" i="5" s="1"/>
  <c r="I185" i="5"/>
  <c r="G187" i="5" l="1"/>
  <c r="H187" i="5" s="1"/>
  <c r="I186" i="5"/>
  <c r="G188" i="5" l="1"/>
  <c r="H188" i="5" s="1"/>
  <c r="I187" i="5"/>
  <c r="G189" i="5" l="1"/>
  <c r="H189" i="5" s="1"/>
  <c r="I188" i="5"/>
  <c r="G190" i="5" l="1"/>
  <c r="H190" i="5" s="1"/>
  <c r="I189" i="5"/>
  <c r="G191" i="5" l="1"/>
  <c r="H191" i="5" s="1"/>
  <c r="I190" i="5"/>
  <c r="G192" i="5" l="1"/>
  <c r="H192" i="5" s="1"/>
  <c r="I191" i="5"/>
  <c r="G193" i="5" l="1"/>
  <c r="H193" i="5" s="1"/>
  <c r="I192" i="5"/>
  <c r="G194" i="5" l="1"/>
  <c r="H194" i="5" s="1"/>
  <c r="I193" i="5"/>
  <c r="G195" i="5" l="1"/>
  <c r="H195" i="5" s="1"/>
  <c r="I194" i="5"/>
  <c r="G196" i="5" l="1"/>
  <c r="H196" i="5" s="1"/>
  <c r="I195" i="5"/>
  <c r="G197" i="5" l="1"/>
  <c r="H197" i="5" s="1"/>
  <c r="I196" i="5"/>
  <c r="G198" i="5" l="1"/>
  <c r="H198" i="5" s="1"/>
  <c r="I197" i="5"/>
  <c r="G199" i="5" l="1"/>
  <c r="H199" i="5" s="1"/>
  <c r="I198" i="5"/>
  <c r="G200" i="5" l="1"/>
  <c r="H200" i="5" s="1"/>
  <c r="I199" i="5"/>
  <c r="G201" i="5" l="1"/>
  <c r="H201" i="5" s="1"/>
  <c r="I200" i="5"/>
  <c r="G202" i="5" l="1"/>
  <c r="H202" i="5" s="1"/>
  <c r="I201" i="5"/>
  <c r="G203" i="5" l="1"/>
  <c r="H203" i="5" s="1"/>
  <c r="I202" i="5"/>
  <c r="G204" i="5" l="1"/>
  <c r="H204" i="5" s="1"/>
  <c r="I203" i="5"/>
  <c r="G205" i="5" l="1"/>
  <c r="H205" i="5" s="1"/>
  <c r="I204" i="5"/>
  <c r="G206" i="5" l="1"/>
  <c r="H206" i="5" s="1"/>
  <c r="I205" i="5"/>
  <c r="G207" i="5" l="1"/>
  <c r="H207" i="5" s="1"/>
  <c r="I206" i="5"/>
  <c r="G208" i="5" l="1"/>
  <c r="H208" i="5" s="1"/>
  <c r="I207" i="5"/>
  <c r="G209" i="5" l="1"/>
  <c r="H209" i="5" s="1"/>
  <c r="I208" i="5"/>
  <c r="G210" i="5" l="1"/>
  <c r="H210" i="5" s="1"/>
  <c r="I209" i="5"/>
  <c r="G211" i="5" l="1"/>
  <c r="H211" i="5" s="1"/>
  <c r="I210" i="5"/>
  <c r="G212" i="5" l="1"/>
  <c r="H212" i="5" s="1"/>
  <c r="I211" i="5"/>
  <c r="G213" i="5" l="1"/>
  <c r="H213" i="5" s="1"/>
  <c r="I212" i="5"/>
  <c r="G214" i="5" l="1"/>
  <c r="H214" i="5" s="1"/>
  <c r="I213" i="5"/>
  <c r="G215" i="5" l="1"/>
  <c r="H215" i="5" s="1"/>
  <c r="I214" i="5"/>
  <c r="G216" i="5" l="1"/>
  <c r="H216" i="5" s="1"/>
  <c r="I215" i="5"/>
  <c r="G217" i="5" l="1"/>
  <c r="H217" i="5" s="1"/>
  <c r="I216" i="5"/>
  <c r="G218" i="5" l="1"/>
  <c r="H218" i="5" s="1"/>
  <c r="I217" i="5"/>
  <c r="G219" i="5" l="1"/>
  <c r="H219" i="5" s="1"/>
  <c r="I218" i="5"/>
  <c r="G220" i="5" l="1"/>
  <c r="H220" i="5" s="1"/>
  <c r="I219" i="5"/>
  <c r="G221" i="5" l="1"/>
  <c r="H221" i="5" s="1"/>
  <c r="I220" i="5"/>
  <c r="G222" i="5" l="1"/>
  <c r="H222" i="5" s="1"/>
  <c r="I221" i="5"/>
  <c r="G223" i="5" l="1"/>
  <c r="H223" i="5" s="1"/>
  <c r="I222" i="5"/>
  <c r="G224" i="5" l="1"/>
  <c r="H224" i="5" s="1"/>
  <c r="I223" i="5"/>
  <c r="G225" i="5" l="1"/>
  <c r="H225" i="5" s="1"/>
  <c r="I224" i="5"/>
  <c r="G226" i="5" l="1"/>
  <c r="H226" i="5" s="1"/>
  <c r="I225" i="5"/>
  <c r="G227" i="5" l="1"/>
  <c r="H227" i="5" s="1"/>
  <c r="I226" i="5"/>
  <c r="G228" i="5" l="1"/>
  <c r="H228" i="5" s="1"/>
  <c r="I227" i="5"/>
  <c r="G229" i="5" l="1"/>
  <c r="H229" i="5" s="1"/>
  <c r="I228" i="5"/>
  <c r="G230" i="5" l="1"/>
  <c r="H230" i="5" s="1"/>
  <c r="I229" i="5"/>
  <c r="G231" i="5" l="1"/>
  <c r="H231" i="5" s="1"/>
  <c r="I230" i="5"/>
  <c r="G232" i="5" l="1"/>
  <c r="H232" i="5" s="1"/>
  <c r="I231" i="5"/>
  <c r="G233" i="5" l="1"/>
  <c r="H233" i="5" s="1"/>
  <c r="I232" i="5"/>
  <c r="G234" i="5" l="1"/>
  <c r="H234" i="5" s="1"/>
  <c r="I233" i="5"/>
  <c r="G235" i="5" l="1"/>
  <c r="H235" i="5" s="1"/>
  <c r="I234" i="5"/>
  <c r="G236" i="5" l="1"/>
  <c r="H236" i="5" s="1"/>
  <c r="I235" i="5"/>
  <c r="G237" i="5" l="1"/>
  <c r="H237" i="5" s="1"/>
  <c r="I236" i="5"/>
  <c r="G238" i="5" l="1"/>
  <c r="H238" i="5" s="1"/>
  <c r="I237" i="5"/>
  <c r="G239" i="5" l="1"/>
  <c r="H239" i="5" s="1"/>
  <c r="I238" i="5"/>
  <c r="G240" i="5" l="1"/>
  <c r="H240" i="5" s="1"/>
  <c r="I239" i="5"/>
  <c r="G241" i="5" l="1"/>
  <c r="H241" i="5" s="1"/>
  <c r="I240" i="5"/>
  <c r="G242" i="5" l="1"/>
  <c r="H242" i="5" s="1"/>
  <c r="I241" i="5"/>
  <c r="G243" i="5" l="1"/>
  <c r="H243" i="5" s="1"/>
  <c r="I242" i="5"/>
  <c r="G244" i="5" l="1"/>
  <c r="H244" i="5" s="1"/>
  <c r="I243" i="5"/>
  <c r="G245" i="5" l="1"/>
  <c r="H245" i="5" s="1"/>
  <c r="I244" i="5"/>
  <c r="G246" i="5" l="1"/>
  <c r="H246" i="5" s="1"/>
  <c r="I245" i="5"/>
  <c r="G247" i="5" l="1"/>
  <c r="H247" i="5" s="1"/>
  <c r="I246" i="5"/>
  <c r="G248" i="5" l="1"/>
  <c r="H248" i="5" s="1"/>
  <c r="I247" i="5"/>
  <c r="G249" i="5" l="1"/>
  <c r="H249" i="5" s="1"/>
  <c r="I248" i="5"/>
  <c r="G250" i="5" l="1"/>
  <c r="H250" i="5" s="1"/>
  <c r="I249" i="5"/>
  <c r="G251" i="5" l="1"/>
  <c r="H251" i="5" s="1"/>
  <c r="I250" i="5"/>
  <c r="G252" i="5" l="1"/>
  <c r="H252" i="5" s="1"/>
  <c r="I251" i="5"/>
  <c r="G253" i="5" l="1"/>
  <c r="H253" i="5" s="1"/>
  <c r="I252" i="5"/>
  <c r="G254" i="5" l="1"/>
  <c r="H254" i="5" s="1"/>
  <c r="I253" i="5"/>
  <c r="G255" i="5" l="1"/>
  <c r="H255" i="5" s="1"/>
  <c r="I254" i="5"/>
  <c r="G256" i="5" l="1"/>
  <c r="H256" i="5" s="1"/>
  <c r="I255" i="5"/>
  <c r="G257" i="5" l="1"/>
  <c r="H257" i="5" s="1"/>
  <c r="I256" i="5"/>
  <c r="G258" i="5" l="1"/>
  <c r="H258" i="5" s="1"/>
  <c r="I257" i="5"/>
  <c r="G259" i="5" l="1"/>
  <c r="H259" i="5" s="1"/>
  <c r="I258" i="5"/>
  <c r="G260" i="5" l="1"/>
  <c r="H260" i="5" s="1"/>
  <c r="I259" i="5"/>
  <c r="G261" i="5" l="1"/>
  <c r="H261" i="5" s="1"/>
  <c r="I260" i="5"/>
  <c r="G262" i="5" l="1"/>
  <c r="H262" i="5" s="1"/>
  <c r="I261" i="5"/>
  <c r="G263" i="5" l="1"/>
  <c r="H263" i="5" s="1"/>
  <c r="I262" i="5"/>
  <c r="G264" i="5" l="1"/>
  <c r="H264" i="5" s="1"/>
  <c r="I263" i="5"/>
  <c r="G265" i="5" l="1"/>
  <c r="H265" i="5" s="1"/>
  <c r="I264" i="5"/>
  <c r="G266" i="5" l="1"/>
  <c r="H266" i="5" s="1"/>
  <c r="I265" i="5"/>
  <c r="G267" i="5" l="1"/>
  <c r="H267" i="5" s="1"/>
  <c r="I266" i="5"/>
  <c r="G268" i="5" l="1"/>
  <c r="H268" i="5" s="1"/>
  <c r="I267" i="5"/>
  <c r="G269" i="5" l="1"/>
  <c r="H269" i="5" s="1"/>
  <c r="I268" i="5"/>
  <c r="G270" i="5" l="1"/>
  <c r="H270" i="5" s="1"/>
  <c r="I269" i="5"/>
  <c r="G271" i="5" l="1"/>
  <c r="H271" i="5" s="1"/>
  <c r="I270" i="5"/>
  <c r="G272" i="5" l="1"/>
  <c r="H272" i="5" s="1"/>
  <c r="I271" i="5"/>
  <c r="G273" i="5" l="1"/>
  <c r="H273" i="5" s="1"/>
  <c r="I272" i="5"/>
  <c r="G274" i="5" l="1"/>
  <c r="H274" i="5" s="1"/>
  <c r="I273" i="5"/>
  <c r="G275" i="5" l="1"/>
  <c r="H275" i="5" s="1"/>
  <c r="I274" i="5"/>
  <c r="G276" i="5" l="1"/>
  <c r="H276" i="5" s="1"/>
  <c r="I275" i="5"/>
  <c r="G277" i="5" l="1"/>
  <c r="H277" i="5" s="1"/>
  <c r="I276" i="5"/>
  <c r="G278" i="5" l="1"/>
  <c r="H278" i="5" s="1"/>
  <c r="I277" i="5"/>
  <c r="G279" i="5" l="1"/>
  <c r="H279" i="5" s="1"/>
  <c r="I278" i="5"/>
  <c r="G280" i="5" l="1"/>
  <c r="H280" i="5" s="1"/>
  <c r="I279" i="5"/>
  <c r="G281" i="5" l="1"/>
  <c r="H281" i="5" s="1"/>
  <c r="I280" i="5"/>
  <c r="G282" i="5" l="1"/>
  <c r="H282" i="5" s="1"/>
  <c r="I281" i="5"/>
  <c r="G283" i="5" l="1"/>
  <c r="H283" i="5" s="1"/>
  <c r="I282" i="5"/>
  <c r="G284" i="5" l="1"/>
  <c r="H284" i="5" s="1"/>
  <c r="I283" i="5"/>
  <c r="G285" i="5" l="1"/>
  <c r="H285" i="5" s="1"/>
  <c r="I284" i="5"/>
  <c r="G286" i="5" l="1"/>
  <c r="H286" i="5" s="1"/>
  <c r="I285" i="5"/>
  <c r="G287" i="5" l="1"/>
  <c r="H287" i="5" s="1"/>
  <c r="I286" i="5"/>
  <c r="G288" i="5" l="1"/>
  <c r="H288" i="5" s="1"/>
  <c r="I287" i="5"/>
  <c r="G289" i="5" l="1"/>
  <c r="H289" i="5" s="1"/>
  <c r="I288" i="5"/>
  <c r="G290" i="5" l="1"/>
  <c r="H290" i="5" s="1"/>
  <c r="I289" i="5"/>
  <c r="G291" i="5" l="1"/>
  <c r="H291" i="5" s="1"/>
  <c r="I290" i="5"/>
  <c r="G292" i="5" l="1"/>
  <c r="H292" i="5" s="1"/>
  <c r="I291" i="5"/>
  <c r="G293" i="5" l="1"/>
  <c r="H293" i="5" s="1"/>
  <c r="I292" i="5"/>
  <c r="G294" i="5" l="1"/>
  <c r="H294" i="5" s="1"/>
  <c r="I293" i="5"/>
  <c r="G295" i="5" l="1"/>
  <c r="H295" i="5" s="1"/>
  <c r="I294" i="5"/>
  <c r="G296" i="5" l="1"/>
  <c r="H296" i="5" s="1"/>
  <c r="I295" i="5"/>
  <c r="G297" i="5" l="1"/>
  <c r="H297" i="5" s="1"/>
  <c r="I296" i="5"/>
  <c r="G298" i="5" l="1"/>
  <c r="H298" i="5" s="1"/>
  <c r="I297" i="5"/>
  <c r="G299" i="5" l="1"/>
  <c r="H299" i="5" s="1"/>
  <c r="I298" i="5"/>
  <c r="G300" i="5" l="1"/>
  <c r="H300" i="5" s="1"/>
  <c r="I299" i="5"/>
  <c r="G301" i="5" l="1"/>
  <c r="H301" i="5" s="1"/>
  <c r="I300" i="5"/>
  <c r="G302" i="5" l="1"/>
  <c r="H302" i="5" s="1"/>
  <c r="I301" i="5"/>
  <c r="G303" i="5" l="1"/>
  <c r="H303" i="5" s="1"/>
  <c r="I302" i="5"/>
  <c r="G304" i="5" l="1"/>
  <c r="H304" i="5" s="1"/>
  <c r="I303" i="5"/>
  <c r="G305" i="5" l="1"/>
  <c r="H305" i="5" s="1"/>
  <c r="I304" i="5"/>
  <c r="G306" i="5" l="1"/>
  <c r="H306" i="5" s="1"/>
  <c r="I305" i="5"/>
  <c r="G307" i="5" l="1"/>
  <c r="H307" i="5" s="1"/>
  <c r="I306" i="5"/>
  <c r="G308" i="5" l="1"/>
  <c r="H308" i="5" s="1"/>
  <c r="I307" i="5"/>
  <c r="G309" i="5" l="1"/>
  <c r="H309" i="5" s="1"/>
  <c r="I308" i="5"/>
  <c r="G310" i="5" l="1"/>
  <c r="H310" i="5" s="1"/>
  <c r="I309" i="5"/>
  <c r="G311" i="5" l="1"/>
  <c r="H311" i="5" s="1"/>
  <c r="I310" i="5"/>
  <c r="G312" i="5" l="1"/>
  <c r="H312" i="5" s="1"/>
  <c r="I311" i="5"/>
  <c r="G313" i="5" l="1"/>
  <c r="H313" i="5" s="1"/>
  <c r="I312" i="5"/>
  <c r="G314" i="5" l="1"/>
  <c r="H314" i="5" s="1"/>
  <c r="I313" i="5"/>
  <c r="G315" i="5" l="1"/>
  <c r="H315" i="5" s="1"/>
  <c r="I314" i="5"/>
  <c r="G316" i="5" l="1"/>
  <c r="H316" i="5" s="1"/>
  <c r="I315" i="5"/>
  <c r="G317" i="5" l="1"/>
  <c r="H317" i="5" s="1"/>
  <c r="I316" i="5"/>
  <c r="G318" i="5" l="1"/>
  <c r="H318" i="5" s="1"/>
  <c r="I317" i="5"/>
  <c r="G319" i="5" l="1"/>
  <c r="H319" i="5" s="1"/>
  <c r="I318" i="5"/>
  <c r="G320" i="5" l="1"/>
  <c r="H320" i="5" s="1"/>
  <c r="I319" i="5"/>
  <c r="G321" i="5" l="1"/>
  <c r="H321" i="5" s="1"/>
  <c r="I320" i="5"/>
  <c r="G322" i="5" l="1"/>
  <c r="H322" i="5" s="1"/>
  <c r="I321" i="5"/>
  <c r="G323" i="5" l="1"/>
  <c r="H323" i="5" s="1"/>
  <c r="I322" i="5"/>
  <c r="G324" i="5" l="1"/>
  <c r="H324" i="5" s="1"/>
  <c r="I323" i="5"/>
  <c r="G325" i="5" l="1"/>
  <c r="H325" i="5" s="1"/>
  <c r="I324" i="5"/>
  <c r="G326" i="5" l="1"/>
  <c r="H326" i="5" s="1"/>
  <c r="I325" i="5"/>
  <c r="G327" i="5" l="1"/>
  <c r="H327" i="5" s="1"/>
  <c r="I326" i="5"/>
  <c r="G328" i="5" l="1"/>
  <c r="H328" i="5" s="1"/>
  <c r="I327" i="5"/>
  <c r="G329" i="5" l="1"/>
  <c r="H329" i="5" s="1"/>
  <c r="I328" i="5"/>
  <c r="G330" i="5" l="1"/>
  <c r="H330" i="5" s="1"/>
  <c r="I329" i="5"/>
  <c r="G331" i="5" l="1"/>
  <c r="H331" i="5" s="1"/>
  <c r="I330" i="5"/>
  <c r="G332" i="5" l="1"/>
  <c r="H332" i="5" s="1"/>
  <c r="I331" i="5"/>
  <c r="G333" i="5" l="1"/>
  <c r="H333" i="5" s="1"/>
  <c r="I332" i="5"/>
  <c r="G334" i="5" l="1"/>
  <c r="H334" i="5" s="1"/>
  <c r="I333" i="5"/>
  <c r="G335" i="5" l="1"/>
  <c r="H335" i="5" s="1"/>
  <c r="I334" i="5"/>
  <c r="G336" i="5" l="1"/>
  <c r="H336" i="5" s="1"/>
  <c r="I335" i="5"/>
  <c r="G337" i="5" l="1"/>
  <c r="H337" i="5" s="1"/>
  <c r="I336" i="5"/>
  <c r="G338" i="5" l="1"/>
  <c r="H338" i="5" s="1"/>
  <c r="I337" i="5"/>
  <c r="G339" i="5" l="1"/>
  <c r="H339" i="5" s="1"/>
  <c r="I338" i="5"/>
  <c r="G340" i="5" l="1"/>
  <c r="H340" i="5" s="1"/>
  <c r="I339" i="5"/>
  <c r="G341" i="5" l="1"/>
  <c r="H341" i="5" s="1"/>
  <c r="I340" i="5"/>
  <c r="G342" i="5" l="1"/>
  <c r="H342" i="5" s="1"/>
  <c r="I341" i="5"/>
  <c r="G343" i="5" l="1"/>
  <c r="H343" i="5" s="1"/>
  <c r="I342" i="5"/>
  <c r="G344" i="5" l="1"/>
  <c r="H344" i="5" s="1"/>
  <c r="I343" i="5"/>
  <c r="G345" i="5" l="1"/>
  <c r="H345" i="5" s="1"/>
  <c r="I344" i="5"/>
  <c r="G346" i="5" l="1"/>
  <c r="H346" i="5" s="1"/>
  <c r="I345" i="5"/>
  <c r="G347" i="5" l="1"/>
  <c r="H347" i="5" s="1"/>
  <c r="I346" i="5"/>
  <c r="G348" i="5" l="1"/>
  <c r="H348" i="5" s="1"/>
  <c r="I347" i="5"/>
  <c r="G349" i="5" l="1"/>
  <c r="H349" i="5" s="1"/>
  <c r="I348" i="5"/>
  <c r="G350" i="5" l="1"/>
  <c r="H350" i="5" s="1"/>
  <c r="I349" i="5"/>
  <c r="G351" i="5" l="1"/>
  <c r="H351" i="5" s="1"/>
  <c r="I350" i="5"/>
  <c r="G352" i="5" l="1"/>
  <c r="H352" i="5" s="1"/>
  <c r="I351" i="5"/>
  <c r="G353" i="5" l="1"/>
  <c r="H353" i="5" s="1"/>
  <c r="I352" i="5"/>
  <c r="G354" i="5" l="1"/>
  <c r="H354" i="5" s="1"/>
  <c r="I353" i="5"/>
  <c r="G355" i="5" l="1"/>
  <c r="H355" i="5" s="1"/>
  <c r="I354" i="5"/>
  <c r="G356" i="5" l="1"/>
  <c r="H356" i="5" s="1"/>
  <c r="I355" i="5"/>
  <c r="G357" i="5" l="1"/>
  <c r="H357" i="5" s="1"/>
  <c r="I356" i="5"/>
  <c r="G358" i="5" l="1"/>
  <c r="H358" i="5" s="1"/>
  <c r="I357" i="5"/>
  <c r="G359" i="5" l="1"/>
  <c r="H359" i="5" s="1"/>
  <c r="I358" i="5"/>
  <c r="G360" i="5" l="1"/>
  <c r="H360" i="5" s="1"/>
  <c r="I359" i="5"/>
  <c r="G361" i="5" l="1"/>
  <c r="H361" i="5" s="1"/>
  <c r="I360" i="5"/>
  <c r="G362" i="5" l="1"/>
  <c r="H362" i="5" s="1"/>
  <c r="I361" i="5"/>
  <c r="G363" i="5" l="1"/>
  <c r="H363" i="5" s="1"/>
  <c r="I362" i="5"/>
  <c r="G364" i="5" l="1"/>
  <c r="H364" i="5" s="1"/>
  <c r="I363" i="5"/>
  <c r="G365" i="5" l="1"/>
  <c r="H365" i="5" s="1"/>
  <c r="I364" i="5"/>
  <c r="G366" i="5" l="1"/>
  <c r="H366" i="5" s="1"/>
  <c r="I366" i="5" s="1"/>
  <c r="J1" i="5" s="1"/>
  <c r="I36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CBEAC-0AE5-47E9-9FD8-A53F6462FAE1}" keepAlive="1" name="Zapytanie — ekodom" description="Połączenie z zapytaniem „ekodom” w skoroszycie." type="5" refreshedVersion="0" background="1">
    <dbPr connection="Provider=Microsoft.Mashup.OleDb.1;Data Source=$Workbook$;Location=ekodom;Extended Properties=&quot;&quot;" command="SELECT * FROM [ekodom]"/>
  </connection>
</connections>
</file>

<file path=xl/sharedStrings.xml><?xml version="1.0" encoding="utf-8"?>
<sst xmlns="http://schemas.openxmlformats.org/spreadsheetml/2006/main" count="39" uniqueCount="27">
  <si>
    <t>Data</t>
  </si>
  <si>
    <t>retencja</t>
  </si>
  <si>
    <t>zuzycie</t>
  </si>
  <si>
    <t>dzien</t>
  </si>
  <si>
    <t>bez opadow</t>
  </si>
  <si>
    <t>podlewanie</t>
  </si>
  <si>
    <t>zbiornik po</t>
  </si>
  <si>
    <t>zbiornik przed</t>
  </si>
  <si>
    <t>miesiac</t>
  </si>
  <si>
    <t>Etykiety wierszy</t>
  </si>
  <si>
    <t>Suma z retencja</t>
  </si>
  <si>
    <t>Suma końcowa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</si>
  <si>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</si>
  <si>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</si>
  <si>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</si>
  <si>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</si>
  <si>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</si>
  <si>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</si>
  <si>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</si>
  <si>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</si>
  <si>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</si>
  <si>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</si>
  <si>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</si>
  <si>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</si>
  <si>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miesiąc</t>
  </si>
  <si>
    <t>ilość retencjonowanej wody</t>
  </si>
  <si>
    <t>wodociag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</si>
</sst>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3" xfId="0" applyNumberFormat="1" applyFont="1" applyFill="1" applyBorder="1"/>
    <xf numFmtId="0" fontId="0" fillId="3" borderId="4" xfId="0" applyFont="1" applyFill="1" applyBorder="1"/>
    <xf numFmtId="14" fontId="0" fillId="0" borderId="3" xfId="0" applyNumberFormat="1" applyFont="1" applyBorder="1"/>
    <xf numFmtId="0" fontId="0" fillId="0" borderId="4" xfId="0" applyFont="1" applyBorder="1"/>
    <xf numFmtId="14" fontId="0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retencjonowanej wody w każdym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'4.2'!$J$5</c:f>
              <c:strCache>
                <c:ptCount val="1"/>
                <c:pt idx="0">
                  <c:v>ilość retencjonowanej wody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'4.2'!$I$6:$I$17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'4.2'!$J$6:$J$17</c:f>
              <c:numCache>
                <c:formatCode>General</c:formatCode>
                <c:ptCount val="12"/>
                <c:pt idx="0">
                  <c:v>2452</c:v>
                </c:pt>
                <c:pt idx="1">
                  <c:v>1381</c:v>
                </c:pt>
                <c:pt idx="2">
                  <c:v>3755</c:v>
                </c:pt>
                <c:pt idx="3">
                  <c:v>4213</c:v>
                </c:pt>
                <c:pt idx="4">
                  <c:v>3935</c:v>
                </c:pt>
                <c:pt idx="5">
                  <c:v>5566</c:v>
                </c:pt>
                <c:pt idx="6">
                  <c:v>6516</c:v>
                </c:pt>
                <c:pt idx="7">
                  <c:v>2698</c:v>
                </c:pt>
                <c:pt idx="8">
                  <c:v>5680</c:v>
                </c:pt>
                <c:pt idx="9">
                  <c:v>12225</c:v>
                </c:pt>
                <c:pt idx="10">
                  <c:v>14761</c:v>
                </c:pt>
                <c:pt idx="11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B-4B4B-B393-D4F1D6E31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435912"/>
        <c:axId val="385437352"/>
      </c:barChart>
      <c:catAx>
        <c:axId val="385435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nazwa miesiąca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5437352"/>
        <c:crosses val="autoZero"/>
        <c:auto val="1"/>
        <c:lblAlgn val="ctr"/>
        <c:lblOffset val="100"/>
        <c:noMultiLvlLbl val="0"/>
      </c:catAx>
      <c:valAx>
        <c:axId val="38543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łączna</a:t>
                </a:r>
                <a:r>
                  <a:rPr lang="pl-PL" baseline="0"/>
                  <a:t> ilość retencjowanej wody w litrach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543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410882</xdr:colOff>
      <xdr:row>12</xdr:row>
      <xdr:rowOff>163606</xdr:rowOff>
    </xdr:from>
    <xdr:to>
      <xdr:col>9</xdr:col>
      <xdr:colOff>791882</xdr:colOff>
      <xdr:row>27</xdr:row>
      <xdr:rowOff>105335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67A630-9C3C-00F3-2838-7EAB3292C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3.45443888889" createdVersion="8" refreshedVersion="8" minRefreshableVersion="3" recordCount="365" xr:uid="{D8789F69-3176-4E23-9DC6-E4E925687B06}">
  <cacheSource type="worksheet">
    <worksheetSource ref="A1:C366" sheet="4.2"/>
  </cacheSource>
  <cacheFields count="3">
    <cacheField name="Data" numFmtId="14">
      <sharedItems containsSemiMixedTypes="0" containsNonDate="0" containsDate="1" containsString="0" minDate="2022-01-01T00:00:00" maxDate="2023-01-01T00:00:00"/>
    </cacheField>
    <cacheField name="retencja" numFmtId="0">
      <sharedItems containsSemiMixedTypes="0" containsString="0" containsNumber="1" containsInteger="1" minValue="0" maxValue="1463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n v="0"/>
    <x v="0"/>
  </r>
  <r>
    <d v="2022-01-02T00:00:00"/>
    <n v="0"/>
    <x v="0"/>
  </r>
  <r>
    <d v="2022-01-03T00:00:00"/>
    <n v="0"/>
    <x v="0"/>
  </r>
  <r>
    <d v="2022-01-04T00:00:00"/>
    <n v="0"/>
    <x v="0"/>
  </r>
  <r>
    <d v="2022-01-05T00:00:00"/>
    <n v="0"/>
    <x v="0"/>
  </r>
  <r>
    <d v="2022-01-06T00:00:00"/>
    <n v="0"/>
    <x v="0"/>
  </r>
  <r>
    <d v="2022-01-07T00:00:00"/>
    <n v="0"/>
    <x v="0"/>
  </r>
  <r>
    <d v="2022-01-08T00:00:00"/>
    <n v="41"/>
    <x v="0"/>
  </r>
  <r>
    <d v="2022-01-09T00:00:00"/>
    <n v="79"/>
    <x v="0"/>
  </r>
  <r>
    <d v="2022-01-10T00:00:00"/>
    <n v="163"/>
    <x v="0"/>
  </r>
  <r>
    <d v="2022-01-11T00:00:00"/>
    <n v="259"/>
    <x v="0"/>
  </r>
  <r>
    <d v="2022-01-12T00:00:00"/>
    <n v="368"/>
    <x v="0"/>
  </r>
  <r>
    <d v="2022-01-13T00:00:00"/>
    <n v="45"/>
    <x v="0"/>
  </r>
  <r>
    <d v="2022-01-14T00:00:00"/>
    <n v="0"/>
    <x v="0"/>
  </r>
  <r>
    <d v="2022-01-15T00:00:00"/>
    <n v="0"/>
    <x v="0"/>
  </r>
  <r>
    <d v="2022-01-16T00:00:00"/>
    <n v="0"/>
    <x v="0"/>
  </r>
  <r>
    <d v="2022-01-17T00:00:00"/>
    <n v="0"/>
    <x v="0"/>
  </r>
  <r>
    <d v="2022-01-18T00:00:00"/>
    <n v="0"/>
    <x v="0"/>
  </r>
  <r>
    <d v="2022-01-19T00:00:00"/>
    <n v="0"/>
    <x v="0"/>
  </r>
  <r>
    <d v="2022-01-20T00:00:00"/>
    <n v="0"/>
    <x v="0"/>
  </r>
  <r>
    <d v="2022-01-21T00:00:00"/>
    <n v="0"/>
    <x v="0"/>
  </r>
  <r>
    <d v="2022-01-22T00:00:00"/>
    <n v="0"/>
    <x v="0"/>
  </r>
  <r>
    <d v="2022-01-23T00:00:00"/>
    <n v="33"/>
    <x v="0"/>
  </r>
  <r>
    <d v="2022-01-24T00:00:00"/>
    <n v="75"/>
    <x v="0"/>
  </r>
  <r>
    <d v="2022-01-25T00:00:00"/>
    <n v="537"/>
    <x v="0"/>
  </r>
  <r>
    <d v="2022-01-26T00:00:00"/>
    <n v="826"/>
    <x v="0"/>
  </r>
  <r>
    <d v="2022-01-27T00:00:00"/>
    <n v="26"/>
    <x v="0"/>
  </r>
  <r>
    <d v="2022-01-28T00:00:00"/>
    <n v="0"/>
    <x v="0"/>
  </r>
  <r>
    <d v="2022-01-29T00:00:00"/>
    <n v="0"/>
    <x v="0"/>
  </r>
  <r>
    <d v="2022-01-30T00:00:00"/>
    <n v="0"/>
    <x v="0"/>
  </r>
  <r>
    <d v="2022-01-31T00:00:00"/>
    <n v="0"/>
    <x v="0"/>
  </r>
  <r>
    <d v="2022-02-01T00:00:00"/>
    <n v="0"/>
    <x v="1"/>
  </r>
  <r>
    <d v="2022-02-02T00:00:00"/>
    <n v="0"/>
    <x v="1"/>
  </r>
  <r>
    <d v="2022-02-03T00:00:00"/>
    <n v="0"/>
    <x v="1"/>
  </r>
  <r>
    <d v="2022-02-04T00:00:00"/>
    <n v="0"/>
    <x v="1"/>
  </r>
  <r>
    <d v="2022-02-05T00:00:00"/>
    <n v="97"/>
    <x v="1"/>
  </r>
  <r>
    <d v="2022-02-06T00:00:00"/>
    <n v="0"/>
    <x v="1"/>
  </r>
  <r>
    <d v="2022-02-07T00:00:00"/>
    <n v="99"/>
    <x v="1"/>
  </r>
  <r>
    <d v="2022-02-08T00:00:00"/>
    <n v="0"/>
    <x v="1"/>
  </r>
  <r>
    <d v="2022-02-09T00:00:00"/>
    <n v="0"/>
    <x v="1"/>
  </r>
  <r>
    <d v="2022-02-10T00:00:00"/>
    <n v="0"/>
    <x v="1"/>
  </r>
  <r>
    <d v="2022-02-11T00:00:00"/>
    <n v="97"/>
    <x v="1"/>
  </r>
  <r>
    <d v="2022-02-12T00:00:00"/>
    <n v="83"/>
    <x v="1"/>
  </r>
  <r>
    <d v="2022-02-13T00:00:00"/>
    <n v="77"/>
    <x v="1"/>
  </r>
  <r>
    <d v="2022-02-14T00:00:00"/>
    <n v="195"/>
    <x v="1"/>
  </r>
  <r>
    <d v="2022-02-15T00:00:00"/>
    <n v="145"/>
    <x v="1"/>
  </r>
  <r>
    <d v="2022-02-16T00:00:00"/>
    <n v="90"/>
    <x v="1"/>
  </r>
  <r>
    <d v="2022-02-17T00:00:00"/>
    <n v="0"/>
    <x v="1"/>
  </r>
  <r>
    <d v="2022-02-18T00:00:00"/>
    <n v="0"/>
    <x v="1"/>
  </r>
  <r>
    <d v="2022-02-19T00:00:00"/>
    <n v="93"/>
    <x v="1"/>
  </r>
  <r>
    <d v="2022-02-20T00:00:00"/>
    <n v="0"/>
    <x v="1"/>
  </r>
  <r>
    <d v="2022-02-21T00:00:00"/>
    <n v="0"/>
    <x v="1"/>
  </r>
  <r>
    <d v="2022-02-22T00:00:00"/>
    <n v="93"/>
    <x v="1"/>
  </r>
  <r>
    <d v="2022-02-23T00:00:00"/>
    <n v="0"/>
    <x v="1"/>
  </r>
  <r>
    <d v="2022-02-24T00:00:00"/>
    <n v="0"/>
    <x v="1"/>
  </r>
  <r>
    <d v="2022-02-25T00:00:00"/>
    <n v="0"/>
    <x v="1"/>
  </r>
  <r>
    <d v="2022-02-26T00:00:00"/>
    <n v="228"/>
    <x v="1"/>
  </r>
  <r>
    <d v="2022-02-27T00:00:00"/>
    <n v="0"/>
    <x v="1"/>
  </r>
  <r>
    <d v="2022-02-28T00:00:00"/>
    <n v="84"/>
    <x v="1"/>
  </r>
  <r>
    <d v="2022-03-01T00:00:00"/>
    <n v="90"/>
    <x v="2"/>
  </r>
  <r>
    <d v="2022-03-02T00:00:00"/>
    <n v="0"/>
    <x v="2"/>
  </r>
  <r>
    <d v="2022-03-03T00:00:00"/>
    <n v="93"/>
    <x v="2"/>
  </r>
  <r>
    <d v="2022-03-04T00:00:00"/>
    <n v="1189"/>
    <x v="2"/>
  </r>
  <r>
    <d v="2022-03-05T00:00:00"/>
    <n v="139"/>
    <x v="2"/>
  </r>
  <r>
    <d v="2022-03-06T00:00:00"/>
    <n v="0"/>
    <x v="2"/>
  </r>
  <r>
    <d v="2022-03-07T00:00:00"/>
    <n v="0"/>
    <x v="2"/>
  </r>
  <r>
    <d v="2022-03-08T00:00:00"/>
    <n v="75"/>
    <x v="2"/>
  </r>
  <r>
    <d v="2022-03-09T00:00:00"/>
    <n v="612"/>
    <x v="2"/>
  </r>
  <r>
    <d v="2022-03-10T00:00:00"/>
    <n v="0"/>
    <x v="2"/>
  </r>
  <r>
    <d v="2022-03-11T00:00:00"/>
    <n v="137"/>
    <x v="2"/>
  </r>
  <r>
    <d v="2022-03-12T00:00:00"/>
    <n v="122"/>
    <x v="2"/>
  </r>
  <r>
    <d v="2022-03-13T00:00:00"/>
    <n v="0"/>
    <x v="2"/>
  </r>
  <r>
    <d v="2022-03-14T00:00:00"/>
    <n v="0"/>
    <x v="2"/>
  </r>
  <r>
    <d v="2022-03-15T00:00:00"/>
    <n v="88"/>
    <x v="2"/>
  </r>
  <r>
    <d v="2022-03-16T00:00:00"/>
    <n v="112"/>
    <x v="2"/>
  </r>
  <r>
    <d v="2022-03-17T00:00:00"/>
    <n v="82"/>
    <x v="2"/>
  </r>
  <r>
    <d v="2022-03-18T00:00:00"/>
    <n v="174"/>
    <x v="2"/>
  </r>
  <r>
    <d v="2022-03-19T00:00:00"/>
    <n v="279"/>
    <x v="2"/>
  </r>
  <r>
    <d v="2022-03-20T00:00:00"/>
    <n v="125"/>
    <x v="2"/>
  </r>
  <r>
    <d v="2022-03-21T00:00:00"/>
    <n v="123"/>
    <x v="2"/>
  </r>
  <r>
    <d v="2022-03-22T00:00:00"/>
    <n v="108"/>
    <x v="2"/>
  </r>
  <r>
    <d v="2022-03-23T00:00:00"/>
    <n v="0"/>
    <x v="2"/>
  </r>
  <r>
    <d v="2022-03-24T00:00:00"/>
    <n v="0"/>
    <x v="2"/>
  </r>
  <r>
    <d v="2022-03-25T00:00:00"/>
    <n v="0"/>
    <x v="2"/>
  </r>
  <r>
    <d v="2022-03-26T00:00:00"/>
    <n v="0"/>
    <x v="2"/>
  </r>
  <r>
    <d v="2022-03-27T00:00:00"/>
    <n v="0"/>
    <x v="2"/>
  </r>
  <r>
    <d v="2022-03-28T00:00:00"/>
    <n v="0"/>
    <x v="2"/>
  </r>
  <r>
    <d v="2022-03-29T00:00:00"/>
    <n v="0"/>
    <x v="2"/>
  </r>
  <r>
    <d v="2022-03-30T00:00:00"/>
    <n v="0"/>
    <x v="2"/>
  </r>
  <r>
    <d v="2022-03-31T00:00:00"/>
    <n v="207"/>
    <x v="2"/>
  </r>
  <r>
    <d v="2022-04-01T00:00:00"/>
    <n v="1299"/>
    <x v="3"/>
  </r>
  <r>
    <d v="2022-04-02T00:00:00"/>
    <n v="218"/>
    <x v="3"/>
  </r>
  <r>
    <d v="2022-04-03T00:00:00"/>
    <n v="0"/>
    <x v="3"/>
  </r>
  <r>
    <d v="2022-04-04T00:00:00"/>
    <n v="0"/>
    <x v="3"/>
  </r>
  <r>
    <d v="2022-04-05T00:00:00"/>
    <n v="0"/>
    <x v="3"/>
  </r>
  <r>
    <d v="2022-04-06T00:00:00"/>
    <n v="220"/>
    <x v="3"/>
  </r>
  <r>
    <d v="2022-04-07T00:00:00"/>
    <n v="72"/>
    <x v="3"/>
  </r>
  <r>
    <d v="2022-04-08T00:00:00"/>
    <n v="0"/>
    <x v="3"/>
  </r>
  <r>
    <d v="2022-04-09T00:00:00"/>
    <n v="0"/>
    <x v="3"/>
  </r>
  <r>
    <d v="2022-04-10T00:00:00"/>
    <n v="0"/>
    <x v="3"/>
  </r>
  <r>
    <d v="2022-04-11T00:00:00"/>
    <n v="0"/>
    <x v="3"/>
  </r>
  <r>
    <d v="2022-04-12T00:00:00"/>
    <n v="0"/>
    <x v="3"/>
  </r>
  <r>
    <d v="2022-04-13T00:00:00"/>
    <n v="205"/>
    <x v="3"/>
  </r>
  <r>
    <d v="2022-04-14T00:00:00"/>
    <n v="0"/>
    <x v="3"/>
  </r>
  <r>
    <d v="2022-04-15T00:00:00"/>
    <n v="436"/>
    <x v="3"/>
  </r>
  <r>
    <d v="2022-04-16T00:00:00"/>
    <n v="622"/>
    <x v="3"/>
  </r>
  <r>
    <d v="2022-04-17T00:00:00"/>
    <n v="34"/>
    <x v="3"/>
  </r>
  <r>
    <d v="2022-04-18T00:00:00"/>
    <n v="0"/>
    <x v="3"/>
  </r>
  <r>
    <d v="2022-04-19T00:00:00"/>
    <n v="0"/>
    <x v="3"/>
  </r>
  <r>
    <d v="2022-04-20T00:00:00"/>
    <n v="0"/>
    <x v="3"/>
  </r>
  <r>
    <d v="2022-04-21T00:00:00"/>
    <n v="0"/>
    <x v="3"/>
  </r>
  <r>
    <d v="2022-04-22T00:00:00"/>
    <n v="0"/>
    <x v="3"/>
  </r>
  <r>
    <d v="2022-04-23T00:00:00"/>
    <n v="0"/>
    <x v="3"/>
  </r>
  <r>
    <d v="2022-04-24T00:00:00"/>
    <n v="0"/>
    <x v="3"/>
  </r>
  <r>
    <d v="2022-04-25T00:00:00"/>
    <n v="0"/>
    <x v="3"/>
  </r>
  <r>
    <d v="2022-04-26T00:00:00"/>
    <n v="0"/>
    <x v="3"/>
  </r>
  <r>
    <d v="2022-04-27T00:00:00"/>
    <n v="0"/>
    <x v="3"/>
  </r>
  <r>
    <d v="2022-04-28T00:00:00"/>
    <n v="36"/>
    <x v="3"/>
  </r>
  <r>
    <d v="2022-04-29T00:00:00"/>
    <n v="542"/>
    <x v="3"/>
  </r>
  <r>
    <d v="2022-04-30T00:00:00"/>
    <n v="529"/>
    <x v="3"/>
  </r>
  <r>
    <d v="2022-05-01T00:00:00"/>
    <n v="890"/>
    <x v="4"/>
  </r>
  <r>
    <d v="2022-05-02T00:00:00"/>
    <n v="609"/>
    <x v="4"/>
  </r>
  <r>
    <d v="2022-05-03T00:00:00"/>
    <n v="79"/>
    <x v="4"/>
  </r>
  <r>
    <d v="2022-05-04T00:00:00"/>
    <n v="0"/>
    <x v="4"/>
  </r>
  <r>
    <d v="2022-05-05T00:00:00"/>
    <n v="0"/>
    <x v="4"/>
  </r>
  <r>
    <d v="2022-05-06T00:00:00"/>
    <n v="0"/>
    <x v="4"/>
  </r>
  <r>
    <d v="2022-05-07T00:00:00"/>
    <n v="0"/>
    <x v="4"/>
  </r>
  <r>
    <d v="2022-05-08T00:00:00"/>
    <n v="0"/>
    <x v="4"/>
  </r>
  <r>
    <d v="2022-05-09T00:00:00"/>
    <n v="0"/>
    <x v="4"/>
  </r>
  <r>
    <d v="2022-05-10T00:00:00"/>
    <n v="467"/>
    <x v="4"/>
  </r>
  <r>
    <d v="2022-05-11T00:00:00"/>
    <n v="234"/>
    <x v="4"/>
  </r>
  <r>
    <d v="2022-05-12T00:00:00"/>
    <n v="0"/>
    <x v="4"/>
  </r>
  <r>
    <d v="2022-05-13T00:00:00"/>
    <n v="0"/>
    <x v="4"/>
  </r>
  <r>
    <d v="2022-05-14T00:00:00"/>
    <n v="0"/>
    <x v="4"/>
  </r>
  <r>
    <d v="2022-05-15T00:00:00"/>
    <n v="0"/>
    <x v="4"/>
  </r>
  <r>
    <d v="2022-05-16T00:00:00"/>
    <n v="65"/>
    <x v="4"/>
  </r>
  <r>
    <d v="2022-05-17T00:00:00"/>
    <n v="781"/>
    <x v="4"/>
  </r>
  <r>
    <d v="2022-05-18T00:00:00"/>
    <n v="778"/>
    <x v="4"/>
  </r>
  <r>
    <d v="2022-05-19T00:00:00"/>
    <n v="32"/>
    <x v="4"/>
  </r>
  <r>
    <d v="2022-05-20T00:00:00"/>
    <n v="0"/>
    <x v="4"/>
  </r>
  <r>
    <d v="2022-05-21T00:00:00"/>
    <n v="0"/>
    <x v="4"/>
  </r>
  <r>
    <d v="2022-05-22T00:00:00"/>
    <n v="0"/>
    <x v="4"/>
  </r>
  <r>
    <d v="2022-05-23T00:00:00"/>
    <n v="0"/>
    <x v="4"/>
  </r>
  <r>
    <d v="2022-05-24T00:00:00"/>
    <n v="0"/>
    <x v="4"/>
  </r>
  <r>
    <d v="2022-05-25T00:00:00"/>
    <n v="0"/>
    <x v="4"/>
  </r>
  <r>
    <d v="2022-05-26T00:00:00"/>
    <n v="0"/>
    <x v="4"/>
  </r>
  <r>
    <d v="2022-05-27T00:00:00"/>
    <n v="0"/>
    <x v="4"/>
  </r>
  <r>
    <d v="2022-05-28T00:00:00"/>
    <n v="0"/>
    <x v="4"/>
  </r>
  <r>
    <d v="2022-05-29T00:00:00"/>
    <n v="0"/>
    <x v="4"/>
  </r>
  <r>
    <d v="2022-05-30T00:00:00"/>
    <n v="0"/>
    <x v="4"/>
  </r>
  <r>
    <d v="2022-05-31T00:00:00"/>
    <n v="0"/>
    <x v="4"/>
  </r>
  <r>
    <d v="2022-06-01T00:00:00"/>
    <n v="0"/>
    <x v="5"/>
  </r>
  <r>
    <d v="2022-06-02T00:00:00"/>
    <n v="18"/>
    <x v="5"/>
  </r>
  <r>
    <d v="2022-06-03T00:00:00"/>
    <n v="525"/>
    <x v="5"/>
  </r>
  <r>
    <d v="2022-06-04T00:00:00"/>
    <n v="697"/>
    <x v="5"/>
  </r>
  <r>
    <d v="2022-06-05T00:00:00"/>
    <n v="786"/>
    <x v="5"/>
  </r>
  <r>
    <d v="2022-06-06T00:00:00"/>
    <n v="792"/>
    <x v="5"/>
  </r>
  <r>
    <d v="2022-06-07T00:00:00"/>
    <n v="0"/>
    <x v="5"/>
  </r>
  <r>
    <d v="2022-06-08T00:00:00"/>
    <n v="0"/>
    <x v="5"/>
  </r>
  <r>
    <d v="2022-06-09T00:00:00"/>
    <n v="0"/>
    <x v="5"/>
  </r>
  <r>
    <d v="2022-06-10T00:00:00"/>
    <n v="0"/>
    <x v="5"/>
  </r>
  <r>
    <d v="2022-06-11T00:00:00"/>
    <n v="0"/>
    <x v="5"/>
  </r>
  <r>
    <d v="2022-06-12T00:00:00"/>
    <n v="0"/>
    <x v="5"/>
  </r>
  <r>
    <d v="2022-06-13T00:00:00"/>
    <n v="0"/>
    <x v="5"/>
  </r>
  <r>
    <d v="2022-06-14T00:00:00"/>
    <n v="0"/>
    <x v="5"/>
  </r>
  <r>
    <d v="2022-06-15T00:00:00"/>
    <n v="0"/>
    <x v="5"/>
  </r>
  <r>
    <d v="2022-06-16T00:00:00"/>
    <n v="0"/>
    <x v="5"/>
  </r>
  <r>
    <d v="2022-06-17T00:00:00"/>
    <n v="998"/>
    <x v="5"/>
  </r>
  <r>
    <d v="2022-06-18T00:00:00"/>
    <n v="0"/>
    <x v="5"/>
  </r>
  <r>
    <d v="2022-06-19T00:00:00"/>
    <n v="0"/>
    <x v="5"/>
  </r>
  <r>
    <d v="2022-06-20T00:00:00"/>
    <n v="0"/>
    <x v="5"/>
  </r>
  <r>
    <d v="2022-06-21T00:00:00"/>
    <n v="0"/>
    <x v="5"/>
  </r>
  <r>
    <d v="2022-06-22T00:00:00"/>
    <n v="0"/>
    <x v="5"/>
  </r>
  <r>
    <d v="2022-06-23T00:00:00"/>
    <n v="0"/>
    <x v="5"/>
  </r>
  <r>
    <d v="2022-06-24T00:00:00"/>
    <n v="0"/>
    <x v="5"/>
  </r>
  <r>
    <d v="2022-06-25T00:00:00"/>
    <n v="0"/>
    <x v="5"/>
  </r>
  <r>
    <d v="2022-06-26T00:00:00"/>
    <n v="540"/>
    <x v="5"/>
  </r>
  <r>
    <d v="2022-06-27T00:00:00"/>
    <n v="607"/>
    <x v="5"/>
  </r>
  <r>
    <d v="2022-06-28T00:00:00"/>
    <n v="603"/>
    <x v="5"/>
  </r>
  <r>
    <d v="2022-06-29T00:00:00"/>
    <n v="0"/>
    <x v="5"/>
  </r>
  <r>
    <d v="2022-06-30T00:00:00"/>
    <n v="0"/>
    <x v="5"/>
  </r>
  <r>
    <d v="2022-07-01T00:00:00"/>
    <n v="0"/>
    <x v="6"/>
  </r>
  <r>
    <d v="2022-07-02T00:00:00"/>
    <n v="0"/>
    <x v="6"/>
  </r>
  <r>
    <d v="2022-07-03T00:00:00"/>
    <n v="0"/>
    <x v="6"/>
  </r>
  <r>
    <d v="2022-07-04T00:00:00"/>
    <n v="0"/>
    <x v="6"/>
  </r>
  <r>
    <d v="2022-07-05T00:00:00"/>
    <n v="0"/>
    <x v="6"/>
  </r>
  <r>
    <d v="2022-07-06T00:00:00"/>
    <n v="527"/>
    <x v="6"/>
  </r>
  <r>
    <d v="2022-07-07T00:00:00"/>
    <n v="619"/>
    <x v="6"/>
  </r>
  <r>
    <d v="2022-07-08T00:00:00"/>
    <n v="0"/>
    <x v="6"/>
  </r>
  <r>
    <d v="2022-07-09T00:00:00"/>
    <n v="0"/>
    <x v="6"/>
  </r>
  <r>
    <d v="2022-07-10T00:00:00"/>
    <n v="0"/>
    <x v="6"/>
  </r>
  <r>
    <d v="2022-07-11T00:00:00"/>
    <n v="170"/>
    <x v="6"/>
  </r>
  <r>
    <d v="2022-07-12T00:00:00"/>
    <n v="13"/>
    <x v="6"/>
  </r>
  <r>
    <d v="2022-07-13T00:00:00"/>
    <n v="0"/>
    <x v="6"/>
  </r>
  <r>
    <d v="2022-07-14T00:00:00"/>
    <n v="0"/>
    <x v="6"/>
  </r>
  <r>
    <d v="2022-07-15T00:00:00"/>
    <n v="0"/>
    <x v="6"/>
  </r>
  <r>
    <d v="2022-07-16T00:00:00"/>
    <n v="0"/>
    <x v="6"/>
  </r>
  <r>
    <d v="2022-07-17T00:00:00"/>
    <n v="518"/>
    <x v="6"/>
  </r>
  <r>
    <d v="2022-07-18T00:00:00"/>
    <n v="791"/>
    <x v="6"/>
  </r>
  <r>
    <d v="2022-07-19T00:00:00"/>
    <n v="673"/>
    <x v="6"/>
  </r>
  <r>
    <d v="2022-07-20T00:00:00"/>
    <n v="601"/>
    <x v="6"/>
  </r>
  <r>
    <d v="2022-07-21T00:00:00"/>
    <n v="612"/>
    <x v="6"/>
  </r>
  <r>
    <d v="2022-07-22T00:00:00"/>
    <n v="705"/>
    <x v="6"/>
  </r>
  <r>
    <d v="2022-07-23T00:00:00"/>
    <n v="0"/>
    <x v="6"/>
  </r>
  <r>
    <d v="2022-07-24T00:00:00"/>
    <n v="0"/>
    <x v="6"/>
  </r>
  <r>
    <d v="2022-07-25T00:00:00"/>
    <n v="1100"/>
    <x v="6"/>
  </r>
  <r>
    <d v="2022-07-26T00:00:00"/>
    <n v="118"/>
    <x v="6"/>
  </r>
  <r>
    <d v="2022-07-27T00:00:00"/>
    <n v="69"/>
    <x v="6"/>
  </r>
  <r>
    <d v="2022-07-28T00:00:00"/>
    <n v="0"/>
    <x v="6"/>
  </r>
  <r>
    <d v="2022-07-29T00:00:00"/>
    <n v="0"/>
    <x v="6"/>
  </r>
  <r>
    <d v="2022-07-30T00:00:00"/>
    <n v="0"/>
    <x v="6"/>
  </r>
  <r>
    <d v="2022-07-31T00:00:00"/>
    <n v="0"/>
    <x v="6"/>
  </r>
  <r>
    <d v="2022-08-01T00:00:00"/>
    <n v="0"/>
    <x v="7"/>
  </r>
  <r>
    <d v="2022-08-02T00:00:00"/>
    <n v="0"/>
    <x v="7"/>
  </r>
  <r>
    <d v="2022-08-03T00:00:00"/>
    <n v="0"/>
    <x v="7"/>
  </r>
  <r>
    <d v="2022-08-04T00:00:00"/>
    <n v="0"/>
    <x v="7"/>
  </r>
  <r>
    <d v="2022-08-05T00:00:00"/>
    <n v="0"/>
    <x v="7"/>
  </r>
  <r>
    <d v="2022-08-06T00:00:00"/>
    <n v="0"/>
    <x v="7"/>
  </r>
  <r>
    <d v="2022-08-07T00:00:00"/>
    <n v="0"/>
    <x v="7"/>
  </r>
  <r>
    <d v="2022-08-08T00:00:00"/>
    <n v="660"/>
    <x v="7"/>
  </r>
  <r>
    <d v="2022-08-09T00:00:00"/>
    <n v="1245"/>
    <x v="7"/>
  </r>
  <r>
    <d v="2022-08-10T00:00:00"/>
    <n v="745"/>
    <x v="7"/>
  </r>
  <r>
    <d v="2022-08-11T00:00:00"/>
    <n v="48"/>
    <x v="7"/>
  </r>
  <r>
    <d v="2022-08-12T00:00:00"/>
    <n v="0"/>
    <x v="7"/>
  </r>
  <r>
    <d v="2022-08-13T00:00:00"/>
    <n v="0"/>
    <x v="7"/>
  </r>
  <r>
    <d v="2022-08-14T00:00:00"/>
    <n v="0"/>
    <x v="7"/>
  </r>
  <r>
    <d v="2022-08-15T00:00:00"/>
    <n v="0"/>
    <x v="7"/>
  </r>
  <r>
    <d v="2022-08-16T00:00:00"/>
    <n v="0"/>
    <x v="7"/>
  </r>
  <r>
    <d v="2022-08-17T00:00:00"/>
    <n v="0"/>
    <x v="7"/>
  </r>
  <r>
    <d v="2022-08-18T00:00:00"/>
    <n v="0"/>
    <x v="7"/>
  </r>
  <r>
    <d v="2022-08-19T00:00:00"/>
    <n v="0"/>
    <x v="7"/>
  </r>
  <r>
    <d v="2022-08-20T00:00:00"/>
    <n v="0"/>
    <x v="7"/>
  </r>
  <r>
    <d v="2022-08-21T00:00:00"/>
    <n v="0"/>
    <x v="7"/>
  </r>
  <r>
    <d v="2022-08-22T00:00:00"/>
    <n v="0"/>
    <x v="7"/>
  </r>
  <r>
    <d v="2022-08-23T00:00:00"/>
    <n v="0"/>
    <x v="7"/>
  </r>
  <r>
    <d v="2022-08-24T00:00:00"/>
    <n v="0"/>
    <x v="7"/>
  </r>
  <r>
    <d v="2022-08-25T00:00:00"/>
    <n v="0"/>
    <x v="7"/>
  </r>
  <r>
    <d v="2022-08-26T00:00:00"/>
    <n v="0"/>
    <x v="7"/>
  </r>
  <r>
    <d v="2022-08-27T00:00:00"/>
    <n v="0"/>
    <x v="7"/>
  </r>
  <r>
    <d v="2022-08-28T00:00:00"/>
    <n v="0"/>
    <x v="7"/>
  </r>
  <r>
    <d v="2022-08-29T00:00:00"/>
    <n v="0"/>
    <x v="7"/>
  </r>
  <r>
    <d v="2022-08-30T00:00:00"/>
    <n v="0"/>
    <x v="7"/>
  </r>
  <r>
    <d v="2022-08-31T00:00:00"/>
    <n v="0"/>
    <x v="7"/>
  </r>
  <r>
    <d v="2022-09-01T00:00:00"/>
    <n v="0"/>
    <x v="8"/>
  </r>
  <r>
    <d v="2022-09-02T00:00:00"/>
    <n v="388"/>
    <x v="8"/>
  </r>
  <r>
    <d v="2022-09-03T00:00:00"/>
    <n v="415"/>
    <x v="8"/>
  </r>
  <r>
    <d v="2022-09-04T00:00:00"/>
    <n v="560"/>
    <x v="8"/>
  </r>
  <r>
    <d v="2022-09-05T00:00:00"/>
    <n v="467"/>
    <x v="8"/>
  </r>
  <r>
    <d v="2022-09-06T00:00:00"/>
    <n v="517"/>
    <x v="8"/>
  </r>
  <r>
    <d v="2022-09-07T00:00:00"/>
    <n v="552"/>
    <x v="8"/>
  </r>
  <r>
    <d v="2022-09-08T00:00:00"/>
    <n v="0"/>
    <x v="8"/>
  </r>
  <r>
    <d v="2022-09-09T00:00:00"/>
    <n v="0"/>
    <x v="8"/>
  </r>
  <r>
    <d v="2022-09-10T00:00:00"/>
    <n v="0"/>
    <x v="8"/>
  </r>
  <r>
    <d v="2022-09-11T00:00:00"/>
    <n v="0"/>
    <x v="8"/>
  </r>
  <r>
    <d v="2022-09-12T00:00:00"/>
    <n v="435"/>
    <x v="8"/>
  </r>
  <r>
    <d v="2022-09-13T00:00:00"/>
    <n v="406"/>
    <x v="8"/>
  </r>
  <r>
    <d v="2022-09-14T00:00:00"/>
    <n v="0"/>
    <x v="8"/>
  </r>
  <r>
    <d v="2022-09-15T00:00:00"/>
    <n v="0"/>
    <x v="8"/>
  </r>
  <r>
    <d v="2022-09-16T00:00:00"/>
    <n v="0"/>
    <x v="8"/>
  </r>
  <r>
    <d v="2022-09-17T00:00:00"/>
    <n v="0"/>
    <x v="8"/>
  </r>
  <r>
    <d v="2022-09-18T00:00:00"/>
    <n v="0"/>
    <x v="8"/>
  </r>
  <r>
    <d v="2022-09-19T00:00:00"/>
    <n v="353"/>
    <x v="8"/>
  </r>
  <r>
    <d v="2022-09-20T00:00:00"/>
    <n v="476"/>
    <x v="8"/>
  </r>
  <r>
    <d v="2022-09-21T00:00:00"/>
    <n v="383"/>
    <x v="8"/>
  </r>
  <r>
    <d v="2022-09-22T00:00:00"/>
    <n v="0"/>
    <x v="8"/>
  </r>
  <r>
    <d v="2022-09-23T00:00:00"/>
    <n v="0"/>
    <x v="8"/>
  </r>
  <r>
    <d v="2022-09-24T00:00:00"/>
    <n v="0"/>
    <x v="8"/>
  </r>
  <r>
    <d v="2022-09-25T00:00:00"/>
    <n v="0"/>
    <x v="8"/>
  </r>
  <r>
    <d v="2022-09-26T00:00:00"/>
    <n v="0"/>
    <x v="8"/>
  </r>
  <r>
    <d v="2022-09-27T00:00:00"/>
    <n v="0"/>
    <x v="8"/>
  </r>
  <r>
    <d v="2022-09-28T00:00:00"/>
    <n v="0"/>
    <x v="8"/>
  </r>
  <r>
    <d v="2022-09-29T00:00:00"/>
    <n v="302"/>
    <x v="8"/>
  </r>
  <r>
    <d v="2022-09-30T00:00:00"/>
    <n v="426"/>
    <x v="8"/>
  </r>
  <r>
    <d v="2022-10-01T00:00:00"/>
    <n v="456"/>
    <x v="9"/>
  </r>
  <r>
    <d v="2022-10-02T00:00:00"/>
    <n v="568"/>
    <x v="9"/>
  </r>
  <r>
    <d v="2022-10-03T00:00:00"/>
    <n v="1182"/>
    <x v="9"/>
  </r>
  <r>
    <d v="2022-10-04T00:00:00"/>
    <n v="0"/>
    <x v="9"/>
  </r>
  <r>
    <d v="2022-10-05T00:00:00"/>
    <n v="0"/>
    <x v="9"/>
  </r>
  <r>
    <d v="2022-10-06T00:00:00"/>
    <n v="0"/>
    <x v="9"/>
  </r>
  <r>
    <d v="2022-10-07T00:00:00"/>
    <n v="0"/>
    <x v="9"/>
  </r>
  <r>
    <d v="2022-10-08T00:00:00"/>
    <n v="0"/>
    <x v="9"/>
  </r>
  <r>
    <d v="2022-10-09T00:00:00"/>
    <n v="0"/>
    <x v="9"/>
  </r>
  <r>
    <d v="2022-10-10T00:00:00"/>
    <n v="1170"/>
    <x v="9"/>
  </r>
  <r>
    <d v="2022-10-11T00:00:00"/>
    <n v="695"/>
    <x v="9"/>
  </r>
  <r>
    <d v="2022-10-12T00:00:00"/>
    <n v="644"/>
    <x v="9"/>
  </r>
  <r>
    <d v="2022-10-13T00:00:00"/>
    <n v="0"/>
    <x v="9"/>
  </r>
  <r>
    <d v="2022-10-14T00:00:00"/>
    <n v="0"/>
    <x v="9"/>
  </r>
  <r>
    <d v="2022-10-15T00:00:00"/>
    <n v="0"/>
    <x v="9"/>
  </r>
  <r>
    <d v="2022-10-16T00:00:00"/>
    <n v="0"/>
    <x v="9"/>
  </r>
  <r>
    <d v="2022-10-17T00:00:00"/>
    <n v="0"/>
    <x v="9"/>
  </r>
  <r>
    <d v="2022-10-18T00:00:00"/>
    <n v="0"/>
    <x v="9"/>
  </r>
  <r>
    <d v="2022-10-19T00:00:00"/>
    <n v="0"/>
    <x v="9"/>
  </r>
  <r>
    <d v="2022-10-20T00:00:00"/>
    <n v="0"/>
    <x v="9"/>
  </r>
  <r>
    <d v="2022-10-21T00:00:00"/>
    <n v="0"/>
    <x v="9"/>
  </r>
  <r>
    <d v="2022-10-22T00:00:00"/>
    <n v="1084"/>
    <x v="9"/>
  </r>
  <r>
    <d v="2022-10-23T00:00:00"/>
    <n v="1423"/>
    <x v="9"/>
  </r>
  <r>
    <d v="2022-10-24T00:00:00"/>
    <n v="1315"/>
    <x v="9"/>
  </r>
  <r>
    <d v="2022-10-25T00:00:00"/>
    <n v="717"/>
    <x v="9"/>
  </r>
  <r>
    <d v="2022-10-26T00:00:00"/>
    <n v="1398"/>
    <x v="9"/>
  </r>
  <r>
    <d v="2022-10-27T00:00:00"/>
    <n v="913"/>
    <x v="9"/>
  </r>
  <r>
    <d v="2022-10-28T00:00:00"/>
    <n v="660"/>
    <x v="9"/>
  </r>
  <r>
    <d v="2022-10-29T00:00:00"/>
    <n v="0"/>
    <x v="9"/>
  </r>
  <r>
    <d v="2022-10-30T00:00:00"/>
    <n v="0"/>
    <x v="9"/>
  </r>
  <r>
    <d v="2022-10-31T00:00:00"/>
    <n v="0"/>
    <x v="9"/>
  </r>
  <r>
    <d v="2022-11-01T00:00:00"/>
    <n v="0"/>
    <x v="10"/>
  </r>
  <r>
    <d v="2022-11-02T00:00:00"/>
    <n v="0"/>
    <x v="10"/>
  </r>
  <r>
    <d v="2022-11-03T00:00:00"/>
    <n v="935"/>
    <x v="10"/>
  </r>
  <r>
    <d v="2022-11-04T00:00:00"/>
    <n v="648"/>
    <x v="10"/>
  </r>
  <r>
    <d v="2022-11-05T00:00:00"/>
    <n v="793"/>
    <x v="10"/>
  </r>
  <r>
    <d v="2022-11-06T00:00:00"/>
    <n v="1276"/>
    <x v="10"/>
  </r>
  <r>
    <d v="2022-11-07T00:00:00"/>
    <n v="1234"/>
    <x v="10"/>
  </r>
  <r>
    <d v="2022-11-08T00:00:00"/>
    <n v="1302"/>
    <x v="10"/>
  </r>
  <r>
    <d v="2022-11-09T00:00:00"/>
    <n v="1316"/>
    <x v="10"/>
  </r>
  <r>
    <d v="2022-11-10T00:00:00"/>
    <n v="1463"/>
    <x v="10"/>
  </r>
  <r>
    <d v="2022-11-11T00:00:00"/>
    <n v="771"/>
    <x v="10"/>
  </r>
  <r>
    <d v="2022-11-12T00:00:00"/>
    <n v="0"/>
    <x v="10"/>
  </r>
  <r>
    <d v="2022-11-13T00:00:00"/>
    <n v="0"/>
    <x v="10"/>
  </r>
  <r>
    <d v="2022-11-14T00:00:00"/>
    <n v="0"/>
    <x v="10"/>
  </r>
  <r>
    <d v="2022-11-15T00:00:00"/>
    <n v="0"/>
    <x v="10"/>
  </r>
  <r>
    <d v="2022-11-16T00:00:00"/>
    <n v="0"/>
    <x v="10"/>
  </r>
  <r>
    <d v="2022-11-17T00:00:00"/>
    <n v="0"/>
    <x v="10"/>
  </r>
  <r>
    <d v="2022-11-18T00:00:00"/>
    <n v="0"/>
    <x v="10"/>
  </r>
  <r>
    <d v="2022-11-19T00:00:00"/>
    <n v="816"/>
    <x v="10"/>
  </r>
  <r>
    <d v="2022-11-20T00:00:00"/>
    <n v="734"/>
    <x v="10"/>
  </r>
  <r>
    <d v="2022-11-21T00:00:00"/>
    <n v="1097"/>
    <x v="10"/>
  </r>
  <r>
    <d v="2022-11-22T00:00:00"/>
    <n v="640"/>
    <x v="10"/>
  </r>
  <r>
    <d v="2022-11-23T00:00:00"/>
    <n v="0"/>
    <x v="10"/>
  </r>
  <r>
    <d v="2022-11-24T00:00:00"/>
    <n v="0"/>
    <x v="10"/>
  </r>
  <r>
    <d v="2022-11-25T00:00:00"/>
    <n v="1066"/>
    <x v="10"/>
  </r>
  <r>
    <d v="2022-11-26T00:00:00"/>
    <n v="670"/>
    <x v="10"/>
  </r>
  <r>
    <d v="2022-11-27T00:00:00"/>
    <n v="0"/>
    <x v="10"/>
  </r>
  <r>
    <d v="2022-11-28T00:00:00"/>
    <n v="0"/>
    <x v="10"/>
  </r>
  <r>
    <d v="2022-11-29T00:00:00"/>
    <n v="0"/>
    <x v="10"/>
  </r>
  <r>
    <d v="2022-11-30T00:00:00"/>
    <n v="0"/>
    <x v="10"/>
  </r>
  <r>
    <d v="2022-12-01T00:00:00"/>
    <n v="0"/>
    <x v="11"/>
  </r>
  <r>
    <d v="2022-12-02T00:00:00"/>
    <n v="0"/>
    <x v="11"/>
  </r>
  <r>
    <d v="2022-12-03T00:00:00"/>
    <n v="0"/>
    <x v="11"/>
  </r>
  <r>
    <d v="2022-12-04T00:00:00"/>
    <n v="0"/>
    <x v="11"/>
  </r>
  <r>
    <d v="2022-12-05T00:00:00"/>
    <n v="29"/>
    <x v="11"/>
  </r>
  <r>
    <d v="2022-12-06T00:00:00"/>
    <n v="46"/>
    <x v="11"/>
  </r>
  <r>
    <d v="2022-12-07T00:00:00"/>
    <n v="0"/>
    <x v="11"/>
  </r>
  <r>
    <d v="2022-12-08T00:00:00"/>
    <n v="0"/>
    <x v="11"/>
  </r>
  <r>
    <d v="2022-12-09T00:00:00"/>
    <n v="0"/>
    <x v="11"/>
  </r>
  <r>
    <d v="2022-12-10T00:00:00"/>
    <n v="0"/>
    <x v="11"/>
  </r>
  <r>
    <d v="2022-12-11T00:00:00"/>
    <n v="0"/>
    <x v="11"/>
  </r>
  <r>
    <d v="2022-12-12T00:00:00"/>
    <n v="0"/>
    <x v="11"/>
  </r>
  <r>
    <d v="2022-12-13T00:00:00"/>
    <n v="145"/>
    <x v="11"/>
  </r>
  <r>
    <d v="2022-12-14T00:00:00"/>
    <n v="0"/>
    <x v="11"/>
  </r>
  <r>
    <d v="2022-12-15T00:00:00"/>
    <n v="0"/>
    <x v="11"/>
  </r>
  <r>
    <d v="2022-12-16T00:00:00"/>
    <n v="24"/>
    <x v="11"/>
  </r>
  <r>
    <d v="2022-12-17T00:00:00"/>
    <n v="0"/>
    <x v="11"/>
  </r>
  <r>
    <d v="2022-12-18T00:00:00"/>
    <n v="0"/>
    <x v="11"/>
  </r>
  <r>
    <d v="2022-12-19T00:00:00"/>
    <n v="45"/>
    <x v="11"/>
  </r>
  <r>
    <d v="2022-12-20T00:00:00"/>
    <n v="97"/>
    <x v="11"/>
  </r>
  <r>
    <d v="2022-12-21T00:00:00"/>
    <n v="0"/>
    <x v="11"/>
  </r>
  <r>
    <d v="2022-12-22T00:00:00"/>
    <n v="22"/>
    <x v="11"/>
  </r>
  <r>
    <d v="2022-12-23T00:00:00"/>
    <n v="0"/>
    <x v="11"/>
  </r>
  <r>
    <d v="2022-12-24T00:00:00"/>
    <n v="0"/>
    <x v="11"/>
  </r>
  <r>
    <d v="2022-12-25T00:00:00"/>
    <n v="0"/>
    <x v="11"/>
  </r>
  <r>
    <d v="2022-12-26T00:00:00"/>
    <n v="135"/>
    <x v="11"/>
  </r>
  <r>
    <d v="2022-12-27T00:00:00"/>
    <n v="0"/>
    <x v="11"/>
  </r>
  <r>
    <d v="2022-12-28T00:00:00"/>
    <n v="153"/>
    <x v="11"/>
  </r>
  <r>
    <d v="2022-12-29T00:00:00"/>
    <n v="0"/>
    <x v="11"/>
  </r>
  <r>
    <d v="2022-12-30T00:00:00"/>
    <n v="0"/>
    <x v="11"/>
  </r>
  <r>
    <d v="2022-12-31T00:00:00"/>
    <n v="14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B95A-ED7C-4347-80E1-541522E55E61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5:G18" firstHeaderRow="1" firstDataRow="1" firstDataCol="1"/>
  <pivotFields count="3">
    <pivotField numFmtId="14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retencj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97A8-1D85-488C-9D9C-E365B1640CE0}">
  <dimension ref="A1:B366"/>
  <sheetViews>
    <sheetView zoomScale="85" zoomScaleNormal="85" workbookViewId="0">
      <selection activeCell="C14" sqref="C14"/>
    </sheetView>
  </sheetViews>
  <sheetFormatPr defaultRowHeight="14.5" x14ac:dyDescent="0.35"/>
  <cols>
    <col min="1" max="1" width="10.54296875" bestFit="1" customWidth="1"/>
    <col min="2" max="2" width="10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4">
        <v>44562</v>
      </c>
      <c r="B2" s="5">
        <v>0</v>
      </c>
    </row>
    <row r="3" spans="1:2" x14ac:dyDescent="0.35">
      <c r="A3" s="6">
        <v>44563</v>
      </c>
      <c r="B3" s="7">
        <v>0</v>
      </c>
    </row>
    <row r="4" spans="1:2" x14ac:dyDescent="0.35">
      <c r="A4" s="4">
        <v>44564</v>
      </c>
      <c r="B4" s="5">
        <v>0</v>
      </c>
    </row>
    <row r="5" spans="1:2" x14ac:dyDescent="0.35">
      <c r="A5" s="6">
        <v>44565</v>
      </c>
      <c r="B5" s="7">
        <v>0</v>
      </c>
    </row>
    <row r="6" spans="1:2" x14ac:dyDescent="0.35">
      <c r="A6" s="4">
        <v>44566</v>
      </c>
      <c r="B6" s="5">
        <v>0</v>
      </c>
    </row>
    <row r="7" spans="1:2" x14ac:dyDescent="0.35">
      <c r="A7" s="6">
        <v>44567</v>
      </c>
      <c r="B7" s="7">
        <v>0</v>
      </c>
    </row>
    <row r="8" spans="1:2" x14ac:dyDescent="0.35">
      <c r="A8" s="4">
        <v>44568</v>
      </c>
      <c r="B8" s="5">
        <v>0</v>
      </c>
    </row>
    <row r="9" spans="1:2" x14ac:dyDescent="0.35">
      <c r="A9" s="6">
        <v>44569</v>
      </c>
      <c r="B9" s="7">
        <v>41</v>
      </c>
    </row>
    <row r="10" spans="1:2" x14ac:dyDescent="0.35">
      <c r="A10" s="4">
        <v>44570</v>
      </c>
      <c r="B10" s="5">
        <v>79</v>
      </c>
    </row>
    <row r="11" spans="1:2" x14ac:dyDescent="0.35">
      <c r="A11" s="6">
        <v>44571</v>
      </c>
      <c r="B11" s="7">
        <v>163</v>
      </c>
    </row>
    <row r="12" spans="1:2" x14ac:dyDescent="0.35">
      <c r="A12" s="4">
        <v>44572</v>
      </c>
      <c r="B12" s="5">
        <v>259</v>
      </c>
    </row>
    <row r="13" spans="1:2" x14ac:dyDescent="0.35">
      <c r="A13" s="6">
        <v>44573</v>
      </c>
      <c r="B13" s="7">
        <v>368</v>
      </c>
    </row>
    <row r="14" spans="1:2" x14ac:dyDescent="0.35">
      <c r="A14" s="4">
        <v>44574</v>
      </c>
      <c r="B14" s="5">
        <v>45</v>
      </c>
    </row>
    <row r="15" spans="1:2" x14ac:dyDescent="0.35">
      <c r="A15" s="6">
        <v>44575</v>
      </c>
      <c r="B15" s="7">
        <v>0</v>
      </c>
    </row>
    <row r="16" spans="1:2" x14ac:dyDescent="0.35">
      <c r="A16" s="4">
        <v>44576</v>
      </c>
      <c r="B16" s="5">
        <v>0</v>
      </c>
    </row>
    <row r="17" spans="1:2" x14ac:dyDescent="0.35">
      <c r="A17" s="6">
        <v>44577</v>
      </c>
      <c r="B17" s="7">
        <v>0</v>
      </c>
    </row>
    <row r="18" spans="1:2" x14ac:dyDescent="0.35">
      <c r="A18" s="4">
        <v>44578</v>
      </c>
      <c r="B18" s="5">
        <v>0</v>
      </c>
    </row>
    <row r="19" spans="1:2" x14ac:dyDescent="0.35">
      <c r="A19" s="6">
        <v>44579</v>
      </c>
      <c r="B19" s="7">
        <v>0</v>
      </c>
    </row>
    <row r="20" spans="1:2" x14ac:dyDescent="0.35">
      <c r="A20" s="4">
        <v>44580</v>
      </c>
      <c r="B20" s="5">
        <v>0</v>
      </c>
    </row>
    <row r="21" spans="1:2" x14ac:dyDescent="0.35">
      <c r="A21" s="6">
        <v>44581</v>
      </c>
      <c r="B21" s="7">
        <v>0</v>
      </c>
    </row>
    <row r="22" spans="1:2" x14ac:dyDescent="0.35">
      <c r="A22" s="4">
        <v>44582</v>
      </c>
      <c r="B22" s="5">
        <v>0</v>
      </c>
    </row>
    <row r="23" spans="1:2" x14ac:dyDescent="0.35">
      <c r="A23" s="6">
        <v>44583</v>
      </c>
      <c r="B23" s="7">
        <v>0</v>
      </c>
    </row>
    <row r="24" spans="1:2" x14ac:dyDescent="0.35">
      <c r="A24" s="4">
        <v>44584</v>
      </c>
      <c r="B24" s="5">
        <v>33</v>
      </c>
    </row>
    <row r="25" spans="1:2" x14ac:dyDescent="0.35">
      <c r="A25" s="6">
        <v>44585</v>
      </c>
      <c r="B25" s="7">
        <v>75</v>
      </c>
    </row>
    <row r="26" spans="1:2" x14ac:dyDescent="0.35">
      <c r="A26" s="4">
        <v>44586</v>
      </c>
      <c r="B26" s="5">
        <v>537</v>
      </c>
    </row>
    <row r="27" spans="1:2" x14ac:dyDescent="0.35">
      <c r="A27" s="6">
        <v>44587</v>
      </c>
      <c r="B27" s="7">
        <v>826</v>
      </c>
    </row>
    <row r="28" spans="1:2" x14ac:dyDescent="0.35">
      <c r="A28" s="4">
        <v>44588</v>
      </c>
      <c r="B28" s="5">
        <v>26</v>
      </c>
    </row>
    <row r="29" spans="1:2" x14ac:dyDescent="0.35">
      <c r="A29" s="6">
        <v>44589</v>
      </c>
      <c r="B29" s="7">
        <v>0</v>
      </c>
    </row>
    <row r="30" spans="1:2" x14ac:dyDescent="0.35">
      <c r="A30" s="4">
        <v>44590</v>
      </c>
      <c r="B30" s="5">
        <v>0</v>
      </c>
    </row>
    <row r="31" spans="1:2" x14ac:dyDescent="0.35">
      <c r="A31" s="6">
        <v>44591</v>
      </c>
      <c r="B31" s="7">
        <v>0</v>
      </c>
    </row>
    <row r="32" spans="1:2" x14ac:dyDescent="0.35">
      <c r="A32" s="4">
        <v>44592</v>
      </c>
      <c r="B32" s="5">
        <v>0</v>
      </c>
    </row>
    <row r="33" spans="1:2" x14ac:dyDescent="0.35">
      <c r="A33" s="6">
        <v>44593</v>
      </c>
      <c r="B33" s="7">
        <v>0</v>
      </c>
    </row>
    <row r="34" spans="1:2" x14ac:dyDescent="0.35">
      <c r="A34" s="4">
        <v>44594</v>
      </c>
      <c r="B34" s="5">
        <v>0</v>
      </c>
    </row>
    <row r="35" spans="1:2" x14ac:dyDescent="0.35">
      <c r="A35" s="6">
        <v>44595</v>
      </c>
      <c r="B35" s="7">
        <v>0</v>
      </c>
    </row>
    <row r="36" spans="1:2" x14ac:dyDescent="0.35">
      <c r="A36" s="4">
        <v>44596</v>
      </c>
      <c r="B36" s="5">
        <v>0</v>
      </c>
    </row>
    <row r="37" spans="1:2" x14ac:dyDescent="0.35">
      <c r="A37" s="6">
        <v>44597</v>
      </c>
      <c r="B37" s="7">
        <v>97</v>
      </c>
    </row>
    <row r="38" spans="1:2" x14ac:dyDescent="0.35">
      <c r="A38" s="4">
        <v>44598</v>
      </c>
      <c r="B38" s="5">
        <v>0</v>
      </c>
    </row>
    <row r="39" spans="1:2" x14ac:dyDescent="0.35">
      <c r="A39" s="6">
        <v>44599</v>
      </c>
      <c r="B39" s="7">
        <v>99</v>
      </c>
    </row>
    <row r="40" spans="1:2" x14ac:dyDescent="0.35">
      <c r="A40" s="4">
        <v>44600</v>
      </c>
      <c r="B40" s="5">
        <v>0</v>
      </c>
    </row>
    <row r="41" spans="1:2" x14ac:dyDescent="0.35">
      <c r="A41" s="6">
        <v>44601</v>
      </c>
      <c r="B41" s="7">
        <v>0</v>
      </c>
    </row>
    <row r="42" spans="1:2" x14ac:dyDescent="0.35">
      <c r="A42" s="4">
        <v>44602</v>
      </c>
      <c r="B42" s="5">
        <v>0</v>
      </c>
    </row>
    <row r="43" spans="1:2" x14ac:dyDescent="0.35">
      <c r="A43" s="6">
        <v>44603</v>
      </c>
      <c r="B43" s="7">
        <v>97</v>
      </c>
    </row>
    <row r="44" spans="1:2" x14ac:dyDescent="0.35">
      <c r="A44" s="4">
        <v>44604</v>
      </c>
      <c r="B44" s="5">
        <v>83</v>
      </c>
    </row>
    <row r="45" spans="1:2" x14ac:dyDescent="0.35">
      <c r="A45" s="6">
        <v>44605</v>
      </c>
      <c r="B45" s="7">
        <v>77</v>
      </c>
    </row>
    <row r="46" spans="1:2" x14ac:dyDescent="0.35">
      <c r="A46" s="4">
        <v>44606</v>
      </c>
      <c r="B46" s="5">
        <v>195</v>
      </c>
    </row>
    <row r="47" spans="1:2" x14ac:dyDescent="0.35">
      <c r="A47" s="6">
        <v>44607</v>
      </c>
      <c r="B47" s="7">
        <v>145</v>
      </c>
    </row>
    <row r="48" spans="1:2" x14ac:dyDescent="0.35">
      <c r="A48" s="4">
        <v>44608</v>
      </c>
      <c r="B48" s="5">
        <v>90</v>
      </c>
    </row>
    <row r="49" spans="1:2" x14ac:dyDescent="0.35">
      <c r="A49" s="6">
        <v>44609</v>
      </c>
      <c r="B49" s="7">
        <v>0</v>
      </c>
    </row>
    <row r="50" spans="1:2" x14ac:dyDescent="0.35">
      <c r="A50" s="4">
        <v>44610</v>
      </c>
      <c r="B50" s="5">
        <v>0</v>
      </c>
    </row>
    <row r="51" spans="1:2" x14ac:dyDescent="0.35">
      <c r="A51" s="6">
        <v>44611</v>
      </c>
      <c r="B51" s="7">
        <v>93</v>
      </c>
    </row>
    <row r="52" spans="1:2" x14ac:dyDescent="0.35">
      <c r="A52" s="4">
        <v>44612</v>
      </c>
      <c r="B52" s="5">
        <v>0</v>
      </c>
    </row>
    <row r="53" spans="1:2" x14ac:dyDescent="0.35">
      <c r="A53" s="6">
        <v>44613</v>
      </c>
      <c r="B53" s="7">
        <v>0</v>
      </c>
    </row>
    <row r="54" spans="1:2" x14ac:dyDescent="0.35">
      <c r="A54" s="4">
        <v>44614</v>
      </c>
      <c r="B54" s="5">
        <v>93</v>
      </c>
    </row>
    <row r="55" spans="1:2" x14ac:dyDescent="0.35">
      <c r="A55" s="6">
        <v>44615</v>
      </c>
      <c r="B55" s="7">
        <v>0</v>
      </c>
    </row>
    <row r="56" spans="1:2" x14ac:dyDescent="0.35">
      <c r="A56" s="4">
        <v>44616</v>
      </c>
      <c r="B56" s="5">
        <v>0</v>
      </c>
    </row>
    <row r="57" spans="1:2" x14ac:dyDescent="0.35">
      <c r="A57" s="6">
        <v>44617</v>
      </c>
      <c r="B57" s="7">
        <v>0</v>
      </c>
    </row>
    <row r="58" spans="1:2" x14ac:dyDescent="0.35">
      <c r="A58" s="4">
        <v>44618</v>
      </c>
      <c r="B58" s="5">
        <v>228</v>
      </c>
    </row>
    <row r="59" spans="1:2" x14ac:dyDescent="0.35">
      <c r="A59" s="6">
        <v>44619</v>
      </c>
      <c r="B59" s="7">
        <v>0</v>
      </c>
    </row>
    <row r="60" spans="1:2" x14ac:dyDescent="0.35">
      <c r="A60" s="4">
        <v>44620</v>
      </c>
      <c r="B60" s="5">
        <v>84</v>
      </c>
    </row>
    <row r="61" spans="1:2" x14ac:dyDescent="0.35">
      <c r="A61" s="6">
        <v>44621</v>
      </c>
      <c r="B61" s="7">
        <v>90</v>
      </c>
    </row>
    <row r="62" spans="1:2" x14ac:dyDescent="0.35">
      <c r="A62" s="4">
        <v>44622</v>
      </c>
      <c r="B62" s="5">
        <v>0</v>
      </c>
    </row>
    <row r="63" spans="1:2" x14ac:dyDescent="0.35">
      <c r="A63" s="6">
        <v>44623</v>
      </c>
      <c r="B63" s="7">
        <v>93</v>
      </c>
    </row>
    <row r="64" spans="1:2" x14ac:dyDescent="0.35">
      <c r="A64" s="4">
        <v>44624</v>
      </c>
      <c r="B64" s="5">
        <v>1189</v>
      </c>
    </row>
    <row r="65" spans="1:2" x14ac:dyDescent="0.35">
      <c r="A65" s="6">
        <v>44625</v>
      </c>
      <c r="B65" s="7">
        <v>139</v>
      </c>
    </row>
    <row r="66" spans="1:2" x14ac:dyDescent="0.35">
      <c r="A66" s="4">
        <v>44626</v>
      </c>
      <c r="B66" s="5">
        <v>0</v>
      </c>
    </row>
    <row r="67" spans="1:2" x14ac:dyDescent="0.35">
      <c r="A67" s="6">
        <v>44627</v>
      </c>
      <c r="B67" s="7">
        <v>0</v>
      </c>
    </row>
    <row r="68" spans="1:2" x14ac:dyDescent="0.35">
      <c r="A68" s="4">
        <v>44628</v>
      </c>
      <c r="B68" s="5">
        <v>75</v>
      </c>
    </row>
    <row r="69" spans="1:2" x14ac:dyDescent="0.35">
      <c r="A69" s="6">
        <v>44629</v>
      </c>
      <c r="B69" s="7">
        <v>612</v>
      </c>
    </row>
    <row r="70" spans="1:2" x14ac:dyDescent="0.35">
      <c r="A70" s="4">
        <v>44630</v>
      </c>
      <c r="B70" s="5">
        <v>0</v>
      </c>
    </row>
    <row r="71" spans="1:2" x14ac:dyDescent="0.35">
      <c r="A71" s="6">
        <v>44631</v>
      </c>
      <c r="B71" s="7">
        <v>137</v>
      </c>
    </row>
    <row r="72" spans="1:2" x14ac:dyDescent="0.35">
      <c r="A72" s="4">
        <v>44632</v>
      </c>
      <c r="B72" s="5">
        <v>122</v>
      </c>
    </row>
    <row r="73" spans="1:2" x14ac:dyDescent="0.35">
      <c r="A73" s="6">
        <v>44633</v>
      </c>
      <c r="B73" s="7">
        <v>0</v>
      </c>
    </row>
    <row r="74" spans="1:2" x14ac:dyDescent="0.35">
      <c r="A74" s="4">
        <v>44634</v>
      </c>
      <c r="B74" s="5">
        <v>0</v>
      </c>
    </row>
    <row r="75" spans="1:2" x14ac:dyDescent="0.35">
      <c r="A75" s="6">
        <v>44635</v>
      </c>
      <c r="B75" s="7">
        <v>88</v>
      </c>
    </row>
    <row r="76" spans="1:2" x14ac:dyDescent="0.35">
      <c r="A76" s="4">
        <v>44636</v>
      </c>
      <c r="B76" s="5">
        <v>112</v>
      </c>
    </row>
    <row r="77" spans="1:2" x14ac:dyDescent="0.35">
      <c r="A77" s="6">
        <v>44637</v>
      </c>
      <c r="B77" s="7">
        <v>82</v>
      </c>
    </row>
    <row r="78" spans="1:2" x14ac:dyDescent="0.35">
      <c r="A78" s="4">
        <v>44638</v>
      </c>
      <c r="B78" s="5">
        <v>174</v>
      </c>
    </row>
    <row r="79" spans="1:2" x14ac:dyDescent="0.35">
      <c r="A79" s="6">
        <v>44639</v>
      </c>
      <c r="B79" s="7">
        <v>279</v>
      </c>
    </row>
    <row r="80" spans="1:2" x14ac:dyDescent="0.35">
      <c r="A80" s="4">
        <v>44640</v>
      </c>
      <c r="B80" s="5">
        <v>125</v>
      </c>
    </row>
    <row r="81" spans="1:2" x14ac:dyDescent="0.35">
      <c r="A81" s="6">
        <v>44641</v>
      </c>
      <c r="B81" s="7">
        <v>123</v>
      </c>
    </row>
    <row r="82" spans="1:2" x14ac:dyDescent="0.35">
      <c r="A82" s="4">
        <v>44642</v>
      </c>
      <c r="B82" s="5">
        <v>108</v>
      </c>
    </row>
    <row r="83" spans="1:2" x14ac:dyDescent="0.35">
      <c r="A83" s="6">
        <v>44643</v>
      </c>
      <c r="B83" s="7">
        <v>0</v>
      </c>
    </row>
    <row r="84" spans="1:2" x14ac:dyDescent="0.35">
      <c r="A84" s="4">
        <v>44644</v>
      </c>
      <c r="B84" s="5">
        <v>0</v>
      </c>
    </row>
    <row r="85" spans="1:2" x14ac:dyDescent="0.35">
      <c r="A85" s="6">
        <v>44645</v>
      </c>
      <c r="B85" s="7">
        <v>0</v>
      </c>
    </row>
    <row r="86" spans="1:2" x14ac:dyDescent="0.35">
      <c r="A86" s="4">
        <v>44646</v>
      </c>
      <c r="B86" s="5">
        <v>0</v>
      </c>
    </row>
    <row r="87" spans="1:2" x14ac:dyDescent="0.35">
      <c r="A87" s="6">
        <v>44647</v>
      </c>
      <c r="B87" s="7">
        <v>0</v>
      </c>
    </row>
    <row r="88" spans="1:2" x14ac:dyDescent="0.35">
      <c r="A88" s="4">
        <v>44648</v>
      </c>
      <c r="B88" s="5">
        <v>0</v>
      </c>
    </row>
    <row r="89" spans="1:2" x14ac:dyDescent="0.35">
      <c r="A89" s="6">
        <v>44649</v>
      </c>
      <c r="B89" s="7">
        <v>0</v>
      </c>
    </row>
    <row r="90" spans="1:2" x14ac:dyDescent="0.35">
      <c r="A90" s="4">
        <v>44650</v>
      </c>
      <c r="B90" s="5">
        <v>0</v>
      </c>
    </row>
    <row r="91" spans="1:2" x14ac:dyDescent="0.35">
      <c r="A91" s="6">
        <v>44651</v>
      </c>
      <c r="B91" s="7">
        <v>207</v>
      </c>
    </row>
    <row r="92" spans="1:2" x14ac:dyDescent="0.35">
      <c r="A92" s="4">
        <v>44652</v>
      </c>
      <c r="B92" s="5">
        <v>1299</v>
      </c>
    </row>
    <row r="93" spans="1:2" x14ac:dyDescent="0.35">
      <c r="A93" s="6">
        <v>44653</v>
      </c>
      <c r="B93" s="7">
        <v>218</v>
      </c>
    </row>
    <row r="94" spans="1:2" x14ac:dyDescent="0.35">
      <c r="A94" s="4">
        <v>44654</v>
      </c>
      <c r="B94" s="5">
        <v>0</v>
      </c>
    </row>
    <row r="95" spans="1:2" x14ac:dyDescent="0.35">
      <c r="A95" s="6">
        <v>44655</v>
      </c>
      <c r="B95" s="7">
        <v>0</v>
      </c>
    </row>
    <row r="96" spans="1:2" x14ac:dyDescent="0.35">
      <c r="A96" s="4">
        <v>44656</v>
      </c>
      <c r="B96" s="5">
        <v>0</v>
      </c>
    </row>
    <row r="97" spans="1:2" x14ac:dyDescent="0.35">
      <c r="A97" s="6">
        <v>44657</v>
      </c>
      <c r="B97" s="7">
        <v>220</v>
      </c>
    </row>
    <row r="98" spans="1:2" x14ac:dyDescent="0.35">
      <c r="A98" s="4">
        <v>44658</v>
      </c>
      <c r="B98" s="5">
        <v>72</v>
      </c>
    </row>
    <row r="99" spans="1:2" x14ac:dyDescent="0.35">
      <c r="A99" s="6">
        <v>44659</v>
      </c>
      <c r="B99" s="7">
        <v>0</v>
      </c>
    </row>
    <row r="100" spans="1:2" x14ac:dyDescent="0.35">
      <c r="A100" s="4">
        <v>44660</v>
      </c>
      <c r="B100" s="5">
        <v>0</v>
      </c>
    </row>
    <row r="101" spans="1:2" x14ac:dyDescent="0.35">
      <c r="A101" s="6">
        <v>44661</v>
      </c>
      <c r="B101" s="7">
        <v>0</v>
      </c>
    </row>
    <row r="102" spans="1:2" x14ac:dyDescent="0.35">
      <c r="A102" s="4">
        <v>44662</v>
      </c>
      <c r="B102" s="5">
        <v>0</v>
      </c>
    </row>
    <row r="103" spans="1:2" x14ac:dyDescent="0.35">
      <c r="A103" s="6">
        <v>44663</v>
      </c>
      <c r="B103" s="7">
        <v>0</v>
      </c>
    </row>
    <row r="104" spans="1:2" x14ac:dyDescent="0.35">
      <c r="A104" s="4">
        <v>44664</v>
      </c>
      <c r="B104" s="5">
        <v>205</v>
      </c>
    </row>
    <row r="105" spans="1:2" x14ac:dyDescent="0.35">
      <c r="A105" s="6">
        <v>44665</v>
      </c>
      <c r="B105" s="7">
        <v>0</v>
      </c>
    </row>
    <row r="106" spans="1:2" x14ac:dyDescent="0.35">
      <c r="A106" s="4">
        <v>44666</v>
      </c>
      <c r="B106" s="5">
        <v>436</v>
      </c>
    </row>
    <row r="107" spans="1:2" x14ac:dyDescent="0.35">
      <c r="A107" s="6">
        <v>44667</v>
      </c>
      <c r="B107" s="7">
        <v>622</v>
      </c>
    </row>
    <row r="108" spans="1:2" x14ac:dyDescent="0.35">
      <c r="A108" s="4">
        <v>44668</v>
      </c>
      <c r="B108" s="5">
        <v>34</v>
      </c>
    </row>
    <row r="109" spans="1:2" x14ac:dyDescent="0.35">
      <c r="A109" s="6">
        <v>44669</v>
      </c>
      <c r="B109" s="7">
        <v>0</v>
      </c>
    </row>
    <row r="110" spans="1:2" x14ac:dyDescent="0.35">
      <c r="A110" s="4">
        <v>44670</v>
      </c>
      <c r="B110" s="5">
        <v>0</v>
      </c>
    </row>
    <row r="111" spans="1:2" x14ac:dyDescent="0.35">
      <c r="A111" s="6">
        <v>44671</v>
      </c>
      <c r="B111" s="7">
        <v>0</v>
      </c>
    </row>
    <row r="112" spans="1:2" x14ac:dyDescent="0.35">
      <c r="A112" s="4">
        <v>44672</v>
      </c>
      <c r="B112" s="5">
        <v>0</v>
      </c>
    </row>
    <row r="113" spans="1:2" x14ac:dyDescent="0.35">
      <c r="A113" s="6">
        <v>44673</v>
      </c>
      <c r="B113" s="7">
        <v>0</v>
      </c>
    </row>
    <row r="114" spans="1:2" x14ac:dyDescent="0.35">
      <c r="A114" s="4">
        <v>44674</v>
      </c>
      <c r="B114" s="5">
        <v>0</v>
      </c>
    </row>
    <row r="115" spans="1:2" x14ac:dyDescent="0.35">
      <c r="A115" s="6">
        <v>44675</v>
      </c>
      <c r="B115" s="7">
        <v>0</v>
      </c>
    </row>
    <row r="116" spans="1:2" x14ac:dyDescent="0.35">
      <c r="A116" s="4">
        <v>44676</v>
      </c>
      <c r="B116" s="5">
        <v>0</v>
      </c>
    </row>
    <row r="117" spans="1:2" x14ac:dyDescent="0.35">
      <c r="A117" s="6">
        <v>44677</v>
      </c>
      <c r="B117" s="7">
        <v>0</v>
      </c>
    </row>
    <row r="118" spans="1:2" x14ac:dyDescent="0.35">
      <c r="A118" s="4">
        <v>44678</v>
      </c>
      <c r="B118" s="5">
        <v>0</v>
      </c>
    </row>
    <row r="119" spans="1:2" x14ac:dyDescent="0.35">
      <c r="A119" s="6">
        <v>44679</v>
      </c>
      <c r="B119" s="7">
        <v>36</v>
      </c>
    </row>
    <row r="120" spans="1:2" x14ac:dyDescent="0.35">
      <c r="A120" s="4">
        <v>44680</v>
      </c>
      <c r="B120" s="5">
        <v>542</v>
      </c>
    </row>
    <row r="121" spans="1:2" x14ac:dyDescent="0.35">
      <c r="A121" s="6">
        <v>44681</v>
      </c>
      <c r="B121" s="7">
        <v>529</v>
      </c>
    </row>
    <row r="122" spans="1:2" x14ac:dyDescent="0.35">
      <c r="A122" s="4">
        <v>44682</v>
      </c>
      <c r="B122" s="5">
        <v>890</v>
      </c>
    </row>
    <row r="123" spans="1:2" x14ac:dyDescent="0.35">
      <c r="A123" s="6">
        <v>44683</v>
      </c>
      <c r="B123" s="7">
        <v>609</v>
      </c>
    </row>
    <row r="124" spans="1:2" x14ac:dyDescent="0.35">
      <c r="A124" s="4">
        <v>44684</v>
      </c>
      <c r="B124" s="5">
        <v>79</v>
      </c>
    </row>
    <row r="125" spans="1:2" x14ac:dyDescent="0.35">
      <c r="A125" s="6">
        <v>44685</v>
      </c>
      <c r="B125" s="7">
        <v>0</v>
      </c>
    </row>
    <row r="126" spans="1:2" x14ac:dyDescent="0.35">
      <c r="A126" s="4">
        <v>44686</v>
      </c>
      <c r="B126" s="5">
        <v>0</v>
      </c>
    </row>
    <row r="127" spans="1:2" x14ac:dyDescent="0.35">
      <c r="A127" s="6">
        <v>44687</v>
      </c>
      <c r="B127" s="7">
        <v>0</v>
      </c>
    </row>
    <row r="128" spans="1:2" x14ac:dyDescent="0.35">
      <c r="A128" s="4">
        <v>44688</v>
      </c>
      <c r="B128" s="5">
        <v>0</v>
      </c>
    </row>
    <row r="129" spans="1:2" x14ac:dyDescent="0.35">
      <c r="A129" s="6">
        <v>44689</v>
      </c>
      <c r="B129" s="7">
        <v>0</v>
      </c>
    </row>
    <row r="130" spans="1:2" x14ac:dyDescent="0.35">
      <c r="A130" s="4">
        <v>44690</v>
      </c>
      <c r="B130" s="5">
        <v>0</v>
      </c>
    </row>
    <row r="131" spans="1:2" x14ac:dyDescent="0.35">
      <c r="A131" s="6">
        <v>44691</v>
      </c>
      <c r="B131" s="7">
        <v>467</v>
      </c>
    </row>
    <row r="132" spans="1:2" x14ac:dyDescent="0.35">
      <c r="A132" s="4">
        <v>44692</v>
      </c>
      <c r="B132" s="5">
        <v>234</v>
      </c>
    </row>
    <row r="133" spans="1:2" x14ac:dyDescent="0.35">
      <c r="A133" s="6">
        <v>44693</v>
      </c>
      <c r="B133" s="7">
        <v>0</v>
      </c>
    </row>
    <row r="134" spans="1:2" x14ac:dyDescent="0.35">
      <c r="A134" s="4">
        <v>44694</v>
      </c>
      <c r="B134" s="5">
        <v>0</v>
      </c>
    </row>
    <row r="135" spans="1:2" x14ac:dyDescent="0.35">
      <c r="A135" s="6">
        <v>44695</v>
      </c>
      <c r="B135" s="7">
        <v>0</v>
      </c>
    </row>
    <row r="136" spans="1:2" x14ac:dyDescent="0.35">
      <c r="A136" s="4">
        <v>44696</v>
      </c>
      <c r="B136" s="5">
        <v>0</v>
      </c>
    </row>
    <row r="137" spans="1:2" x14ac:dyDescent="0.35">
      <c r="A137" s="6">
        <v>44697</v>
      </c>
      <c r="B137" s="7">
        <v>65</v>
      </c>
    </row>
    <row r="138" spans="1:2" x14ac:dyDescent="0.35">
      <c r="A138" s="4">
        <v>44698</v>
      </c>
      <c r="B138" s="5">
        <v>781</v>
      </c>
    </row>
    <row r="139" spans="1:2" x14ac:dyDescent="0.35">
      <c r="A139" s="6">
        <v>44699</v>
      </c>
      <c r="B139" s="7">
        <v>778</v>
      </c>
    </row>
    <row r="140" spans="1:2" x14ac:dyDescent="0.35">
      <c r="A140" s="4">
        <v>44700</v>
      </c>
      <c r="B140" s="5">
        <v>32</v>
      </c>
    </row>
    <row r="141" spans="1:2" x14ac:dyDescent="0.35">
      <c r="A141" s="6">
        <v>44701</v>
      </c>
      <c r="B141" s="7">
        <v>0</v>
      </c>
    </row>
    <row r="142" spans="1:2" x14ac:dyDescent="0.35">
      <c r="A142" s="4">
        <v>44702</v>
      </c>
      <c r="B142" s="5">
        <v>0</v>
      </c>
    </row>
    <row r="143" spans="1:2" x14ac:dyDescent="0.35">
      <c r="A143" s="6">
        <v>44703</v>
      </c>
      <c r="B143" s="7">
        <v>0</v>
      </c>
    </row>
    <row r="144" spans="1:2" x14ac:dyDescent="0.35">
      <c r="A144" s="4">
        <v>44704</v>
      </c>
      <c r="B144" s="5">
        <v>0</v>
      </c>
    </row>
    <row r="145" spans="1:2" x14ac:dyDescent="0.35">
      <c r="A145" s="6">
        <v>44705</v>
      </c>
      <c r="B145" s="7">
        <v>0</v>
      </c>
    </row>
    <row r="146" spans="1:2" x14ac:dyDescent="0.35">
      <c r="A146" s="4">
        <v>44706</v>
      </c>
      <c r="B146" s="5">
        <v>0</v>
      </c>
    </row>
    <row r="147" spans="1:2" x14ac:dyDescent="0.35">
      <c r="A147" s="6">
        <v>44707</v>
      </c>
      <c r="B147" s="7">
        <v>0</v>
      </c>
    </row>
    <row r="148" spans="1:2" x14ac:dyDescent="0.35">
      <c r="A148" s="4">
        <v>44708</v>
      </c>
      <c r="B148" s="5">
        <v>0</v>
      </c>
    </row>
    <row r="149" spans="1:2" x14ac:dyDescent="0.35">
      <c r="A149" s="6">
        <v>44709</v>
      </c>
      <c r="B149" s="7">
        <v>0</v>
      </c>
    </row>
    <row r="150" spans="1:2" x14ac:dyDescent="0.35">
      <c r="A150" s="4">
        <v>44710</v>
      </c>
      <c r="B150" s="5">
        <v>0</v>
      </c>
    </row>
    <row r="151" spans="1:2" x14ac:dyDescent="0.35">
      <c r="A151" s="6">
        <v>44711</v>
      </c>
      <c r="B151" s="7">
        <v>0</v>
      </c>
    </row>
    <row r="152" spans="1:2" x14ac:dyDescent="0.35">
      <c r="A152" s="4">
        <v>44712</v>
      </c>
      <c r="B152" s="5">
        <v>0</v>
      </c>
    </row>
    <row r="153" spans="1:2" x14ac:dyDescent="0.35">
      <c r="A153" s="6">
        <v>44713</v>
      </c>
      <c r="B153" s="7">
        <v>0</v>
      </c>
    </row>
    <row r="154" spans="1:2" x14ac:dyDescent="0.35">
      <c r="A154" s="4">
        <v>44714</v>
      </c>
      <c r="B154" s="5">
        <v>18</v>
      </c>
    </row>
    <row r="155" spans="1:2" x14ac:dyDescent="0.35">
      <c r="A155" s="6">
        <v>44715</v>
      </c>
      <c r="B155" s="7">
        <v>525</v>
      </c>
    </row>
    <row r="156" spans="1:2" x14ac:dyDescent="0.35">
      <c r="A156" s="4">
        <v>44716</v>
      </c>
      <c r="B156" s="5">
        <v>697</v>
      </c>
    </row>
    <row r="157" spans="1:2" x14ac:dyDescent="0.35">
      <c r="A157" s="6">
        <v>44717</v>
      </c>
      <c r="B157" s="7">
        <v>786</v>
      </c>
    </row>
    <row r="158" spans="1:2" x14ac:dyDescent="0.35">
      <c r="A158" s="4">
        <v>44718</v>
      </c>
      <c r="B158" s="5">
        <v>792</v>
      </c>
    </row>
    <row r="159" spans="1:2" x14ac:dyDescent="0.35">
      <c r="A159" s="6">
        <v>44719</v>
      </c>
      <c r="B159" s="7">
        <v>0</v>
      </c>
    </row>
    <row r="160" spans="1:2" x14ac:dyDescent="0.35">
      <c r="A160" s="4">
        <v>44720</v>
      </c>
      <c r="B160" s="5">
        <v>0</v>
      </c>
    </row>
    <row r="161" spans="1:2" x14ac:dyDescent="0.35">
      <c r="A161" s="6">
        <v>44721</v>
      </c>
      <c r="B161" s="7">
        <v>0</v>
      </c>
    </row>
    <row r="162" spans="1:2" x14ac:dyDescent="0.35">
      <c r="A162" s="4">
        <v>44722</v>
      </c>
      <c r="B162" s="5">
        <v>0</v>
      </c>
    </row>
    <row r="163" spans="1:2" x14ac:dyDescent="0.35">
      <c r="A163" s="6">
        <v>44723</v>
      </c>
      <c r="B163" s="7">
        <v>0</v>
      </c>
    </row>
    <row r="164" spans="1:2" x14ac:dyDescent="0.35">
      <c r="A164" s="4">
        <v>44724</v>
      </c>
      <c r="B164" s="5">
        <v>0</v>
      </c>
    </row>
    <row r="165" spans="1:2" x14ac:dyDescent="0.35">
      <c r="A165" s="6">
        <v>44725</v>
      </c>
      <c r="B165" s="7">
        <v>0</v>
      </c>
    </row>
    <row r="166" spans="1:2" x14ac:dyDescent="0.35">
      <c r="A166" s="4">
        <v>44726</v>
      </c>
      <c r="B166" s="5">
        <v>0</v>
      </c>
    </row>
    <row r="167" spans="1:2" x14ac:dyDescent="0.35">
      <c r="A167" s="6">
        <v>44727</v>
      </c>
      <c r="B167" s="7">
        <v>0</v>
      </c>
    </row>
    <row r="168" spans="1:2" x14ac:dyDescent="0.35">
      <c r="A168" s="4">
        <v>44728</v>
      </c>
      <c r="B168" s="5">
        <v>0</v>
      </c>
    </row>
    <row r="169" spans="1:2" x14ac:dyDescent="0.35">
      <c r="A169" s="6">
        <v>44729</v>
      </c>
      <c r="B169" s="7">
        <v>998</v>
      </c>
    </row>
    <row r="170" spans="1:2" x14ac:dyDescent="0.35">
      <c r="A170" s="4">
        <v>44730</v>
      </c>
      <c r="B170" s="5">
        <v>0</v>
      </c>
    </row>
    <row r="171" spans="1:2" x14ac:dyDescent="0.35">
      <c r="A171" s="6">
        <v>44731</v>
      </c>
      <c r="B171" s="7">
        <v>0</v>
      </c>
    </row>
    <row r="172" spans="1:2" x14ac:dyDescent="0.35">
      <c r="A172" s="4">
        <v>44732</v>
      </c>
      <c r="B172" s="5">
        <v>0</v>
      </c>
    </row>
    <row r="173" spans="1:2" x14ac:dyDescent="0.35">
      <c r="A173" s="6">
        <v>44733</v>
      </c>
      <c r="B173" s="7">
        <v>0</v>
      </c>
    </row>
    <row r="174" spans="1:2" x14ac:dyDescent="0.35">
      <c r="A174" s="4">
        <v>44734</v>
      </c>
      <c r="B174" s="5">
        <v>0</v>
      </c>
    </row>
    <row r="175" spans="1:2" x14ac:dyDescent="0.35">
      <c r="A175" s="6">
        <v>44735</v>
      </c>
      <c r="B175" s="7">
        <v>0</v>
      </c>
    </row>
    <row r="176" spans="1:2" x14ac:dyDescent="0.35">
      <c r="A176" s="4">
        <v>44736</v>
      </c>
      <c r="B176" s="5">
        <v>0</v>
      </c>
    </row>
    <row r="177" spans="1:2" x14ac:dyDescent="0.35">
      <c r="A177" s="6">
        <v>44737</v>
      </c>
      <c r="B177" s="7">
        <v>0</v>
      </c>
    </row>
    <row r="178" spans="1:2" x14ac:dyDescent="0.35">
      <c r="A178" s="4">
        <v>44738</v>
      </c>
      <c r="B178" s="5">
        <v>540</v>
      </c>
    </row>
    <row r="179" spans="1:2" x14ac:dyDescent="0.35">
      <c r="A179" s="6">
        <v>44739</v>
      </c>
      <c r="B179" s="7">
        <v>607</v>
      </c>
    </row>
    <row r="180" spans="1:2" x14ac:dyDescent="0.35">
      <c r="A180" s="4">
        <v>44740</v>
      </c>
      <c r="B180" s="5">
        <v>603</v>
      </c>
    </row>
    <row r="181" spans="1:2" x14ac:dyDescent="0.35">
      <c r="A181" s="6">
        <v>44741</v>
      </c>
      <c r="B181" s="7">
        <v>0</v>
      </c>
    </row>
    <row r="182" spans="1:2" x14ac:dyDescent="0.35">
      <c r="A182" s="4">
        <v>44742</v>
      </c>
      <c r="B182" s="5">
        <v>0</v>
      </c>
    </row>
    <row r="183" spans="1:2" x14ac:dyDescent="0.35">
      <c r="A183" s="6">
        <v>44743</v>
      </c>
      <c r="B183" s="7">
        <v>0</v>
      </c>
    </row>
    <row r="184" spans="1:2" x14ac:dyDescent="0.35">
      <c r="A184" s="4">
        <v>44744</v>
      </c>
      <c r="B184" s="5">
        <v>0</v>
      </c>
    </row>
    <row r="185" spans="1:2" x14ac:dyDescent="0.35">
      <c r="A185" s="6">
        <v>44745</v>
      </c>
      <c r="B185" s="7">
        <v>0</v>
      </c>
    </row>
    <row r="186" spans="1:2" x14ac:dyDescent="0.35">
      <c r="A186" s="4">
        <v>44746</v>
      </c>
      <c r="B186" s="5">
        <v>0</v>
      </c>
    </row>
    <row r="187" spans="1:2" x14ac:dyDescent="0.35">
      <c r="A187" s="6">
        <v>44747</v>
      </c>
      <c r="B187" s="7">
        <v>0</v>
      </c>
    </row>
    <row r="188" spans="1:2" x14ac:dyDescent="0.35">
      <c r="A188" s="4">
        <v>44748</v>
      </c>
      <c r="B188" s="5">
        <v>527</v>
      </c>
    </row>
    <row r="189" spans="1:2" x14ac:dyDescent="0.35">
      <c r="A189" s="6">
        <v>44749</v>
      </c>
      <c r="B189" s="7">
        <v>619</v>
      </c>
    </row>
    <row r="190" spans="1:2" x14ac:dyDescent="0.35">
      <c r="A190" s="4">
        <v>44750</v>
      </c>
      <c r="B190" s="5">
        <v>0</v>
      </c>
    </row>
    <row r="191" spans="1:2" x14ac:dyDescent="0.35">
      <c r="A191" s="6">
        <v>44751</v>
      </c>
      <c r="B191" s="7">
        <v>0</v>
      </c>
    </row>
    <row r="192" spans="1:2" x14ac:dyDescent="0.35">
      <c r="A192" s="4">
        <v>44752</v>
      </c>
      <c r="B192" s="5">
        <v>0</v>
      </c>
    </row>
    <row r="193" spans="1:2" x14ac:dyDescent="0.35">
      <c r="A193" s="6">
        <v>44753</v>
      </c>
      <c r="B193" s="7">
        <v>170</v>
      </c>
    </row>
    <row r="194" spans="1:2" x14ac:dyDescent="0.35">
      <c r="A194" s="4">
        <v>44754</v>
      </c>
      <c r="B194" s="5">
        <v>13</v>
      </c>
    </row>
    <row r="195" spans="1:2" x14ac:dyDescent="0.35">
      <c r="A195" s="6">
        <v>44755</v>
      </c>
      <c r="B195" s="7">
        <v>0</v>
      </c>
    </row>
    <row r="196" spans="1:2" x14ac:dyDescent="0.35">
      <c r="A196" s="4">
        <v>44756</v>
      </c>
      <c r="B196" s="5">
        <v>0</v>
      </c>
    </row>
    <row r="197" spans="1:2" x14ac:dyDescent="0.35">
      <c r="A197" s="6">
        <v>44757</v>
      </c>
      <c r="B197" s="7">
        <v>0</v>
      </c>
    </row>
    <row r="198" spans="1:2" x14ac:dyDescent="0.35">
      <c r="A198" s="4">
        <v>44758</v>
      </c>
      <c r="B198" s="5">
        <v>0</v>
      </c>
    </row>
    <row r="199" spans="1:2" x14ac:dyDescent="0.35">
      <c r="A199" s="6">
        <v>44759</v>
      </c>
      <c r="B199" s="7">
        <v>518</v>
      </c>
    </row>
    <row r="200" spans="1:2" x14ac:dyDescent="0.35">
      <c r="A200" s="4">
        <v>44760</v>
      </c>
      <c r="B200" s="5">
        <v>791</v>
      </c>
    </row>
    <row r="201" spans="1:2" x14ac:dyDescent="0.35">
      <c r="A201" s="6">
        <v>44761</v>
      </c>
      <c r="B201" s="7">
        <v>673</v>
      </c>
    </row>
    <row r="202" spans="1:2" x14ac:dyDescent="0.35">
      <c r="A202" s="4">
        <v>44762</v>
      </c>
      <c r="B202" s="5">
        <v>601</v>
      </c>
    </row>
    <row r="203" spans="1:2" x14ac:dyDescent="0.35">
      <c r="A203" s="6">
        <v>44763</v>
      </c>
      <c r="B203" s="7">
        <v>612</v>
      </c>
    </row>
    <row r="204" spans="1:2" x14ac:dyDescent="0.35">
      <c r="A204" s="4">
        <v>44764</v>
      </c>
      <c r="B204" s="5">
        <v>705</v>
      </c>
    </row>
    <row r="205" spans="1:2" x14ac:dyDescent="0.35">
      <c r="A205" s="6">
        <v>44765</v>
      </c>
      <c r="B205" s="7">
        <v>0</v>
      </c>
    </row>
    <row r="206" spans="1:2" x14ac:dyDescent="0.35">
      <c r="A206" s="4">
        <v>44766</v>
      </c>
      <c r="B206" s="5">
        <v>0</v>
      </c>
    </row>
    <row r="207" spans="1:2" x14ac:dyDescent="0.35">
      <c r="A207" s="6">
        <v>44767</v>
      </c>
      <c r="B207" s="7">
        <v>1100</v>
      </c>
    </row>
    <row r="208" spans="1:2" x14ac:dyDescent="0.35">
      <c r="A208" s="4">
        <v>44768</v>
      </c>
      <c r="B208" s="5">
        <v>118</v>
      </c>
    </row>
    <row r="209" spans="1:2" x14ac:dyDescent="0.35">
      <c r="A209" s="6">
        <v>44769</v>
      </c>
      <c r="B209" s="7">
        <v>69</v>
      </c>
    </row>
    <row r="210" spans="1:2" x14ac:dyDescent="0.35">
      <c r="A210" s="4">
        <v>44770</v>
      </c>
      <c r="B210" s="5">
        <v>0</v>
      </c>
    </row>
    <row r="211" spans="1:2" x14ac:dyDescent="0.35">
      <c r="A211" s="6">
        <v>44771</v>
      </c>
      <c r="B211" s="7">
        <v>0</v>
      </c>
    </row>
    <row r="212" spans="1:2" x14ac:dyDescent="0.35">
      <c r="A212" s="4">
        <v>44772</v>
      </c>
      <c r="B212" s="5">
        <v>0</v>
      </c>
    </row>
    <row r="213" spans="1:2" x14ac:dyDescent="0.35">
      <c r="A213" s="6">
        <v>44773</v>
      </c>
      <c r="B213" s="7">
        <v>0</v>
      </c>
    </row>
    <row r="214" spans="1:2" x14ac:dyDescent="0.35">
      <c r="A214" s="4">
        <v>44774</v>
      </c>
      <c r="B214" s="5">
        <v>0</v>
      </c>
    </row>
    <row r="215" spans="1:2" x14ac:dyDescent="0.35">
      <c r="A215" s="6">
        <v>44775</v>
      </c>
      <c r="B215" s="7">
        <v>0</v>
      </c>
    </row>
    <row r="216" spans="1:2" x14ac:dyDescent="0.35">
      <c r="A216" s="4">
        <v>44776</v>
      </c>
      <c r="B216" s="5">
        <v>0</v>
      </c>
    </row>
    <row r="217" spans="1:2" x14ac:dyDescent="0.35">
      <c r="A217" s="6">
        <v>44777</v>
      </c>
      <c r="B217" s="7">
        <v>0</v>
      </c>
    </row>
    <row r="218" spans="1:2" x14ac:dyDescent="0.35">
      <c r="A218" s="4">
        <v>44778</v>
      </c>
      <c r="B218" s="5">
        <v>0</v>
      </c>
    </row>
    <row r="219" spans="1:2" x14ac:dyDescent="0.35">
      <c r="A219" s="6">
        <v>44779</v>
      </c>
      <c r="B219" s="7">
        <v>0</v>
      </c>
    </row>
    <row r="220" spans="1:2" x14ac:dyDescent="0.35">
      <c r="A220" s="4">
        <v>44780</v>
      </c>
      <c r="B220" s="5">
        <v>0</v>
      </c>
    </row>
    <row r="221" spans="1:2" x14ac:dyDescent="0.35">
      <c r="A221" s="6">
        <v>44781</v>
      </c>
      <c r="B221" s="7">
        <v>660</v>
      </c>
    </row>
    <row r="222" spans="1:2" x14ac:dyDescent="0.35">
      <c r="A222" s="4">
        <v>44782</v>
      </c>
      <c r="B222" s="5">
        <v>1245</v>
      </c>
    </row>
    <row r="223" spans="1:2" x14ac:dyDescent="0.35">
      <c r="A223" s="6">
        <v>44783</v>
      </c>
      <c r="B223" s="7">
        <v>745</v>
      </c>
    </row>
    <row r="224" spans="1:2" x14ac:dyDescent="0.35">
      <c r="A224" s="4">
        <v>44784</v>
      </c>
      <c r="B224" s="5">
        <v>48</v>
      </c>
    </row>
    <row r="225" spans="1:2" x14ac:dyDescent="0.35">
      <c r="A225" s="6">
        <v>44785</v>
      </c>
      <c r="B225" s="7">
        <v>0</v>
      </c>
    </row>
    <row r="226" spans="1:2" x14ac:dyDescent="0.35">
      <c r="A226" s="4">
        <v>44786</v>
      </c>
      <c r="B226" s="5">
        <v>0</v>
      </c>
    </row>
    <row r="227" spans="1:2" x14ac:dyDescent="0.35">
      <c r="A227" s="6">
        <v>44787</v>
      </c>
      <c r="B227" s="7">
        <v>0</v>
      </c>
    </row>
    <row r="228" spans="1:2" x14ac:dyDescent="0.35">
      <c r="A228" s="4">
        <v>44788</v>
      </c>
      <c r="B228" s="5">
        <v>0</v>
      </c>
    </row>
    <row r="229" spans="1:2" x14ac:dyDescent="0.35">
      <c r="A229" s="6">
        <v>44789</v>
      </c>
      <c r="B229" s="7">
        <v>0</v>
      </c>
    </row>
    <row r="230" spans="1:2" x14ac:dyDescent="0.35">
      <c r="A230" s="4">
        <v>44790</v>
      </c>
      <c r="B230" s="5">
        <v>0</v>
      </c>
    </row>
    <row r="231" spans="1:2" x14ac:dyDescent="0.35">
      <c r="A231" s="6">
        <v>44791</v>
      </c>
      <c r="B231" s="7">
        <v>0</v>
      </c>
    </row>
    <row r="232" spans="1:2" x14ac:dyDescent="0.35">
      <c r="A232" s="4">
        <v>44792</v>
      </c>
      <c r="B232" s="5">
        <v>0</v>
      </c>
    </row>
    <row r="233" spans="1:2" x14ac:dyDescent="0.35">
      <c r="A233" s="6">
        <v>44793</v>
      </c>
      <c r="B233" s="7">
        <v>0</v>
      </c>
    </row>
    <row r="234" spans="1:2" x14ac:dyDescent="0.35">
      <c r="A234" s="4">
        <v>44794</v>
      </c>
      <c r="B234" s="5">
        <v>0</v>
      </c>
    </row>
    <row r="235" spans="1:2" x14ac:dyDescent="0.35">
      <c r="A235" s="6">
        <v>44795</v>
      </c>
      <c r="B235" s="7">
        <v>0</v>
      </c>
    </row>
    <row r="236" spans="1:2" x14ac:dyDescent="0.35">
      <c r="A236" s="4">
        <v>44796</v>
      </c>
      <c r="B236" s="5">
        <v>0</v>
      </c>
    </row>
    <row r="237" spans="1:2" x14ac:dyDescent="0.35">
      <c r="A237" s="6">
        <v>44797</v>
      </c>
      <c r="B237" s="7">
        <v>0</v>
      </c>
    </row>
    <row r="238" spans="1:2" x14ac:dyDescent="0.35">
      <c r="A238" s="4">
        <v>44798</v>
      </c>
      <c r="B238" s="5">
        <v>0</v>
      </c>
    </row>
    <row r="239" spans="1:2" x14ac:dyDescent="0.35">
      <c r="A239" s="6">
        <v>44799</v>
      </c>
      <c r="B239" s="7">
        <v>0</v>
      </c>
    </row>
    <row r="240" spans="1:2" x14ac:dyDescent="0.35">
      <c r="A240" s="4">
        <v>44800</v>
      </c>
      <c r="B240" s="5">
        <v>0</v>
      </c>
    </row>
    <row r="241" spans="1:2" x14ac:dyDescent="0.35">
      <c r="A241" s="6">
        <v>44801</v>
      </c>
      <c r="B241" s="7">
        <v>0</v>
      </c>
    </row>
    <row r="242" spans="1:2" x14ac:dyDescent="0.35">
      <c r="A242" s="4">
        <v>44802</v>
      </c>
      <c r="B242" s="5">
        <v>0</v>
      </c>
    </row>
    <row r="243" spans="1:2" x14ac:dyDescent="0.35">
      <c r="A243" s="6">
        <v>44803</v>
      </c>
      <c r="B243" s="7">
        <v>0</v>
      </c>
    </row>
    <row r="244" spans="1:2" x14ac:dyDescent="0.35">
      <c r="A244" s="4">
        <v>44804</v>
      </c>
      <c r="B244" s="5">
        <v>0</v>
      </c>
    </row>
    <row r="245" spans="1:2" x14ac:dyDescent="0.35">
      <c r="A245" s="6">
        <v>44805</v>
      </c>
      <c r="B245" s="7">
        <v>0</v>
      </c>
    </row>
    <row r="246" spans="1:2" x14ac:dyDescent="0.35">
      <c r="A246" s="4">
        <v>44806</v>
      </c>
      <c r="B246" s="5">
        <v>388</v>
      </c>
    </row>
    <row r="247" spans="1:2" x14ac:dyDescent="0.35">
      <c r="A247" s="6">
        <v>44807</v>
      </c>
      <c r="B247" s="7">
        <v>415</v>
      </c>
    </row>
    <row r="248" spans="1:2" x14ac:dyDescent="0.35">
      <c r="A248" s="4">
        <v>44808</v>
      </c>
      <c r="B248" s="5">
        <v>560</v>
      </c>
    </row>
    <row r="249" spans="1:2" x14ac:dyDescent="0.35">
      <c r="A249" s="6">
        <v>44809</v>
      </c>
      <c r="B249" s="7">
        <v>467</v>
      </c>
    </row>
    <row r="250" spans="1:2" x14ac:dyDescent="0.35">
      <c r="A250" s="4">
        <v>44810</v>
      </c>
      <c r="B250" s="5">
        <v>517</v>
      </c>
    </row>
    <row r="251" spans="1:2" x14ac:dyDescent="0.35">
      <c r="A251" s="6">
        <v>44811</v>
      </c>
      <c r="B251" s="7">
        <v>552</v>
      </c>
    </row>
    <row r="252" spans="1:2" x14ac:dyDescent="0.35">
      <c r="A252" s="4">
        <v>44812</v>
      </c>
      <c r="B252" s="5">
        <v>0</v>
      </c>
    </row>
    <row r="253" spans="1:2" x14ac:dyDescent="0.35">
      <c r="A253" s="6">
        <v>44813</v>
      </c>
      <c r="B253" s="7">
        <v>0</v>
      </c>
    </row>
    <row r="254" spans="1:2" x14ac:dyDescent="0.35">
      <c r="A254" s="4">
        <v>44814</v>
      </c>
      <c r="B254" s="5">
        <v>0</v>
      </c>
    </row>
    <row r="255" spans="1:2" x14ac:dyDescent="0.35">
      <c r="A255" s="6">
        <v>44815</v>
      </c>
      <c r="B255" s="7">
        <v>0</v>
      </c>
    </row>
    <row r="256" spans="1:2" x14ac:dyDescent="0.35">
      <c r="A256" s="4">
        <v>44816</v>
      </c>
      <c r="B256" s="5">
        <v>435</v>
      </c>
    </row>
    <row r="257" spans="1:2" x14ac:dyDescent="0.35">
      <c r="A257" s="6">
        <v>44817</v>
      </c>
      <c r="B257" s="7">
        <v>406</v>
      </c>
    </row>
    <row r="258" spans="1:2" x14ac:dyDescent="0.35">
      <c r="A258" s="4">
        <v>44818</v>
      </c>
      <c r="B258" s="5">
        <v>0</v>
      </c>
    </row>
    <row r="259" spans="1:2" x14ac:dyDescent="0.35">
      <c r="A259" s="6">
        <v>44819</v>
      </c>
      <c r="B259" s="7">
        <v>0</v>
      </c>
    </row>
    <row r="260" spans="1:2" x14ac:dyDescent="0.35">
      <c r="A260" s="4">
        <v>44820</v>
      </c>
      <c r="B260" s="5">
        <v>0</v>
      </c>
    </row>
    <row r="261" spans="1:2" x14ac:dyDescent="0.35">
      <c r="A261" s="6">
        <v>44821</v>
      </c>
      <c r="B261" s="7">
        <v>0</v>
      </c>
    </row>
    <row r="262" spans="1:2" x14ac:dyDescent="0.35">
      <c r="A262" s="4">
        <v>44822</v>
      </c>
      <c r="B262" s="5">
        <v>0</v>
      </c>
    </row>
    <row r="263" spans="1:2" x14ac:dyDescent="0.35">
      <c r="A263" s="6">
        <v>44823</v>
      </c>
      <c r="B263" s="7">
        <v>353</v>
      </c>
    </row>
    <row r="264" spans="1:2" x14ac:dyDescent="0.35">
      <c r="A264" s="4">
        <v>44824</v>
      </c>
      <c r="B264" s="5">
        <v>476</v>
      </c>
    </row>
    <row r="265" spans="1:2" x14ac:dyDescent="0.35">
      <c r="A265" s="6">
        <v>44825</v>
      </c>
      <c r="B265" s="7">
        <v>383</v>
      </c>
    </row>
    <row r="266" spans="1:2" x14ac:dyDescent="0.35">
      <c r="A266" s="4">
        <v>44826</v>
      </c>
      <c r="B266" s="5">
        <v>0</v>
      </c>
    </row>
    <row r="267" spans="1:2" x14ac:dyDescent="0.35">
      <c r="A267" s="6">
        <v>44827</v>
      </c>
      <c r="B267" s="7">
        <v>0</v>
      </c>
    </row>
    <row r="268" spans="1:2" x14ac:dyDescent="0.35">
      <c r="A268" s="4">
        <v>44828</v>
      </c>
      <c r="B268" s="5">
        <v>0</v>
      </c>
    </row>
    <row r="269" spans="1:2" x14ac:dyDescent="0.35">
      <c r="A269" s="6">
        <v>44829</v>
      </c>
      <c r="B269" s="7">
        <v>0</v>
      </c>
    </row>
    <row r="270" spans="1:2" x14ac:dyDescent="0.35">
      <c r="A270" s="4">
        <v>44830</v>
      </c>
      <c r="B270" s="5">
        <v>0</v>
      </c>
    </row>
    <row r="271" spans="1:2" x14ac:dyDescent="0.35">
      <c r="A271" s="6">
        <v>44831</v>
      </c>
      <c r="B271" s="7">
        <v>0</v>
      </c>
    </row>
    <row r="272" spans="1:2" x14ac:dyDescent="0.35">
      <c r="A272" s="4">
        <v>44832</v>
      </c>
      <c r="B272" s="5">
        <v>0</v>
      </c>
    </row>
    <row r="273" spans="1:2" x14ac:dyDescent="0.35">
      <c r="A273" s="6">
        <v>44833</v>
      </c>
      <c r="B273" s="7">
        <v>302</v>
      </c>
    </row>
    <row r="274" spans="1:2" x14ac:dyDescent="0.35">
      <c r="A274" s="4">
        <v>44834</v>
      </c>
      <c r="B274" s="5">
        <v>426</v>
      </c>
    </row>
    <row r="275" spans="1:2" x14ac:dyDescent="0.35">
      <c r="A275" s="6">
        <v>44835</v>
      </c>
      <c r="B275" s="7">
        <v>456</v>
      </c>
    </row>
    <row r="276" spans="1:2" x14ac:dyDescent="0.35">
      <c r="A276" s="4">
        <v>44836</v>
      </c>
      <c r="B276" s="5">
        <v>568</v>
      </c>
    </row>
    <row r="277" spans="1:2" x14ac:dyDescent="0.35">
      <c r="A277" s="6">
        <v>44837</v>
      </c>
      <c r="B277" s="7">
        <v>1182</v>
      </c>
    </row>
    <row r="278" spans="1:2" x14ac:dyDescent="0.35">
      <c r="A278" s="4">
        <v>44838</v>
      </c>
      <c r="B278" s="5">
        <v>0</v>
      </c>
    </row>
    <row r="279" spans="1:2" x14ac:dyDescent="0.35">
      <c r="A279" s="6">
        <v>44839</v>
      </c>
      <c r="B279" s="7">
        <v>0</v>
      </c>
    </row>
    <row r="280" spans="1:2" x14ac:dyDescent="0.35">
      <c r="A280" s="4">
        <v>44840</v>
      </c>
      <c r="B280" s="5">
        <v>0</v>
      </c>
    </row>
    <row r="281" spans="1:2" x14ac:dyDescent="0.35">
      <c r="A281" s="6">
        <v>44841</v>
      </c>
      <c r="B281" s="7">
        <v>0</v>
      </c>
    </row>
    <row r="282" spans="1:2" x14ac:dyDescent="0.35">
      <c r="A282" s="4">
        <v>44842</v>
      </c>
      <c r="B282" s="5">
        <v>0</v>
      </c>
    </row>
    <row r="283" spans="1:2" x14ac:dyDescent="0.35">
      <c r="A283" s="6">
        <v>44843</v>
      </c>
      <c r="B283" s="7">
        <v>0</v>
      </c>
    </row>
    <row r="284" spans="1:2" x14ac:dyDescent="0.35">
      <c r="A284" s="4">
        <v>44844</v>
      </c>
      <c r="B284" s="5">
        <v>1170</v>
      </c>
    </row>
    <row r="285" spans="1:2" x14ac:dyDescent="0.35">
      <c r="A285" s="6">
        <v>44845</v>
      </c>
      <c r="B285" s="7">
        <v>695</v>
      </c>
    </row>
    <row r="286" spans="1:2" x14ac:dyDescent="0.35">
      <c r="A286" s="4">
        <v>44846</v>
      </c>
      <c r="B286" s="5">
        <v>644</v>
      </c>
    </row>
    <row r="287" spans="1:2" x14ac:dyDescent="0.35">
      <c r="A287" s="6">
        <v>44847</v>
      </c>
      <c r="B287" s="7">
        <v>0</v>
      </c>
    </row>
    <row r="288" spans="1:2" x14ac:dyDescent="0.35">
      <c r="A288" s="4">
        <v>44848</v>
      </c>
      <c r="B288" s="5">
        <v>0</v>
      </c>
    </row>
    <row r="289" spans="1:2" x14ac:dyDescent="0.35">
      <c r="A289" s="6">
        <v>44849</v>
      </c>
      <c r="B289" s="7">
        <v>0</v>
      </c>
    </row>
    <row r="290" spans="1:2" x14ac:dyDescent="0.35">
      <c r="A290" s="4">
        <v>44850</v>
      </c>
      <c r="B290" s="5">
        <v>0</v>
      </c>
    </row>
    <row r="291" spans="1:2" x14ac:dyDescent="0.35">
      <c r="A291" s="6">
        <v>44851</v>
      </c>
      <c r="B291" s="7">
        <v>0</v>
      </c>
    </row>
    <row r="292" spans="1:2" x14ac:dyDescent="0.35">
      <c r="A292" s="4">
        <v>44852</v>
      </c>
      <c r="B292" s="5">
        <v>0</v>
      </c>
    </row>
    <row r="293" spans="1:2" x14ac:dyDescent="0.35">
      <c r="A293" s="6">
        <v>44853</v>
      </c>
      <c r="B293" s="7">
        <v>0</v>
      </c>
    </row>
    <row r="294" spans="1:2" x14ac:dyDescent="0.35">
      <c r="A294" s="4">
        <v>44854</v>
      </c>
      <c r="B294" s="5">
        <v>0</v>
      </c>
    </row>
    <row r="295" spans="1:2" x14ac:dyDescent="0.35">
      <c r="A295" s="6">
        <v>44855</v>
      </c>
      <c r="B295" s="7">
        <v>0</v>
      </c>
    </row>
    <row r="296" spans="1:2" x14ac:dyDescent="0.35">
      <c r="A296" s="4">
        <v>44856</v>
      </c>
      <c r="B296" s="5">
        <v>1084</v>
      </c>
    </row>
    <row r="297" spans="1:2" x14ac:dyDescent="0.35">
      <c r="A297" s="6">
        <v>44857</v>
      </c>
      <c r="B297" s="7">
        <v>1423</v>
      </c>
    </row>
    <row r="298" spans="1:2" x14ac:dyDescent="0.35">
      <c r="A298" s="4">
        <v>44858</v>
      </c>
      <c r="B298" s="5">
        <v>1315</v>
      </c>
    </row>
    <row r="299" spans="1:2" x14ac:dyDescent="0.35">
      <c r="A299" s="6">
        <v>44859</v>
      </c>
      <c r="B299" s="7">
        <v>717</v>
      </c>
    </row>
    <row r="300" spans="1:2" x14ac:dyDescent="0.35">
      <c r="A300" s="4">
        <v>44860</v>
      </c>
      <c r="B300" s="5">
        <v>1398</v>
      </c>
    </row>
    <row r="301" spans="1:2" x14ac:dyDescent="0.35">
      <c r="A301" s="6">
        <v>44861</v>
      </c>
      <c r="B301" s="7">
        <v>913</v>
      </c>
    </row>
    <row r="302" spans="1:2" x14ac:dyDescent="0.35">
      <c r="A302" s="4">
        <v>44862</v>
      </c>
      <c r="B302" s="5">
        <v>660</v>
      </c>
    </row>
    <row r="303" spans="1:2" x14ac:dyDescent="0.35">
      <c r="A303" s="6">
        <v>44863</v>
      </c>
      <c r="B303" s="7">
        <v>0</v>
      </c>
    </row>
    <row r="304" spans="1:2" x14ac:dyDescent="0.35">
      <c r="A304" s="4">
        <v>44864</v>
      </c>
      <c r="B304" s="5">
        <v>0</v>
      </c>
    </row>
    <row r="305" spans="1:2" x14ac:dyDescent="0.35">
      <c r="A305" s="6">
        <v>44865</v>
      </c>
      <c r="B305" s="7">
        <v>0</v>
      </c>
    </row>
    <row r="306" spans="1:2" x14ac:dyDescent="0.35">
      <c r="A306" s="4">
        <v>44866</v>
      </c>
      <c r="B306" s="5">
        <v>0</v>
      </c>
    </row>
    <row r="307" spans="1:2" x14ac:dyDescent="0.35">
      <c r="A307" s="6">
        <v>44867</v>
      </c>
      <c r="B307" s="7">
        <v>0</v>
      </c>
    </row>
    <row r="308" spans="1:2" x14ac:dyDescent="0.35">
      <c r="A308" s="4">
        <v>44868</v>
      </c>
      <c r="B308" s="5">
        <v>935</v>
      </c>
    </row>
    <row r="309" spans="1:2" x14ac:dyDescent="0.35">
      <c r="A309" s="6">
        <v>44869</v>
      </c>
      <c r="B309" s="7">
        <v>648</v>
      </c>
    </row>
    <row r="310" spans="1:2" x14ac:dyDescent="0.35">
      <c r="A310" s="4">
        <v>44870</v>
      </c>
      <c r="B310" s="5">
        <v>793</v>
      </c>
    </row>
    <row r="311" spans="1:2" x14ac:dyDescent="0.35">
      <c r="A311" s="6">
        <v>44871</v>
      </c>
      <c r="B311" s="7">
        <v>1276</v>
      </c>
    </row>
    <row r="312" spans="1:2" x14ac:dyDescent="0.35">
      <c r="A312" s="4">
        <v>44872</v>
      </c>
      <c r="B312" s="5">
        <v>1234</v>
      </c>
    </row>
    <row r="313" spans="1:2" x14ac:dyDescent="0.35">
      <c r="A313" s="6">
        <v>44873</v>
      </c>
      <c r="B313" s="7">
        <v>1302</v>
      </c>
    </row>
    <row r="314" spans="1:2" x14ac:dyDescent="0.35">
      <c r="A314" s="4">
        <v>44874</v>
      </c>
      <c r="B314" s="5">
        <v>1316</v>
      </c>
    </row>
    <row r="315" spans="1:2" x14ac:dyDescent="0.35">
      <c r="A315" s="6">
        <v>44875</v>
      </c>
      <c r="B315" s="7">
        <v>1463</v>
      </c>
    </row>
    <row r="316" spans="1:2" x14ac:dyDescent="0.35">
      <c r="A316" s="4">
        <v>44876</v>
      </c>
      <c r="B316" s="5">
        <v>771</v>
      </c>
    </row>
    <row r="317" spans="1:2" x14ac:dyDescent="0.35">
      <c r="A317" s="6">
        <v>44877</v>
      </c>
      <c r="B317" s="7">
        <v>0</v>
      </c>
    </row>
    <row r="318" spans="1:2" x14ac:dyDescent="0.35">
      <c r="A318" s="4">
        <v>44878</v>
      </c>
      <c r="B318" s="5">
        <v>0</v>
      </c>
    </row>
    <row r="319" spans="1:2" x14ac:dyDescent="0.35">
      <c r="A319" s="6">
        <v>44879</v>
      </c>
      <c r="B319" s="7">
        <v>0</v>
      </c>
    </row>
    <row r="320" spans="1:2" x14ac:dyDescent="0.35">
      <c r="A320" s="4">
        <v>44880</v>
      </c>
      <c r="B320" s="5">
        <v>0</v>
      </c>
    </row>
    <row r="321" spans="1:2" x14ac:dyDescent="0.35">
      <c r="A321" s="6">
        <v>44881</v>
      </c>
      <c r="B321" s="7">
        <v>0</v>
      </c>
    </row>
    <row r="322" spans="1:2" x14ac:dyDescent="0.35">
      <c r="A322" s="4">
        <v>44882</v>
      </c>
      <c r="B322" s="5">
        <v>0</v>
      </c>
    </row>
    <row r="323" spans="1:2" x14ac:dyDescent="0.35">
      <c r="A323" s="6">
        <v>44883</v>
      </c>
      <c r="B323" s="7">
        <v>0</v>
      </c>
    </row>
    <row r="324" spans="1:2" x14ac:dyDescent="0.35">
      <c r="A324" s="4">
        <v>44884</v>
      </c>
      <c r="B324" s="5">
        <v>816</v>
      </c>
    </row>
    <row r="325" spans="1:2" x14ac:dyDescent="0.35">
      <c r="A325" s="6">
        <v>44885</v>
      </c>
      <c r="B325" s="7">
        <v>734</v>
      </c>
    </row>
    <row r="326" spans="1:2" x14ac:dyDescent="0.35">
      <c r="A326" s="4">
        <v>44886</v>
      </c>
      <c r="B326" s="5">
        <v>1097</v>
      </c>
    </row>
    <row r="327" spans="1:2" x14ac:dyDescent="0.35">
      <c r="A327" s="6">
        <v>44887</v>
      </c>
      <c r="B327" s="7">
        <v>640</v>
      </c>
    </row>
    <row r="328" spans="1:2" x14ac:dyDescent="0.35">
      <c r="A328" s="4">
        <v>44888</v>
      </c>
      <c r="B328" s="5">
        <v>0</v>
      </c>
    </row>
    <row r="329" spans="1:2" x14ac:dyDescent="0.35">
      <c r="A329" s="6">
        <v>44889</v>
      </c>
      <c r="B329" s="7">
        <v>0</v>
      </c>
    </row>
    <row r="330" spans="1:2" x14ac:dyDescent="0.35">
      <c r="A330" s="4">
        <v>44890</v>
      </c>
      <c r="B330" s="5">
        <v>1066</v>
      </c>
    </row>
    <row r="331" spans="1:2" x14ac:dyDescent="0.35">
      <c r="A331" s="6">
        <v>44891</v>
      </c>
      <c r="B331" s="7">
        <v>670</v>
      </c>
    </row>
    <row r="332" spans="1:2" x14ac:dyDescent="0.35">
      <c r="A332" s="4">
        <v>44892</v>
      </c>
      <c r="B332" s="5">
        <v>0</v>
      </c>
    </row>
    <row r="333" spans="1:2" x14ac:dyDescent="0.35">
      <c r="A333" s="6">
        <v>44893</v>
      </c>
      <c r="B333" s="7">
        <v>0</v>
      </c>
    </row>
    <row r="334" spans="1:2" x14ac:dyDescent="0.35">
      <c r="A334" s="4">
        <v>44894</v>
      </c>
      <c r="B334" s="5">
        <v>0</v>
      </c>
    </row>
    <row r="335" spans="1:2" x14ac:dyDescent="0.35">
      <c r="A335" s="6">
        <v>44895</v>
      </c>
      <c r="B335" s="7">
        <v>0</v>
      </c>
    </row>
    <row r="336" spans="1:2" x14ac:dyDescent="0.35">
      <c r="A336" s="4">
        <v>44896</v>
      </c>
      <c r="B336" s="5">
        <v>0</v>
      </c>
    </row>
    <row r="337" spans="1:2" x14ac:dyDescent="0.35">
      <c r="A337" s="6">
        <v>44897</v>
      </c>
      <c r="B337" s="7">
        <v>0</v>
      </c>
    </row>
    <row r="338" spans="1:2" x14ac:dyDescent="0.35">
      <c r="A338" s="4">
        <v>44898</v>
      </c>
      <c r="B338" s="5">
        <v>0</v>
      </c>
    </row>
    <row r="339" spans="1:2" x14ac:dyDescent="0.35">
      <c r="A339" s="6">
        <v>44899</v>
      </c>
      <c r="B339" s="7">
        <v>0</v>
      </c>
    </row>
    <row r="340" spans="1:2" x14ac:dyDescent="0.35">
      <c r="A340" s="4">
        <v>44900</v>
      </c>
      <c r="B340" s="5">
        <v>29</v>
      </c>
    </row>
    <row r="341" spans="1:2" x14ac:dyDescent="0.35">
      <c r="A341" s="6">
        <v>44901</v>
      </c>
      <c r="B341" s="7">
        <v>46</v>
      </c>
    </row>
    <row r="342" spans="1:2" x14ac:dyDescent="0.35">
      <c r="A342" s="4">
        <v>44902</v>
      </c>
      <c r="B342" s="5">
        <v>0</v>
      </c>
    </row>
    <row r="343" spans="1:2" x14ac:dyDescent="0.35">
      <c r="A343" s="6">
        <v>44903</v>
      </c>
      <c r="B343" s="7">
        <v>0</v>
      </c>
    </row>
    <row r="344" spans="1:2" x14ac:dyDescent="0.35">
      <c r="A344" s="4">
        <v>44904</v>
      </c>
      <c r="B344" s="5">
        <v>0</v>
      </c>
    </row>
    <row r="345" spans="1:2" x14ac:dyDescent="0.35">
      <c r="A345" s="6">
        <v>44905</v>
      </c>
      <c r="B345" s="7">
        <v>0</v>
      </c>
    </row>
    <row r="346" spans="1:2" x14ac:dyDescent="0.35">
      <c r="A346" s="4">
        <v>44906</v>
      </c>
      <c r="B346" s="5">
        <v>0</v>
      </c>
    </row>
    <row r="347" spans="1:2" x14ac:dyDescent="0.35">
      <c r="A347" s="6">
        <v>44907</v>
      </c>
      <c r="B347" s="7">
        <v>0</v>
      </c>
    </row>
    <row r="348" spans="1:2" x14ac:dyDescent="0.35">
      <c r="A348" s="4">
        <v>44908</v>
      </c>
      <c r="B348" s="5">
        <v>145</v>
      </c>
    </row>
    <row r="349" spans="1:2" x14ac:dyDescent="0.35">
      <c r="A349" s="6">
        <v>44909</v>
      </c>
      <c r="B349" s="7">
        <v>0</v>
      </c>
    </row>
    <row r="350" spans="1:2" x14ac:dyDescent="0.35">
      <c r="A350" s="4">
        <v>44910</v>
      </c>
      <c r="B350" s="5">
        <v>0</v>
      </c>
    </row>
    <row r="351" spans="1:2" x14ac:dyDescent="0.35">
      <c r="A351" s="6">
        <v>44911</v>
      </c>
      <c r="B351" s="7">
        <v>24</v>
      </c>
    </row>
    <row r="352" spans="1:2" x14ac:dyDescent="0.35">
      <c r="A352" s="4">
        <v>44912</v>
      </c>
      <c r="B352" s="5">
        <v>0</v>
      </c>
    </row>
    <row r="353" spans="1:2" x14ac:dyDescent="0.35">
      <c r="A353" s="6">
        <v>44913</v>
      </c>
      <c r="B353" s="7">
        <v>0</v>
      </c>
    </row>
    <row r="354" spans="1:2" x14ac:dyDescent="0.35">
      <c r="A354" s="4">
        <v>44914</v>
      </c>
      <c r="B354" s="5">
        <v>45</v>
      </c>
    </row>
    <row r="355" spans="1:2" x14ac:dyDescent="0.35">
      <c r="A355" s="6">
        <v>44915</v>
      </c>
      <c r="B355" s="7">
        <v>97</v>
      </c>
    </row>
    <row r="356" spans="1:2" x14ac:dyDescent="0.35">
      <c r="A356" s="4">
        <v>44916</v>
      </c>
      <c r="B356" s="5">
        <v>0</v>
      </c>
    </row>
    <row r="357" spans="1:2" x14ac:dyDescent="0.35">
      <c r="A357" s="6">
        <v>44917</v>
      </c>
      <c r="B357" s="7">
        <v>22</v>
      </c>
    </row>
    <row r="358" spans="1:2" x14ac:dyDescent="0.35">
      <c r="A358" s="4">
        <v>44918</v>
      </c>
      <c r="B358" s="5">
        <v>0</v>
      </c>
    </row>
    <row r="359" spans="1:2" x14ac:dyDescent="0.35">
      <c r="A359" s="6">
        <v>44919</v>
      </c>
      <c r="B359" s="7">
        <v>0</v>
      </c>
    </row>
    <row r="360" spans="1:2" x14ac:dyDescent="0.35">
      <c r="A360" s="4">
        <v>44920</v>
      </c>
      <c r="B360" s="5">
        <v>0</v>
      </c>
    </row>
    <row r="361" spans="1:2" x14ac:dyDescent="0.35">
      <c r="A361" s="6">
        <v>44921</v>
      </c>
      <c r="B361" s="7">
        <v>135</v>
      </c>
    </row>
    <row r="362" spans="1:2" x14ac:dyDescent="0.35">
      <c r="A362" s="4">
        <v>44922</v>
      </c>
      <c r="B362" s="5">
        <v>0</v>
      </c>
    </row>
    <row r="363" spans="1:2" x14ac:dyDescent="0.35">
      <c r="A363" s="6">
        <v>44923</v>
      </c>
      <c r="B363" s="7">
        <v>153</v>
      </c>
    </row>
    <row r="364" spans="1:2" x14ac:dyDescent="0.35">
      <c r="A364" s="4">
        <v>44924</v>
      </c>
      <c r="B364" s="5">
        <v>0</v>
      </c>
    </row>
    <row r="365" spans="1:2" x14ac:dyDescent="0.35">
      <c r="A365" s="6">
        <v>44925</v>
      </c>
      <c r="B365" s="7">
        <v>0</v>
      </c>
    </row>
    <row r="366" spans="1:2" x14ac:dyDescent="0.35">
      <c r="A366" s="8">
        <v>44926</v>
      </c>
      <c r="B366" s="1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44CE-37CA-4816-BC43-0DE8E32CAA99}">
  <dimension ref="A1:I366"/>
  <sheetViews>
    <sheetView zoomScale="85" zoomScaleNormal="85" workbookViewId="0">
      <selection activeCell="I2" sqref="I2"/>
    </sheetView>
  </sheetViews>
  <sheetFormatPr defaultRowHeight="14.5" x14ac:dyDescent="0.35"/>
  <cols>
    <col min="1" max="1" width="10.54296875" bestFit="1" customWidth="1"/>
    <col min="2" max="2" width="10" bestFit="1" customWidth="1"/>
    <col min="5" max="5" width="11" bestFit="1" customWidth="1"/>
    <col min="6" max="6" width="10.54296875" bestFit="1" customWidth="1"/>
    <col min="7" max="7" width="12.7265625" bestFit="1" customWidth="1"/>
    <col min="8" max="8" width="10.1796875" bestFit="1" customWidth="1"/>
  </cols>
  <sheetData>
    <row r="1" spans="1:9" x14ac:dyDescent="0.35">
      <c r="A1" s="2" t="s">
        <v>0</v>
      </c>
      <c r="B1" s="3" t="s">
        <v>1</v>
      </c>
      <c r="C1" t="s">
        <v>3</v>
      </c>
      <c r="D1" t="s">
        <v>2</v>
      </c>
      <c r="E1" t="s">
        <v>4</v>
      </c>
      <c r="F1" t="s">
        <v>5</v>
      </c>
      <c r="G1" t="s">
        <v>7</v>
      </c>
      <c r="H1" t="s">
        <v>6</v>
      </c>
      <c r="I1">
        <f>SUM(F2:F366)/300</f>
        <v>18</v>
      </c>
    </row>
    <row r="2" spans="1:9" x14ac:dyDescent="0.35">
      <c r="A2" s="4">
        <v>44562</v>
      </c>
      <c r="B2" s="5">
        <v>0</v>
      </c>
      <c r="C2">
        <f>WEEKDAY(A2)</f>
        <v>7</v>
      </c>
      <c r="D2">
        <f>IF(C2=3,260,190)+F2</f>
        <v>190</v>
      </c>
      <c r="E2">
        <f>IF(B2=0,1)</f>
        <v>1</v>
      </c>
      <c r="F2">
        <f>IF(AND(MONTH(A2)&gt;=4,MONTH(A2)&lt;=9,OR(E2=5,E2=10,E2=15,E2=20)),300,0)</f>
        <v>0</v>
      </c>
      <c r="G2">
        <f>B2</f>
        <v>0</v>
      </c>
      <c r="H2">
        <f>IF(G2-D2&lt;0,0,G2-D2)</f>
        <v>0</v>
      </c>
    </row>
    <row r="3" spans="1:9" x14ac:dyDescent="0.35">
      <c r="A3" s="6">
        <v>44563</v>
      </c>
      <c r="B3" s="7">
        <v>0</v>
      </c>
      <c r="C3">
        <f t="shared" ref="C3:C66" si="0">WEEKDAY(A3)</f>
        <v>1</v>
      </c>
      <c r="D3">
        <f>IF(C3=3,260,190)+F3</f>
        <v>190</v>
      </c>
      <c r="E3">
        <f>IF(B3=0,E2+1,0)</f>
        <v>2</v>
      </c>
      <c r="F3">
        <f t="shared" ref="F3:F66" si="1">IF(AND(MONTH(A3)&gt;=4,MONTH(A3)&lt;=9,OR(E3=5,E3=10,E3=15,E3=20)),300,0)</f>
        <v>0</v>
      </c>
      <c r="G3">
        <f>H2+B3</f>
        <v>0</v>
      </c>
      <c r="H3">
        <f t="shared" ref="H3:H66" si="2">IF(G3-D3&lt;0,0,G3-D3)</f>
        <v>0</v>
      </c>
    </row>
    <row r="4" spans="1:9" x14ac:dyDescent="0.35">
      <c r="A4" s="4">
        <v>44564</v>
      </c>
      <c r="B4" s="5">
        <v>0</v>
      </c>
      <c r="C4">
        <f t="shared" si="0"/>
        <v>2</v>
      </c>
      <c r="D4">
        <f t="shared" ref="D4:D67" si="3">IF(C4=3,260,190)+F4</f>
        <v>190</v>
      </c>
      <c r="E4">
        <f t="shared" ref="E4:E67" si="4">IF(B4=0,E3+1,0)</f>
        <v>3</v>
      </c>
      <c r="F4">
        <f t="shared" si="1"/>
        <v>0</v>
      </c>
      <c r="G4">
        <f t="shared" ref="G4:G67" si="5">H3+B4</f>
        <v>0</v>
      </c>
      <c r="H4">
        <f t="shared" si="2"/>
        <v>0</v>
      </c>
    </row>
    <row r="5" spans="1:9" x14ac:dyDescent="0.35">
      <c r="A5" s="6">
        <v>44565</v>
      </c>
      <c r="B5" s="7">
        <v>0</v>
      </c>
      <c r="C5">
        <f t="shared" si="0"/>
        <v>3</v>
      </c>
      <c r="D5">
        <f t="shared" si="3"/>
        <v>260</v>
      </c>
      <c r="E5">
        <f t="shared" si="4"/>
        <v>4</v>
      </c>
      <c r="F5">
        <f t="shared" si="1"/>
        <v>0</v>
      </c>
      <c r="G5">
        <f t="shared" si="5"/>
        <v>0</v>
      </c>
      <c r="H5">
        <f t="shared" si="2"/>
        <v>0</v>
      </c>
    </row>
    <row r="6" spans="1:9" x14ac:dyDescent="0.35">
      <c r="A6" s="4">
        <v>44566</v>
      </c>
      <c r="B6" s="5">
        <v>0</v>
      </c>
      <c r="C6">
        <f t="shared" si="0"/>
        <v>4</v>
      </c>
      <c r="D6">
        <f t="shared" si="3"/>
        <v>190</v>
      </c>
      <c r="E6">
        <f t="shared" si="4"/>
        <v>5</v>
      </c>
      <c r="F6">
        <f t="shared" si="1"/>
        <v>0</v>
      </c>
      <c r="G6">
        <f t="shared" si="5"/>
        <v>0</v>
      </c>
      <c r="H6">
        <f t="shared" si="2"/>
        <v>0</v>
      </c>
    </row>
    <row r="7" spans="1:9" x14ac:dyDescent="0.35">
      <c r="A7" s="6">
        <v>44567</v>
      </c>
      <c r="B7" s="7">
        <v>0</v>
      </c>
      <c r="C7">
        <f t="shared" si="0"/>
        <v>5</v>
      </c>
      <c r="D7">
        <f t="shared" si="3"/>
        <v>190</v>
      </c>
      <c r="E7">
        <f t="shared" si="4"/>
        <v>6</v>
      </c>
      <c r="F7">
        <f t="shared" si="1"/>
        <v>0</v>
      </c>
      <c r="G7">
        <f t="shared" si="5"/>
        <v>0</v>
      </c>
      <c r="H7">
        <f t="shared" si="2"/>
        <v>0</v>
      </c>
    </row>
    <row r="8" spans="1:9" x14ac:dyDescent="0.35">
      <c r="A8" s="4">
        <v>44568</v>
      </c>
      <c r="B8" s="5">
        <v>0</v>
      </c>
      <c r="C8">
        <f t="shared" si="0"/>
        <v>6</v>
      </c>
      <c r="D8">
        <f t="shared" si="3"/>
        <v>190</v>
      </c>
      <c r="E8">
        <f t="shared" si="4"/>
        <v>7</v>
      </c>
      <c r="F8">
        <f t="shared" si="1"/>
        <v>0</v>
      </c>
      <c r="G8">
        <f t="shared" si="5"/>
        <v>0</v>
      </c>
      <c r="H8">
        <f t="shared" si="2"/>
        <v>0</v>
      </c>
    </row>
    <row r="9" spans="1:9" x14ac:dyDescent="0.35">
      <c r="A9" s="6">
        <v>44569</v>
      </c>
      <c r="B9" s="7">
        <v>41</v>
      </c>
      <c r="C9">
        <f t="shared" si="0"/>
        <v>7</v>
      </c>
      <c r="D9">
        <f t="shared" si="3"/>
        <v>190</v>
      </c>
      <c r="E9">
        <f t="shared" si="4"/>
        <v>0</v>
      </c>
      <c r="F9">
        <f t="shared" si="1"/>
        <v>0</v>
      </c>
      <c r="G9">
        <f t="shared" si="5"/>
        <v>41</v>
      </c>
      <c r="H9">
        <f t="shared" si="2"/>
        <v>0</v>
      </c>
    </row>
    <row r="10" spans="1:9" x14ac:dyDescent="0.35">
      <c r="A10" s="4">
        <v>44570</v>
      </c>
      <c r="B10" s="5">
        <v>79</v>
      </c>
      <c r="C10">
        <f t="shared" si="0"/>
        <v>1</v>
      </c>
      <c r="D10">
        <f t="shared" si="3"/>
        <v>190</v>
      </c>
      <c r="E10">
        <f t="shared" si="4"/>
        <v>0</v>
      </c>
      <c r="F10">
        <f t="shared" si="1"/>
        <v>0</v>
      </c>
      <c r="G10">
        <f t="shared" si="5"/>
        <v>79</v>
      </c>
      <c r="H10">
        <f t="shared" si="2"/>
        <v>0</v>
      </c>
    </row>
    <row r="11" spans="1:9" x14ac:dyDescent="0.35">
      <c r="A11" s="6">
        <v>44571</v>
      </c>
      <c r="B11" s="7">
        <v>163</v>
      </c>
      <c r="C11">
        <f t="shared" si="0"/>
        <v>2</v>
      </c>
      <c r="D11">
        <f t="shared" si="3"/>
        <v>190</v>
      </c>
      <c r="E11">
        <f t="shared" si="4"/>
        <v>0</v>
      </c>
      <c r="F11">
        <f t="shared" si="1"/>
        <v>0</v>
      </c>
      <c r="G11">
        <f t="shared" si="5"/>
        <v>163</v>
      </c>
      <c r="H11">
        <f t="shared" si="2"/>
        <v>0</v>
      </c>
    </row>
    <row r="12" spans="1:9" x14ac:dyDescent="0.35">
      <c r="A12" s="4">
        <v>44572</v>
      </c>
      <c r="B12" s="5">
        <v>259</v>
      </c>
      <c r="C12">
        <f t="shared" si="0"/>
        <v>3</v>
      </c>
      <c r="D12">
        <f t="shared" si="3"/>
        <v>260</v>
      </c>
      <c r="E12">
        <f t="shared" si="4"/>
        <v>0</v>
      </c>
      <c r="F12">
        <f t="shared" si="1"/>
        <v>0</v>
      </c>
      <c r="G12">
        <f t="shared" si="5"/>
        <v>259</v>
      </c>
      <c r="H12">
        <f t="shared" si="2"/>
        <v>0</v>
      </c>
    </row>
    <row r="13" spans="1:9" x14ac:dyDescent="0.35">
      <c r="A13" s="6">
        <v>44573</v>
      </c>
      <c r="B13" s="7">
        <v>368</v>
      </c>
      <c r="C13">
        <f t="shared" si="0"/>
        <v>4</v>
      </c>
      <c r="D13">
        <f t="shared" si="3"/>
        <v>190</v>
      </c>
      <c r="E13">
        <f t="shared" si="4"/>
        <v>0</v>
      </c>
      <c r="F13">
        <f t="shared" si="1"/>
        <v>0</v>
      </c>
      <c r="G13">
        <f t="shared" si="5"/>
        <v>368</v>
      </c>
      <c r="H13">
        <f t="shared" si="2"/>
        <v>178</v>
      </c>
    </row>
    <row r="14" spans="1:9" x14ac:dyDescent="0.35">
      <c r="A14" s="4">
        <v>44574</v>
      </c>
      <c r="B14" s="5">
        <v>45</v>
      </c>
      <c r="C14">
        <f t="shared" si="0"/>
        <v>5</v>
      </c>
      <c r="D14">
        <f t="shared" si="3"/>
        <v>190</v>
      </c>
      <c r="E14">
        <f t="shared" si="4"/>
        <v>0</v>
      </c>
      <c r="F14">
        <f t="shared" si="1"/>
        <v>0</v>
      </c>
      <c r="G14">
        <f t="shared" si="5"/>
        <v>223</v>
      </c>
      <c r="H14">
        <f t="shared" si="2"/>
        <v>33</v>
      </c>
    </row>
    <row r="15" spans="1:9" x14ac:dyDescent="0.35">
      <c r="A15" s="6">
        <v>44575</v>
      </c>
      <c r="B15" s="7">
        <v>0</v>
      </c>
      <c r="C15">
        <f t="shared" si="0"/>
        <v>6</v>
      </c>
      <c r="D15">
        <f t="shared" si="3"/>
        <v>190</v>
      </c>
      <c r="E15">
        <f t="shared" si="4"/>
        <v>1</v>
      </c>
      <c r="F15">
        <f t="shared" si="1"/>
        <v>0</v>
      </c>
      <c r="G15">
        <f t="shared" si="5"/>
        <v>33</v>
      </c>
      <c r="H15">
        <f t="shared" si="2"/>
        <v>0</v>
      </c>
    </row>
    <row r="16" spans="1:9" x14ac:dyDescent="0.35">
      <c r="A16" s="4">
        <v>44576</v>
      </c>
      <c r="B16" s="5">
        <v>0</v>
      </c>
      <c r="C16">
        <f t="shared" si="0"/>
        <v>7</v>
      </c>
      <c r="D16">
        <f t="shared" si="3"/>
        <v>190</v>
      </c>
      <c r="E16">
        <f t="shared" si="4"/>
        <v>2</v>
      </c>
      <c r="F16">
        <f t="shared" si="1"/>
        <v>0</v>
      </c>
      <c r="G16">
        <f t="shared" si="5"/>
        <v>0</v>
      </c>
      <c r="H16">
        <f t="shared" si="2"/>
        <v>0</v>
      </c>
    </row>
    <row r="17" spans="1:8" x14ac:dyDescent="0.35">
      <c r="A17" s="6">
        <v>44577</v>
      </c>
      <c r="B17" s="7">
        <v>0</v>
      </c>
      <c r="C17">
        <f t="shared" si="0"/>
        <v>1</v>
      </c>
      <c r="D17">
        <f t="shared" si="3"/>
        <v>190</v>
      </c>
      <c r="E17">
        <f t="shared" si="4"/>
        <v>3</v>
      </c>
      <c r="F17">
        <f t="shared" si="1"/>
        <v>0</v>
      </c>
      <c r="G17">
        <f t="shared" si="5"/>
        <v>0</v>
      </c>
      <c r="H17">
        <f t="shared" si="2"/>
        <v>0</v>
      </c>
    </row>
    <row r="18" spans="1:8" x14ac:dyDescent="0.35">
      <c r="A18" s="4">
        <v>44578</v>
      </c>
      <c r="B18" s="5">
        <v>0</v>
      </c>
      <c r="C18">
        <f t="shared" si="0"/>
        <v>2</v>
      </c>
      <c r="D18">
        <f t="shared" si="3"/>
        <v>190</v>
      </c>
      <c r="E18">
        <f t="shared" si="4"/>
        <v>4</v>
      </c>
      <c r="F18">
        <f t="shared" si="1"/>
        <v>0</v>
      </c>
      <c r="G18">
        <f t="shared" si="5"/>
        <v>0</v>
      </c>
      <c r="H18">
        <f t="shared" si="2"/>
        <v>0</v>
      </c>
    </row>
    <row r="19" spans="1:8" x14ac:dyDescent="0.35">
      <c r="A19" s="6">
        <v>44579</v>
      </c>
      <c r="B19" s="7">
        <v>0</v>
      </c>
      <c r="C19">
        <f t="shared" si="0"/>
        <v>3</v>
      </c>
      <c r="D19">
        <f t="shared" si="3"/>
        <v>260</v>
      </c>
      <c r="E19">
        <f t="shared" si="4"/>
        <v>5</v>
      </c>
      <c r="F19">
        <f t="shared" si="1"/>
        <v>0</v>
      </c>
      <c r="G19">
        <f t="shared" si="5"/>
        <v>0</v>
      </c>
      <c r="H19">
        <f t="shared" si="2"/>
        <v>0</v>
      </c>
    </row>
    <row r="20" spans="1:8" x14ac:dyDescent="0.35">
      <c r="A20" s="4">
        <v>44580</v>
      </c>
      <c r="B20" s="5">
        <v>0</v>
      </c>
      <c r="C20">
        <f t="shared" si="0"/>
        <v>4</v>
      </c>
      <c r="D20">
        <f t="shared" si="3"/>
        <v>190</v>
      </c>
      <c r="E20">
        <f t="shared" si="4"/>
        <v>6</v>
      </c>
      <c r="F20">
        <f t="shared" si="1"/>
        <v>0</v>
      </c>
      <c r="G20">
        <f t="shared" si="5"/>
        <v>0</v>
      </c>
      <c r="H20">
        <f t="shared" si="2"/>
        <v>0</v>
      </c>
    </row>
    <row r="21" spans="1:8" x14ac:dyDescent="0.35">
      <c r="A21" s="6">
        <v>44581</v>
      </c>
      <c r="B21" s="7">
        <v>0</v>
      </c>
      <c r="C21">
        <f t="shared" si="0"/>
        <v>5</v>
      </c>
      <c r="D21">
        <f t="shared" si="3"/>
        <v>190</v>
      </c>
      <c r="E21">
        <f t="shared" si="4"/>
        <v>7</v>
      </c>
      <c r="F21">
        <f t="shared" si="1"/>
        <v>0</v>
      </c>
      <c r="G21">
        <f t="shared" si="5"/>
        <v>0</v>
      </c>
      <c r="H21">
        <f t="shared" si="2"/>
        <v>0</v>
      </c>
    </row>
    <row r="22" spans="1:8" x14ac:dyDescent="0.35">
      <c r="A22" s="4">
        <v>44582</v>
      </c>
      <c r="B22" s="5">
        <v>0</v>
      </c>
      <c r="C22">
        <f t="shared" si="0"/>
        <v>6</v>
      </c>
      <c r="D22">
        <f t="shared" si="3"/>
        <v>190</v>
      </c>
      <c r="E22">
        <f t="shared" si="4"/>
        <v>8</v>
      </c>
      <c r="F22">
        <f t="shared" si="1"/>
        <v>0</v>
      </c>
      <c r="G22">
        <f t="shared" si="5"/>
        <v>0</v>
      </c>
      <c r="H22">
        <f t="shared" si="2"/>
        <v>0</v>
      </c>
    </row>
    <row r="23" spans="1:8" x14ac:dyDescent="0.35">
      <c r="A23" s="6">
        <v>44583</v>
      </c>
      <c r="B23" s="7">
        <v>0</v>
      </c>
      <c r="C23">
        <f t="shared" si="0"/>
        <v>7</v>
      </c>
      <c r="D23">
        <f t="shared" si="3"/>
        <v>190</v>
      </c>
      <c r="E23">
        <f t="shared" si="4"/>
        <v>9</v>
      </c>
      <c r="F23">
        <f t="shared" si="1"/>
        <v>0</v>
      </c>
      <c r="G23">
        <f t="shared" si="5"/>
        <v>0</v>
      </c>
      <c r="H23">
        <f t="shared" si="2"/>
        <v>0</v>
      </c>
    </row>
    <row r="24" spans="1:8" x14ac:dyDescent="0.35">
      <c r="A24" s="4">
        <v>44584</v>
      </c>
      <c r="B24" s="5">
        <v>33</v>
      </c>
      <c r="C24">
        <f t="shared" si="0"/>
        <v>1</v>
      </c>
      <c r="D24">
        <f t="shared" si="3"/>
        <v>190</v>
      </c>
      <c r="E24">
        <f t="shared" si="4"/>
        <v>0</v>
      </c>
      <c r="F24">
        <f t="shared" si="1"/>
        <v>0</v>
      </c>
      <c r="G24">
        <f t="shared" si="5"/>
        <v>33</v>
      </c>
      <c r="H24">
        <f t="shared" si="2"/>
        <v>0</v>
      </c>
    </row>
    <row r="25" spans="1:8" x14ac:dyDescent="0.35">
      <c r="A25" s="6">
        <v>44585</v>
      </c>
      <c r="B25" s="7">
        <v>75</v>
      </c>
      <c r="C25">
        <f t="shared" si="0"/>
        <v>2</v>
      </c>
      <c r="D25">
        <f t="shared" si="3"/>
        <v>190</v>
      </c>
      <c r="E25">
        <f t="shared" si="4"/>
        <v>0</v>
      </c>
      <c r="F25">
        <f t="shared" si="1"/>
        <v>0</v>
      </c>
      <c r="G25">
        <f t="shared" si="5"/>
        <v>75</v>
      </c>
      <c r="H25">
        <f t="shared" si="2"/>
        <v>0</v>
      </c>
    </row>
    <row r="26" spans="1:8" x14ac:dyDescent="0.35">
      <c r="A26" s="4">
        <v>44586</v>
      </c>
      <c r="B26" s="5">
        <v>537</v>
      </c>
      <c r="C26">
        <f t="shared" si="0"/>
        <v>3</v>
      </c>
      <c r="D26">
        <f t="shared" si="3"/>
        <v>260</v>
      </c>
      <c r="E26">
        <f t="shared" si="4"/>
        <v>0</v>
      </c>
      <c r="F26">
        <f t="shared" si="1"/>
        <v>0</v>
      </c>
      <c r="G26">
        <f t="shared" si="5"/>
        <v>537</v>
      </c>
      <c r="H26">
        <f t="shared" si="2"/>
        <v>277</v>
      </c>
    </row>
    <row r="27" spans="1:8" x14ac:dyDescent="0.35">
      <c r="A27" s="6">
        <v>44587</v>
      </c>
      <c r="B27" s="7">
        <v>826</v>
      </c>
      <c r="C27">
        <f t="shared" si="0"/>
        <v>4</v>
      </c>
      <c r="D27">
        <f t="shared" si="3"/>
        <v>190</v>
      </c>
      <c r="E27">
        <f t="shared" si="4"/>
        <v>0</v>
      </c>
      <c r="F27">
        <f t="shared" si="1"/>
        <v>0</v>
      </c>
      <c r="G27">
        <f t="shared" si="5"/>
        <v>1103</v>
      </c>
      <c r="H27">
        <f t="shared" si="2"/>
        <v>913</v>
      </c>
    </row>
    <row r="28" spans="1:8" x14ac:dyDescent="0.35">
      <c r="A28" s="4">
        <v>44588</v>
      </c>
      <c r="B28" s="5">
        <v>26</v>
      </c>
      <c r="C28">
        <f t="shared" si="0"/>
        <v>5</v>
      </c>
      <c r="D28">
        <f t="shared" si="3"/>
        <v>190</v>
      </c>
      <c r="E28">
        <f t="shared" si="4"/>
        <v>0</v>
      </c>
      <c r="F28">
        <f t="shared" si="1"/>
        <v>0</v>
      </c>
      <c r="G28">
        <f t="shared" si="5"/>
        <v>939</v>
      </c>
      <c r="H28">
        <f t="shared" si="2"/>
        <v>749</v>
      </c>
    </row>
    <row r="29" spans="1:8" x14ac:dyDescent="0.35">
      <c r="A29" s="6">
        <v>44589</v>
      </c>
      <c r="B29" s="7">
        <v>0</v>
      </c>
      <c r="C29">
        <f t="shared" si="0"/>
        <v>6</v>
      </c>
      <c r="D29">
        <f t="shared" si="3"/>
        <v>190</v>
      </c>
      <c r="E29">
        <f t="shared" si="4"/>
        <v>1</v>
      </c>
      <c r="F29">
        <f t="shared" si="1"/>
        <v>0</v>
      </c>
      <c r="G29">
        <f t="shared" si="5"/>
        <v>749</v>
      </c>
      <c r="H29">
        <f t="shared" si="2"/>
        <v>559</v>
      </c>
    </row>
    <row r="30" spans="1:8" x14ac:dyDescent="0.35">
      <c r="A30" s="4">
        <v>44590</v>
      </c>
      <c r="B30" s="5">
        <v>0</v>
      </c>
      <c r="C30">
        <f t="shared" si="0"/>
        <v>7</v>
      </c>
      <c r="D30">
        <f t="shared" si="3"/>
        <v>190</v>
      </c>
      <c r="E30">
        <f t="shared" si="4"/>
        <v>2</v>
      </c>
      <c r="F30">
        <f t="shared" si="1"/>
        <v>0</v>
      </c>
      <c r="G30">
        <f t="shared" si="5"/>
        <v>559</v>
      </c>
      <c r="H30">
        <f t="shared" si="2"/>
        <v>369</v>
      </c>
    </row>
    <row r="31" spans="1:8" x14ac:dyDescent="0.35">
      <c r="A31" s="6">
        <v>44591</v>
      </c>
      <c r="B31" s="7">
        <v>0</v>
      </c>
      <c r="C31">
        <f t="shared" si="0"/>
        <v>1</v>
      </c>
      <c r="D31">
        <f t="shared" si="3"/>
        <v>190</v>
      </c>
      <c r="E31">
        <f t="shared" si="4"/>
        <v>3</v>
      </c>
      <c r="F31">
        <f t="shared" si="1"/>
        <v>0</v>
      </c>
      <c r="G31">
        <f t="shared" si="5"/>
        <v>369</v>
      </c>
      <c r="H31">
        <f t="shared" si="2"/>
        <v>179</v>
      </c>
    </row>
    <row r="32" spans="1:8" x14ac:dyDescent="0.35">
      <c r="A32" s="4">
        <v>44592</v>
      </c>
      <c r="B32" s="5">
        <v>0</v>
      </c>
      <c r="C32">
        <f t="shared" si="0"/>
        <v>2</v>
      </c>
      <c r="D32">
        <f t="shared" si="3"/>
        <v>190</v>
      </c>
      <c r="E32">
        <f t="shared" si="4"/>
        <v>4</v>
      </c>
      <c r="F32">
        <f t="shared" si="1"/>
        <v>0</v>
      </c>
      <c r="G32">
        <f t="shared" si="5"/>
        <v>179</v>
      </c>
      <c r="H32">
        <f t="shared" si="2"/>
        <v>0</v>
      </c>
    </row>
    <row r="33" spans="1:8" x14ac:dyDescent="0.35">
      <c r="A33" s="6">
        <v>44593</v>
      </c>
      <c r="B33" s="7">
        <v>0</v>
      </c>
      <c r="C33">
        <f t="shared" si="0"/>
        <v>3</v>
      </c>
      <c r="D33">
        <f t="shared" si="3"/>
        <v>260</v>
      </c>
      <c r="E33">
        <f t="shared" si="4"/>
        <v>5</v>
      </c>
      <c r="F33">
        <f t="shared" si="1"/>
        <v>0</v>
      </c>
      <c r="G33">
        <f t="shared" si="5"/>
        <v>0</v>
      </c>
      <c r="H33">
        <f t="shared" si="2"/>
        <v>0</v>
      </c>
    </row>
    <row r="34" spans="1:8" x14ac:dyDescent="0.35">
      <c r="A34" s="4">
        <v>44594</v>
      </c>
      <c r="B34" s="5">
        <v>0</v>
      </c>
      <c r="C34">
        <f t="shared" si="0"/>
        <v>4</v>
      </c>
      <c r="D34">
        <f t="shared" si="3"/>
        <v>190</v>
      </c>
      <c r="E34">
        <f t="shared" si="4"/>
        <v>6</v>
      </c>
      <c r="F34">
        <f t="shared" si="1"/>
        <v>0</v>
      </c>
      <c r="G34">
        <f t="shared" si="5"/>
        <v>0</v>
      </c>
      <c r="H34">
        <f t="shared" si="2"/>
        <v>0</v>
      </c>
    </row>
    <row r="35" spans="1:8" x14ac:dyDescent="0.35">
      <c r="A35" s="6">
        <v>44595</v>
      </c>
      <c r="B35" s="7">
        <v>0</v>
      </c>
      <c r="C35">
        <f t="shared" si="0"/>
        <v>5</v>
      </c>
      <c r="D35">
        <f t="shared" si="3"/>
        <v>190</v>
      </c>
      <c r="E35">
        <f t="shared" si="4"/>
        <v>7</v>
      </c>
      <c r="F35">
        <f t="shared" si="1"/>
        <v>0</v>
      </c>
      <c r="G35">
        <f t="shared" si="5"/>
        <v>0</v>
      </c>
      <c r="H35">
        <f t="shared" si="2"/>
        <v>0</v>
      </c>
    </row>
    <row r="36" spans="1:8" x14ac:dyDescent="0.35">
      <c r="A36" s="4">
        <v>44596</v>
      </c>
      <c r="B36" s="5">
        <v>0</v>
      </c>
      <c r="C36">
        <f t="shared" si="0"/>
        <v>6</v>
      </c>
      <c r="D36">
        <f t="shared" si="3"/>
        <v>190</v>
      </c>
      <c r="E36">
        <f t="shared" si="4"/>
        <v>8</v>
      </c>
      <c r="F36">
        <f t="shared" si="1"/>
        <v>0</v>
      </c>
      <c r="G36">
        <f t="shared" si="5"/>
        <v>0</v>
      </c>
      <c r="H36">
        <f t="shared" si="2"/>
        <v>0</v>
      </c>
    </row>
    <row r="37" spans="1:8" x14ac:dyDescent="0.35">
      <c r="A37" s="6">
        <v>44597</v>
      </c>
      <c r="B37" s="7">
        <v>97</v>
      </c>
      <c r="C37">
        <f t="shared" si="0"/>
        <v>7</v>
      </c>
      <c r="D37">
        <f t="shared" si="3"/>
        <v>190</v>
      </c>
      <c r="E37">
        <f t="shared" si="4"/>
        <v>0</v>
      </c>
      <c r="F37">
        <f t="shared" si="1"/>
        <v>0</v>
      </c>
      <c r="G37">
        <f t="shared" si="5"/>
        <v>97</v>
      </c>
      <c r="H37">
        <f t="shared" si="2"/>
        <v>0</v>
      </c>
    </row>
    <row r="38" spans="1:8" x14ac:dyDescent="0.35">
      <c r="A38" s="4">
        <v>44598</v>
      </c>
      <c r="B38" s="5">
        <v>0</v>
      </c>
      <c r="C38">
        <f t="shared" si="0"/>
        <v>1</v>
      </c>
      <c r="D38">
        <f t="shared" si="3"/>
        <v>190</v>
      </c>
      <c r="E38">
        <f t="shared" si="4"/>
        <v>1</v>
      </c>
      <c r="F38">
        <f t="shared" si="1"/>
        <v>0</v>
      </c>
      <c r="G38">
        <f t="shared" si="5"/>
        <v>0</v>
      </c>
      <c r="H38">
        <f t="shared" si="2"/>
        <v>0</v>
      </c>
    </row>
    <row r="39" spans="1:8" x14ac:dyDescent="0.35">
      <c r="A39" s="6">
        <v>44599</v>
      </c>
      <c r="B39" s="7">
        <v>99</v>
      </c>
      <c r="C39">
        <f t="shared" si="0"/>
        <v>2</v>
      </c>
      <c r="D39">
        <f t="shared" si="3"/>
        <v>190</v>
      </c>
      <c r="E39">
        <f t="shared" si="4"/>
        <v>0</v>
      </c>
      <c r="F39">
        <f t="shared" si="1"/>
        <v>0</v>
      </c>
      <c r="G39">
        <f t="shared" si="5"/>
        <v>99</v>
      </c>
      <c r="H39">
        <f t="shared" si="2"/>
        <v>0</v>
      </c>
    </row>
    <row r="40" spans="1:8" x14ac:dyDescent="0.35">
      <c r="A40" s="4">
        <v>44600</v>
      </c>
      <c r="B40" s="5">
        <v>0</v>
      </c>
      <c r="C40">
        <f t="shared" si="0"/>
        <v>3</v>
      </c>
      <c r="D40">
        <f t="shared" si="3"/>
        <v>260</v>
      </c>
      <c r="E40">
        <f t="shared" si="4"/>
        <v>1</v>
      </c>
      <c r="F40">
        <f t="shared" si="1"/>
        <v>0</v>
      </c>
      <c r="G40">
        <f t="shared" si="5"/>
        <v>0</v>
      </c>
      <c r="H40">
        <f t="shared" si="2"/>
        <v>0</v>
      </c>
    </row>
    <row r="41" spans="1:8" x14ac:dyDescent="0.35">
      <c r="A41" s="6">
        <v>44601</v>
      </c>
      <c r="B41" s="7">
        <v>0</v>
      </c>
      <c r="C41">
        <f t="shared" si="0"/>
        <v>4</v>
      </c>
      <c r="D41">
        <f t="shared" si="3"/>
        <v>190</v>
      </c>
      <c r="E41">
        <f t="shared" si="4"/>
        <v>2</v>
      </c>
      <c r="F41">
        <f t="shared" si="1"/>
        <v>0</v>
      </c>
      <c r="G41">
        <f t="shared" si="5"/>
        <v>0</v>
      </c>
      <c r="H41">
        <f t="shared" si="2"/>
        <v>0</v>
      </c>
    </row>
    <row r="42" spans="1:8" x14ac:dyDescent="0.35">
      <c r="A42" s="4">
        <v>44602</v>
      </c>
      <c r="B42" s="5">
        <v>0</v>
      </c>
      <c r="C42">
        <f t="shared" si="0"/>
        <v>5</v>
      </c>
      <c r="D42">
        <f t="shared" si="3"/>
        <v>190</v>
      </c>
      <c r="E42">
        <f t="shared" si="4"/>
        <v>3</v>
      </c>
      <c r="F42">
        <f t="shared" si="1"/>
        <v>0</v>
      </c>
      <c r="G42">
        <f t="shared" si="5"/>
        <v>0</v>
      </c>
      <c r="H42">
        <f t="shared" si="2"/>
        <v>0</v>
      </c>
    </row>
    <row r="43" spans="1:8" x14ac:dyDescent="0.35">
      <c r="A43" s="6">
        <v>44603</v>
      </c>
      <c r="B43" s="7">
        <v>97</v>
      </c>
      <c r="C43">
        <f t="shared" si="0"/>
        <v>6</v>
      </c>
      <c r="D43">
        <f t="shared" si="3"/>
        <v>190</v>
      </c>
      <c r="E43">
        <f t="shared" si="4"/>
        <v>0</v>
      </c>
      <c r="F43">
        <f t="shared" si="1"/>
        <v>0</v>
      </c>
      <c r="G43">
        <f t="shared" si="5"/>
        <v>97</v>
      </c>
      <c r="H43">
        <f t="shared" si="2"/>
        <v>0</v>
      </c>
    </row>
    <row r="44" spans="1:8" x14ac:dyDescent="0.35">
      <c r="A44" s="4">
        <v>44604</v>
      </c>
      <c r="B44" s="5">
        <v>83</v>
      </c>
      <c r="C44">
        <f t="shared" si="0"/>
        <v>7</v>
      </c>
      <c r="D44">
        <f t="shared" si="3"/>
        <v>190</v>
      </c>
      <c r="E44">
        <f t="shared" si="4"/>
        <v>0</v>
      </c>
      <c r="F44">
        <f t="shared" si="1"/>
        <v>0</v>
      </c>
      <c r="G44">
        <f t="shared" si="5"/>
        <v>83</v>
      </c>
      <c r="H44">
        <f t="shared" si="2"/>
        <v>0</v>
      </c>
    </row>
    <row r="45" spans="1:8" x14ac:dyDescent="0.35">
      <c r="A45" s="6">
        <v>44605</v>
      </c>
      <c r="B45" s="7">
        <v>77</v>
      </c>
      <c r="C45">
        <f t="shared" si="0"/>
        <v>1</v>
      </c>
      <c r="D45">
        <f t="shared" si="3"/>
        <v>190</v>
      </c>
      <c r="E45">
        <f t="shared" si="4"/>
        <v>0</v>
      </c>
      <c r="F45">
        <f t="shared" si="1"/>
        <v>0</v>
      </c>
      <c r="G45">
        <f t="shared" si="5"/>
        <v>77</v>
      </c>
      <c r="H45">
        <f t="shared" si="2"/>
        <v>0</v>
      </c>
    </row>
    <row r="46" spans="1:8" x14ac:dyDescent="0.35">
      <c r="A46" s="4">
        <v>44606</v>
      </c>
      <c r="B46" s="5">
        <v>195</v>
      </c>
      <c r="C46">
        <f t="shared" si="0"/>
        <v>2</v>
      </c>
      <c r="D46">
        <f t="shared" si="3"/>
        <v>190</v>
      </c>
      <c r="E46">
        <f t="shared" si="4"/>
        <v>0</v>
      </c>
      <c r="F46">
        <f t="shared" si="1"/>
        <v>0</v>
      </c>
      <c r="G46">
        <f t="shared" si="5"/>
        <v>195</v>
      </c>
      <c r="H46">
        <f t="shared" si="2"/>
        <v>5</v>
      </c>
    </row>
    <row r="47" spans="1:8" x14ac:dyDescent="0.35">
      <c r="A47" s="6">
        <v>44607</v>
      </c>
      <c r="B47" s="7">
        <v>145</v>
      </c>
      <c r="C47">
        <f t="shared" si="0"/>
        <v>3</v>
      </c>
      <c r="D47">
        <f t="shared" si="3"/>
        <v>260</v>
      </c>
      <c r="E47">
        <f t="shared" si="4"/>
        <v>0</v>
      </c>
      <c r="F47">
        <f t="shared" si="1"/>
        <v>0</v>
      </c>
      <c r="G47">
        <f t="shared" si="5"/>
        <v>150</v>
      </c>
      <c r="H47">
        <f t="shared" si="2"/>
        <v>0</v>
      </c>
    </row>
    <row r="48" spans="1:8" x14ac:dyDescent="0.35">
      <c r="A48" s="4">
        <v>44608</v>
      </c>
      <c r="B48" s="5">
        <v>90</v>
      </c>
      <c r="C48">
        <f t="shared" si="0"/>
        <v>4</v>
      </c>
      <c r="D48">
        <f t="shared" si="3"/>
        <v>190</v>
      </c>
      <c r="E48">
        <f t="shared" si="4"/>
        <v>0</v>
      </c>
      <c r="F48">
        <f t="shared" si="1"/>
        <v>0</v>
      </c>
      <c r="G48">
        <f t="shared" si="5"/>
        <v>90</v>
      </c>
      <c r="H48">
        <f t="shared" si="2"/>
        <v>0</v>
      </c>
    </row>
    <row r="49" spans="1:8" x14ac:dyDescent="0.35">
      <c r="A49" s="6">
        <v>44609</v>
      </c>
      <c r="B49" s="7">
        <v>0</v>
      </c>
      <c r="C49">
        <f t="shared" si="0"/>
        <v>5</v>
      </c>
      <c r="D49">
        <f t="shared" si="3"/>
        <v>190</v>
      </c>
      <c r="E49">
        <f t="shared" si="4"/>
        <v>1</v>
      </c>
      <c r="F49">
        <f t="shared" si="1"/>
        <v>0</v>
      </c>
      <c r="G49">
        <f t="shared" si="5"/>
        <v>0</v>
      </c>
      <c r="H49">
        <f t="shared" si="2"/>
        <v>0</v>
      </c>
    </row>
    <row r="50" spans="1:8" x14ac:dyDescent="0.35">
      <c r="A50" s="4">
        <v>44610</v>
      </c>
      <c r="B50" s="5">
        <v>0</v>
      </c>
      <c r="C50">
        <f t="shared" si="0"/>
        <v>6</v>
      </c>
      <c r="D50">
        <f t="shared" si="3"/>
        <v>190</v>
      </c>
      <c r="E50">
        <f t="shared" si="4"/>
        <v>2</v>
      </c>
      <c r="F50">
        <f t="shared" si="1"/>
        <v>0</v>
      </c>
      <c r="G50">
        <f t="shared" si="5"/>
        <v>0</v>
      </c>
      <c r="H50">
        <f t="shared" si="2"/>
        <v>0</v>
      </c>
    </row>
    <row r="51" spans="1:8" x14ac:dyDescent="0.35">
      <c r="A51" s="6">
        <v>44611</v>
      </c>
      <c r="B51" s="7">
        <v>93</v>
      </c>
      <c r="C51">
        <f t="shared" si="0"/>
        <v>7</v>
      </c>
      <c r="D51">
        <f t="shared" si="3"/>
        <v>190</v>
      </c>
      <c r="E51">
        <f t="shared" si="4"/>
        <v>0</v>
      </c>
      <c r="F51">
        <f t="shared" si="1"/>
        <v>0</v>
      </c>
      <c r="G51">
        <f t="shared" si="5"/>
        <v>93</v>
      </c>
      <c r="H51">
        <f t="shared" si="2"/>
        <v>0</v>
      </c>
    </row>
    <row r="52" spans="1:8" x14ac:dyDescent="0.35">
      <c r="A52" s="4">
        <v>44612</v>
      </c>
      <c r="B52" s="5">
        <v>0</v>
      </c>
      <c r="C52">
        <f t="shared" si="0"/>
        <v>1</v>
      </c>
      <c r="D52">
        <f t="shared" si="3"/>
        <v>190</v>
      </c>
      <c r="E52">
        <f t="shared" si="4"/>
        <v>1</v>
      </c>
      <c r="F52">
        <f t="shared" si="1"/>
        <v>0</v>
      </c>
      <c r="G52">
        <f t="shared" si="5"/>
        <v>0</v>
      </c>
      <c r="H52">
        <f t="shared" si="2"/>
        <v>0</v>
      </c>
    </row>
    <row r="53" spans="1:8" x14ac:dyDescent="0.35">
      <c r="A53" s="6">
        <v>44613</v>
      </c>
      <c r="B53" s="7">
        <v>0</v>
      </c>
      <c r="C53">
        <f t="shared" si="0"/>
        <v>2</v>
      </c>
      <c r="D53">
        <f t="shared" si="3"/>
        <v>190</v>
      </c>
      <c r="E53">
        <f t="shared" si="4"/>
        <v>2</v>
      </c>
      <c r="F53">
        <f t="shared" si="1"/>
        <v>0</v>
      </c>
      <c r="G53">
        <f t="shared" si="5"/>
        <v>0</v>
      </c>
      <c r="H53">
        <f t="shared" si="2"/>
        <v>0</v>
      </c>
    </row>
    <row r="54" spans="1:8" x14ac:dyDescent="0.35">
      <c r="A54" s="4">
        <v>44614</v>
      </c>
      <c r="B54" s="5">
        <v>93</v>
      </c>
      <c r="C54">
        <f t="shared" si="0"/>
        <v>3</v>
      </c>
      <c r="D54">
        <f t="shared" si="3"/>
        <v>260</v>
      </c>
      <c r="E54">
        <f t="shared" si="4"/>
        <v>0</v>
      </c>
      <c r="F54">
        <f t="shared" si="1"/>
        <v>0</v>
      </c>
      <c r="G54">
        <f t="shared" si="5"/>
        <v>93</v>
      </c>
      <c r="H54">
        <f t="shared" si="2"/>
        <v>0</v>
      </c>
    </row>
    <row r="55" spans="1:8" x14ac:dyDescent="0.35">
      <c r="A55" s="6">
        <v>44615</v>
      </c>
      <c r="B55" s="7">
        <v>0</v>
      </c>
      <c r="C55">
        <f t="shared" si="0"/>
        <v>4</v>
      </c>
      <c r="D55">
        <f t="shared" si="3"/>
        <v>190</v>
      </c>
      <c r="E55">
        <f t="shared" si="4"/>
        <v>1</v>
      </c>
      <c r="F55">
        <f t="shared" si="1"/>
        <v>0</v>
      </c>
      <c r="G55">
        <f t="shared" si="5"/>
        <v>0</v>
      </c>
      <c r="H55">
        <f t="shared" si="2"/>
        <v>0</v>
      </c>
    </row>
    <row r="56" spans="1:8" x14ac:dyDescent="0.35">
      <c r="A56" s="4">
        <v>44616</v>
      </c>
      <c r="B56" s="5">
        <v>0</v>
      </c>
      <c r="C56">
        <f t="shared" si="0"/>
        <v>5</v>
      </c>
      <c r="D56">
        <f t="shared" si="3"/>
        <v>190</v>
      </c>
      <c r="E56">
        <f t="shared" si="4"/>
        <v>2</v>
      </c>
      <c r="F56">
        <f t="shared" si="1"/>
        <v>0</v>
      </c>
      <c r="G56">
        <f t="shared" si="5"/>
        <v>0</v>
      </c>
      <c r="H56">
        <f t="shared" si="2"/>
        <v>0</v>
      </c>
    </row>
    <row r="57" spans="1:8" x14ac:dyDescent="0.35">
      <c r="A57" s="6">
        <v>44617</v>
      </c>
      <c r="B57" s="7">
        <v>0</v>
      </c>
      <c r="C57">
        <f t="shared" si="0"/>
        <v>6</v>
      </c>
      <c r="D57">
        <f t="shared" si="3"/>
        <v>190</v>
      </c>
      <c r="E57">
        <f t="shared" si="4"/>
        <v>3</v>
      </c>
      <c r="F57">
        <f t="shared" si="1"/>
        <v>0</v>
      </c>
      <c r="G57">
        <f t="shared" si="5"/>
        <v>0</v>
      </c>
      <c r="H57">
        <f t="shared" si="2"/>
        <v>0</v>
      </c>
    </row>
    <row r="58" spans="1:8" x14ac:dyDescent="0.35">
      <c r="A58" s="4">
        <v>44618</v>
      </c>
      <c r="B58" s="5">
        <v>228</v>
      </c>
      <c r="C58">
        <f t="shared" si="0"/>
        <v>7</v>
      </c>
      <c r="D58">
        <f t="shared" si="3"/>
        <v>190</v>
      </c>
      <c r="E58">
        <f t="shared" si="4"/>
        <v>0</v>
      </c>
      <c r="F58">
        <f t="shared" si="1"/>
        <v>0</v>
      </c>
      <c r="G58">
        <f t="shared" si="5"/>
        <v>228</v>
      </c>
      <c r="H58">
        <f t="shared" si="2"/>
        <v>38</v>
      </c>
    </row>
    <row r="59" spans="1:8" x14ac:dyDescent="0.35">
      <c r="A59" s="6">
        <v>44619</v>
      </c>
      <c r="B59" s="7">
        <v>0</v>
      </c>
      <c r="C59">
        <f t="shared" si="0"/>
        <v>1</v>
      </c>
      <c r="D59">
        <f t="shared" si="3"/>
        <v>190</v>
      </c>
      <c r="E59">
        <f t="shared" si="4"/>
        <v>1</v>
      </c>
      <c r="F59">
        <f t="shared" si="1"/>
        <v>0</v>
      </c>
      <c r="G59">
        <f t="shared" si="5"/>
        <v>38</v>
      </c>
      <c r="H59">
        <f t="shared" si="2"/>
        <v>0</v>
      </c>
    </row>
    <row r="60" spans="1:8" x14ac:dyDescent="0.35">
      <c r="A60" s="4">
        <v>44620</v>
      </c>
      <c r="B60" s="5">
        <v>84</v>
      </c>
      <c r="C60">
        <f t="shared" si="0"/>
        <v>2</v>
      </c>
      <c r="D60">
        <f t="shared" si="3"/>
        <v>190</v>
      </c>
      <c r="E60">
        <f t="shared" si="4"/>
        <v>0</v>
      </c>
      <c r="F60">
        <f t="shared" si="1"/>
        <v>0</v>
      </c>
      <c r="G60">
        <f t="shared" si="5"/>
        <v>84</v>
      </c>
      <c r="H60">
        <f t="shared" si="2"/>
        <v>0</v>
      </c>
    </row>
    <row r="61" spans="1:8" x14ac:dyDescent="0.35">
      <c r="A61" s="6">
        <v>44621</v>
      </c>
      <c r="B61" s="7">
        <v>90</v>
      </c>
      <c r="C61">
        <f t="shared" si="0"/>
        <v>3</v>
      </c>
      <c r="D61">
        <f t="shared" si="3"/>
        <v>260</v>
      </c>
      <c r="E61">
        <f t="shared" si="4"/>
        <v>0</v>
      </c>
      <c r="F61">
        <f t="shared" si="1"/>
        <v>0</v>
      </c>
      <c r="G61">
        <f t="shared" si="5"/>
        <v>90</v>
      </c>
      <c r="H61">
        <f t="shared" si="2"/>
        <v>0</v>
      </c>
    </row>
    <row r="62" spans="1:8" x14ac:dyDescent="0.35">
      <c r="A62" s="4">
        <v>44622</v>
      </c>
      <c r="B62" s="5">
        <v>0</v>
      </c>
      <c r="C62">
        <f t="shared" si="0"/>
        <v>4</v>
      </c>
      <c r="D62">
        <f t="shared" si="3"/>
        <v>190</v>
      </c>
      <c r="E62">
        <f t="shared" si="4"/>
        <v>1</v>
      </c>
      <c r="F62">
        <f t="shared" si="1"/>
        <v>0</v>
      </c>
      <c r="G62">
        <f t="shared" si="5"/>
        <v>0</v>
      </c>
      <c r="H62">
        <f t="shared" si="2"/>
        <v>0</v>
      </c>
    </row>
    <row r="63" spans="1:8" x14ac:dyDescent="0.35">
      <c r="A63" s="6">
        <v>44623</v>
      </c>
      <c r="B63" s="7">
        <v>93</v>
      </c>
      <c r="C63">
        <f t="shared" si="0"/>
        <v>5</v>
      </c>
      <c r="D63">
        <f t="shared" si="3"/>
        <v>190</v>
      </c>
      <c r="E63">
        <f t="shared" si="4"/>
        <v>0</v>
      </c>
      <c r="F63">
        <f t="shared" si="1"/>
        <v>0</v>
      </c>
      <c r="G63">
        <f t="shared" si="5"/>
        <v>93</v>
      </c>
      <c r="H63">
        <f t="shared" si="2"/>
        <v>0</v>
      </c>
    </row>
    <row r="64" spans="1:8" x14ac:dyDescent="0.35">
      <c r="A64" s="4">
        <v>44624</v>
      </c>
      <c r="B64" s="5">
        <v>1189</v>
      </c>
      <c r="C64">
        <f t="shared" si="0"/>
        <v>6</v>
      </c>
      <c r="D64">
        <f t="shared" si="3"/>
        <v>190</v>
      </c>
      <c r="E64">
        <f t="shared" si="4"/>
        <v>0</v>
      </c>
      <c r="F64">
        <f t="shared" si="1"/>
        <v>0</v>
      </c>
      <c r="G64">
        <f t="shared" si="5"/>
        <v>1189</v>
      </c>
      <c r="H64">
        <f t="shared" si="2"/>
        <v>999</v>
      </c>
    </row>
    <row r="65" spans="1:8" x14ac:dyDescent="0.35">
      <c r="A65" s="6">
        <v>44625</v>
      </c>
      <c r="B65" s="7">
        <v>139</v>
      </c>
      <c r="C65">
        <f t="shared" si="0"/>
        <v>7</v>
      </c>
      <c r="D65">
        <f t="shared" si="3"/>
        <v>190</v>
      </c>
      <c r="E65">
        <f t="shared" si="4"/>
        <v>0</v>
      </c>
      <c r="F65">
        <f t="shared" si="1"/>
        <v>0</v>
      </c>
      <c r="G65">
        <f t="shared" si="5"/>
        <v>1138</v>
      </c>
      <c r="H65">
        <f t="shared" si="2"/>
        <v>948</v>
      </c>
    </row>
    <row r="66" spans="1:8" x14ac:dyDescent="0.35">
      <c r="A66" s="4">
        <v>44626</v>
      </c>
      <c r="B66" s="5">
        <v>0</v>
      </c>
      <c r="C66">
        <f t="shared" si="0"/>
        <v>1</v>
      </c>
      <c r="D66">
        <f t="shared" si="3"/>
        <v>190</v>
      </c>
      <c r="E66">
        <f t="shared" si="4"/>
        <v>1</v>
      </c>
      <c r="F66">
        <f t="shared" si="1"/>
        <v>0</v>
      </c>
      <c r="G66">
        <f t="shared" si="5"/>
        <v>948</v>
      </c>
      <c r="H66">
        <f t="shared" si="2"/>
        <v>758</v>
      </c>
    </row>
    <row r="67" spans="1:8" x14ac:dyDescent="0.35">
      <c r="A67" s="6">
        <v>44627</v>
      </c>
      <c r="B67" s="7">
        <v>0</v>
      </c>
      <c r="C67">
        <f t="shared" ref="C67:C130" si="6">WEEKDAY(A67)</f>
        <v>2</v>
      </c>
      <c r="D67">
        <f t="shared" si="3"/>
        <v>190</v>
      </c>
      <c r="E67">
        <f t="shared" si="4"/>
        <v>2</v>
      </c>
      <c r="F67">
        <f t="shared" ref="F67:F130" si="7">IF(AND(MONTH(A67)&gt;=4,MONTH(A67)&lt;=9,OR(E67=5,E67=10,E67=15,E67=20)),300,0)</f>
        <v>0</v>
      </c>
      <c r="G67">
        <f t="shared" si="5"/>
        <v>758</v>
      </c>
      <c r="H67">
        <f t="shared" ref="H67:H130" si="8">IF(G67-D67&lt;0,0,G67-D67)</f>
        <v>568</v>
      </c>
    </row>
    <row r="68" spans="1:8" x14ac:dyDescent="0.35">
      <c r="A68" s="4">
        <v>44628</v>
      </c>
      <c r="B68" s="5">
        <v>75</v>
      </c>
      <c r="C68">
        <f t="shared" si="6"/>
        <v>3</v>
      </c>
      <c r="D68">
        <f t="shared" ref="D68:D131" si="9">IF(C68=3,260,190)+F68</f>
        <v>260</v>
      </c>
      <c r="E68">
        <f t="shared" ref="E68:E131" si="10">IF(B68=0,E67+1,0)</f>
        <v>0</v>
      </c>
      <c r="F68">
        <f t="shared" si="7"/>
        <v>0</v>
      </c>
      <c r="G68">
        <f t="shared" ref="G68:G131" si="11">H67+B68</f>
        <v>643</v>
      </c>
      <c r="H68">
        <f t="shared" si="8"/>
        <v>383</v>
      </c>
    </row>
    <row r="69" spans="1:8" x14ac:dyDescent="0.35">
      <c r="A69" s="6">
        <v>44629</v>
      </c>
      <c r="B69" s="7">
        <v>612</v>
      </c>
      <c r="C69">
        <f t="shared" si="6"/>
        <v>4</v>
      </c>
      <c r="D69">
        <f t="shared" si="9"/>
        <v>190</v>
      </c>
      <c r="E69">
        <f t="shared" si="10"/>
        <v>0</v>
      </c>
      <c r="F69">
        <f t="shared" si="7"/>
        <v>0</v>
      </c>
      <c r="G69">
        <f t="shared" si="11"/>
        <v>995</v>
      </c>
      <c r="H69">
        <f t="shared" si="8"/>
        <v>805</v>
      </c>
    </row>
    <row r="70" spans="1:8" x14ac:dyDescent="0.35">
      <c r="A70" s="4">
        <v>44630</v>
      </c>
      <c r="B70" s="5">
        <v>0</v>
      </c>
      <c r="C70">
        <f t="shared" si="6"/>
        <v>5</v>
      </c>
      <c r="D70">
        <f t="shared" si="9"/>
        <v>190</v>
      </c>
      <c r="E70">
        <f t="shared" si="10"/>
        <v>1</v>
      </c>
      <c r="F70">
        <f t="shared" si="7"/>
        <v>0</v>
      </c>
      <c r="G70">
        <f t="shared" si="11"/>
        <v>805</v>
      </c>
      <c r="H70">
        <f t="shared" si="8"/>
        <v>615</v>
      </c>
    </row>
    <row r="71" spans="1:8" x14ac:dyDescent="0.35">
      <c r="A71" s="6">
        <v>44631</v>
      </c>
      <c r="B71" s="7">
        <v>137</v>
      </c>
      <c r="C71">
        <f t="shared" si="6"/>
        <v>6</v>
      </c>
      <c r="D71">
        <f t="shared" si="9"/>
        <v>190</v>
      </c>
      <c r="E71">
        <f t="shared" si="10"/>
        <v>0</v>
      </c>
      <c r="F71">
        <f t="shared" si="7"/>
        <v>0</v>
      </c>
      <c r="G71">
        <f t="shared" si="11"/>
        <v>752</v>
      </c>
      <c r="H71">
        <f t="shared" si="8"/>
        <v>562</v>
      </c>
    </row>
    <row r="72" spans="1:8" x14ac:dyDescent="0.35">
      <c r="A72" s="4">
        <v>44632</v>
      </c>
      <c r="B72" s="5">
        <v>122</v>
      </c>
      <c r="C72">
        <f t="shared" si="6"/>
        <v>7</v>
      </c>
      <c r="D72">
        <f t="shared" si="9"/>
        <v>190</v>
      </c>
      <c r="E72">
        <f t="shared" si="10"/>
        <v>0</v>
      </c>
      <c r="F72">
        <f t="shared" si="7"/>
        <v>0</v>
      </c>
      <c r="G72">
        <f t="shared" si="11"/>
        <v>684</v>
      </c>
      <c r="H72">
        <f t="shared" si="8"/>
        <v>494</v>
      </c>
    </row>
    <row r="73" spans="1:8" x14ac:dyDescent="0.35">
      <c r="A73" s="6">
        <v>44633</v>
      </c>
      <c r="B73" s="7">
        <v>0</v>
      </c>
      <c r="C73">
        <f t="shared" si="6"/>
        <v>1</v>
      </c>
      <c r="D73">
        <f t="shared" si="9"/>
        <v>190</v>
      </c>
      <c r="E73">
        <f t="shared" si="10"/>
        <v>1</v>
      </c>
      <c r="F73">
        <f t="shared" si="7"/>
        <v>0</v>
      </c>
      <c r="G73">
        <f t="shared" si="11"/>
        <v>494</v>
      </c>
      <c r="H73">
        <f t="shared" si="8"/>
        <v>304</v>
      </c>
    </row>
    <row r="74" spans="1:8" x14ac:dyDescent="0.35">
      <c r="A74" s="4">
        <v>44634</v>
      </c>
      <c r="B74" s="5">
        <v>0</v>
      </c>
      <c r="C74">
        <f t="shared" si="6"/>
        <v>2</v>
      </c>
      <c r="D74">
        <f t="shared" si="9"/>
        <v>190</v>
      </c>
      <c r="E74">
        <f t="shared" si="10"/>
        <v>2</v>
      </c>
      <c r="F74">
        <f t="shared" si="7"/>
        <v>0</v>
      </c>
      <c r="G74">
        <f t="shared" si="11"/>
        <v>304</v>
      </c>
      <c r="H74">
        <f t="shared" si="8"/>
        <v>114</v>
      </c>
    </row>
    <row r="75" spans="1:8" x14ac:dyDescent="0.35">
      <c r="A75" s="6">
        <v>44635</v>
      </c>
      <c r="B75" s="7">
        <v>88</v>
      </c>
      <c r="C75">
        <f t="shared" si="6"/>
        <v>3</v>
      </c>
      <c r="D75">
        <f t="shared" si="9"/>
        <v>260</v>
      </c>
      <c r="E75">
        <f t="shared" si="10"/>
        <v>0</v>
      </c>
      <c r="F75">
        <f t="shared" si="7"/>
        <v>0</v>
      </c>
      <c r="G75">
        <f t="shared" si="11"/>
        <v>202</v>
      </c>
      <c r="H75">
        <f t="shared" si="8"/>
        <v>0</v>
      </c>
    </row>
    <row r="76" spans="1:8" x14ac:dyDescent="0.35">
      <c r="A76" s="4">
        <v>44636</v>
      </c>
      <c r="B76" s="5">
        <v>112</v>
      </c>
      <c r="C76">
        <f t="shared" si="6"/>
        <v>4</v>
      </c>
      <c r="D76">
        <f t="shared" si="9"/>
        <v>190</v>
      </c>
      <c r="E76">
        <f t="shared" si="10"/>
        <v>0</v>
      </c>
      <c r="F76">
        <f t="shared" si="7"/>
        <v>0</v>
      </c>
      <c r="G76">
        <f t="shared" si="11"/>
        <v>112</v>
      </c>
      <c r="H76">
        <f t="shared" si="8"/>
        <v>0</v>
      </c>
    </row>
    <row r="77" spans="1:8" x14ac:dyDescent="0.35">
      <c r="A77" s="6">
        <v>44637</v>
      </c>
      <c r="B77" s="7">
        <v>82</v>
      </c>
      <c r="C77">
        <f t="shared" si="6"/>
        <v>5</v>
      </c>
      <c r="D77">
        <f t="shared" si="9"/>
        <v>190</v>
      </c>
      <c r="E77">
        <f t="shared" si="10"/>
        <v>0</v>
      </c>
      <c r="F77">
        <f t="shared" si="7"/>
        <v>0</v>
      </c>
      <c r="G77">
        <f t="shared" si="11"/>
        <v>82</v>
      </c>
      <c r="H77">
        <f t="shared" si="8"/>
        <v>0</v>
      </c>
    </row>
    <row r="78" spans="1:8" x14ac:dyDescent="0.35">
      <c r="A78" s="4">
        <v>44638</v>
      </c>
      <c r="B78" s="5">
        <v>174</v>
      </c>
      <c r="C78">
        <f t="shared" si="6"/>
        <v>6</v>
      </c>
      <c r="D78">
        <f t="shared" si="9"/>
        <v>190</v>
      </c>
      <c r="E78">
        <f t="shared" si="10"/>
        <v>0</v>
      </c>
      <c r="F78">
        <f t="shared" si="7"/>
        <v>0</v>
      </c>
      <c r="G78">
        <f t="shared" si="11"/>
        <v>174</v>
      </c>
      <c r="H78">
        <f t="shared" si="8"/>
        <v>0</v>
      </c>
    </row>
    <row r="79" spans="1:8" x14ac:dyDescent="0.35">
      <c r="A79" s="6">
        <v>44639</v>
      </c>
      <c r="B79" s="7">
        <v>279</v>
      </c>
      <c r="C79">
        <f t="shared" si="6"/>
        <v>7</v>
      </c>
      <c r="D79">
        <f t="shared" si="9"/>
        <v>190</v>
      </c>
      <c r="E79">
        <f t="shared" si="10"/>
        <v>0</v>
      </c>
      <c r="F79">
        <f t="shared" si="7"/>
        <v>0</v>
      </c>
      <c r="G79">
        <f t="shared" si="11"/>
        <v>279</v>
      </c>
      <c r="H79">
        <f t="shared" si="8"/>
        <v>89</v>
      </c>
    </row>
    <row r="80" spans="1:8" x14ac:dyDescent="0.35">
      <c r="A80" s="4">
        <v>44640</v>
      </c>
      <c r="B80" s="5">
        <v>125</v>
      </c>
      <c r="C80">
        <f t="shared" si="6"/>
        <v>1</v>
      </c>
      <c r="D80">
        <f t="shared" si="9"/>
        <v>190</v>
      </c>
      <c r="E80">
        <f t="shared" si="10"/>
        <v>0</v>
      </c>
      <c r="F80">
        <f t="shared" si="7"/>
        <v>0</v>
      </c>
      <c r="G80">
        <f t="shared" si="11"/>
        <v>214</v>
      </c>
      <c r="H80">
        <f t="shared" si="8"/>
        <v>24</v>
      </c>
    </row>
    <row r="81" spans="1:8" x14ac:dyDescent="0.35">
      <c r="A81" s="6">
        <v>44641</v>
      </c>
      <c r="B81" s="7">
        <v>123</v>
      </c>
      <c r="C81">
        <f t="shared" si="6"/>
        <v>2</v>
      </c>
      <c r="D81">
        <f t="shared" si="9"/>
        <v>190</v>
      </c>
      <c r="E81">
        <f t="shared" si="10"/>
        <v>0</v>
      </c>
      <c r="F81">
        <f t="shared" si="7"/>
        <v>0</v>
      </c>
      <c r="G81">
        <f t="shared" si="11"/>
        <v>147</v>
      </c>
      <c r="H81">
        <f t="shared" si="8"/>
        <v>0</v>
      </c>
    </row>
    <row r="82" spans="1:8" x14ac:dyDescent="0.35">
      <c r="A82" s="4">
        <v>44642</v>
      </c>
      <c r="B82" s="5">
        <v>108</v>
      </c>
      <c r="C82">
        <f t="shared" si="6"/>
        <v>3</v>
      </c>
      <c r="D82">
        <f t="shared" si="9"/>
        <v>260</v>
      </c>
      <c r="E82">
        <f t="shared" si="10"/>
        <v>0</v>
      </c>
      <c r="F82">
        <f t="shared" si="7"/>
        <v>0</v>
      </c>
      <c r="G82">
        <f t="shared" si="11"/>
        <v>108</v>
      </c>
      <c r="H82">
        <f t="shared" si="8"/>
        <v>0</v>
      </c>
    </row>
    <row r="83" spans="1:8" x14ac:dyDescent="0.35">
      <c r="A83" s="6">
        <v>44643</v>
      </c>
      <c r="B83" s="7">
        <v>0</v>
      </c>
      <c r="C83">
        <f t="shared" si="6"/>
        <v>4</v>
      </c>
      <c r="D83">
        <f t="shared" si="9"/>
        <v>190</v>
      </c>
      <c r="E83">
        <f t="shared" si="10"/>
        <v>1</v>
      </c>
      <c r="F83">
        <f t="shared" si="7"/>
        <v>0</v>
      </c>
      <c r="G83">
        <f t="shared" si="11"/>
        <v>0</v>
      </c>
      <c r="H83">
        <f t="shared" si="8"/>
        <v>0</v>
      </c>
    </row>
    <row r="84" spans="1:8" x14ac:dyDescent="0.35">
      <c r="A84" s="4">
        <v>44644</v>
      </c>
      <c r="B84" s="5">
        <v>0</v>
      </c>
      <c r="C84">
        <f t="shared" si="6"/>
        <v>5</v>
      </c>
      <c r="D84">
        <f t="shared" si="9"/>
        <v>190</v>
      </c>
      <c r="E84">
        <f t="shared" si="10"/>
        <v>2</v>
      </c>
      <c r="F84">
        <f t="shared" si="7"/>
        <v>0</v>
      </c>
      <c r="G84">
        <f t="shared" si="11"/>
        <v>0</v>
      </c>
      <c r="H84">
        <f t="shared" si="8"/>
        <v>0</v>
      </c>
    </row>
    <row r="85" spans="1:8" x14ac:dyDescent="0.35">
      <c r="A85" s="6">
        <v>44645</v>
      </c>
      <c r="B85" s="7">
        <v>0</v>
      </c>
      <c r="C85">
        <f t="shared" si="6"/>
        <v>6</v>
      </c>
      <c r="D85">
        <f t="shared" si="9"/>
        <v>190</v>
      </c>
      <c r="E85">
        <f t="shared" si="10"/>
        <v>3</v>
      </c>
      <c r="F85">
        <f t="shared" si="7"/>
        <v>0</v>
      </c>
      <c r="G85">
        <f t="shared" si="11"/>
        <v>0</v>
      </c>
      <c r="H85">
        <f t="shared" si="8"/>
        <v>0</v>
      </c>
    </row>
    <row r="86" spans="1:8" x14ac:dyDescent="0.35">
      <c r="A86" s="4">
        <v>44646</v>
      </c>
      <c r="B86" s="5">
        <v>0</v>
      </c>
      <c r="C86">
        <f t="shared" si="6"/>
        <v>7</v>
      </c>
      <c r="D86">
        <f t="shared" si="9"/>
        <v>190</v>
      </c>
      <c r="E86">
        <f t="shared" si="10"/>
        <v>4</v>
      </c>
      <c r="F86">
        <f t="shared" si="7"/>
        <v>0</v>
      </c>
      <c r="G86">
        <f t="shared" si="11"/>
        <v>0</v>
      </c>
      <c r="H86">
        <f t="shared" si="8"/>
        <v>0</v>
      </c>
    </row>
    <row r="87" spans="1:8" x14ac:dyDescent="0.35">
      <c r="A87" s="6">
        <v>44647</v>
      </c>
      <c r="B87" s="7">
        <v>0</v>
      </c>
      <c r="C87">
        <f t="shared" si="6"/>
        <v>1</v>
      </c>
      <c r="D87">
        <f t="shared" si="9"/>
        <v>190</v>
      </c>
      <c r="E87">
        <f t="shared" si="10"/>
        <v>5</v>
      </c>
      <c r="F87">
        <f t="shared" si="7"/>
        <v>0</v>
      </c>
      <c r="G87">
        <f t="shared" si="11"/>
        <v>0</v>
      </c>
      <c r="H87">
        <f t="shared" si="8"/>
        <v>0</v>
      </c>
    </row>
    <row r="88" spans="1:8" x14ac:dyDescent="0.35">
      <c r="A88" s="4">
        <v>44648</v>
      </c>
      <c r="B88" s="5">
        <v>0</v>
      </c>
      <c r="C88">
        <f t="shared" si="6"/>
        <v>2</v>
      </c>
      <c r="D88">
        <f t="shared" si="9"/>
        <v>190</v>
      </c>
      <c r="E88">
        <f t="shared" si="10"/>
        <v>6</v>
      </c>
      <c r="F88">
        <f t="shared" si="7"/>
        <v>0</v>
      </c>
      <c r="G88">
        <f t="shared" si="11"/>
        <v>0</v>
      </c>
      <c r="H88">
        <f t="shared" si="8"/>
        <v>0</v>
      </c>
    </row>
    <row r="89" spans="1:8" x14ac:dyDescent="0.35">
      <c r="A89" s="6">
        <v>44649</v>
      </c>
      <c r="B89" s="7">
        <v>0</v>
      </c>
      <c r="C89">
        <f t="shared" si="6"/>
        <v>3</v>
      </c>
      <c r="D89">
        <f t="shared" si="9"/>
        <v>260</v>
      </c>
      <c r="E89">
        <f t="shared" si="10"/>
        <v>7</v>
      </c>
      <c r="F89">
        <f t="shared" si="7"/>
        <v>0</v>
      </c>
      <c r="G89">
        <f t="shared" si="11"/>
        <v>0</v>
      </c>
      <c r="H89">
        <f t="shared" si="8"/>
        <v>0</v>
      </c>
    </row>
    <row r="90" spans="1:8" x14ac:dyDescent="0.35">
      <c r="A90" s="4">
        <v>44650</v>
      </c>
      <c r="B90" s="5">
        <v>0</v>
      </c>
      <c r="C90">
        <f t="shared" si="6"/>
        <v>4</v>
      </c>
      <c r="D90">
        <f t="shared" si="9"/>
        <v>190</v>
      </c>
      <c r="E90">
        <f t="shared" si="10"/>
        <v>8</v>
      </c>
      <c r="F90">
        <f t="shared" si="7"/>
        <v>0</v>
      </c>
      <c r="G90">
        <f t="shared" si="11"/>
        <v>0</v>
      </c>
      <c r="H90">
        <f t="shared" si="8"/>
        <v>0</v>
      </c>
    </row>
    <row r="91" spans="1:8" x14ac:dyDescent="0.35">
      <c r="A91" s="6">
        <v>44651</v>
      </c>
      <c r="B91" s="7">
        <v>207</v>
      </c>
      <c r="C91">
        <f t="shared" si="6"/>
        <v>5</v>
      </c>
      <c r="D91">
        <f t="shared" si="9"/>
        <v>190</v>
      </c>
      <c r="E91">
        <f t="shared" si="10"/>
        <v>0</v>
      </c>
      <c r="F91">
        <f t="shared" si="7"/>
        <v>0</v>
      </c>
      <c r="G91">
        <f t="shared" si="11"/>
        <v>207</v>
      </c>
      <c r="H91">
        <f t="shared" si="8"/>
        <v>17</v>
      </c>
    </row>
    <row r="92" spans="1:8" x14ac:dyDescent="0.35">
      <c r="A92" s="4">
        <v>44652</v>
      </c>
      <c r="B92" s="5">
        <v>1299</v>
      </c>
      <c r="C92">
        <f t="shared" si="6"/>
        <v>6</v>
      </c>
      <c r="D92">
        <f t="shared" si="9"/>
        <v>190</v>
      </c>
      <c r="E92">
        <f t="shared" si="10"/>
        <v>0</v>
      </c>
      <c r="F92">
        <f t="shared" si="7"/>
        <v>0</v>
      </c>
      <c r="G92">
        <f t="shared" si="11"/>
        <v>1316</v>
      </c>
      <c r="H92">
        <f t="shared" si="8"/>
        <v>1126</v>
      </c>
    </row>
    <row r="93" spans="1:8" x14ac:dyDescent="0.35">
      <c r="A93" s="6">
        <v>44653</v>
      </c>
      <c r="B93" s="7">
        <v>218</v>
      </c>
      <c r="C93">
        <f t="shared" si="6"/>
        <v>7</v>
      </c>
      <c r="D93">
        <f t="shared" si="9"/>
        <v>190</v>
      </c>
      <c r="E93">
        <f t="shared" si="10"/>
        <v>0</v>
      </c>
      <c r="F93">
        <f t="shared" si="7"/>
        <v>0</v>
      </c>
      <c r="G93">
        <f t="shared" si="11"/>
        <v>1344</v>
      </c>
      <c r="H93">
        <f t="shared" si="8"/>
        <v>1154</v>
      </c>
    </row>
    <row r="94" spans="1:8" x14ac:dyDescent="0.35">
      <c r="A94" s="4">
        <v>44654</v>
      </c>
      <c r="B94" s="5">
        <v>0</v>
      </c>
      <c r="C94">
        <f t="shared" si="6"/>
        <v>1</v>
      </c>
      <c r="D94">
        <f t="shared" si="9"/>
        <v>190</v>
      </c>
      <c r="E94">
        <f t="shared" si="10"/>
        <v>1</v>
      </c>
      <c r="F94">
        <f t="shared" si="7"/>
        <v>0</v>
      </c>
      <c r="G94">
        <f t="shared" si="11"/>
        <v>1154</v>
      </c>
      <c r="H94">
        <f t="shared" si="8"/>
        <v>964</v>
      </c>
    </row>
    <row r="95" spans="1:8" x14ac:dyDescent="0.35">
      <c r="A95" s="6">
        <v>44655</v>
      </c>
      <c r="B95" s="7">
        <v>0</v>
      </c>
      <c r="C95">
        <f t="shared" si="6"/>
        <v>2</v>
      </c>
      <c r="D95">
        <f t="shared" si="9"/>
        <v>190</v>
      </c>
      <c r="E95">
        <f t="shared" si="10"/>
        <v>2</v>
      </c>
      <c r="F95">
        <f t="shared" si="7"/>
        <v>0</v>
      </c>
      <c r="G95">
        <f t="shared" si="11"/>
        <v>964</v>
      </c>
      <c r="H95">
        <f t="shared" si="8"/>
        <v>774</v>
      </c>
    </row>
    <row r="96" spans="1:8" x14ac:dyDescent="0.35">
      <c r="A96" s="4">
        <v>44656</v>
      </c>
      <c r="B96" s="5">
        <v>0</v>
      </c>
      <c r="C96">
        <f t="shared" si="6"/>
        <v>3</v>
      </c>
      <c r="D96">
        <f t="shared" si="9"/>
        <v>260</v>
      </c>
      <c r="E96">
        <f t="shared" si="10"/>
        <v>3</v>
      </c>
      <c r="F96">
        <f t="shared" si="7"/>
        <v>0</v>
      </c>
      <c r="G96">
        <f t="shared" si="11"/>
        <v>774</v>
      </c>
      <c r="H96">
        <f t="shared" si="8"/>
        <v>514</v>
      </c>
    </row>
    <row r="97" spans="1:8" x14ac:dyDescent="0.35">
      <c r="A97" s="6">
        <v>44657</v>
      </c>
      <c r="B97" s="7">
        <v>220</v>
      </c>
      <c r="C97">
        <f t="shared" si="6"/>
        <v>4</v>
      </c>
      <c r="D97">
        <f t="shared" si="9"/>
        <v>190</v>
      </c>
      <c r="E97">
        <f t="shared" si="10"/>
        <v>0</v>
      </c>
      <c r="F97">
        <f t="shared" si="7"/>
        <v>0</v>
      </c>
      <c r="G97">
        <f t="shared" si="11"/>
        <v>734</v>
      </c>
      <c r="H97">
        <f t="shared" si="8"/>
        <v>544</v>
      </c>
    </row>
    <row r="98" spans="1:8" x14ac:dyDescent="0.35">
      <c r="A98" s="4">
        <v>44658</v>
      </c>
      <c r="B98" s="5">
        <v>72</v>
      </c>
      <c r="C98">
        <f t="shared" si="6"/>
        <v>5</v>
      </c>
      <c r="D98">
        <f t="shared" si="9"/>
        <v>190</v>
      </c>
      <c r="E98">
        <f t="shared" si="10"/>
        <v>0</v>
      </c>
      <c r="F98">
        <f t="shared" si="7"/>
        <v>0</v>
      </c>
      <c r="G98">
        <f t="shared" si="11"/>
        <v>616</v>
      </c>
      <c r="H98">
        <f t="shared" si="8"/>
        <v>426</v>
      </c>
    </row>
    <row r="99" spans="1:8" x14ac:dyDescent="0.35">
      <c r="A99" s="6">
        <v>44659</v>
      </c>
      <c r="B99" s="7">
        <v>0</v>
      </c>
      <c r="C99">
        <f t="shared" si="6"/>
        <v>6</v>
      </c>
      <c r="D99">
        <f t="shared" si="9"/>
        <v>190</v>
      </c>
      <c r="E99">
        <f t="shared" si="10"/>
        <v>1</v>
      </c>
      <c r="F99">
        <f t="shared" si="7"/>
        <v>0</v>
      </c>
      <c r="G99">
        <f t="shared" si="11"/>
        <v>426</v>
      </c>
      <c r="H99">
        <f t="shared" si="8"/>
        <v>236</v>
      </c>
    </row>
    <row r="100" spans="1:8" x14ac:dyDescent="0.35">
      <c r="A100" s="4">
        <v>44660</v>
      </c>
      <c r="B100" s="5">
        <v>0</v>
      </c>
      <c r="C100">
        <f t="shared" si="6"/>
        <v>7</v>
      </c>
      <c r="D100">
        <f t="shared" si="9"/>
        <v>190</v>
      </c>
      <c r="E100">
        <f t="shared" si="10"/>
        <v>2</v>
      </c>
      <c r="F100">
        <f t="shared" si="7"/>
        <v>0</v>
      </c>
      <c r="G100">
        <f t="shared" si="11"/>
        <v>236</v>
      </c>
      <c r="H100">
        <f t="shared" si="8"/>
        <v>46</v>
      </c>
    </row>
    <row r="101" spans="1:8" x14ac:dyDescent="0.35">
      <c r="A101" s="6">
        <v>44661</v>
      </c>
      <c r="B101" s="7">
        <v>0</v>
      </c>
      <c r="C101">
        <f t="shared" si="6"/>
        <v>1</v>
      </c>
      <c r="D101">
        <f t="shared" si="9"/>
        <v>190</v>
      </c>
      <c r="E101">
        <f t="shared" si="10"/>
        <v>3</v>
      </c>
      <c r="F101">
        <f t="shared" si="7"/>
        <v>0</v>
      </c>
      <c r="G101">
        <f t="shared" si="11"/>
        <v>46</v>
      </c>
      <c r="H101">
        <f t="shared" si="8"/>
        <v>0</v>
      </c>
    </row>
    <row r="102" spans="1:8" x14ac:dyDescent="0.35">
      <c r="A102" s="4">
        <v>44662</v>
      </c>
      <c r="B102" s="5">
        <v>0</v>
      </c>
      <c r="C102">
        <f t="shared" si="6"/>
        <v>2</v>
      </c>
      <c r="D102">
        <f t="shared" si="9"/>
        <v>190</v>
      </c>
      <c r="E102">
        <f t="shared" si="10"/>
        <v>4</v>
      </c>
      <c r="F102">
        <f t="shared" si="7"/>
        <v>0</v>
      </c>
      <c r="G102">
        <f t="shared" si="11"/>
        <v>0</v>
      </c>
      <c r="H102">
        <f t="shared" si="8"/>
        <v>0</v>
      </c>
    </row>
    <row r="103" spans="1:8" x14ac:dyDescent="0.35">
      <c r="A103" s="6">
        <v>44663</v>
      </c>
      <c r="B103" s="7">
        <v>0</v>
      </c>
      <c r="C103">
        <f t="shared" si="6"/>
        <v>3</v>
      </c>
      <c r="D103">
        <f t="shared" si="9"/>
        <v>560</v>
      </c>
      <c r="E103">
        <f t="shared" si="10"/>
        <v>5</v>
      </c>
      <c r="F103">
        <f t="shared" si="7"/>
        <v>300</v>
      </c>
      <c r="G103">
        <f t="shared" si="11"/>
        <v>0</v>
      </c>
      <c r="H103">
        <f t="shared" si="8"/>
        <v>0</v>
      </c>
    </row>
    <row r="104" spans="1:8" x14ac:dyDescent="0.35">
      <c r="A104" s="4">
        <v>44664</v>
      </c>
      <c r="B104" s="5">
        <v>205</v>
      </c>
      <c r="C104">
        <f t="shared" si="6"/>
        <v>4</v>
      </c>
      <c r="D104">
        <f t="shared" si="9"/>
        <v>190</v>
      </c>
      <c r="E104">
        <f t="shared" si="10"/>
        <v>0</v>
      </c>
      <c r="F104">
        <f t="shared" si="7"/>
        <v>0</v>
      </c>
      <c r="G104">
        <f t="shared" si="11"/>
        <v>205</v>
      </c>
      <c r="H104">
        <f t="shared" si="8"/>
        <v>15</v>
      </c>
    </row>
    <row r="105" spans="1:8" x14ac:dyDescent="0.35">
      <c r="A105" s="6">
        <v>44665</v>
      </c>
      <c r="B105" s="7">
        <v>0</v>
      </c>
      <c r="C105">
        <f t="shared" si="6"/>
        <v>5</v>
      </c>
      <c r="D105">
        <f t="shared" si="9"/>
        <v>190</v>
      </c>
      <c r="E105">
        <f t="shared" si="10"/>
        <v>1</v>
      </c>
      <c r="F105">
        <f t="shared" si="7"/>
        <v>0</v>
      </c>
      <c r="G105">
        <f t="shared" si="11"/>
        <v>15</v>
      </c>
      <c r="H105">
        <f t="shared" si="8"/>
        <v>0</v>
      </c>
    </row>
    <row r="106" spans="1:8" x14ac:dyDescent="0.35">
      <c r="A106" s="4">
        <v>44666</v>
      </c>
      <c r="B106" s="5">
        <v>436</v>
      </c>
      <c r="C106">
        <f t="shared" si="6"/>
        <v>6</v>
      </c>
      <c r="D106">
        <f t="shared" si="9"/>
        <v>190</v>
      </c>
      <c r="E106">
        <f t="shared" si="10"/>
        <v>0</v>
      </c>
      <c r="F106">
        <f t="shared" si="7"/>
        <v>0</v>
      </c>
      <c r="G106">
        <f t="shared" si="11"/>
        <v>436</v>
      </c>
      <c r="H106">
        <f t="shared" si="8"/>
        <v>246</v>
      </c>
    </row>
    <row r="107" spans="1:8" x14ac:dyDescent="0.35">
      <c r="A107" s="6">
        <v>44667</v>
      </c>
      <c r="B107" s="7">
        <v>622</v>
      </c>
      <c r="C107">
        <f t="shared" si="6"/>
        <v>7</v>
      </c>
      <c r="D107">
        <f t="shared" si="9"/>
        <v>190</v>
      </c>
      <c r="E107">
        <f t="shared" si="10"/>
        <v>0</v>
      </c>
      <c r="F107">
        <f t="shared" si="7"/>
        <v>0</v>
      </c>
      <c r="G107">
        <f t="shared" si="11"/>
        <v>868</v>
      </c>
      <c r="H107">
        <f t="shared" si="8"/>
        <v>678</v>
      </c>
    </row>
    <row r="108" spans="1:8" x14ac:dyDescent="0.35">
      <c r="A108" s="4">
        <v>44668</v>
      </c>
      <c r="B108" s="5">
        <v>34</v>
      </c>
      <c r="C108">
        <f t="shared" si="6"/>
        <v>1</v>
      </c>
      <c r="D108">
        <f t="shared" si="9"/>
        <v>190</v>
      </c>
      <c r="E108">
        <f t="shared" si="10"/>
        <v>0</v>
      </c>
      <c r="F108">
        <f t="shared" si="7"/>
        <v>0</v>
      </c>
      <c r="G108">
        <f t="shared" si="11"/>
        <v>712</v>
      </c>
      <c r="H108">
        <f t="shared" si="8"/>
        <v>522</v>
      </c>
    </row>
    <row r="109" spans="1:8" x14ac:dyDescent="0.35">
      <c r="A109" s="6">
        <v>44669</v>
      </c>
      <c r="B109" s="7">
        <v>0</v>
      </c>
      <c r="C109">
        <f t="shared" si="6"/>
        <v>2</v>
      </c>
      <c r="D109">
        <f t="shared" si="9"/>
        <v>190</v>
      </c>
      <c r="E109">
        <f t="shared" si="10"/>
        <v>1</v>
      </c>
      <c r="F109">
        <f t="shared" si="7"/>
        <v>0</v>
      </c>
      <c r="G109">
        <f t="shared" si="11"/>
        <v>522</v>
      </c>
      <c r="H109">
        <f t="shared" si="8"/>
        <v>332</v>
      </c>
    </row>
    <row r="110" spans="1:8" x14ac:dyDescent="0.35">
      <c r="A110" s="4">
        <v>44670</v>
      </c>
      <c r="B110" s="5">
        <v>0</v>
      </c>
      <c r="C110">
        <f t="shared" si="6"/>
        <v>3</v>
      </c>
      <c r="D110">
        <f t="shared" si="9"/>
        <v>260</v>
      </c>
      <c r="E110">
        <f t="shared" si="10"/>
        <v>2</v>
      </c>
      <c r="F110">
        <f t="shared" si="7"/>
        <v>0</v>
      </c>
      <c r="G110">
        <f t="shared" si="11"/>
        <v>332</v>
      </c>
      <c r="H110">
        <f t="shared" si="8"/>
        <v>72</v>
      </c>
    </row>
    <row r="111" spans="1:8" x14ac:dyDescent="0.35">
      <c r="A111" s="6">
        <v>44671</v>
      </c>
      <c r="B111" s="7">
        <v>0</v>
      </c>
      <c r="C111">
        <f t="shared" si="6"/>
        <v>4</v>
      </c>
      <c r="D111">
        <f t="shared" si="9"/>
        <v>190</v>
      </c>
      <c r="E111">
        <f t="shared" si="10"/>
        <v>3</v>
      </c>
      <c r="F111">
        <f t="shared" si="7"/>
        <v>0</v>
      </c>
      <c r="G111">
        <f t="shared" si="11"/>
        <v>72</v>
      </c>
      <c r="H111">
        <f t="shared" si="8"/>
        <v>0</v>
      </c>
    </row>
    <row r="112" spans="1:8" x14ac:dyDescent="0.35">
      <c r="A112" s="4">
        <v>44672</v>
      </c>
      <c r="B112" s="5">
        <v>0</v>
      </c>
      <c r="C112">
        <f t="shared" si="6"/>
        <v>5</v>
      </c>
      <c r="D112">
        <f t="shared" si="9"/>
        <v>190</v>
      </c>
      <c r="E112">
        <f t="shared" si="10"/>
        <v>4</v>
      </c>
      <c r="F112">
        <f t="shared" si="7"/>
        <v>0</v>
      </c>
      <c r="G112">
        <f t="shared" si="11"/>
        <v>0</v>
      </c>
      <c r="H112">
        <f t="shared" si="8"/>
        <v>0</v>
      </c>
    </row>
    <row r="113" spans="1:8" x14ac:dyDescent="0.35">
      <c r="A113" s="6">
        <v>44673</v>
      </c>
      <c r="B113" s="7">
        <v>0</v>
      </c>
      <c r="C113">
        <f t="shared" si="6"/>
        <v>6</v>
      </c>
      <c r="D113">
        <f t="shared" si="9"/>
        <v>490</v>
      </c>
      <c r="E113">
        <f t="shared" si="10"/>
        <v>5</v>
      </c>
      <c r="F113">
        <f t="shared" si="7"/>
        <v>300</v>
      </c>
      <c r="G113">
        <f t="shared" si="11"/>
        <v>0</v>
      </c>
      <c r="H113">
        <f t="shared" si="8"/>
        <v>0</v>
      </c>
    </row>
    <row r="114" spans="1:8" x14ac:dyDescent="0.35">
      <c r="A114" s="4">
        <v>44674</v>
      </c>
      <c r="B114" s="5">
        <v>0</v>
      </c>
      <c r="C114">
        <f t="shared" si="6"/>
        <v>7</v>
      </c>
      <c r="D114">
        <f t="shared" si="9"/>
        <v>190</v>
      </c>
      <c r="E114">
        <f t="shared" si="10"/>
        <v>6</v>
      </c>
      <c r="F114">
        <f t="shared" si="7"/>
        <v>0</v>
      </c>
      <c r="G114">
        <f t="shared" si="11"/>
        <v>0</v>
      </c>
      <c r="H114">
        <f t="shared" si="8"/>
        <v>0</v>
      </c>
    </row>
    <row r="115" spans="1:8" x14ac:dyDescent="0.35">
      <c r="A115" s="6">
        <v>44675</v>
      </c>
      <c r="B115" s="7">
        <v>0</v>
      </c>
      <c r="C115">
        <f t="shared" si="6"/>
        <v>1</v>
      </c>
      <c r="D115">
        <f t="shared" si="9"/>
        <v>190</v>
      </c>
      <c r="E115">
        <f t="shared" si="10"/>
        <v>7</v>
      </c>
      <c r="F115">
        <f t="shared" si="7"/>
        <v>0</v>
      </c>
      <c r="G115">
        <f t="shared" si="11"/>
        <v>0</v>
      </c>
      <c r="H115">
        <f t="shared" si="8"/>
        <v>0</v>
      </c>
    </row>
    <row r="116" spans="1:8" x14ac:dyDescent="0.35">
      <c r="A116" s="4">
        <v>44676</v>
      </c>
      <c r="B116" s="5">
        <v>0</v>
      </c>
      <c r="C116">
        <f t="shared" si="6"/>
        <v>2</v>
      </c>
      <c r="D116">
        <f t="shared" si="9"/>
        <v>190</v>
      </c>
      <c r="E116">
        <f t="shared" si="10"/>
        <v>8</v>
      </c>
      <c r="F116">
        <f t="shared" si="7"/>
        <v>0</v>
      </c>
      <c r="G116">
        <f t="shared" si="11"/>
        <v>0</v>
      </c>
      <c r="H116">
        <f t="shared" si="8"/>
        <v>0</v>
      </c>
    </row>
    <row r="117" spans="1:8" x14ac:dyDescent="0.35">
      <c r="A117" s="6">
        <v>44677</v>
      </c>
      <c r="B117" s="7">
        <v>0</v>
      </c>
      <c r="C117">
        <f t="shared" si="6"/>
        <v>3</v>
      </c>
      <c r="D117">
        <f t="shared" si="9"/>
        <v>260</v>
      </c>
      <c r="E117">
        <f t="shared" si="10"/>
        <v>9</v>
      </c>
      <c r="F117">
        <f t="shared" si="7"/>
        <v>0</v>
      </c>
      <c r="G117">
        <f t="shared" si="11"/>
        <v>0</v>
      </c>
      <c r="H117">
        <f t="shared" si="8"/>
        <v>0</v>
      </c>
    </row>
    <row r="118" spans="1:8" x14ac:dyDescent="0.35">
      <c r="A118" s="4">
        <v>44678</v>
      </c>
      <c r="B118" s="5">
        <v>0</v>
      </c>
      <c r="C118">
        <f t="shared" si="6"/>
        <v>4</v>
      </c>
      <c r="D118">
        <f t="shared" si="9"/>
        <v>490</v>
      </c>
      <c r="E118">
        <f t="shared" si="10"/>
        <v>10</v>
      </c>
      <c r="F118">
        <f t="shared" si="7"/>
        <v>300</v>
      </c>
      <c r="G118">
        <f t="shared" si="11"/>
        <v>0</v>
      </c>
      <c r="H118">
        <f t="shared" si="8"/>
        <v>0</v>
      </c>
    </row>
    <row r="119" spans="1:8" x14ac:dyDescent="0.35">
      <c r="A119" s="6">
        <v>44679</v>
      </c>
      <c r="B119" s="7">
        <v>36</v>
      </c>
      <c r="C119">
        <f t="shared" si="6"/>
        <v>5</v>
      </c>
      <c r="D119">
        <f t="shared" si="9"/>
        <v>190</v>
      </c>
      <c r="E119">
        <f t="shared" si="10"/>
        <v>0</v>
      </c>
      <c r="F119">
        <f t="shared" si="7"/>
        <v>0</v>
      </c>
      <c r="G119">
        <f t="shared" si="11"/>
        <v>36</v>
      </c>
      <c r="H119">
        <f t="shared" si="8"/>
        <v>0</v>
      </c>
    </row>
    <row r="120" spans="1:8" x14ac:dyDescent="0.35">
      <c r="A120" s="4">
        <v>44680</v>
      </c>
      <c r="B120" s="5">
        <v>542</v>
      </c>
      <c r="C120">
        <f t="shared" si="6"/>
        <v>6</v>
      </c>
      <c r="D120">
        <f t="shared" si="9"/>
        <v>190</v>
      </c>
      <c r="E120">
        <f t="shared" si="10"/>
        <v>0</v>
      </c>
      <c r="F120">
        <f t="shared" si="7"/>
        <v>0</v>
      </c>
      <c r="G120">
        <f t="shared" si="11"/>
        <v>542</v>
      </c>
      <c r="H120">
        <f t="shared" si="8"/>
        <v>352</v>
      </c>
    </row>
    <row r="121" spans="1:8" x14ac:dyDescent="0.35">
      <c r="A121" s="6">
        <v>44681</v>
      </c>
      <c r="B121" s="7">
        <v>529</v>
      </c>
      <c r="C121">
        <f t="shared" si="6"/>
        <v>7</v>
      </c>
      <c r="D121">
        <f t="shared" si="9"/>
        <v>190</v>
      </c>
      <c r="E121">
        <f t="shared" si="10"/>
        <v>0</v>
      </c>
      <c r="F121">
        <f t="shared" si="7"/>
        <v>0</v>
      </c>
      <c r="G121">
        <f t="shared" si="11"/>
        <v>881</v>
      </c>
      <c r="H121">
        <f t="shared" si="8"/>
        <v>691</v>
      </c>
    </row>
    <row r="122" spans="1:8" x14ac:dyDescent="0.35">
      <c r="A122" s="4">
        <v>44682</v>
      </c>
      <c r="B122" s="5">
        <v>890</v>
      </c>
      <c r="C122">
        <f t="shared" si="6"/>
        <v>1</v>
      </c>
      <c r="D122">
        <f t="shared" si="9"/>
        <v>190</v>
      </c>
      <c r="E122">
        <f t="shared" si="10"/>
        <v>0</v>
      </c>
      <c r="F122">
        <f t="shared" si="7"/>
        <v>0</v>
      </c>
      <c r="G122">
        <f t="shared" si="11"/>
        <v>1581</v>
      </c>
      <c r="H122">
        <f t="shared" si="8"/>
        <v>1391</v>
      </c>
    </row>
    <row r="123" spans="1:8" x14ac:dyDescent="0.35">
      <c r="A123" s="6">
        <v>44683</v>
      </c>
      <c r="B123" s="7">
        <v>609</v>
      </c>
      <c r="C123">
        <f t="shared" si="6"/>
        <v>2</v>
      </c>
      <c r="D123">
        <f t="shared" si="9"/>
        <v>190</v>
      </c>
      <c r="E123">
        <f t="shared" si="10"/>
        <v>0</v>
      </c>
      <c r="F123">
        <f t="shared" si="7"/>
        <v>0</v>
      </c>
      <c r="G123">
        <f t="shared" si="11"/>
        <v>2000</v>
      </c>
      <c r="H123">
        <f t="shared" si="8"/>
        <v>1810</v>
      </c>
    </row>
    <row r="124" spans="1:8" x14ac:dyDescent="0.35">
      <c r="A124" s="4">
        <v>44684</v>
      </c>
      <c r="B124" s="5">
        <v>79</v>
      </c>
      <c r="C124">
        <f t="shared" si="6"/>
        <v>3</v>
      </c>
      <c r="D124">
        <f t="shared" si="9"/>
        <v>260</v>
      </c>
      <c r="E124">
        <f t="shared" si="10"/>
        <v>0</v>
      </c>
      <c r="F124">
        <f t="shared" si="7"/>
        <v>0</v>
      </c>
      <c r="G124">
        <f t="shared" si="11"/>
        <v>1889</v>
      </c>
      <c r="H124">
        <f t="shared" si="8"/>
        <v>1629</v>
      </c>
    </row>
    <row r="125" spans="1:8" x14ac:dyDescent="0.35">
      <c r="A125" s="6">
        <v>44685</v>
      </c>
      <c r="B125" s="7">
        <v>0</v>
      </c>
      <c r="C125">
        <f t="shared" si="6"/>
        <v>4</v>
      </c>
      <c r="D125">
        <f t="shared" si="9"/>
        <v>190</v>
      </c>
      <c r="E125">
        <f t="shared" si="10"/>
        <v>1</v>
      </c>
      <c r="F125">
        <f t="shared" si="7"/>
        <v>0</v>
      </c>
      <c r="G125">
        <f t="shared" si="11"/>
        <v>1629</v>
      </c>
      <c r="H125">
        <f t="shared" si="8"/>
        <v>1439</v>
      </c>
    </row>
    <row r="126" spans="1:8" x14ac:dyDescent="0.35">
      <c r="A126" s="4">
        <v>44686</v>
      </c>
      <c r="B126" s="5">
        <v>0</v>
      </c>
      <c r="C126">
        <f t="shared" si="6"/>
        <v>5</v>
      </c>
      <c r="D126">
        <f t="shared" si="9"/>
        <v>190</v>
      </c>
      <c r="E126">
        <f t="shared" si="10"/>
        <v>2</v>
      </c>
      <c r="F126">
        <f t="shared" si="7"/>
        <v>0</v>
      </c>
      <c r="G126">
        <f t="shared" si="11"/>
        <v>1439</v>
      </c>
      <c r="H126">
        <f t="shared" si="8"/>
        <v>1249</v>
      </c>
    </row>
    <row r="127" spans="1:8" x14ac:dyDescent="0.35">
      <c r="A127" s="6">
        <v>44687</v>
      </c>
      <c r="B127" s="7">
        <v>0</v>
      </c>
      <c r="C127">
        <f t="shared" si="6"/>
        <v>6</v>
      </c>
      <c r="D127">
        <f t="shared" si="9"/>
        <v>190</v>
      </c>
      <c r="E127">
        <f t="shared" si="10"/>
        <v>3</v>
      </c>
      <c r="F127">
        <f t="shared" si="7"/>
        <v>0</v>
      </c>
      <c r="G127">
        <f t="shared" si="11"/>
        <v>1249</v>
      </c>
      <c r="H127">
        <f t="shared" si="8"/>
        <v>1059</v>
      </c>
    </row>
    <row r="128" spans="1:8" x14ac:dyDescent="0.35">
      <c r="A128" s="4">
        <v>44688</v>
      </c>
      <c r="B128" s="5">
        <v>0</v>
      </c>
      <c r="C128">
        <f t="shared" si="6"/>
        <v>7</v>
      </c>
      <c r="D128">
        <f t="shared" si="9"/>
        <v>190</v>
      </c>
      <c r="E128">
        <f t="shared" si="10"/>
        <v>4</v>
      </c>
      <c r="F128">
        <f t="shared" si="7"/>
        <v>0</v>
      </c>
      <c r="G128">
        <f t="shared" si="11"/>
        <v>1059</v>
      </c>
      <c r="H128">
        <f t="shared" si="8"/>
        <v>869</v>
      </c>
    </row>
    <row r="129" spans="1:8" x14ac:dyDescent="0.35">
      <c r="A129" s="6">
        <v>44689</v>
      </c>
      <c r="B129" s="7">
        <v>0</v>
      </c>
      <c r="C129">
        <f t="shared" si="6"/>
        <v>1</v>
      </c>
      <c r="D129">
        <f t="shared" si="9"/>
        <v>490</v>
      </c>
      <c r="E129">
        <f t="shared" si="10"/>
        <v>5</v>
      </c>
      <c r="F129">
        <f t="shared" si="7"/>
        <v>300</v>
      </c>
      <c r="G129">
        <f t="shared" si="11"/>
        <v>869</v>
      </c>
      <c r="H129">
        <f t="shared" si="8"/>
        <v>379</v>
      </c>
    </row>
    <row r="130" spans="1:8" x14ac:dyDescent="0.35">
      <c r="A130" s="4">
        <v>44690</v>
      </c>
      <c r="B130" s="5">
        <v>0</v>
      </c>
      <c r="C130">
        <f t="shared" si="6"/>
        <v>2</v>
      </c>
      <c r="D130">
        <f t="shared" si="9"/>
        <v>190</v>
      </c>
      <c r="E130">
        <f t="shared" si="10"/>
        <v>6</v>
      </c>
      <c r="F130">
        <f t="shared" si="7"/>
        <v>0</v>
      </c>
      <c r="G130">
        <f t="shared" si="11"/>
        <v>379</v>
      </c>
      <c r="H130">
        <f t="shared" si="8"/>
        <v>189</v>
      </c>
    </row>
    <row r="131" spans="1:8" x14ac:dyDescent="0.35">
      <c r="A131" s="6">
        <v>44691</v>
      </c>
      <c r="B131" s="7">
        <v>467</v>
      </c>
      <c r="C131">
        <f t="shared" ref="C131:C194" si="12">WEEKDAY(A131)</f>
        <v>3</v>
      </c>
      <c r="D131">
        <f t="shared" si="9"/>
        <v>260</v>
      </c>
      <c r="E131">
        <f t="shared" si="10"/>
        <v>0</v>
      </c>
      <c r="F131">
        <f t="shared" ref="F131:F194" si="13">IF(AND(MONTH(A131)&gt;=4,MONTH(A131)&lt;=9,OR(E131=5,E131=10,E131=15,E131=20)),300,0)</f>
        <v>0</v>
      </c>
      <c r="G131">
        <f t="shared" si="11"/>
        <v>656</v>
      </c>
      <c r="H131">
        <f t="shared" ref="H131:H194" si="14">IF(G131-D131&lt;0,0,G131-D131)</f>
        <v>396</v>
      </c>
    </row>
    <row r="132" spans="1:8" x14ac:dyDescent="0.35">
      <c r="A132" s="4">
        <v>44692</v>
      </c>
      <c r="B132" s="5">
        <v>234</v>
      </c>
      <c r="C132">
        <f t="shared" si="12"/>
        <v>4</v>
      </c>
      <c r="D132">
        <f t="shared" ref="D132:D195" si="15">IF(C132=3,260,190)+F132</f>
        <v>190</v>
      </c>
      <c r="E132">
        <f t="shared" ref="E132:E195" si="16">IF(B132=0,E131+1,0)</f>
        <v>0</v>
      </c>
      <c r="F132">
        <f t="shared" si="13"/>
        <v>0</v>
      </c>
      <c r="G132">
        <f t="shared" ref="G132:G195" si="17">H131+B132</f>
        <v>630</v>
      </c>
      <c r="H132">
        <f t="shared" si="14"/>
        <v>440</v>
      </c>
    </row>
    <row r="133" spans="1:8" x14ac:dyDescent="0.35">
      <c r="A133" s="6">
        <v>44693</v>
      </c>
      <c r="B133" s="7">
        <v>0</v>
      </c>
      <c r="C133">
        <f t="shared" si="12"/>
        <v>5</v>
      </c>
      <c r="D133">
        <f t="shared" si="15"/>
        <v>190</v>
      </c>
      <c r="E133">
        <f t="shared" si="16"/>
        <v>1</v>
      </c>
      <c r="F133">
        <f t="shared" si="13"/>
        <v>0</v>
      </c>
      <c r="G133">
        <f t="shared" si="17"/>
        <v>440</v>
      </c>
      <c r="H133">
        <f t="shared" si="14"/>
        <v>250</v>
      </c>
    </row>
    <row r="134" spans="1:8" x14ac:dyDescent="0.35">
      <c r="A134" s="4">
        <v>44694</v>
      </c>
      <c r="B134" s="5">
        <v>0</v>
      </c>
      <c r="C134">
        <f t="shared" si="12"/>
        <v>6</v>
      </c>
      <c r="D134">
        <f t="shared" si="15"/>
        <v>190</v>
      </c>
      <c r="E134">
        <f t="shared" si="16"/>
        <v>2</v>
      </c>
      <c r="F134">
        <f t="shared" si="13"/>
        <v>0</v>
      </c>
      <c r="G134">
        <f t="shared" si="17"/>
        <v>250</v>
      </c>
      <c r="H134">
        <f t="shared" si="14"/>
        <v>60</v>
      </c>
    </row>
    <row r="135" spans="1:8" x14ac:dyDescent="0.35">
      <c r="A135" s="6">
        <v>44695</v>
      </c>
      <c r="B135" s="7">
        <v>0</v>
      </c>
      <c r="C135">
        <f t="shared" si="12"/>
        <v>7</v>
      </c>
      <c r="D135">
        <f t="shared" si="15"/>
        <v>190</v>
      </c>
      <c r="E135">
        <f t="shared" si="16"/>
        <v>3</v>
      </c>
      <c r="F135">
        <f t="shared" si="13"/>
        <v>0</v>
      </c>
      <c r="G135">
        <f t="shared" si="17"/>
        <v>60</v>
      </c>
      <c r="H135">
        <f t="shared" si="14"/>
        <v>0</v>
      </c>
    </row>
    <row r="136" spans="1:8" x14ac:dyDescent="0.35">
      <c r="A136" s="4">
        <v>44696</v>
      </c>
      <c r="B136" s="5">
        <v>0</v>
      </c>
      <c r="C136">
        <f t="shared" si="12"/>
        <v>1</v>
      </c>
      <c r="D136">
        <f t="shared" si="15"/>
        <v>190</v>
      </c>
      <c r="E136">
        <f t="shared" si="16"/>
        <v>4</v>
      </c>
      <c r="F136">
        <f t="shared" si="13"/>
        <v>0</v>
      </c>
      <c r="G136">
        <f t="shared" si="17"/>
        <v>0</v>
      </c>
      <c r="H136">
        <f t="shared" si="14"/>
        <v>0</v>
      </c>
    </row>
    <row r="137" spans="1:8" x14ac:dyDescent="0.35">
      <c r="A137" s="6">
        <v>44697</v>
      </c>
      <c r="B137" s="7">
        <v>65</v>
      </c>
      <c r="C137">
        <f t="shared" si="12"/>
        <v>2</v>
      </c>
      <c r="D137">
        <f t="shared" si="15"/>
        <v>190</v>
      </c>
      <c r="E137">
        <f t="shared" si="16"/>
        <v>0</v>
      </c>
      <c r="F137">
        <f t="shared" si="13"/>
        <v>0</v>
      </c>
      <c r="G137">
        <f t="shared" si="17"/>
        <v>65</v>
      </c>
      <c r="H137">
        <f t="shared" si="14"/>
        <v>0</v>
      </c>
    </row>
    <row r="138" spans="1:8" x14ac:dyDescent="0.35">
      <c r="A138" s="4">
        <v>44698</v>
      </c>
      <c r="B138" s="5">
        <v>781</v>
      </c>
      <c r="C138">
        <f t="shared" si="12"/>
        <v>3</v>
      </c>
      <c r="D138">
        <f t="shared" si="15"/>
        <v>260</v>
      </c>
      <c r="E138">
        <f t="shared" si="16"/>
        <v>0</v>
      </c>
      <c r="F138">
        <f t="shared" si="13"/>
        <v>0</v>
      </c>
      <c r="G138">
        <f t="shared" si="17"/>
        <v>781</v>
      </c>
      <c r="H138">
        <f t="shared" si="14"/>
        <v>521</v>
      </c>
    </row>
    <row r="139" spans="1:8" x14ac:dyDescent="0.35">
      <c r="A139" s="6">
        <v>44699</v>
      </c>
      <c r="B139" s="7">
        <v>778</v>
      </c>
      <c r="C139">
        <f t="shared" si="12"/>
        <v>4</v>
      </c>
      <c r="D139">
        <f t="shared" si="15"/>
        <v>190</v>
      </c>
      <c r="E139">
        <f t="shared" si="16"/>
        <v>0</v>
      </c>
      <c r="F139">
        <f t="shared" si="13"/>
        <v>0</v>
      </c>
      <c r="G139">
        <f t="shared" si="17"/>
        <v>1299</v>
      </c>
      <c r="H139">
        <f t="shared" si="14"/>
        <v>1109</v>
      </c>
    </row>
    <row r="140" spans="1:8" x14ac:dyDescent="0.35">
      <c r="A140" s="4">
        <v>44700</v>
      </c>
      <c r="B140" s="5">
        <v>32</v>
      </c>
      <c r="C140">
        <f t="shared" si="12"/>
        <v>5</v>
      </c>
      <c r="D140">
        <f t="shared" si="15"/>
        <v>190</v>
      </c>
      <c r="E140">
        <f t="shared" si="16"/>
        <v>0</v>
      </c>
      <c r="F140">
        <f t="shared" si="13"/>
        <v>0</v>
      </c>
      <c r="G140">
        <f t="shared" si="17"/>
        <v>1141</v>
      </c>
      <c r="H140">
        <f t="shared" si="14"/>
        <v>951</v>
      </c>
    </row>
    <row r="141" spans="1:8" x14ac:dyDescent="0.35">
      <c r="A141" s="6">
        <v>44701</v>
      </c>
      <c r="B141" s="7">
        <v>0</v>
      </c>
      <c r="C141">
        <f t="shared" si="12"/>
        <v>6</v>
      </c>
      <c r="D141">
        <f t="shared" si="15"/>
        <v>190</v>
      </c>
      <c r="E141">
        <f t="shared" si="16"/>
        <v>1</v>
      </c>
      <c r="F141">
        <f t="shared" si="13"/>
        <v>0</v>
      </c>
      <c r="G141">
        <f t="shared" si="17"/>
        <v>951</v>
      </c>
      <c r="H141">
        <f t="shared" si="14"/>
        <v>761</v>
      </c>
    </row>
    <row r="142" spans="1:8" x14ac:dyDescent="0.35">
      <c r="A142" s="4">
        <v>44702</v>
      </c>
      <c r="B142" s="5">
        <v>0</v>
      </c>
      <c r="C142">
        <f t="shared" si="12"/>
        <v>7</v>
      </c>
      <c r="D142">
        <f t="shared" si="15"/>
        <v>190</v>
      </c>
      <c r="E142">
        <f t="shared" si="16"/>
        <v>2</v>
      </c>
      <c r="F142">
        <f t="shared" si="13"/>
        <v>0</v>
      </c>
      <c r="G142">
        <f t="shared" si="17"/>
        <v>761</v>
      </c>
      <c r="H142">
        <f t="shared" si="14"/>
        <v>571</v>
      </c>
    </row>
    <row r="143" spans="1:8" x14ac:dyDescent="0.35">
      <c r="A143" s="6">
        <v>44703</v>
      </c>
      <c r="B143" s="7">
        <v>0</v>
      </c>
      <c r="C143">
        <f t="shared" si="12"/>
        <v>1</v>
      </c>
      <c r="D143">
        <f t="shared" si="15"/>
        <v>190</v>
      </c>
      <c r="E143">
        <f t="shared" si="16"/>
        <v>3</v>
      </c>
      <c r="F143">
        <f t="shared" si="13"/>
        <v>0</v>
      </c>
      <c r="G143">
        <f t="shared" si="17"/>
        <v>571</v>
      </c>
      <c r="H143">
        <f t="shared" si="14"/>
        <v>381</v>
      </c>
    </row>
    <row r="144" spans="1:8" x14ac:dyDescent="0.35">
      <c r="A144" s="4">
        <v>44704</v>
      </c>
      <c r="B144" s="5">
        <v>0</v>
      </c>
      <c r="C144">
        <f t="shared" si="12"/>
        <v>2</v>
      </c>
      <c r="D144">
        <f t="shared" si="15"/>
        <v>190</v>
      </c>
      <c r="E144">
        <f t="shared" si="16"/>
        <v>4</v>
      </c>
      <c r="F144">
        <f t="shared" si="13"/>
        <v>0</v>
      </c>
      <c r="G144">
        <f t="shared" si="17"/>
        <v>381</v>
      </c>
      <c r="H144">
        <f t="shared" si="14"/>
        <v>191</v>
      </c>
    </row>
    <row r="145" spans="1:8" x14ac:dyDescent="0.35">
      <c r="A145" s="6">
        <v>44705</v>
      </c>
      <c r="B145" s="7">
        <v>0</v>
      </c>
      <c r="C145">
        <f t="shared" si="12"/>
        <v>3</v>
      </c>
      <c r="D145">
        <f t="shared" si="15"/>
        <v>560</v>
      </c>
      <c r="E145">
        <f t="shared" si="16"/>
        <v>5</v>
      </c>
      <c r="F145">
        <f t="shared" si="13"/>
        <v>300</v>
      </c>
      <c r="G145">
        <f t="shared" si="17"/>
        <v>191</v>
      </c>
      <c r="H145">
        <f t="shared" si="14"/>
        <v>0</v>
      </c>
    </row>
    <row r="146" spans="1:8" x14ac:dyDescent="0.35">
      <c r="A146" s="4">
        <v>44706</v>
      </c>
      <c r="B146" s="5">
        <v>0</v>
      </c>
      <c r="C146">
        <f t="shared" si="12"/>
        <v>4</v>
      </c>
      <c r="D146">
        <f t="shared" si="15"/>
        <v>190</v>
      </c>
      <c r="E146">
        <f t="shared" si="16"/>
        <v>6</v>
      </c>
      <c r="F146">
        <f t="shared" si="13"/>
        <v>0</v>
      </c>
      <c r="G146">
        <f t="shared" si="17"/>
        <v>0</v>
      </c>
      <c r="H146">
        <f t="shared" si="14"/>
        <v>0</v>
      </c>
    </row>
    <row r="147" spans="1:8" x14ac:dyDescent="0.35">
      <c r="A147" s="6">
        <v>44707</v>
      </c>
      <c r="B147" s="7">
        <v>0</v>
      </c>
      <c r="C147">
        <f t="shared" si="12"/>
        <v>5</v>
      </c>
      <c r="D147">
        <f t="shared" si="15"/>
        <v>190</v>
      </c>
      <c r="E147">
        <f t="shared" si="16"/>
        <v>7</v>
      </c>
      <c r="F147">
        <f t="shared" si="13"/>
        <v>0</v>
      </c>
      <c r="G147">
        <f t="shared" si="17"/>
        <v>0</v>
      </c>
      <c r="H147">
        <f t="shared" si="14"/>
        <v>0</v>
      </c>
    </row>
    <row r="148" spans="1:8" x14ac:dyDescent="0.35">
      <c r="A148" s="4">
        <v>44708</v>
      </c>
      <c r="B148" s="5">
        <v>0</v>
      </c>
      <c r="C148">
        <f t="shared" si="12"/>
        <v>6</v>
      </c>
      <c r="D148">
        <f t="shared" si="15"/>
        <v>190</v>
      </c>
      <c r="E148">
        <f t="shared" si="16"/>
        <v>8</v>
      </c>
      <c r="F148">
        <f t="shared" si="13"/>
        <v>0</v>
      </c>
      <c r="G148">
        <f t="shared" si="17"/>
        <v>0</v>
      </c>
      <c r="H148">
        <f t="shared" si="14"/>
        <v>0</v>
      </c>
    </row>
    <row r="149" spans="1:8" x14ac:dyDescent="0.35">
      <c r="A149" s="6">
        <v>44709</v>
      </c>
      <c r="B149" s="7">
        <v>0</v>
      </c>
      <c r="C149">
        <f t="shared" si="12"/>
        <v>7</v>
      </c>
      <c r="D149">
        <f t="shared" si="15"/>
        <v>190</v>
      </c>
      <c r="E149">
        <f t="shared" si="16"/>
        <v>9</v>
      </c>
      <c r="F149">
        <f t="shared" si="13"/>
        <v>0</v>
      </c>
      <c r="G149">
        <f t="shared" si="17"/>
        <v>0</v>
      </c>
      <c r="H149">
        <f t="shared" si="14"/>
        <v>0</v>
      </c>
    </row>
    <row r="150" spans="1:8" x14ac:dyDescent="0.35">
      <c r="A150" s="4">
        <v>44710</v>
      </c>
      <c r="B150" s="5">
        <v>0</v>
      </c>
      <c r="C150">
        <f t="shared" si="12"/>
        <v>1</v>
      </c>
      <c r="D150">
        <f t="shared" si="15"/>
        <v>490</v>
      </c>
      <c r="E150">
        <f t="shared" si="16"/>
        <v>10</v>
      </c>
      <c r="F150">
        <f t="shared" si="13"/>
        <v>300</v>
      </c>
      <c r="G150">
        <f t="shared" si="17"/>
        <v>0</v>
      </c>
      <c r="H150">
        <f t="shared" si="14"/>
        <v>0</v>
      </c>
    </row>
    <row r="151" spans="1:8" x14ac:dyDescent="0.35">
      <c r="A151" s="6">
        <v>44711</v>
      </c>
      <c r="B151" s="7">
        <v>0</v>
      </c>
      <c r="C151">
        <f t="shared" si="12"/>
        <v>2</v>
      </c>
      <c r="D151">
        <f t="shared" si="15"/>
        <v>190</v>
      </c>
      <c r="E151">
        <f t="shared" si="16"/>
        <v>11</v>
      </c>
      <c r="F151">
        <f t="shared" si="13"/>
        <v>0</v>
      </c>
      <c r="G151">
        <f t="shared" si="17"/>
        <v>0</v>
      </c>
      <c r="H151">
        <f t="shared" si="14"/>
        <v>0</v>
      </c>
    </row>
    <row r="152" spans="1:8" x14ac:dyDescent="0.35">
      <c r="A152" s="4">
        <v>44712</v>
      </c>
      <c r="B152" s="5">
        <v>0</v>
      </c>
      <c r="C152">
        <f t="shared" si="12"/>
        <v>3</v>
      </c>
      <c r="D152">
        <f t="shared" si="15"/>
        <v>260</v>
      </c>
      <c r="E152">
        <f t="shared" si="16"/>
        <v>12</v>
      </c>
      <c r="F152">
        <f t="shared" si="13"/>
        <v>0</v>
      </c>
      <c r="G152">
        <f t="shared" si="17"/>
        <v>0</v>
      </c>
      <c r="H152">
        <f t="shared" si="14"/>
        <v>0</v>
      </c>
    </row>
    <row r="153" spans="1:8" x14ac:dyDescent="0.35">
      <c r="A153" s="6">
        <v>44713</v>
      </c>
      <c r="B153" s="7">
        <v>0</v>
      </c>
      <c r="C153">
        <f t="shared" si="12"/>
        <v>4</v>
      </c>
      <c r="D153">
        <f t="shared" si="15"/>
        <v>190</v>
      </c>
      <c r="E153">
        <f t="shared" si="16"/>
        <v>13</v>
      </c>
      <c r="F153">
        <f t="shared" si="13"/>
        <v>0</v>
      </c>
      <c r="G153">
        <f t="shared" si="17"/>
        <v>0</v>
      </c>
      <c r="H153">
        <f t="shared" si="14"/>
        <v>0</v>
      </c>
    </row>
    <row r="154" spans="1:8" x14ac:dyDescent="0.35">
      <c r="A154" s="4">
        <v>44714</v>
      </c>
      <c r="B154" s="5">
        <v>18</v>
      </c>
      <c r="C154">
        <f t="shared" si="12"/>
        <v>5</v>
      </c>
      <c r="D154">
        <f t="shared" si="15"/>
        <v>190</v>
      </c>
      <c r="E154">
        <f t="shared" si="16"/>
        <v>0</v>
      </c>
      <c r="F154">
        <f t="shared" si="13"/>
        <v>0</v>
      </c>
      <c r="G154">
        <f t="shared" si="17"/>
        <v>18</v>
      </c>
      <c r="H154">
        <f t="shared" si="14"/>
        <v>0</v>
      </c>
    </row>
    <row r="155" spans="1:8" x14ac:dyDescent="0.35">
      <c r="A155" s="6">
        <v>44715</v>
      </c>
      <c r="B155" s="7">
        <v>525</v>
      </c>
      <c r="C155">
        <f t="shared" si="12"/>
        <v>6</v>
      </c>
      <c r="D155">
        <f t="shared" si="15"/>
        <v>190</v>
      </c>
      <c r="E155">
        <f t="shared" si="16"/>
        <v>0</v>
      </c>
      <c r="F155">
        <f t="shared" si="13"/>
        <v>0</v>
      </c>
      <c r="G155">
        <f t="shared" si="17"/>
        <v>525</v>
      </c>
      <c r="H155">
        <f t="shared" si="14"/>
        <v>335</v>
      </c>
    </row>
    <row r="156" spans="1:8" x14ac:dyDescent="0.35">
      <c r="A156" s="4">
        <v>44716</v>
      </c>
      <c r="B156" s="5">
        <v>697</v>
      </c>
      <c r="C156">
        <f t="shared" si="12"/>
        <v>7</v>
      </c>
      <c r="D156">
        <f t="shared" si="15"/>
        <v>190</v>
      </c>
      <c r="E156">
        <f t="shared" si="16"/>
        <v>0</v>
      </c>
      <c r="F156">
        <f t="shared" si="13"/>
        <v>0</v>
      </c>
      <c r="G156">
        <f t="shared" si="17"/>
        <v>1032</v>
      </c>
      <c r="H156">
        <f t="shared" si="14"/>
        <v>842</v>
      </c>
    </row>
    <row r="157" spans="1:8" x14ac:dyDescent="0.35">
      <c r="A157" s="6">
        <v>44717</v>
      </c>
      <c r="B157" s="7">
        <v>786</v>
      </c>
      <c r="C157">
        <f t="shared" si="12"/>
        <v>1</v>
      </c>
      <c r="D157">
        <f t="shared" si="15"/>
        <v>190</v>
      </c>
      <c r="E157">
        <f t="shared" si="16"/>
        <v>0</v>
      </c>
      <c r="F157">
        <f t="shared" si="13"/>
        <v>0</v>
      </c>
      <c r="G157">
        <f t="shared" si="17"/>
        <v>1628</v>
      </c>
      <c r="H157">
        <f t="shared" si="14"/>
        <v>1438</v>
      </c>
    </row>
    <row r="158" spans="1:8" x14ac:dyDescent="0.35">
      <c r="A158" s="4">
        <v>44718</v>
      </c>
      <c r="B158" s="5">
        <v>792</v>
      </c>
      <c r="C158">
        <f t="shared" si="12"/>
        <v>2</v>
      </c>
      <c r="D158">
        <f t="shared" si="15"/>
        <v>190</v>
      </c>
      <c r="E158">
        <f t="shared" si="16"/>
        <v>0</v>
      </c>
      <c r="F158">
        <f t="shared" si="13"/>
        <v>0</v>
      </c>
      <c r="G158">
        <f t="shared" si="17"/>
        <v>2230</v>
      </c>
      <c r="H158">
        <f t="shared" si="14"/>
        <v>2040</v>
      </c>
    </row>
    <row r="159" spans="1:8" x14ac:dyDescent="0.35">
      <c r="A159" s="6">
        <v>44719</v>
      </c>
      <c r="B159" s="7">
        <v>0</v>
      </c>
      <c r="C159">
        <f t="shared" si="12"/>
        <v>3</v>
      </c>
      <c r="D159">
        <f t="shared" si="15"/>
        <v>260</v>
      </c>
      <c r="E159">
        <f t="shared" si="16"/>
        <v>1</v>
      </c>
      <c r="F159">
        <f t="shared" si="13"/>
        <v>0</v>
      </c>
      <c r="G159">
        <f t="shared" si="17"/>
        <v>2040</v>
      </c>
      <c r="H159">
        <f t="shared" si="14"/>
        <v>1780</v>
      </c>
    </row>
    <row r="160" spans="1:8" x14ac:dyDescent="0.35">
      <c r="A160" s="4">
        <v>44720</v>
      </c>
      <c r="B160" s="5">
        <v>0</v>
      </c>
      <c r="C160">
        <f t="shared" si="12"/>
        <v>4</v>
      </c>
      <c r="D160">
        <f t="shared" si="15"/>
        <v>190</v>
      </c>
      <c r="E160">
        <f t="shared" si="16"/>
        <v>2</v>
      </c>
      <c r="F160">
        <f t="shared" si="13"/>
        <v>0</v>
      </c>
      <c r="G160">
        <f t="shared" si="17"/>
        <v>1780</v>
      </c>
      <c r="H160">
        <f t="shared" si="14"/>
        <v>1590</v>
      </c>
    </row>
    <row r="161" spans="1:8" x14ac:dyDescent="0.35">
      <c r="A161" s="6">
        <v>44721</v>
      </c>
      <c r="B161" s="7">
        <v>0</v>
      </c>
      <c r="C161">
        <f t="shared" si="12"/>
        <v>5</v>
      </c>
      <c r="D161">
        <f t="shared" si="15"/>
        <v>190</v>
      </c>
      <c r="E161">
        <f t="shared" si="16"/>
        <v>3</v>
      </c>
      <c r="F161">
        <f t="shared" si="13"/>
        <v>0</v>
      </c>
      <c r="G161">
        <f t="shared" si="17"/>
        <v>1590</v>
      </c>
      <c r="H161">
        <f t="shared" si="14"/>
        <v>1400</v>
      </c>
    </row>
    <row r="162" spans="1:8" x14ac:dyDescent="0.35">
      <c r="A162" s="4">
        <v>44722</v>
      </c>
      <c r="B162" s="5">
        <v>0</v>
      </c>
      <c r="C162">
        <f t="shared" si="12"/>
        <v>6</v>
      </c>
      <c r="D162">
        <f t="shared" si="15"/>
        <v>190</v>
      </c>
      <c r="E162">
        <f t="shared" si="16"/>
        <v>4</v>
      </c>
      <c r="F162">
        <f t="shared" si="13"/>
        <v>0</v>
      </c>
      <c r="G162">
        <f t="shared" si="17"/>
        <v>1400</v>
      </c>
      <c r="H162">
        <f t="shared" si="14"/>
        <v>1210</v>
      </c>
    </row>
    <row r="163" spans="1:8" x14ac:dyDescent="0.35">
      <c r="A163" s="6">
        <v>44723</v>
      </c>
      <c r="B163" s="7">
        <v>0</v>
      </c>
      <c r="C163">
        <f t="shared" si="12"/>
        <v>7</v>
      </c>
      <c r="D163">
        <f t="shared" si="15"/>
        <v>490</v>
      </c>
      <c r="E163">
        <f t="shared" si="16"/>
        <v>5</v>
      </c>
      <c r="F163">
        <f t="shared" si="13"/>
        <v>300</v>
      </c>
      <c r="G163">
        <f t="shared" si="17"/>
        <v>1210</v>
      </c>
      <c r="H163">
        <f t="shared" si="14"/>
        <v>720</v>
      </c>
    </row>
    <row r="164" spans="1:8" x14ac:dyDescent="0.35">
      <c r="A164" s="4">
        <v>44724</v>
      </c>
      <c r="B164" s="5">
        <v>0</v>
      </c>
      <c r="C164">
        <f t="shared" si="12"/>
        <v>1</v>
      </c>
      <c r="D164">
        <f t="shared" si="15"/>
        <v>190</v>
      </c>
      <c r="E164">
        <f t="shared" si="16"/>
        <v>6</v>
      </c>
      <c r="F164">
        <f t="shared" si="13"/>
        <v>0</v>
      </c>
      <c r="G164">
        <f t="shared" si="17"/>
        <v>720</v>
      </c>
      <c r="H164">
        <f t="shared" si="14"/>
        <v>530</v>
      </c>
    </row>
    <row r="165" spans="1:8" x14ac:dyDescent="0.35">
      <c r="A165" s="6">
        <v>44725</v>
      </c>
      <c r="B165" s="7">
        <v>0</v>
      </c>
      <c r="C165">
        <f t="shared" si="12"/>
        <v>2</v>
      </c>
      <c r="D165">
        <f t="shared" si="15"/>
        <v>190</v>
      </c>
      <c r="E165">
        <f t="shared" si="16"/>
        <v>7</v>
      </c>
      <c r="F165">
        <f t="shared" si="13"/>
        <v>0</v>
      </c>
      <c r="G165">
        <f t="shared" si="17"/>
        <v>530</v>
      </c>
      <c r="H165">
        <f t="shared" si="14"/>
        <v>340</v>
      </c>
    </row>
    <row r="166" spans="1:8" x14ac:dyDescent="0.35">
      <c r="A166" s="4">
        <v>44726</v>
      </c>
      <c r="B166" s="5">
        <v>0</v>
      </c>
      <c r="C166">
        <f t="shared" si="12"/>
        <v>3</v>
      </c>
      <c r="D166">
        <f t="shared" si="15"/>
        <v>260</v>
      </c>
      <c r="E166">
        <f t="shared" si="16"/>
        <v>8</v>
      </c>
      <c r="F166">
        <f t="shared" si="13"/>
        <v>0</v>
      </c>
      <c r="G166">
        <f t="shared" si="17"/>
        <v>340</v>
      </c>
      <c r="H166">
        <f t="shared" si="14"/>
        <v>80</v>
      </c>
    </row>
    <row r="167" spans="1:8" x14ac:dyDescent="0.35">
      <c r="A167" s="6">
        <v>44727</v>
      </c>
      <c r="B167" s="7">
        <v>0</v>
      </c>
      <c r="C167">
        <f t="shared" si="12"/>
        <v>4</v>
      </c>
      <c r="D167">
        <f t="shared" si="15"/>
        <v>190</v>
      </c>
      <c r="E167">
        <f t="shared" si="16"/>
        <v>9</v>
      </c>
      <c r="F167">
        <f t="shared" si="13"/>
        <v>0</v>
      </c>
      <c r="G167">
        <f t="shared" si="17"/>
        <v>80</v>
      </c>
      <c r="H167">
        <f t="shared" si="14"/>
        <v>0</v>
      </c>
    </row>
    <row r="168" spans="1:8" x14ac:dyDescent="0.35">
      <c r="A168" s="4">
        <v>44728</v>
      </c>
      <c r="B168" s="5">
        <v>0</v>
      </c>
      <c r="C168">
        <f t="shared" si="12"/>
        <v>5</v>
      </c>
      <c r="D168">
        <f t="shared" si="15"/>
        <v>490</v>
      </c>
      <c r="E168">
        <f t="shared" si="16"/>
        <v>10</v>
      </c>
      <c r="F168">
        <f t="shared" si="13"/>
        <v>300</v>
      </c>
      <c r="G168">
        <f t="shared" si="17"/>
        <v>0</v>
      </c>
      <c r="H168">
        <f t="shared" si="14"/>
        <v>0</v>
      </c>
    </row>
    <row r="169" spans="1:8" x14ac:dyDescent="0.35">
      <c r="A169" s="6">
        <v>44729</v>
      </c>
      <c r="B169" s="7">
        <v>998</v>
      </c>
      <c r="C169">
        <f t="shared" si="12"/>
        <v>6</v>
      </c>
      <c r="D169">
        <f t="shared" si="15"/>
        <v>190</v>
      </c>
      <c r="E169">
        <f t="shared" si="16"/>
        <v>0</v>
      </c>
      <c r="F169">
        <f t="shared" si="13"/>
        <v>0</v>
      </c>
      <c r="G169">
        <f t="shared" si="17"/>
        <v>998</v>
      </c>
      <c r="H169">
        <f t="shared" si="14"/>
        <v>808</v>
      </c>
    </row>
    <row r="170" spans="1:8" x14ac:dyDescent="0.35">
      <c r="A170" s="4">
        <v>44730</v>
      </c>
      <c r="B170" s="5">
        <v>0</v>
      </c>
      <c r="C170">
        <f t="shared" si="12"/>
        <v>7</v>
      </c>
      <c r="D170">
        <f t="shared" si="15"/>
        <v>190</v>
      </c>
      <c r="E170">
        <f t="shared" si="16"/>
        <v>1</v>
      </c>
      <c r="F170">
        <f t="shared" si="13"/>
        <v>0</v>
      </c>
      <c r="G170">
        <f t="shared" si="17"/>
        <v>808</v>
      </c>
      <c r="H170">
        <f t="shared" si="14"/>
        <v>618</v>
      </c>
    </row>
    <row r="171" spans="1:8" x14ac:dyDescent="0.35">
      <c r="A171" s="6">
        <v>44731</v>
      </c>
      <c r="B171" s="7">
        <v>0</v>
      </c>
      <c r="C171">
        <f t="shared" si="12"/>
        <v>1</v>
      </c>
      <c r="D171">
        <f t="shared" si="15"/>
        <v>190</v>
      </c>
      <c r="E171">
        <f t="shared" si="16"/>
        <v>2</v>
      </c>
      <c r="F171">
        <f t="shared" si="13"/>
        <v>0</v>
      </c>
      <c r="G171">
        <f t="shared" si="17"/>
        <v>618</v>
      </c>
      <c r="H171">
        <f t="shared" si="14"/>
        <v>428</v>
      </c>
    </row>
    <row r="172" spans="1:8" x14ac:dyDescent="0.35">
      <c r="A172" s="4">
        <v>44732</v>
      </c>
      <c r="B172" s="5">
        <v>0</v>
      </c>
      <c r="C172">
        <f t="shared" si="12"/>
        <v>2</v>
      </c>
      <c r="D172">
        <f t="shared" si="15"/>
        <v>190</v>
      </c>
      <c r="E172">
        <f t="shared" si="16"/>
        <v>3</v>
      </c>
      <c r="F172">
        <f t="shared" si="13"/>
        <v>0</v>
      </c>
      <c r="G172">
        <f t="shared" si="17"/>
        <v>428</v>
      </c>
      <c r="H172">
        <f t="shared" si="14"/>
        <v>238</v>
      </c>
    </row>
    <row r="173" spans="1:8" x14ac:dyDescent="0.35">
      <c r="A173" s="6">
        <v>44733</v>
      </c>
      <c r="B173" s="7">
        <v>0</v>
      </c>
      <c r="C173">
        <f t="shared" si="12"/>
        <v>3</v>
      </c>
      <c r="D173">
        <f t="shared" si="15"/>
        <v>260</v>
      </c>
      <c r="E173">
        <f t="shared" si="16"/>
        <v>4</v>
      </c>
      <c r="F173">
        <f t="shared" si="13"/>
        <v>0</v>
      </c>
      <c r="G173">
        <f t="shared" si="17"/>
        <v>238</v>
      </c>
      <c r="H173">
        <f t="shared" si="14"/>
        <v>0</v>
      </c>
    </row>
    <row r="174" spans="1:8" x14ac:dyDescent="0.35">
      <c r="A174" s="4">
        <v>44734</v>
      </c>
      <c r="B174" s="5">
        <v>0</v>
      </c>
      <c r="C174">
        <f t="shared" si="12"/>
        <v>4</v>
      </c>
      <c r="D174">
        <f t="shared" si="15"/>
        <v>490</v>
      </c>
      <c r="E174">
        <f t="shared" si="16"/>
        <v>5</v>
      </c>
      <c r="F174">
        <f t="shared" si="13"/>
        <v>300</v>
      </c>
      <c r="G174">
        <f t="shared" si="17"/>
        <v>0</v>
      </c>
      <c r="H174">
        <f t="shared" si="14"/>
        <v>0</v>
      </c>
    </row>
    <row r="175" spans="1:8" x14ac:dyDescent="0.35">
      <c r="A175" s="6">
        <v>44735</v>
      </c>
      <c r="B175" s="7">
        <v>0</v>
      </c>
      <c r="C175">
        <f t="shared" si="12"/>
        <v>5</v>
      </c>
      <c r="D175">
        <f t="shared" si="15"/>
        <v>190</v>
      </c>
      <c r="E175">
        <f t="shared" si="16"/>
        <v>6</v>
      </c>
      <c r="F175">
        <f t="shared" si="13"/>
        <v>0</v>
      </c>
      <c r="G175">
        <f t="shared" si="17"/>
        <v>0</v>
      </c>
      <c r="H175">
        <f t="shared" si="14"/>
        <v>0</v>
      </c>
    </row>
    <row r="176" spans="1:8" x14ac:dyDescent="0.35">
      <c r="A176" s="4">
        <v>44736</v>
      </c>
      <c r="B176" s="5">
        <v>0</v>
      </c>
      <c r="C176">
        <f t="shared" si="12"/>
        <v>6</v>
      </c>
      <c r="D176">
        <f t="shared" si="15"/>
        <v>190</v>
      </c>
      <c r="E176">
        <f t="shared" si="16"/>
        <v>7</v>
      </c>
      <c r="F176">
        <f t="shared" si="13"/>
        <v>0</v>
      </c>
      <c r="G176">
        <f t="shared" si="17"/>
        <v>0</v>
      </c>
      <c r="H176">
        <f t="shared" si="14"/>
        <v>0</v>
      </c>
    </row>
    <row r="177" spans="1:8" x14ac:dyDescent="0.35">
      <c r="A177" s="6">
        <v>44737</v>
      </c>
      <c r="B177" s="7">
        <v>0</v>
      </c>
      <c r="C177">
        <f t="shared" si="12"/>
        <v>7</v>
      </c>
      <c r="D177">
        <f t="shared" si="15"/>
        <v>190</v>
      </c>
      <c r="E177">
        <f t="shared" si="16"/>
        <v>8</v>
      </c>
      <c r="F177">
        <f t="shared" si="13"/>
        <v>0</v>
      </c>
      <c r="G177">
        <f t="shared" si="17"/>
        <v>0</v>
      </c>
      <c r="H177">
        <f t="shared" si="14"/>
        <v>0</v>
      </c>
    </row>
    <row r="178" spans="1:8" x14ac:dyDescent="0.35">
      <c r="A178" s="4">
        <v>44738</v>
      </c>
      <c r="B178" s="5">
        <v>540</v>
      </c>
      <c r="C178">
        <f t="shared" si="12"/>
        <v>1</v>
      </c>
      <c r="D178">
        <f t="shared" si="15"/>
        <v>190</v>
      </c>
      <c r="E178">
        <f t="shared" si="16"/>
        <v>0</v>
      </c>
      <c r="F178">
        <f t="shared" si="13"/>
        <v>0</v>
      </c>
      <c r="G178">
        <f t="shared" si="17"/>
        <v>540</v>
      </c>
      <c r="H178">
        <f t="shared" si="14"/>
        <v>350</v>
      </c>
    </row>
    <row r="179" spans="1:8" x14ac:dyDescent="0.35">
      <c r="A179" s="6">
        <v>44739</v>
      </c>
      <c r="B179" s="7">
        <v>607</v>
      </c>
      <c r="C179">
        <f t="shared" si="12"/>
        <v>2</v>
      </c>
      <c r="D179">
        <f t="shared" si="15"/>
        <v>190</v>
      </c>
      <c r="E179">
        <f t="shared" si="16"/>
        <v>0</v>
      </c>
      <c r="F179">
        <f t="shared" si="13"/>
        <v>0</v>
      </c>
      <c r="G179">
        <f t="shared" si="17"/>
        <v>957</v>
      </c>
      <c r="H179">
        <f t="shared" si="14"/>
        <v>767</v>
      </c>
    </row>
    <row r="180" spans="1:8" x14ac:dyDescent="0.35">
      <c r="A180" s="4">
        <v>44740</v>
      </c>
      <c r="B180" s="5">
        <v>603</v>
      </c>
      <c r="C180">
        <f t="shared" si="12"/>
        <v>3</v>
      </c>
      <c r="D180">
        <f t="shared" si="15"/>
        <v>260</v>
      </c>
      <c r="E180">
        <f t="shared" si="16"/>
        <v>0</v>
      </c>
      <c r="F180">
        <f t="shared" si="13"/>
        <v>0</v>
      </c>
      <c r="G180">
        <f t="shared" si="17"/>
        <v>1370</v>
      </c>
      <c r="H180">
        <f t="shared" si="14"/>
        <v>1110</v>
      </c>
    </row>
    <row r="181" spans="1:8" x14ac:dyDescent="0.35">
      <c r="A181" s="6">
        <v>44741</v>
      </c>
      <c r="B181" s="7">
        <v>0</v>
      </c>
      <c r="C181">
        <f t="shared" si="12"/>
        <v>4</v>
      </c>
      <c r="D181">
        <f t="shared" si="15"/>
        <v>190</v>
      </c>
      <c r="E181">
        <f t="shared" si="16"/>
        <v>1</v>
      </c>
      <c r="F181">
        <f t="shared" si="13"/>
        <v>0</v>
      </c>
      <c r="G181">
        <f t="shared" si="17"/>
        <v>1110</v>
      </c>
      <c r="H181">
        <f t="shared" si="14"/>
        <v>920</v>
      </c>
    </row>
    <row r="182" spans="1:8" x14ac:dyDescent="0.35">
      <c r="A182" s="4">
        <v>44742</v>
      </c>
      <c r="B182" s="5">
        <v>0</v>
      </c>
      <c r="C182">
        <f t="shared" si="12"/>
        <v>5</v>
      </c>
      <c r="D182">
        <f t="shared" si="15"/>
        <v>190</v>
      </c>
      <c r="E182">
        <f t="shared" si="16"/>
        <v>2</v>
      </c>
      <c r="F182">
        <f t="shared" si="13"/>
        <v>0</v>
      </c>
      <c r="G182">
        <f t="shared" si="17"/>
        <v>920</v>
      </c>
      <c r="H182">
        <f t="shared" si="14"/>
        <v>730</v>
      </c>
    </row>
    <row r="183" spans="1:8" x14ac:dyDescent="0.35">
      <c r="A183" s="6">
        <v>44743</v>
      </c>
      <c r="B183" s="7">
        <v>0</v>
      </c>
      <c r="C183">
        <f t="shared" si="12"/>
        <v>6</v>
      </c>
      <c r="D183">
        <f t="shared" si="15"/>
        <v>190</v>
      </c>
      <c r="E183">
        <f t="shared" si="16"/>
        <v>3</v>
      </c>
      <c r="F183">
        <f t="shared" si="13"/>
        <v>0</v>
      </c>
      <c r="G183">
        <f t="shared" si="17"/>
        <v>730</v>
      </c>
      <c r="H183">
        <f t="shared" si="14"/>
        <v>540</v>
      </c>
    </row>
    <row r="184" spans="1:8" x14ac:dyDescent="0.35">
      <c r="A184" s="4">
        <v>44744</v>
      </c>
      <c r="B184" s="5">
        <v>0</v>
      </c>
      <c r="C184">
        <f t="shared" si="12"/>
        <v>7</v>
      </c>
      <c r="D184">
        <f t="shared" si="15"/>
        <v>190</v>
      </c>
      <c r="E184">
        <f t="shared" si="16"/>
        <v>4</v>
      </c>
      <c r="F184">
        <f t="shared" si="13"/>
        <v>0</v>
      </c>
      <c r="G184">
        <f t="shared" si="17"/>
        <v>540</v>
      </c>
      <c r="H184">
        <f t="shared" si="14"/>
        <v>350</v>
      </c>
    </row>
    <row r="185" spans="1:8" x14ac:dyDescent="0.35">
      <c r="A185" s="6">
        <v>44745</v>
      </c>
      <c r="B185" s="7">
        <v>0</v>
      </c>
      <c r="C185">
        <f t="shared" si="12"/>
        <v>1</v>
      </c>
      <c r="D185">
        <f t="shared" si="15"/>
        <v>490</v>
      </c>
      <c r="E185">
        <f t="shared" si="16"/>
        <v>5</v>
      </c>
      <c r="F185">
        <f t="shared" si="13"/>
        <v>300</v>
      </c>
      <c r="G185">
        <f t="shared" si="17"/>
        <v>350</v>
      </c>
      <c r="H185">
        <f t="shared" si="14"/>
        <v>0</v>
      </c>
    </row>
    <row r="186" spans="1:8" x14ac:dyDescent="0.35">
      <c r="A186" s="4">
        <v>44746</v>
      </c>
      <c r="B186" s="5">
        <v>0</v>
      </c>
      <c r="C186">
        <f t="shared" si="12"/>
        <v>2</v>
      </c>
      <c r="D186">
        <f t="shared" si="15"/>
        <v>190</v>
      </c>
      <c r="E186">
        <f t="shared" si="16"/>
        <v>6</v>
      </c>
      <c r="F186">
        <f t="shared" si="13"/>
        <v>0</v>
      </c>
      <c r="G186">
        <f t="shared" si="17"/>
        <v>0</v>
      </c>
      <c r="H186">
        <f t="shared" si="14"/>
        <v>0</v>
      </c>
    </row>
    <row r="187" spans="1:8" x14ac:dyDescent="0.35">
      <c r="A187" s="6">
        <v>44747</v>
      </c>
      <c r="B187" s="7">
        <v>0</v>
      </c>
      <c r="C187">
        <f t="shared" si="12"/>
        <v>3</v>
      </c>
      <c r="D187">
        <f t="shared" si="15"/>
        <v>260</v>
      </c>
      <c r="E187">
        <f t="shared" si="16"/>
        <v>7</v>
      </c>
      <c r="F187">
        <f t="shared" si="13"/>
        <v>0</v>
      </c>
      <c r="G187">
        <f t="shared" si="17"/>
        <v>0</v>
      </c>
      <c r="H187">
        <f t="shared" si="14"/>
        <v>0</v>
      </c>
    </row>
    <row r="188" spans="1:8" x14ac:dyDescent="0.35">
      <c r="A188" s="4">
        <v>44748</v>
      </c>
      <c r="B188" s="5">
        <v>527</v>
      </c>
      <c r="C188">
        <f t="shared" si="12"/>
        <v>4</v>
      </c>
      <c r="D188">
        <f t="shared" si="15"/>
        <v>190</v>
      </c>
      <c r="E188">
        <f t="shared" si="16"/>
        <v>0</v>
      </c>
      <c r="F188">
        <f t="shared" si="13"/>
        <v>0</v>
      </c>
      <c r="G188">
        <f t="shared" si="17"/>
        <v>527</v>
      </c>
      <c r="H188">
        <f t="shared" si="14"/>
        <v>337</v>
      </c>
    </row>
    <row r="189" spans="1:8" x14ac:dyDescent="0.35">
      <c r="A189" s="6">
        <v>44749</v>
      </c>
      <c r="B189" s="7">
        <v>619</v>
      </c>
      <c r="C189">
        <f t="shared" si="12"/>
        <v>5</v>
      </c>
      <c r="D189">
        <f t="shared" si="15"/>
        <v>190</v>
      </c>
      <c r="E189">
        <f t="shared" si="16"/>
        <v>0</v>
      </c>
      <c r="F189">
        <f t="shared" si="13"/>
        <v>0</v>
      </c>
      <c r="G189">
        <f t="shared" si="17"/>
        <v>956</v>
      </c>
      <c r="H189">
        <f t="shared" si="14"/>
        <v>766</v>
      </c>
    </row>
    <row r="190" spans="1:8" x14ac:dyDescent="0.35">
      <c r="A190" s="4">
        <v>44750</v>
      </c>
      <c r="B190" s="5">
        <v>0</v>
      </c>
      <c r="C190">
        <f t="shared" si="12"/>
        <v>6</v>
      </c>
      <c r="D190">
        <f t="shared" si="15"/>
        <v>190</v>
      </c>
      <c r="E190">
        <f t="shared" si="16"/>
        <v>1</v>
      </c>
      <c r="F190">
        <f t="shared" si="13"/>
        <v>0</v>
      </c>
      <c r="G190">
        <f t="shared" si="17"/>
        <v>766</v>
      </c>
      <c r="H190">
        <f t="shared" si="14"/>
        <v>576</v>
      </c>
    </row>
    <row r="191" spans="1:8" x14ac:dyDescent="0.35">
      <c r="A191" s="6">
        <v>44751</v>
      </c>
      <c r="B191" s="7">
        <v>0</v>
      </c>
      <c r="C191">
        <f t="shared" si="12"/>
        <v>7</v>
      </c>
      <c r="D191">
        <f t="shared" si="15"/>
        <v>190</v>
      </c>
      <c r="E191">
        <f t="shared" si="16"/>
        <v>2</v>
      </c>
      <c r="F191">
        <f t="shared" si="13"/>
        <v>0</v>
      </c>
      <c r="G191">
        <f t="shared" si="17"/>
        <v>576</v>
      </c>
      <c r="H191">
        <f t="shared" si="14"/>
        <v>386</v>
      </c>
    </row>
    <row r="192" spans="1:8" x14ac:dyDescent="0.35">
      <c r="A192" s="4">
        <v>44752</v>
      </c>
      <c r="B192" s="5">
        <v>0</v>
      </c>
      <c r="C192">
        <f t="shared" si="12"/>
        <v>1</v>
      </c>
      <c r="D192">
        <f t="shared" si="15"/>
        <v>190</v>
      </c>
      <c r="E192">
        <f t="shared" si="16"/>
        <v>3</v>
      </c>
      <c r="F192">
        <f t="shared" si="13"/>
        <v>0</v>
      </c>
      <c r="G192">
        <f t="shared" si="17"/>
        <v>386</v>
      </c>
      <c r="H192">
        <f t="shared" si="14"/>
        <v>196</v>
      </c>
    </row>
    <row r="193" spans="1:8" x14ac:dyDescent="0.35">
      <c r="A193" s="6">
        <v>44753</v>
      </c>
      <c r="B193" s="7">
        <v>170</v>
      </c>
      <c r="C193">
        <f t="shared" si="12"/>
        <v>2</v>
      </c>
      <c r="D193">
        <f t="shared" si="15"/>
        <v>190</v>
      </c>
      <c r="E193">
        <f t="shared" si="16"/>
        <v>0</v>
      </c>
      <c r="F193">
        <f t="shared" si="13"/>
        <v>0</v>
      </c>
      <c r="G193">
        <f t="shared" si="17"/>
        <v>366</v>
      </c>
      <c r="H193">
        <f t="shared" si="14"/>
        <v>176</v>
      </c>
    </row>
    <row r="194" spans="1:8" x14ac:dyDescent="0.35">
      <c r="A194" s="4">
        <v>44754</v>
      </c>
      <c r="B194" s="5">
        <v>13</v>
      </c>
      <c r="C194">
        <f t="shared" si="12"/>
        <v>3</v>
      </c>
      <c r="D194">
        <f t="shared" si="15"/>
        <v>260</v>
      </c>
      <c r="E194">
        <f t="shared" si="16"/>
        <v>0</v>
      </c>
      <c r="F194">
        <f t="shared" si="13"/>
        <v>0</v>
      </c>
      <c r="G194">
        <f t="shared" si="17"/>
        <v>189</v>
      </c>
      <c r="H194">
        <f t="shared" si="14"/>
        <v>0</v>
      </c>
    </row>
    <row r="195" spans="1:8" x14ac:dyDescent="0.35">
      <c r="A195" s="6">
        <v>44755</v>
      </c>
      <c r="B195" s="7">
        <v>0</v>
      </c>
      <c r="C195">
        <f t="shared" ref="C195:C258" si="18">WEEKDAY(A195)</f>
        <v>4</v>
      </c>
      <c r="D195">
        <f t="shared" si="15"/>
        <v>190</v>
      </c>
      <c r="E195">
        <f t="shared" si="16"/>
        <v>1</v>
      </c>
      <c r="F195">
        <f t="shared" ref="F195:F258" si="19">IF(AND(MONTH(A195)&gt;=4,MONTH(A195)&lt;=9,OR(E195=5,E195=10,E195=15,E195=20)),300,0)</f>
        <v>0</v>
      </c>
      <c r="G195">
        <f t="shared" si="17"/>
        <v>0</v>
      </c>
      <c r="H195">
        <f t="shared" ref="H195:H258" si="20">IF(G195-D195&lt;0,0,G195-D195)</f>
        <v>0</v>
      </c>
    </row>
    <row r="196" spans="1:8" x14ac:dyDescent="0.35">
      <c r="A196" s="4">
        <v>44756</v>
      </c>
      <c r="B196" s="5">
        <v>0</v>
      </c>
      <c r="C196">
        <f t="shared" si="18"/>
        <v>5</v>
      </c>
      <c r="D196">
        <f t="shared" ref="D196:D259" si="21">IF(C196=3,260,190)+F196</f>
        <v>190</v>
      </c>
      <c r="E196">
        <f t="shared" ref="E196:E259" si="22">IF(B196=0,E195+1,0)</f>
        <v>2</v>
      </c>
      <c r="F196">
        <f t="shared" si="19"/>
        <v>0</v>
      </c>
      <c r="G196">
        <f t="shared" ref="G196:G259" si="23">H195+B196</f>
        <v>0</v>
      </c>
      <c r="H196">
        <f t="shared" si="20"/>
        <v>0</v>
      </c>
    </row>
    <row r="197" spans="1:8" x14ac:dyDescent="0.35">
      <c r="A197" s="6">
        <v>44757</v>
      </c>
      <c r="B197" s="7">
        <v>0</v>
      </c>
      <c r="C197">
        <f t="shared" si="18"/>
        <v>6</v>
      </c>
      <c r="D197">
        <f t="shared" si="21"/>
        <v>190</v>
      </c>
      <c r="E197">
        <f t="shared" si="22"/>
        <v>3</v>
      </c>
      <c r="F197">
        <f t="shared" si="19"/>
        <v>0</v>
      </c>
      <c r="G197">
        <f t="shared" si="23"/>
        <v>0</v>
      </c>
      <c r="H197">
        <f t="shared" si="20"/>
        <v>0</v>
      </c>
    </row>
    <row r="198" spans="1:8" x14ac:dyDescent="0.35">
      <c r="A198" s="4">
        <v>44758</v>
      </c>
      <c r="B198" s="5">
        <v>0</v>
      </c>
      <c r="C198">
        <f t="shared" si="18"/>
        <v>7</v>
      </c>
      <c r="D198">
        <f t="shared" si="21"/>
        <v>190</v>
      </c>
      <c r="E198">
        <f t="shared" si="22"/>
        <v>4</v>
      </c>
      <c r="F198">
        <f t="shared" si="19"/>
        <v>0</v>
      </c>
      <c r="G198">
        <f t="shared" si="23"/>
        <v>0</v>
      </c>
      <c r="H198">
        <f t="shared" si="20"/>
        <v>0</v>
      </c>
    </row>
    <row r="199" spans="1:8" x14ac:dyDescent="0.35">
      <c r="A199" s="6">
        <v>44759</v>
      </c>
      <c r="B199" s="7">
        <v>518</v>
      </c>
      <c r="C199">
        <f t="shared" si="18"/>
        <v>1</v>
      </c>
      <c r="D199">
        <f t="shared" si="21"/>
        <v>190</v>
      </c>
      <c r="E199">
        <f t="shared" si="22"/>
        <v>0</v>
      </c>
      <c r="F199">
        <f t="shared" si="19"/>
        <v>0</v>
      </c>
      <c r="G199">
        <f t="shared" si="23"/>
        <v>518</v>
      </c>
      <c r="H199">
        <f t="shared" si="20"/>
        <v>328</v>
      </c>
    </row>
    <row r="200" spans="1:8" x14ac:dyDescent="0.35">
      <c r="A200" s="4">
        <v>44760</v>
      </c>
      <c r="B200" s="5">
        <v>791</v>
      </c>
      <c r="C200">
        <f t="shared" si="18"/>
        <v>2</v>
      </c>
      <c r="D200">
        <f t="shared" si="21"/>
        <v>190</v>
      </c>
      <c r="E200">
        <f t="shared" si="22"/>
        <v>0</v>
      </c>
      <c r="F200">
        <f t="shared" si="19"/>
        <v>0</v>
      </c>
      <c r="G200">
        <f t="shared" si="23"/>
        <v>1119</v>
      </c>
      <c r="H200">
        <f t="shared" si="20"/>
        <v>929</v>
      </c>
    </row>
    <row r="201" spans="1:8" x14ac:dyDescent="0.35">
      <c r="A201" s="6">
        <v>44761</v>
      </c>
      <c r="B201" s="7">
        <v>673</v>
      </c>
      <c r="C201">
        <f t="shared" si="18"/>
        <v>3</v>
      </c>
      <c r="D201">
        <f t="shared" si="21"/>
        <v>260</v>
      </c>
      <c r="E201">
        <f t="shared" si="22"/>
        <v>0</v>
      </c>
      <c r="F201">
        <f t="shared" si="19"/>
        <v>0</v>
      </c>
      <c r="G201">
        <f t="shared" si="23"/>
        <v>1602</v>
      </c>
      <c r="H201">
        <f t="shared" si="20"/>
        <v>1342</v>
      </c>
    </row>
    <row r="202" spans="1:8" x14ac:dyDescent="0.35">
      <c r="A202" s="4">
        <v>44762</v>
      </c>
      <c r="B202" s="5">
        <v>601</v>
      </c>
      <c r="C202">
        <f t="shared" si="18"/>
        <v>4</v>
      </c>
      <c r="D202">
        <f t="shared" si="21"/>
        <v>190</v>
      </c>
      <c r="E202">
        <f t="shared" si="22"/>
        <v>0</v>
      </c>
      <c r="F202">
        <f t="shared" si="19"/>
        <v>0</v>
      </c>
      <c r="G202">
        <f t="shared" si="23"/>
        <v>1943</v>
      </c>
      <c r="H202">
        <f t="shared" si="20"/>
        <v>1753</v>
      </c>
    </row>
    <row r="203" spans="1:8" x14ac:dyDescent="0.35">
      <c r="A203" s="6">
        <v>44763</v>
      </c>
      <c r="B203" s="7">
        <v>612</v>
      </c>
      <c r="C203">
        <f t="shared" si="18"/>
        <v>5</v>
      </c>
      <c r="D203">
        <f t="shared" si="21"/>
        <v>190</v>
      </c>
      <c r="E203">
        <f t="shared" si="22"/>
        <v>0</v>
      </c>
      <c r="F203">
        <f t="shared" si="19"/>
        <v>0</v>
      </c>
      <c r="G203">
        <f t="shared" si="23"/>
        <v>2365</v>
      </c>
      <c r="H203">
        <f t="shared" si="20"/>
        <v>2175</v>
      </c>
    </row>
    <row r="204" spans="1:8" x14ac:dyDescent="0.35">
      <c r="A204" s="4">
        <v>44764</v>
      </c>
      <c r="B204" s="5">
        <v>705</v>
      </c>
      <c r="C204">
        <f t="shared" si="18"/>
        <v>6</v>
      </c>
      <c r="D204">
        <f t="shared" si="21"/>
        <v>190</v>
      </c>
      <c r="E204">
        <f t="shared" si="22"/>
        <v>0</v>
      </c>
      <c r="F204">
        <f t="shared" si="19"/>
        <v>0</v>
      </c>
      <c r="G204">
        <f t="shared" si="23"/>
        <v>2880</v>
      </c>
      <c r="H204">
        <f t="shared" si="20"/>
        <v>2690</v>
      </c>
    </row>
    <row r="205" spans="1:8" x14ac:dyDescent="0.35">
      <c r="A205" s="6">
        <v>44765</v>
      </c>
      <c r="B205" s="7">
        <v>0</v>
      </c>
      <c r="C205">
        <f t="shared" si="18"/>
        <v>7</v>
      </c>
      <c r="D205">
        <f t="shared" si="21"/>
        <v>190</v>
      </c>
      <c r="E205">
        <f t="shared" si="22"/>
        <v>1</v>
      </c>
      <c r="F205">
        <f t="shared" si="19"/>
        <v>0</v>
      </c>
      <c r="G205">
        <f t="shared" si="23"/>
        <v>2690</v>
      </c>
      <c r="H205">
        <f t="shared" si="20"/>
        <v>2500</v>
      </c>
    </row>
    <row r="206" spans="1:8" x14ac:dyDescent="0.35">
      <c r="A206" s="4">
        <v>44766</v>
      </c>
      <c r="B206" s="5">
        <v>0</v>
      </c>
      <c r="C206">
        <f t="shared" si="18"/>
        <v>1</v>
      </c>
      <c r="D206">
        <f t="shared" si="21"/>
        <v>190</v>
      </c>
      <c r="E206">
        <f t="shared" si="22"/>
        <v>2</v>
      </c>
      <c r="F206">
        <f t="shared" si="19"/>
        <v>0</v>
      </c>
      <c r="G206">
        <f t="shared" si="23"/>
        <v>2500</v>
      </c>
      <c r="H206">
        <f t="shared" si="20"/>
        <v>2310</v>
      </c>
    </row>
    <row r="207" spans="1:8" x14ac:dyDescent="0.35">
      <c r="A207" s="6">
        <v>44767</v>
      </c>
      <c r="B207" s="7">
        <v>1100</v>
      </c>
      <c r="C207">
        <f t="shared" si="18"/>
        <v>2</v>
      </c>
      <c r="D207">
        <f t="shared" si="21"/>
        <v>190</v>
      </c>
      <c r="E207">
        <f t="shared" si="22"/>
        <v>0</v>
      </c>
      <c r="F207">
        <f t="shared" si="19"/>
        <v>0</v>
      </c>
      <c r="G207">
        <f t="shared" si="23"/>
        <v>3410</v>
      </c>
      <c r="H207">
        <f t="shared" si="20"/>
        <v>3220</v>
      </c>
    </row>
    <row r="208" spans="1:8" x14ac:dyDescent="0.35">
      <c r="A208" s="4">
        <v>44768</v>
      </c>
      <c r="B208" s="5">
        <v>118</v>
      </c>
      <c r="C208">
        <f t="shared" si="18"/>
        <v>3</v>
      </c>
      <c r="D208">
        <f t="shared" si="21"/>
        <v>260</v>
      </c>
      <c r="E208">
        <f t="shared" si="22"/>
        <v>0</v>
      </c>
      <c r="F208">
        <f t="shared" si="19"/>
        <v>0</v>
      </c>
      <c r="G208">
        <f t="shared" si="23"/>
        <v>3338</v>
      </c>
      <c r="H208">
        <f t="shared" si="20"/>
        <v>3078</v>
      </c>
    </row>
    <row r="209" spans="1:8" x14ac:dyDescent="0.35">
      <c r="A209" s="6">
        <v>44769</v>
      </c>
      <c r="B209" s="7">
        <v>69</v>
      </c>
      <c r="C209">
        <f t="shared" si="18"/>
        <v>4</v>
      </c>
      <c r="D209">
        <f t="shared" si="21"/>
        <v>190</v>
      </c>
      <c r="E209">
        <f t="shared" si="22"/>
        <v>0</v>
      </c>
      <c r="F209">
        <f t="shared" si="19"/>
        <v>0</v>
      </c>
      <c r="G209">
        <f t="shared" si="23"/>
        <v>3147</v>
      </c>
      <c r="H209">
        <f t="shared" si="20"/>
        <v>2957</v>
      </c>
    </row>
    <row r="210" spans="1:8" x14ac:dyDescent="0.35">
      <c r="A210" s="4">
        <v>44770</v>
      </c>
      <c r="B210" s="5">
        <v>0</v>
      </c>
      <c r="C210">
        <f t="shared" si="18"/>
        <v>5</v>
      </c>
      <c r="D210">
        <f t="shared" si="21"/>
        <v>190</v>
      </c>
      <c r="E210">
        <f t="shared" si="22"/>
        <v>1</v>
      </c>
      <c r="F210">
        <f t="shared" si="19"/>
        <v>0</v>
      </c>
      <c r="G210">
        <f t="shared" si="23"/>
        <v>2957</v>
      </c>
      <c r="H210">
        <f t="shared" si="20"/>
        <v>2767</v>
      </c>
    </row>
    <row r="211" spans="1:8" x14ac:dyDescent="0.35">
      <c r="A211" s="6">
        <v>44771</v>
      </c>
      <c r="B211" s="7">
        <v>0</v>
      </c>
      <c r="C211">
        <f t="shared" si="18"/>
        <v>6</v>
      </c>
      <c r="D211">
        <f t="shared" si="21"/>
        <v>190</v>
      </c>
      <c r="E211">
        <f t="shared" si="22"/>
        <v>2</v>
      </c>
      <c r="F211">
        <f t="shared" si="19"/>
        <v>0</v>
      </c>
      <c r="G211">
        <f t="shared" si="23"/>
        <v>2767</v>
      </c>
      <c r="H211">
        <f t="shared" si="20"/>
        <v>2577</v>
      </c>
    </row>
    <row r="212" spans="1:8" x14ac:dyDescent="0.35">
      <c r="A212" s="4">
        <v>44772</v>
      </c>
      <c r="B212" s="5">
        <v>0</v>
      </c>
      <c r="C212">
        <f t="shared" si="18"/>
        <v>7</v>
      </c>
      <c r="D212">
        <f t="shared" si="21"/>
        <v>190</v>
      </c>
      <c r="E212">
        <f t="shared" si="22"/>
        <v>3</v>
      </c>
      <c r="F212">
        <f t="shared" si="19"/>
        <v>0</v>
      </c>
      <c r="G212">
        <f t="shared" si="23"/>
        <v>2577</v>
      </c>
      <c r="H212">
        <f t="shared" si="20"/>
        <v>2387</v>
      </c>
    </row>
    <row r="213" spans="1:8" x14ac:dyDescent="0.35">
      <c r="A213" s="6">
        <v>44773</v>
      </c>
      <c r="B213" s="7">
        <v>0</v>
      </c>
      <c r="C213">
        <f t="shared" si="18"/>
        <v>1</v>
      </c>
      <c r="D213">
        <f t="shared" si="21"/>
        <v>190</v>
      </c>
      <c r="E213">
        <f t="shared" si="22"/>
        <v>4</v>
      </c>
      <c r="F213">
        <f t="shared" si="19"/>
        <v>0</v>
      </c>
      <c r="G213">
        <f t="shared" si="23"/>
        <v>2387</v>
      </c>
      <c r="H213">
        <f t="shared" si="20"/>
        <v>2197</v>
      </c>
    </row>
    <row r="214" spans="1:8" x14ac:dyDescent="0.35">
      <c r="A214" s="4">
        <v>44774</v>
      </c>
      <c r="B214" s="5">
        <v>0</v>
      </c>
      <c r="C214">
        <f t="shared" si="18"/>
        <v>2</v>
      </c>
      <c r="D214">
        <f t="shared" si="21"/>
        <v>490</v>
      </c>
      <c r="E214">
        <f t="shared" si="22"/>
        <v>5</v>
      </c>
      <c r="F214">
        <f t="shared" si="19"/>
        <v>300</v>
      </c>
      <c r="G214">
        <f t="shared" si="23"/>
        <v>2197</v>
      </c>
      <c r="H214">
        <f t="shared" si="20"/>
        <v>1707</v>
      </c>
    </row>
    <row r="215" spans="1:8" x14ac:dyDescent="0.35">
      <c r="A215" s="6">
        <v>44775</v>
      </c>
      <c r="B215" s="7">
        <v>0</v>
      </c>
      <c r="C215">
        <f t="shared" si="18"/>
        <v>3</v>
      </c>
      <c r="D215">
        <f t="shared" si="21"/>
        <v>260</v>
      </c>
      <c r="E215">
        <f t="shared" si="22"/>
        <v>6</v>
      </c>
      <c r="F215">
        <f t="shared" si="19"/>
        <v>0</v>
      </c>
      <c r="G215">
        <f t="shared" si="23"/>
        <v>1707</v>
      </c>
      <c r="H215">
        <f t="shared" si="20"/>
        <v>1447</v>
      </c>
    </row>
    <row r="216" spans="1:8" x14ac:dyDescent="0.35">
      <c r="A216" s="4">
        <v>44776</v>
      </c>
      <c r="B216" s="5">
        <v>0</v>
      </c>
      <c r="C216">
        <f t="shared" si="18"/>
        <v>4</v>
      </c>
      <c r="D216">
        <f t="shared" si="21"/>
        <v>190</v>
      </c>
      <c r="E216">
        <f t="shared" si="22"/>
        <v>7</v>
      </c>
      <c r="F216">
        <f t="shared" si="19"/>
        <v>0</v>
      </c>
      <c r="G216">
        <f t="shared" si="23"/>
        <v>1447</v>
      </c>
      <c r="H216">
        <f t="shared" si="20"/>
        <v>1257</v>
      </c>
    </row>
    <row r="217" spans="1:8" x14ac:dyDescent="0.35">
      <c r="A217" s="6">
        <v>44777</v>
      </c>
      <c r="B217" s="7">
        <v>0</v>
      </c>
      <c r="C217">
        <f t="shared" si="18"/>
        <v>5</v>
      </c>
      <c r="D217">
        <f t="shared" si="21"/>
        <v>190</v>
      </c>
      <c r="E217">
        <f t="shared" si="22"/>
        <v>8</v>
      </c>
      <c r="F217">
        <f t="shared" si="19"/>
        <v>0</v>
      </c>
      <c r="G217">
        <f t="shared" si="23"/>
        <v>1257</v>
      </c>
      <c r="H217">
        <f t="shared" si="20"/>
        <v>1067</v>
      </c>
    </row>
    <row r="218" spans="1:8" x14ac:dyDescent="0.35">
      <c r="A218" s="4">
        <v>44778</v>
      </c>
      <c r="B218" s="5">
        <v>0</v>
      </c>
      <c r="C218">
        <f t="shared" si="18"/>
        <v>6</v>
      </c>
      <c r="D218">
        <f t="shared" si="21"/>
        <v>190</v>
      </c>
      <c r="E218">
        <f t="shared" si="22"/>
        <v>9</v>
      </c>
      <c r="F218">
        <f t="shared" si="19"/>
        <v>0</v>
      </c>
      <c r="G218">
        <f t="shared" si="23"/>
        <v>1067</v>
      </c>
      <c r="H218">
        <f t="shared" si="20"/>
        <v>877</v>
      </c>
    </row>
    <row r="219" spans="1:8" x14ac:dyDescent="0.35">
      <c r="A219" s="6">
        <v>44779</v>
      </c>
      <c r="B219" s="7">
        <v>0</v>
      </c>
      <c r="C219">
        <f t="shared" si="18"/>
        <v>7</v>
      </c>
      <c r="D219">
        <f t="shared" si="21"/>
        <v>490</v>
      </c>
      <c r="E219">
        <f t="shared" si="22"/>
        <v>10</v>
      </c>
      <c r="F219">
        <f t="shared" si="19"/>
        <v>300</v>
      </c>
      <c r="G219">
        <f t="shared" si="23"/>
        <v>877</v>
      </c>
      <c r="H219">
        <f t="shared" si="20"/>
        <v>387</v>
      </c>
    </row>
    <row r="220" spans="1:8" x14ac:dyDescent="0.35">
      <c r="A220" s="4">
        <v>44780</v>
      </c>
      <c r="B220" s="5">
        <v>0</v>
      </c>
      <c r="C220">
        <f t="shared" si="18"/>
        <v>1</v>
      </c>
      <c r="D220">
        <f t="shared" si="21"/>
        <v>190</v>
      </c>
      <c r="E220">
        <f t="shared" si="22"/>
        <v>11</v>
      </c>
      <c r="F220">
        <f t="shared" si="19"/>
        <v>0</v>
      </c>
      <c r="G220">
        <f t="shared" si="23"/>
        <v>387</v>
      </c>
      <c r="H220">
        <f t="shared" si="20"/>
        <v>197</v>
      </c>
    </row>
    <row r="221" spans="1:8" x14ac:dyDescent="0.35">
      <c r="A221" s="6">
        <v>44781</v>
      </c>
      <c r="B221" s="7">
        <v>660</v>
      </c>
      <c r="C221">
        <f t="shared" si="18"/>
        <v>2</v>
      </c>
      <c r="D221">
        <f t="shared" si="21"/>
        <v>190</v>
      </c>
      <c r="E221">
        <f t="shared" si="22"/>
        <v>0</v>
      </c>
      <c r="F221">
        <f t="shared" si="19"/>
        <v>0</v>
      </c>
      <c r="G221">
        <f t="shared" si="23"/>
        <v>857</v>
      </c>
      <c r="H221">
        <f t="shared" si="20"/>
        <v>667</v>
      </c>
    </row>
    <row r="222" spans="1:8" x14ac:dyDescent="0.35">
      <c r="A222" s="4">
        <v>44782</v>
      </c>
      <c r="B222" s="5">
        <v>1245</v>
      </c>
      <c r="C222">
        <f t="shared" si="18"/>
        <v>3</v>
      </c>
      <c r="D222">
        <f t="shared" si="21"/>
        <v>260</v>
      </c>
      <c r="E222">
        <f t="shared" si="22"/>
        <v>0</v>
      </c>
      <c r="F222">
        <f t="shared" si="19"/>
        <v>0</v>
      </c>
      <c r="G222">
        <f t="shared" si="23"/>
        <v>1912</v>
      </c>
      <c r="H222">
        <f t="shared" si="20"/>
        <v>1652</v>
      </c>
    </row>
    <row r="223" spans="1:8" x14ac:dyDescent="0.35">
      <c r="A223" s="6">
        <v>44783</v>
      </c>
      <c r="B223" s="7">
        <v>745</v>
      </c>
      <c r="C223">
        <f t="shared" si="18"/>
        <v>4</v>
      </c>
      <c r="D223">
        <f t="shared" si="21"/>
        <v>190</v>
      </c>
      <c r="E223">
        <f t="shared" si="22"/>
        <v>0</v>
      </c>
      <c r="F223">
        <f t="shared" si="19"/>
        <v>0</v>
      </c>
      <c r="G223">
        <f t="shared" si="23"/>
        <v>2397</v>
      </c>
      <c r="H223">
        <f t="shared" si="20"/>
        <v>2207</v>
      </c>
    </row>
    <row r="224" spans="1:8" x14ac:dyDescent="0.35">
      <c r="A224" s="4">
        <v>44784</v>
      </c>
      <c r="B224" s="5">
        <v>48</v>
      </c>
      <c r="C224">
        <f t="shared" si="18"/>
        <v>5</v>
      </c>
      <c r="D224">
        <f t="shared" si="21"/>
        <v>190</v>
      </c>
      <c r="E224">
        <f t="shared" si="22"/>
        <v>0</v>
      </c>
      <c r="F224">
        <f t="shared" si="19"/>
        <v>0</v>
      </c>
      <c r="G224">
        <f t="shared" si="23"/>
        <v>2255</v>
      </c>
      <c r="H224">
        <f t="shared" si="20"/>
        <v>2065</v>
      </c>
    </row>
    <row r="225" spans="1:8" x14ac:dyDescent="0.35">
      <c r="A225" s="6">
        <v>44785</v>
      </c>
      <c r="B225" s="7">
        <v>0</v>
      </c>
      <c r="C225">
        <f t="shared" si="18"/>
        <v>6</v>
      </c>
      <c r="D225">
        <f t="shared" si="21"/>
        <v>190</v>
      </c>
      <c r="E225">
        <f t="shared" si="22"/>
        <v>1</v>
      </c>
      <c r="F225">
        <f t="shared" si="19"/>
        <v>0</v>
      </c>
      <c r="G225">
        <f t="shared" si="23"/>
        <v>2065</v>
      </c>
      <c r="H225">
        <f t="shared" si="20"/>
        <v>1875</v>
      </c>
    </row>
    <row r="226" spans="1:8" x14ac:dyDescent="0.35">
      <c r="A226" s="4">
        <v>44786</v>
      </c>
      <c r="B226" s="5">
        <v>0</v>
      </c>
      <c r="C226">
        <f t="shared" si="18"/>
        <v>7</v>
      </c>
      <c r="D226">
        <f t="shared" si="21"/>
        <v>190</v>
      </c>
      <c r="E226">
        <f t="shared" si="22"/>
        <v>2</v>
      </c>
      <c r="F226">
        <f t="shared" si="19"/>
        <v>0</v>
      </c>
      <c r="G226">
        <f t="shared" si="23"/>
        <v>1875</v>
      </c>
      <c r="H226">
        <f t="shared" si="20"/>
        <v>1685</v>
      </c>
    </row>
    <row r="227" spans="1:8" x14ac:dyDescent="0.35">
      <c r="A227" s="6">
        <v>44787</v>
      </c>
      <c r="B227" s="7">
        <v>0</v>
      </c>
      <c r="C227">
        <f t="shared" si="18"/>
        <v>1</v>
      </c>
      <c r="D227">
        <f t="shared" si="21"/>
        <v>190</v>
      </c>
      <c r="E227">
        <f t="shared" si="22"/>
        <v>3</v>
      </c>
      <c r="F227">
        <f t="shared" si="19"/>
        <v>0</v>
      </c>
      <c r="G227">
        <f t="shared" si="23"/>
        <v>1685</v>
      </c>
      <c r="H227">
        <f t="shared" si="20"/>
        <v>1495</v>
      </c>
    </row>
    <row r="228" spans="1:8" x14ac:dyDescent="0.35">
      <c r="A228" s="4">
        <v>44788</v>
      </c>
      <c r="B228" s="5">
        <v>0</v>
      </c>
      <c r="C228">
        <f t="shared" si="18"/>
        <v>2</v>
      </c>
      <c r="D228">
        <f t="shared" si="21"/>
        <v>190</v>
      </c>
      <c r="E228">
        <f t="shared" si="22"/>
        <v>4</v>
      </c>
      <c r="F228">
        <f t="shared" si="19"/>
        <v>0</v>
      </c>
      <c r="G228">
        <f t="shared" si="23"/>
        <v>1495</v>
      </c>
      <c r="H228">
        <f t="shared" si="20"/>
        <v>1305</v>
      </c>
    </row>
    <row r="229" spans="1:8" x14ac:dyDescent="0.35">
      <c r="A229" s="6">
        <v>44789</v>
      </c>
      <c r="B229" s="7">
        <v>0</v>
      </c>
      <c r="C229">
        <f t="shared" si="18"/>
        <v>3</v>
      </c>
      <c r="D229">
        <f t="shared" si="21"/>
        <v>560</v>
      </c>
      <c r="E229">
        <f t="shared" si="22"/>
        <v>5</v>
      </c>
      <c r="F229">
        <f t="shared" si="19"/>
        <v>300</v>
      </c>
      <c r="G229">
        <f t="shared" si="23"/>
        <v>1305</v>
      </c>
      <c r="H229">
        <f t="shared" si="20"/>
        <v>745</v>
      </c>
    </row>
    <row r="230" spans="1:8" x14ac:dyDescent="0.35">
      <c r="A230" s="4">
        <v>44790</v>
      </c>
      <c r="B230" s="5">
        <v>0</v>
      </c>
      <c r="C230">
        <f t="shared" si="18"/>
        <v>4</v>
      </c>
      <c r="D230">
        <f t="shared" si="21"/>
        <v>190</v>
      </c>
      <c r="E230">
        <f t="shared" si="22"/>
        <v>6</v>
      </c>
      <c r="F230">
        <f t="shared" si="19"/>
        <v>0</v>
      </c>
      <c r="G230">
        <f t="shared" si="23"/>
        <v>745</v>
      </c>
      <c r="H230">
        <f t="shared" si="20"/>
        <v>555</v>
      </c>
    </row>
    <row r="231" spans="1:8" x14ac:dyDescent="0.35">
      <c r="A231" s="6">
        <v>44791</v>
      </c>
      <c r="B231" s="7">
        <v>0</v>
      </c>
      <c r="C231">
        <f t="shared" si="18"/>
        <v>5</v>
      </c>
      <c r="D231">
        <f t="shared" si="21"/>
        <v>190</v>
      </c>
      <c r="E231">
        <f t="shared" si="22"/>
        <v>7</v>
      </c>
      <c r="F231">
        <f t="shared" si="19"/>
        <v>0</v>
      </c>
      <c r="G231">
        <f t="shared" si="23"/>
        <v>555</v>
      </c>
      <c r="H231">
        <f t="shared" si="20"/>
        <v>365</v>
      </c>
    </row>
    <row r="232" spans="1:8" x14ac:dyDescent="0.35">
      <c r="A232" s="4">
        <v>44792</v>
      </c>
      <c r="B232" s="5">
        <v>0</v>
      </c>
      <c r="C232">
        <f t="shared" si="18"/>
        <v>6</v>
      </c>
      <c r="D232">
        <f t="shared" si="21"/>
        <v>190</v>
      </c>
      <c r="E232">
        <f t="shared" si="22"/>
        <v>8</v>
      </c>
      <c r="F232">
        <f t="shared" si="19"/>
        <v>0</v>
      </c>
      <c r="G232">
        <f t="shared" si="23"/>
        <v>365</v>
      </c>
      <c r="H232">
        <f t="shared" si="20"/>
        <v>175</v>
      </c>
    </row>
    <row r="233" spans="1:8" x14ac:dyDescent="0.35">
      <c r="A233" s="6">
        <v>44793</v>
      </c>
      <c r="B233" s="7">
        <v>0</v>
      </c>
      <c r="C233">
        <f t="shared" si="18"/>
        <v>7</v>
      </c>
      <c r="D233">
        <f t="shared" si="21"/>
        <v>190</v>
      </c>
      <c r="E233">
        <f t="shared" si="22"/>
        <v>9</v>
      </c>
      <c r="F233">
        <f t="shared" si="19"/>
        <v>0</v>
      </c>
      <c r="G233">
        <f t="shared" si="23"/>
        <v>175</v>
      </c>
      <c r="H233">
        <f t="shared" si="20"/>
        <v>0</v>
      </c>
    </row>
    <row r="234" spans="1:8" x14ac:dyDescent="0.35">
      <c r="A234" s="4">
        <v>44794</v>
      </c>
      <c r="B234" s="5">
        <v>0</v>
      </c>
      <c r="C234">
        <f t="shared" si="18"/>
        <v>1</v>
      </c>
      <c r="D234">
        <f t="shared" si="21"/>
        <v>490</v>
      </c>
      <c r="E234">
        <f t="shared" si="22"/>
        <v>10</v>
      </c>
      <c r="F234">
        <f t="shared" si="19"/>
        <v>300</v>
      </c>
      <c r="G234">
        <f t="shared" si="23"/>
        <v>0</v>
      </c>
      <c r="H234">
        <f t="shared" si="20"/>
        <v>0</v>
      </c>
    </row>
    <row r="235" spans="1:8" x14ac:dyDescent="0.35">
      <c r="A235" s="6">
        <v>44795</v>
      </c>
      <c r="B235" s="7">
        <v>0</v>
      </c>
      <c r="C235">
        <f t="shared" si="18"/>
        <v>2</v>
      </c>
      <c r="D235">
        <f t="shared" si="21"/>
        <v>190</v>
      </c>
      <c r="E235">
        <f t="shared" si="22"/>
        <v>11</v>
      </c>
      <c r="F235">
        <f t="shared" si="19"/>
        <v>0</v>
      </c>
      <c r="G235">
        <f t="shared" si="23"/>
        <v>0</v>
      </c>
      <c r="H235">
        <f t="shared" si="20"/>
        <v>0</v>
      </c>
    </row>
    <row r="236" spans="1:8" x14ac:dyDescent="0.35">
      <c r="A236" s="4">
        <v>44796</v>
      </c>
      <c r="B236" s="5">
        <v>0</v>
      </c>
      <c r="C236">
        <f t="shared" si="18"/>
        <v>3</v>
      </c>
      <c r="D236">
        <f t="shared" si="21"/>
        <v>260</v>
      </c>
      <c r="E236">
        <f t="shared" si="22"/>
        <v>12</v>
      </c>
      <c r="F236">
        <f t="shared" si="19"/>
        <v>0</v>
      </c>
      <c r="G236">
        <f t="shared" si="23"/>
        <v>0</v>
      </c>
      <c r="H236">
        <f t="shared" si="20"/>
        <v>0</v>
      </c>
    </row>
    <row r="237" spans="1:8" x14ac:dyDescent="0.35">
      <c r="A237" s="6">
        <v>44797</v>
      </c>
      <c r="B237" s="7">
        <v>0</v>
      </c>
      <c r="C237">
        <f t="shared" si="18"/>
        <v>4</v>
      </c>
      <c r="D237">
        <f t="shared" si="21"/>
        <v>190</v>
      </c>
      <c r="E237">
        <f t="shared" si="22"/>
        <v>13</v>
      </c>
      <c r="F237">
        <f t="shared" si="19"/>
        <v>0</v>
      </c>
      <c r="G237">
        <f t="shared" si="23"/>
        <v>0</v>
      </c>
      <c r="H237">
        <f t="shared" si="20"/>
        <v>0</v>
      </c>
    </row>
    <row r="238" spans="1:8" x14ac:dyDescent="0.35">
      <c r="A238" s="4">
        <v>44798</v>
      </c>
      <c r="B238" s="5">
        <v>0</v>
      </c>
      <c r="C238">
        <f t="shared" si="18"/>
        <v>5</v>
      </c>
      <c r="D238">
        <f t="shared" si="21"/>
        <v>190</v>
      </c>
      <c r="E238">
        <f t="shared" si="22"/>
        <v>14</v>
      </c>
      <c r="F238">
        <f t="shared" si="19"/>
        <v>0</v>
      </c>
      <c r="G238">
        <f t="shared" si="23"/>
        <v>0</v>
      </c>
      <c r="H238">
        <f t="shared" si="20"/>
        <v>0</v>
      </c>
    </row>
    <row r="239" spans="1:8" x14ac:dyDescent="0.35">
      <c r="A239" s="6">
        <v>44799</v>
      </c>
      <c r="B239" s="7">
        <v>0</v>
      </c>
      <c r="C239">
        <f t="shared" si="18"/>
        <v>6</v>
      </c>
      <c r="D239">
        <f t="shared" si="21"/>
        <v>490</v>
      </c>
      <c r="E239">
        <f t="shared" si="22"/>
        <v>15</v>
      </c>
      <c r="F239">
        <f t="shared" si="19"/>
        <v>300</v>
      </c>
      <c r="G239">
        <f t="shared" si="23"/>
        <v>0</v>
      </c>
      <c r="H239">
        <f t="shared" si="20"/>
        <v>0</v>
      </c>
    </row>
    <row r="240" spans="1:8" x14ac:dyDescent="0.35">
      <c r="A240" s="4">
        <v>44800</v>
      </c>
      <c r="B240" s="5">
        <v>0</v>
      </c>
      <c r="C240">
        <f t="shared" si="18"/>
        <v>7</v>
      </c>
      <c r="D240">
        <f t="shared" si="21"/>
        <v>190</v>
      </c>
      <c r="E240">
        <f t="shared" si="22"/>
        <v>16</v>
      </c>
      <c r="F240">
        <f t="shared" si="19"/>
        <v>0</v>
      </c>
      <c r="G240">
        <f t="shared" si="23"/>
        <v>0</v>
      </c>
      <c r="H240">
        <f t="shared" si="20"/>
        <v>0</v>
      </c>
    </row>
    <row r="241" spans="1:8" x14ac:dyDescent="0.35">
      <c r="A241" s="6">
        <v>44801</v>
      </c>
      <c r="B241" s="7">
        <v>0</v>
      </c>
      <c r="C241">
        <f t="shared" si="18"/>
        <v>1</v>
      </c>
      <c r="D241">
        <f t="shared" si="21"/>
        <v>190</v>
      </c>
      <c r="E241">
        <f t="shared" si="22"/>
        <v>17</v>
      </c>
      <c r="F241">
        <f t="shared" si="19"/>
        <v>0</v>
      </c>
      <c r="G241">
        <f t="shared" si="23"/>
        <v>0</v>
      </c>
      <c r="H241">
        <f t="shared" si="20"/>
        <v>0</v>
      </c>
    </row>
    <row r="242" spans="1:8" x14ac:dyDescent="0.35">
      <c r="A242" s="4">
        <v>44802</v>
      </c>
      <c r="B242" s="5">
        <v>0</v>
      </c>
      <c r="C242">
        <f t="shared" si="18"/>
        <v>2</v>
      </c>
      <c r="D242">
        <f t="shared" si="21"/>
        <v>190</v>
      </c>
      <c r="E242">
        <f t="shared" si="22"/>
        <v>18</v>
      </c>
      <c r="F242">
        <f t="shared" si="19"/>
        <v>0</v>
      </c>
      <c r="G242">
        <f t="shared" si="23"/>
        <v>0</v>
      </c>
      <c r="H242">
        <f t="shared" si="20"/>
        <v>0</v>
      </c>
    </row>
    <row r="243" spans="1:8" x14ac:dyDescent="0.35">
      <c r="A243" s="6">
        <v>44803</v>
      </c>
      <c r="B243" s="7">
        <v>0</v>
      </c>
      <c r="C243">
        <f t="shared" si="18"/>
        <v>3</v>
      </c>
      <c r="D243">
        <f t="shared" si="21"/>
        <v>260</v>
      </c>
      <c r="E243">
        <f t="shared" si="22"/>
        <v>19</v>
      </c>
      <c r="F243">
        <f t="shared" si="19"/>
        <v>0</v>
      </c>
      <c r="G243">
        <f t="shared" si="23"/>
        <v>0</v>
      </c>
      <c r="H243">
        <f t="shared" si="20"/>
        <v>0</v>
      </c>
    </row>
    <row r="244" spans="1:8" x14ac:dyDescent="0.35">
      <c r="A244" s="4">
        <v>44804</v>
      </c>
      <c r="B244" s="5">
        <v>0</v>
      </c>
      <c r="C244">
        <f t="shared" si="18"/>
        <v>4</v>
      </c>
      <c r="D244">
        <f t="shared" si="21"/>
        <v>490</v>
      </c>
      <c r="E244">
        <f t="shared" si="22"/>
        <v>20</v>
      </c>
      <c r="F244">
        <f t="shared" si="19"/>
        <v>300</v>
      </c>
      <c r="G244">
        <f t="shared" si="23"/>
        <v>0</v>
      </c>
      <c r="H244">
        <f t="shared" si="20"/>
        <v>0</v>
      </c>
    </row>
    <row r="245" spans="1:8" x14ac:dyDescent="0.35">
      <c r="A245" s="6">
        <v>44805</v>
      </c>
      <c r="B245" s="7">
        <v>0</v>
      </c>
      <c r="C245">
        <f t="shared" si="18"/>
        <v>5</v>
      </c>
      <c r="D245">
        <f t="shared" si="21"/>
        <v>190</v>
      </c>
      <c r="E245">
        <f t="shared" si="22"/>
        <v>21</v>
      </c>
      <c r="F245">
        <f t="shared" si="19"/>
        <v>0</v>
      </c>
      <c r="G245">
        <f t="shared" si="23"/>
        <v>0</v>
      </c>
      <c r="H245">
        <f t="shared" si="20"/>
        <v>0</v>
      </c>
    </row>
    <row r="246" spans="1:8" x14ac:dyDescent="0.35">
      <c r="A246" s="4">
        <v>44806</v>
      </c>
      <c r="B246" s="5">
        <v>388</v>
      </c>
      <c r="C246">
        <f t="shared" si="18"/>
        <v>6</v>
      </c>
      <c r="D246">
        <f t="shared" si="21"/>
        <v>190</v>
      </c>
      <c r="E246">
        <f t="shared" si="22"/>
        <v>0</v>
      </c>
      <c r="F246">
        <f t="shared" si="19"/>
        <v>0</v>
      </c>
      <c r="G246">
        <f t="shared" si="23"/>
        <v>388</v>
      </c>
      <c r="H246">
        <f t="shared" si="20"/>
        <v>198</v>
      </c>
    </row>
    <row r="247" spans="1:8" x14ac:dyDescent="0.35">
      <c r="A247" s="6">
        <v>44807</v>
      </c>
      <c r="B247" s="7">
        <v>415</v>
      </c>
      <c r="C247">
        <f t="shared" si="18"/>
        <v>7</v>
      </c>
      <c r="D247">
        <f t="shared" si="21"/>
        <v>190</v>
      </c>
      <c r="E247">
        <f t="shared" si="22"/>
        <v>0</v>
      </c>
      <c r="F247">
        <f t="shared" si="19"/>
        <v>0</v>
      </c>
      <c r="G247">
        <f t="shared" si="23"/>
        <v>613</v>
      </c>
      <c r="H247">
        <f t="shared" si="20"/>
        <v>423</v>
      </c>
    </row>
    <row r="248" spans="1:8" x14ac:dyDescent="0.35">
      <c r="A248" s="4">
        <v>44808</v>
      </c>
      <c r="B248" s="5">
        <v>560</v>
      </c>
      <c r="C248">
        <f t="shared" si="18"/>
        <v>1</v>
      </c>
      <c r="D248">
        <f t="shared" si="21"/>
        <v>190</v>
      </c>
      <c r="E248">
        <f t="shared" si="22"/>
        <v>0</v>
      </c>
      <c r="F248">
        <f t="shared" si="19"/>
        <v>0</v>
      </c>
      <c r="G248">
        <f t="shared" si="23"/>
        <v>983</v>
      </c>
      <c r="H248">
        <f t="shared" si="20"/>
        <v>793</v>
      </c>
    </row>
    <row r="249" spans="1:8" x14ac:dyDescent="0.35">
      <c r="A249" s="6">
        <v>44809</v>
      </c>
      <c r="B249" s="7">
        <v>467</v>
      </c>
      <c r="C249">
        <f t="shared" si="18"/>
        <v>2</v>
      </c>
      <c r="D249">
        <f t="shared" si="21"/>
        <v>190</v>
      </c>
      <c r="E249">
        <f t="shared" si="22"/>
        <v>0</v>
      </c>
      <c r="F249">
        <f t="shared" si="19"/>
        <v>0</v>
      </c>
      <c r="G249">
        <f t="shared" si="23"/>
        <v>1260</v>
      </c>
      <c r="H249">
        <f t="shared" si="20"/>
        <v>1070</v>
      </c>
    </row>
    <row r="250" spans="1:8" x14ac:dyDescent="0.35">
      <c r="A250" s="4">
        <v>44810</v>
      </c>
      <c r="B250" s="5">
        <v>517</v>
      </c>
      <c r="C250">
        <f t="shared" si="18"/>
        <v>3</v>
      </c>
      <c r="D250">
        <f t="shared" si="21"/>
        <v>260</v>
      </c>
      <c r="E250">
        <f t="shared" si="22"/>
        <v>0</v>
      </c>
      <c r="F250">
        <f t="shared" si="19"/>
        <v>0</v>
      </c>
      <c r="G250">
        <f t="shared" si="23"/>
        <v>1587</v>
      </c>
      <c r="H250">
        <f t="shared" si="20"/>
        <v>1327</v>
      </c>
    </row>
    <row r="251" spans="1:8" x14ac:dyDescent="0.35">
      <c r="A251" s="6">
        <v>44811</v>
      </c>
      <c r="B251" s="7">
        <v>552</v>
      </c>
      <c r="C251">
        <f t="shared" si="18"/>
        <v>4</v>
      </c>
      <c r="D251">
        <f t="shared" si="21"/>
        <v>190</v>
      </c>
      <c r="E251">
        <f t="shared" si="22"/>
        <v>0</v>
      </c>
      <c r="F251">
        <f t="shared" si="19"/>
        <v>0</v>
      </c>
      <c r="G251">
        <f t="shared" si="23"/>
        <v>1879</v>
      </c>
      <c r="H251">
        <f t="shared" si="20"/>
        <v>1689</v>
      </c>
    </row>
    <row r="252" spans="1:8" x14ac:dyDescent="0.35">
      <c r="A252" s="4">
        <v>44812</v>
      </c>
      <c r="B252" s="5">
        <v>0</v>
      </c>
      <c r="C252">
        <f t="shared" si="18"/>
        <v>5</v>
      </c>
      <c r="D252">
        <f t="shared" si="21"/>
        <v>190</v>
      </c>
      <c r="E252">
        <f t="shared" si="22"/>
        <v>1</v>
      </c>
      <c r="F252">
        <f t="shared" si="19"/>
        <v>0</v>
      </c>
      <c r="G252">
        <f t="shared" si="23"/>
        <v>1689</v>
      </c>
      <c r="H252">
        <f t="shared" si="20"/>
        <v>1499</v>
      </c>
    </row>
    <row r="253" spans="1:8" x14ac:dyDescent="0.35">
      <c r="A253" s="6">
        <v>44813</v>
      </c>
      <c r="B253" s="7">
        <v>0</v>
      </c>
      <c r="C253">
        <f t="shared" si="18"/>
        <v>6</v>
      </c>
      <c r="D253">
        <f t="shared" si="21"/>
        <v>190</v>
      </c>
      <c r="E253">
        <f t="shared" si="22"/>
        <v>2</v>
      </c>
      <c r="F253">
        <f t="shared" si="19"/>
        <v>0</v>
      </c>
      <c r="G253">
        <f t="shared" si="23"/>
        <v>1499</v>
      </c>
      <c r="H253">
        <f t="shared" si="20"/>
        <v>1309</v>
      </c>
    </row>
    <row r="254" spans="1:8" x14ac:dyDescent="0.35">
      <c r="A254" s="4">
        <v>44814</v>
      </c>
      <c r="B254" s="5">
        <v>0</v>
      </c>
      <c r="C254">
        <f t="shared" si="18"/>
        <v>7</v>
      </c>
      <c r="D254">
        <f t="shared" si="21"/>
        <v>190</v>
      </c>
      <c r="E254">
        <f t="shared" si="22"/>
        <v>3</v>
      </c>
      <c r="F254">
        <f t="shared" si="19"/>
        <v>0</v>
      </c>
      <c r="G254">
        <f t="shared" si="23"/>
        <v>1309</v>
      </c>
      <c r="H254">
        <f t="shared" si="20"/>
        <v>1119</v>
      </c>
    </row>
    <row r="255" spans="1:8" x14ac:dyDescent="0.35">
      <c r="A255" s="6">
        <v>44815</v>
      </c>
      <c r="B255" s="7">
        <v>0</v>
      </c>
      <c r="C255">
        <f t="shared" si="18"/>
        <v>1</v>
      </c>
      <c r="D255">
        <f t="shared" si="21"/>
        <v>190</v>
      </c>
      <c r="E255">
        <f t="shared" si="22"/>
        <v>4</v>
      </c>
      <c r="F255">
        <f t="shared" si="19"/>
        <v>0</v>
      </c>
      <c r="G255">
        <f t="shared" si="23"/>
        <v>1119</v>
      </c>
      <c r="H255">
        <f t="shared" si="20"/>
        <v>929</v>
      </c>
    </row>
    <row r="256" spans="1:8" x14ac:dyDescent="0.35">
      <c r="A256" s="4">
        <v>44816</v>
      </c>
      <c r="B256" s="5">
        <v>435</v>
      </c>
      <c r="C256">
        <f t="shared" si="18"/>
        <v>2</v>
      </c>
      <c r="D256">
        <f t="shared" si="21"/>
        <v>190</v>
      </c>
      <c r="E256">
        <f t="shared" si="22"/>
        <v>0</v>
      </c>
      <c r="F256">
        <f t="shared" si="19"/>
        <v>0</v>
      </c>
      <c r="G256">
        <f t="shared" si="23"/>
        <v>1364</v>
      </c>
      <c r="H256">
        <f t="shared" si="20"/>
        <v>1174</v>
      </c>
    </row>
    <row r="257" spans="1:8" x14ac:dyDescent="0.35">
      <c r="A257" s="6">
        <v>44817</v>
      </c>
      <c r="B257" s="7">
        <v>406</v>
      </c>
      <c r="C257">
        <f t="shared" si="18"/>
        <v>3</v>
      </c>
      <c r="D257">
        <f t="shared" si="21"/>
        <v>260</v>
      </c>
      <c r="E257">
        <f t="shared" si="22"/>
        <v>0</v>
      </c>
      <c r="F257">
        <f t="shared" si="19"/>
        <v>0</v>
      </c>
      <c r="G257">
        <f t="shared" si="23"/>
        <v>1580</v>
      </c>
      <c r="H257">
        <f t="shared" si="20"/>
        <v>1320</v>
      </c>
    </row>
    <row r="258" spans="1:8" x14ac:dyDescent="0.35">
      <c r="A258" s="4">
        <v>44818</v>
      </c>
      <c r="B258" s="5">
        <v>0</v>
      </c>
      <c r="C258">
        <f t="shared" si="18"/>
        <v>4</v>
      </c>
      <c r="D258">
        <f t="shared" si="21"/>
        <v>190</v>
      </c>
      <c r="E258">
        <f t="shared" si="22"/>
        <v>1</v>
      </c>
      <c r="F258">
        <f t="shared" si="19"/>
        <v>0</v>
      </c>
      <c r="G258">
        <f t="shared" si="23"/>
        <v>1320</v>
      </c>
      <c r="H258">
        <f t="shared" si="20"/>
        <v>1130</v>
      </c>
    </row>
    <row r="259" spans="1:8" x14ac:dyDescent="0.35">
      <c r="A259" s="6">
        <v>44819</v>
      </c>
      <c r="B259" s="7">
        <v>0</v>
      </c>
      <c r="C259">
        <f t="shared" ref="C259:C322" si="24">WEEKDAY(A259)</f>
        <v>5</v>
      </c>
      <c r="D259">
        <f t="shared" si="21"/>
        <v>190</v>
      </c>
      <c r="E259">
        <f t="shared" si="22"/>
        <v>2</v>
      </c>
      <c r="F259">
        <f t="shared" ref="F259:F322" si="25">IF(AND(MONTH(A259)&gt;=4,MONTH(A259)&lt;=9,OR(E259=5,E259=10,E259=15,E259=20)),300,0)</f>
        <v>0</v>
      </c>
      <c r="G259">
        <f t="shared" si="23"/>
        <v>1130</v>
      </c>
      <c r="H259">
        <f t="shared" ref="H259:H322" si="26">IF(G259-D259&lt;0,0,G259-D259)</f>
        <v>940</v>
      </c>
    </row>
    <row r="260" spans="1:8" x14ac:dyDescent="0.35">
      <c r="A260" s="4">
        <v>44820</v>
      </c>
      <c r="B260" s="5">
        <v>0</v>
      </c>
      <c r="C260">
        <f t="shared" si="24"/>
        <v>6</v>
      </c>
      <c r="D260">
        <f t="shared" ref="D260:D323" si="27">IF(C260=3,260,190)+F260</f>
        <v>190</v>
      </c>
      <c r="E260">
        <f t="shared" ref="E260:E323" si="28">IF(B260=0,E259+1,0)</f>
        <v>3</v>
      </c>
      <c r="F260">
        <f t="shared" si="25"/>
        <v>0</v>
      </c>
      <c r="G260">
        <f t="shared" ref="G260:G323" si="29">H259+B260</f>
        <v>940</v>
      </c>
      <c r="H260">
        <f t="shared" si="26"/>
        <v>750</v>
      </c>
    </row>
    <row r="261" spans="1:8" x14ac:dyDescent="0.35">
      <c r="A261" s="6">
        <v>44821</v>
      </c>
      <c r="B261" s="7">
        <v>0</v>
      </c>
      <c r="C261">
        <f t="shared" si="24"/>
        <v>7</v>
      </c>
      <c r="D261">
        <f t="shared" si="27"/>
        <v>190</v>
      </c>
      <c r="E261">
        <f t="shared" si="28"/>
        <v>4</v>
      </c>
      <c r="F261">
        <f t="shared" si="25"/>
        <v>0</v>
      </c>
      <c r="G261">
        <f t="shared" si="29"/>
        <v>750</v>
      </c>
      <c r="H261">
        <f t="shared" si="26"/>
        <v>560</v>
      </c>
    </row>
    <row r="262" spans="1:8" x14ac:dyDescent="0.35">
      <c r="A262" s="4">
        <v>44822</v>
      </c>
      <c r="B262" s="5">
        <v>0</v>
      </c>
      <c r="C262">
        <f t="shared" si="24"/>
        <v>1</v>
      </c>
      <c r="D262">
        <f t="shared" si="27"/>
        <v>490</v>
      </c>
      <c r="E262">
        <f t="shared" si="28"/>
        <v>5</v>
      </c>
      <c r="F262">
        <f t="shared" si="25"/>
        <v>300</v>
      </c>
      <c r="G262">
        <f t="shared" si="29"/>
        <v>560</v>
      </c>
      <c r="H262">
        <f t="shared" si="26"/>
        <v>70</v>
      </c>
    </row>
    <row r="263" spans="1:8" x14ac:dyDescent="0.35">
      <c r="A263" s="6">
        <v>44823</v>
      </c>
      <c r="B263" s="7">
        <v>353</v>
      </c>
      <c r="C263">
        <f t="shared" si="24"/>
        <v>2</v>
      </c>
      <c r="D263">
        <f t="shared" si="27"/>
        <v>190</v>
      </c>
      <c r="E263">
        <f t="shared" si="28"/>
        <v>0</v>
      </c>
      <c r="F263">
        <f t="shared" si="25"/>
        <v>0</v>
      </c>
      <c r="G263">
        <f t="shared" si="29"/>
        <v>423</v>
      </c>
      <c r="H263">
        <f t="shared" si="26"/>
        <v>233</v>
      </c>
    </row>
    <row r="264" spans="1:8" x14ac:dyDescent="0.35">
      <c r="A264" s="4">
        <v>44824</v>
      </c>
      <c r="B264" s="5">
        <v>476</v>
      </c>
      <c r="C264">
        <f t="shared" si="24"/>
        <v>3</v>
      </c>
      <c r="D264">
        <f t="shared" si="27"/>
        <v>260</v>
      </c>
      <c r="E264">
        <f t="shared" si="28"/>
        <v>0</v>
      </c>
      <c r="F264">
        <f t="shared" si="25"/>
        <v>0</v>
      </c>
      <c r="G264">
        <f t="shared" si="29"/>
        <v>709</v>
      </c>
      <c r="H264">
        <f t="shared" si="26"/>
        <v>449</v>
      </c>
    </row>
    <row r="265" spans="1:8" x14ac:dyDescent="0.35">
      <c r="A265" s="6">
        <v>44825</v>
      </c>
      <c r="B265" s="7">
        <v>383</v>
      </c>
      <c r="C265">
        <f t="shared" si="24"/>
        <v>4</v>
      </c>
      <c r="D265">
        <f t="shared" si="27"/>
        <v>190</v>
      </c>
      <c r="E265">
        <f t="shared" si="28"/>
        <v>0</v>
      </c>
      <c r="F265">
        <f t="shared" si="25"/>
        <v>0</v>
      </c>
      <c r="G265">
        <f t="shared" si="29"/>
        <v>832</v>
      </c>
      <c r="H265">
        <f t="shared" si="26"/>
        <v>642</v>
      </c>
    </row>
    <row r="266" spans="1:8" x14ac:dyDescent="0.35">
      <c r="A266" s="4">
        <v>44826</v>
      </c>
      <c r="B266" s="5">
        <v>0</v>
      </c>
      <c r="C266">
        <f t="shared" si="24"/>
        <v>5</v>
      </c>
      <c r="D266">
        <f t="shared" si="27"/>
        <v>190</v>
      </c>
      <c r="E266">
        <f t="shared" si="28"/>
        <v>1</v>
      </c>
      <c r="F266">
        <f t="shared" si="25"/>
        <v>0</v>
      </c>
      <c r="G266">
        <f t="shared" si="29"/>
        <v>642</v>
      </c>
      <c r="H266">
        <f t="shared" si="26"/>
        <v>452</v>
      </c>
    </row>
    <row r="267" spans="1:8" x14ac:dyDescent="0.35">
      <c r="A267" s="6">
        <v>44827</v>
      </c>
      <c r="B267" s="7">
        <v>0</v>
      </c>
      <c r="C267">
        <f t="shared" si="24"/>
        <v>6</v>
      </c>
      <c r="D267">
        <f t="shared" si="27"/>
        <v>190</v>
      </c>
      <c r="E267">
        <f t="shared" si="28"/>
        <v>2</v>
      </c>
      <c r="F267">
        <f t="shared" si="25"/>
        <v>0</v>
      </c>
      <c r="G267">
        <f t="shared" si="29"/>
        <v>452</v>
      </c>
      <c r="H267">
        <f t="shared" si="26"/>
        <v>262</v>
      </c>
    </row>
    <row r="268" spans="1:8" x14ac:dyDescent="0.35">
      <c r="A268" s="4">
        <v>44828</v>
      </c>
      <c r="B268" s="5">
        <v>0</v>
      </c>
      <c r="C268">
        <f t="shared" si="24"/>
        <v>7</v>
      </c>
      <c r="D268">
        <f t="shared" si="27"/>
        <v>190</v>
      </c>
      <c r="E268">
        <f t="shared" si="28"/>
        <v>3</v>
      </c>
      <c r="F268">
        <f t="shared" si="25"/>
        <v>0</v>
      </c>
      <c r="G268">
        <f t="shared" si="29"/>
        <v>262</v>
      </c>
      <c r="H268">
        <f t="shared" si="26"/>
        <v>72</v>
      </c>
    </row>
    <row r="269" spans="1:8" x14ac:dyDescent="0.35">
      <c r="A269" s="6">
        <v>44829</v>
      </c>
      <c r="B269" s="7">
        <v>0</v>
      </c>
      <c r="C269">
        <f t="shared" si="24"/>
        <v>1</v>
      </c>
      <c r="D269">
        <f t="shared" si="27"/>
        <v>190</v>
      </c>
      <c r="E269">
        <f t="shared" si="28"/>
        <v>4</v>
      </c>
      <c r="F269">
        <f t="shared" si="25"/>
        <v>0</v>
      </c>
      <c r="G269">
        <f t="shared" si="29"/>
        <v>72</v>
      </c>
      <c r="H269">
        <f t="shared" si="26"/>
        <v>0</v>
      </c>
    </row>
    <row r="270" spans="1:8" x14ac:dyDescent="0.35">
      <c r="A270" s="4">
        <v>44830</v>
      </c>
      <c r="B270" s="5">
        <v>0</v>
      </c>
      <c r="C270">
        <f t="shared" si="24"/>
        <v>2</v>
      </c>
      <c r="D270">
        <f t="shared" si="27"/>
        <v>490</v>
      </c>
      <c r="E270">
        <f t="shared" si="28"/>
        <v>5</v>
      </c>
      <c r="F270">
        <f t="shared" si="25"/>
        <v>300</v>
      </c>
      <c r="G270">
        <f t="shared" si="29"/>
        <v>0</v>
      </c>
      <c r="H270">
        <f t="shared" si="26"/>
        <v>0</v>
      </c>
    </row>
    <row r="271" spans="1:8" x14ac:dyDescent="0.35">
      <c r="A271" s="6">
        <v>44831</v>
      </c>
      <c r="B271" s="7">
        <v>0</v>
      </c>
      <c r="C271">
        <f t="shared" si="24"/>
        <v>3</v>
      </c>
      <c r="D271">
        <f t="shared" si="27"/>
        <v>260</v>
      </c>
      <c r="E271">
        <f t="shared" si="28"/>
        <v>6</v>
      </c>
      <c r="F271">
        <f t="shared" si="25"/>
        <v>0</v>
      </c>
      <c r="G271">
        <f t="shared" si="29"/>
        <v>0</v>
      </c>
      <c r="H271">
        <f t="shared" si="26"/>
        <v>0</v>
      </c>
    </row>
    <row r="272" spans="1:8" x14ac:dyDescent="0.35">
      <c r="A272" s="4">
        <v>44832</v>
      </c>
      <c r="B272" s="5">
        <v>0</v>
      </c>
      <c r="C272">
        <f t="shared" si="24"/>
        <v>4</v>
      </c>
      <c r="D272">
        <f t="shared" si="27"/>
        <v>190</v>
      </c>
      <c r="E272">
        <f t="shared" si="28"/>
        <v>7</v>
      </c>
      <c r="F272">
        <f t="shared" si="25"/>
        <v>0</v>
      </c>
      <c r="G272">
        <f t="shared" si="29"/>
        <v>0</v>
      </c>
      <c r="H272">
        <f t="shared" si="26"/>
        <v>0</v>
      </c>
    </row>
    <row r="273" spans="1:8" x14ac:dyDescent="0.35">
      <c r="A273" s="6">
        <v>44833</v>
      </c>
      <c r="B273" s="7">
        <v>302</v>
      </c>
      <c r="C273">
        <f t="shared" si="24"/>
        <v>5</v>
      </c>
      <c r="D273">
        <f t="shared" si="27"/>
        <v>190</v>
      </c>
      <c r="E273">
        <f t="shared" si="28"/>
        <v>0</v>
      </c>
      <c r="F273">
        <f t="shared" si="25"/>
        <v>0</v>
      </c>
      <c r="G273">
        <f t="shared" si="29"/>
        <v>302</v>
      </c>
      <c r="H273">
        <f t="shared" si="26"/>
        <v>112</v>
      </c>
    </row>
    <row r="274" spans="1:8" x14ac:dyDescent="0.35">
      <c r="A274" s="4">
        <v>44834</v>
      </c>
      <c r="B274" s="5">
        <v>426</v>
      </c>
      <c r="C274">
        <f t="shared" si="24"/>
        <v>6</v>
      </c>
      <c r="D274">
        <f t="shared" si="27"/>
        <v>190</v>
      </c>
      <c r="E274">
        <f t="shared" si="28"/>
        <v>0</v>
      </c>
      <c r="F274">
        <f t="shared" si="25"/>
        <v>0</v>
      </c>
      <c r="G274">
        <f t="shared" si="29"/>
        <v>538</v>
      </c>
      <c r="H274">
        <f t="shared" si="26"/>
        <v>348</v>
      </c>
    </row>
    <row r="275" spans="1:8" x14ac:dyDescent="0.35">
      <c r="A275" s="6">
        <v>44835</v>
      </c>
      <c r="B275" s="7">
        <v>456</v>
      </c>
      <c r="C275">
        <f t="shared" si="24"/>
        <v>7</v>
      </c>
      <c r="D275">
        <f t="shared" si="27"/>
        <v>190</v>
      </c>
      <c r="E275">
        <f t="shared" si="28"/>
        <v>0</v>
      </c>
      <c r="F275">
        <f t="shared" si="25"/>
        <v>0</v>
      </c>
      <c r="G275">
        <f t="shared" si="29"/>
        <v>804</v>
      </c>
      <c r="H275">
        <f t="shared" si="26"/>
        <v>614</v>
      </c>
    </row>
    <row r="276" spans="1:8" x14ac:dyDescent="0.35">
      <c r="A276" s="4">
        <v>44836</v>
      </c>
      <c r="B276" s="5">
        <v>568</v>
      </c>
      <c r="C276">
        <f t="shared" si="24"/>
        <v>1</v>
      </c>
      <c r="D276">
        <f t="shared" si="27"/>
        <v>190</v>
      </c>
      <c r="E276">
        <f t="shared" si="28"/>
        <v>0</v>
      </c>
      <c r="F276">
        <f t="shared" si="25"/>
        <v>0</v>
      </c>
      <c r="G276">
        <f t="shared" si="29"/>
        <v>1182</v>
      </c>
      <c r="H276">
        <f t="shared" si="26"/>
        <v>992</v>
      </c>
    </row>
    <row r="277" spans="1:8" x14ac:dyDescent="0.35">
      <c r="A277" s="6">
        <v>44837</v>
      </c>
      <c r="B277" s="7">
        <v>1182</v>
      </c>
      <c r="C277">
        <f t="shared" si="24"/>
        <v>2</v>
      </c>
      <c r="D277">
        <f t="shared" si="27"/>
        <v>190</v>
      </c>
      <c r="E277">
        <f t="shared" si="28"/>
        <v>0</v>
      </c>
      <c r="F277">
        <f t="shared" si="25"/>
        <v>0</v>
      </c>
      <c r="G277">
        <f t="shared" si="29"/>
        <v>2174</v>
      </c>
      <c r="H277">
        <f t="shared" si="26"/>
        <v>1984</v>
      </c>
    </row>
    <row r="278" spans="1:8" x14ac:dyDescent="0.35">
      <c r="A278" s="4">
        <v>44838</v>
      </c>
      <c r="B278" s="5">
        <v>0</v>
      </c>
      <c r="C278">
        <f t="shared" si="24"/>
        <v>3</v>
      </c>
      <c r="D278">
        <f t="shared" si="27"/>
        <v>260</v>
      </c>
      <c r="E278">
        <f t="shared" si="28"/>
        <v>1</v>
      </c>
      <c r="F278">
        <f t="shared" si="25"/>
        <v>0</v>
      </c>
      <c r="G278">
        <f t="shared" si="29"/>
        <v>1984</v>
      </c>
      <c r="H278">
        <f t="shared" si="26"/>
        <v>1724</v>
      </c>
    </row>
    <row r="279" spans="1:8" x14ac:dyDescent="0.35">
      <c r="A279" s="6">
        <v>44839</v>
      </c>
      <c r="B279" s="7">
        <v>0</v>
      </c>
      <c r="C279">
        <f t="shared" si="24"/>
        <v>4</v>
      </c>
      <c r="D279">
        <f t="shared" si="27"/>
        <v>190</v>
      </c>
      <c r="E279">
        <f t="shared" si="28"/>
        <v>2</v>
      </c>
      <c r="F279">
        <f t="shared" si="25"/>
        <v>0</v>
      </c>
      <c r="G279">
        <f t="shared" si="29"/>
        <v>1724</v>
      </c>
      <c r="H279">
        <f t="shared" si="26"/>
        <v>1534</v>
      </c>
    </row>
    <row r="280" spans="1:8" x14ac:dyDescent="0.35">
      <c r="A280" s="4">
        <v>44840</v>
      </c>
      <c r="B280" s="5">
        <v>0</v>
      </c>
      <c r="C280">
        <f t="shared" si="24"/>
        <v>5</v>
      </c>
      <c r="D280">
        <f t="shared" si="27"/>
        <v>190</v>
      </c>
      <c r="E280">
        <f t="shared" si="28"/>
        <v>3</v>
      </c>
      <c r="F280">
        <f t="shared" si="25"/>
        <v>0</v>
      </c>
      <c r="G280">
        <f t="shared" si="29"/>
        <v>1534</v>
      </c>
      <c r="H280">
        <f t="shared" si="26"/>
        <v>1344</v>
      </c>
    </row>
    <row r="281" spans="1:8" x14ac:dyDescent="0.35">
      <c r="A281" s="6">
        <v>44841</v>
      </c>
      <c r="B281" s="7">
        <v>0</v>
      </c>
      <c r="C281">
        <f t="shared" si="24"/>
        <v>6</v>
      </c>
      <c r="D281">
        <f t="shared" si="27"/>
        <v>190</v>
      </c>
      <c r="E281">
        <f t="shared" si="28"/>
        <v>4</v>
      </c>
      <c r="F281">
        <f t="shared" si="25"/>
        <v>0</v>
      </c>
      <c r="G281">
        <f t="shared" si="29"/>
        <v>1344</v>
      </c>
      <c r="H281">
        <f t="shared" si="26"/>
        <v>1154</v>
      </c>
    </row>
    <row r="282" spans="1:8" x14ac:dyDescent="0.35">
      <c r="A282" s="4">
        <v>44842</v>
      </c>
      <c r="B282" s="5">
        <v>0</v>
      </c>
      <c r="C282">
        <f t="shared" si="24"/>
        <v>7</v>
      </c>
      <c r="D282">
        <f t="shared" si="27"/>
        <v>190</v>
      </c>
      <c r="E282">
        <f t="shared" si="28"/>
        <v>5</v>
      </c>
      <c r="F282">
        <f t="shared" si="25"/>
        <v>0</v>
      </c>
      <c r="G282">
        <f t="shared" si="29"/>
        <v>1154</v>
      </c>
      <c r="H282">
        <f t="shared" si="26"/>
        <v>964</v>
      </c>
    </row>
    <row r="283" spans="1:8" x14ac:dyDescent="0.35">
      <c r="A283" s="6">
        <v>44843</v>
      </c>
      <c r="B283" s="7">
        <v>0</v>
      </c>
      <c r="C283">
        <f t="shared" si="24"/>
        <v>1</v>
      </c>
      <c r="D283">
        <f t="shared" si="27"/>
        <v>190</v>
      </c>
      <c r="E283">
        <f t="shared" si="28"/>
        <v>6</v>
      </c>
      <c r="F283">
        <f t="shared" si="25"/>
        <v>0</v>
      </c>
      <c r="G283">
        <f t="shared" si="29"/>
        <v>964</v>
      </c>
      <c r="H283">
        <f t="shared" si="26"/>
        <v>774</v>
      </c>
    </row>
    <row r="284" spans="1:8" x14ac:dyDescent="0.35">
      <c r="A284" s="4">
        <v>44844</v>
      </c>
      <c r="B284" s="5">
        <v>1170</v>
      </c>
      <c r="C284">
        <f t="shared" si="24"/>
        <v>2</v>
      </c>
      <c r="D284">
        <f t="shared" si="27"/>
        <v>190</v>
      </c>
      <c r="E284">
        <f t="shared" si="28"/>
        <v>0</v>
      </c>
      <c r="F284">
        <f t="shared" si="25"/>
        <v>0</v>
      </c>
      <c r="G284">
        <f t="shared" si="29"/>
        <v>1944</v>
      </c>
      <c r="H284">
        <f t="shared" si="26"/>
        <v>1754</v>
      </c>
    </row>
    <row r="285" spans="1:8" x14ac:dyDescent="0.35">
      <c r="A285" s="6">
        <v>44845</v>
      </c>
      <c r="B285" s="7">
        <v>695</v>
      </c>
      <c r="C285">
        <f t="shared" si="24"/>
        <v>3</v>
      </c>
      <c r="D285">
        <f t="shared" si="27"/>
        <v>260</v>
      </c>
      <c r="E285">
        <f t="shared" si="28"/>
        <v>0</v>
      </c>
      <c r="F285">
        <f t="shared" si="25"/>
        <v>0</v>
      </c>
      <c r="G285">
        <f t="shared" si="29"/>
        <v>2449</v>
      </c>
      <c r="H285">
        <f t="shared" si="26"/>
        <v>2189</v>
      </c>
    </row>
    <row r="286" spans="1:8" x14ac:dyDescent="0.35">
      <c r="A286" s="4">
        <v>44846</v>
      </c>
      <c r="B286" s="5">
        <v>644</v>
      </c>
      <c r="C286">
        <f t="shared" si="24"/>
        <v>4</v>
      </c>
      <c r="D286">
        <f t="shared" si="27"/>
        <v>190</v>
      </c>
      <c r="E286">
        <f t="shared" si="28"/>
        <v>0</v>
      </c>
      <c r="F286">
        <f t="shared" si="25"/>
        <v>0</v>
      </c>
      <c r="G286">
        <f t="shared" si="29"/>
        <v>2833</v>
      </c>
      <c r="H286">
        <f t="shared" si="26"/>
        <v>2643</v>
      </c>
    </row>
    <row r="287" spans="1:8" x14ac:dyDescent="0.35">
      <c r="A287" s="6">
        <v>44847</v>
      </c>
      <c r="B287" s="7">
        <v>0</v>
      </c>
      <c r="C287">
        <f t="shared" si="24"/>
        <v>5</v>
      </c>
      <c r="D287">
        <f t="shared" si="27"/>
        <v>190</v>
      </c>
      <c r="E287">
        <f t="shared" si="28"/>
        <v>1</v>
      </c>
      <c r="F287">
        <f t="shared" si="25"/>
        <v>0</v>
      </c>
      <c r="G287">
        <f t="shared" si="29"/>
        <v>2643</v>
      </c>
      <c r="H287">
        <f t="shared" si="26"/>
        <v>2453</v>
      </c>
    </row>
    <row r="288" spans="1:8" x14ac:dyDescent="0.35">
      <c r="A288" s="4">
        <v>44848</v>
      </c>
      <c r="B288" s="5">
        <v>0</v>
      </c>
      <c r="C288">
        <f t="shared" si="24"/>
        <v>6</v>
      </c>
      <c r="D288">
        <f t="shared" si="27"/>
        <v>190</v>
      </c>
      <c r="E288">
        <f t="shared" si="28"/>
        <v>2</v>
      </c>
      <c r="F288">
        <f t="shared" si="25"/>
        <v>0</v>
      </c>
      <c r="G288">
        <f t="shared" si="29"/>
        <v>2453</v>
      </c>
      <c r="H288">
        <f t="shared" si="26"/>
        <v>2263</v>
      </c>
    </row>
    <row r="289" spans="1:8" x14ac:dyDescent="0.35">
      <c r="A289" s="6">
        <v>44849</v>
      </c>
      <c r="B289" s="7">
        <v>0</v>
      </c>
      <c r="C289">
        <f t="shared" si="24"/>
        <v>7</v>
      </c>
      <c r="D289">
        <f t="shared" si="27"/>
        <v>190</v>
      </c>
      <c r="E289">
        <f t="shared" si="28"/>
        <v>3</v>
      </c>
      <c r="F289">
        <f t="shared" si="25"/>
        <v>0</v>
      </c>
      <c r="G289">
        <f t="shared" si="29"/>
        <v>2263</v>
      </c>
      <c r="H289">
        <f t="shared" si="26"/>
        <v>2073</v>
      </c>
    </row>
    <row r="290" spans="1:8" x14ac:dyDescent="0.35">
      <c r="A290" s="4">
        <v>44850</v>
      </c>
      <c r="B290" s="5">
        <v>0</v>
      </c>
      <c r="C290">
        <f t="shared" si="24"/>
        <v>1</v>
      </c>
      <c r="D290">
        <f t="shared" si="27"/>
        <v>190</v>
      </c>
      <c r="E290">
        <f t="shared" si="28"/>
        <v>4</v>
      </c>
      <c r="F290">
        <f t="shared" si="25"/>
        <v>0</v>
      </c>
      <c r="G290">
        <f t="shared" si="29"/>
        <v>2073</v>
      </c>
      <c r="H290">
        <f t="shared" si="26"/>
        <v>1883</v>
      </c>
    </row>
    <row r="291" spans="1:8" x14ac:dyDescent="0.35">
      <c r="A291" s="6">
        <v>44851</v>
      </c>
      <c r="B291" s="7">
        <v>0</v>
      </c>
      <c r="C291">
        <f t="shared" si="24"/>
        <v>2</v>
      </c>
      <c r="D291">
        <f t="shared" si="27"/>
        <v>190</v>
      </c>
      <c r="E291">
        <f t="shared" si="28"/>
        <v>5</v>
      </c>
      <c r="F291">
        <f t="shared" si="25"/>
        <v>0</v>
      </c>
      <c r="G291">
        <f t="shared" si="29"/>
        <v>1883</v>
      </c>
      <c r="H291">
        <f t="shared" si="26"/>
        <v>1693</v>
      </c>
    </row>
    <row r="292" spans="1:8" x14ac:dyDescent="0.35">
      <c r="A292" s="4">
        <v>44852</v>
      </c>
      <c r="B292" s="5">
        <v>0</v>
      </c>
      <c r="C292">
        <f t="shared" si="24"/>
        <v>3</v>
      </c>
      <c r="D292">
        <f t="shared" si="27"/>
        <v>260</v>
      </c>
      <c r="E292">
        <f t="shared" si="28"/>
        <v>6</v>
      </c>
      <c r="F292">
        <f t="shared" si="25"/>
        <v>0</v>
      </c>
      <c r="G292">
        <f t="shared" si="29"/>
        <v>1693</v>
      </c>
      <c r="H292">
        <f t="shared" si="26"/>
        <v>1433</v>
      </c>
    </row>
    <row r="293" spans="1:8" x14ac:dyDescent="0.35">
      <c r="A293" s="6">
        <v>44853</v>
      </c>
      <c r="B293" s="7">
        <v>0</v>
      </c>
      <c r="C293">
        <f t="shared" si="24"/>
        <v>4</v>
      </c>
      <c r="D293">
        <f t="shared" si="27"/>
        <v>190</v>
      </c>
      <c r="E293">
        <f t="shared" si="28"/>
        <v>7</v>
      </c>
      <c r="F293">
        <f t="shared" si="25"/>
        <v>0</v>
      </c>
      <c r="G293">
        <f t="shared" si="29"/>
        <v>1433</v>
      </c>
      <c r="H293">
        <f t="shared" si="26"/>
        <v>1243</v>
      </c>
    </row>
    <row r="294" spans="1:8" x14ac:dyDescent="0.35">
      <c r="A294" s="4">
        <v>44854</v>
      </c>
      <c r="B294" s="5">
        <v>0</v>
      </c>
      <c r="C294">
        <f t="shared" si="24"/>
        <v>5</v>
      </c>
      <c r="D294">
        <f t="shared" si="27"/>
        <v>190</v>
      </c>
      <c r="E294">
        <f t="shared" si="28"/>
        <v>8</v>
      </c>
      <c r="F294">
        <f t="shared" si="25"/>
        <v>0</v>
      </c>
      <c r="G294">
        <f t="shared" si="29"/>
        <v>1243</v>
      </c>
      <c r="H294">
        <f t="shared" si="26"/>
        <v>1053</v>
      </c>
    </row>
    <row r="295" spans="1:8" x14ac:dyDescent="0.35">
      <c r="A295" s="6">
        <v>44855</v>
      </c>
      <c r="B295" s="7">
        <v>0</v>
      </c>
      <c r="C295">
        <f t="shared" si="24"/>
        <v>6</v>
      </c>
      <c r="D295">
        <f t="shared" si="27"/>
        <v>190</v>
      </c>
      <c r="E295">
        <f t="shared" si="28"/>
        <v>9</v>
      </c>
      <c r="F295">
        <f t="shared" si="25"/>
        <v>0</v>
      </c>
      <c r="G295">
        <f t="shared" si="29"/>
        <v>1053</v>
      </c>
      <c r="H295">
        <f t="shared" si="26"/>
        <v>863</v>
      </c>
    </row>
    <row r="296" spans="1:8" x14ac:dyDescent="0.35">
      <c r="A296" s="4">
        <v>44856</v>
      </c>
      <c r="B296" s="5">
        <v>1084</v>
      </c>
      <c r="C296">
        <f t="shared" si="24"/>
        <v>7</v>
      </c>
      <c r="D296">
        <f t="shared" si="27"/>
        <v>190</v>
      </c>
      <c r="E296">
        <f t="shared" si="28"/>
        <v>0</v>
      </c>
      <c r="F296">
        <f t="shared" si="25"/>
        <v>0</v>
      </c>
      <c r="G296">
        <f t="shared" si="29"/>
        <v>1947</v>
      </c>
      <c r="H296">
        <f t="shared" si="26"/>
        <v>1757</v>
      </c>
    </row>
    <row r="297" spans="1:8" x14ac:dyDescent="0.35">
      <c r="A297" s="6">
        <v>44857</v>
      </c>
      <c r="B297" s="7">
        <v>1423</v>
      </c>
      <c r="C297">
        <f t="shared" si="24"/>
        <v>1</v>
      </c>
      <c r="D297">
        <f t="shared" si="27"/>
        <v>190</v>
      </c>
      <c r="E297">
        <f t="shared" si="28"/>
        <v>0</v>
      </c>
      <c r="F297">
        <f t="shared" si="25"/>
        <v>0</v>
      </c>
      <c r="G297">
        <f t="shared" si="29"/>
        <v>3180</v>
      </c>
      <c r="H297">
        <f t="shared" si="26"/>
        <v>2990</v>
      </c>
    </row>
    <row r="298" spans="1:8" x14ac:dyDescent="0.35">
      <c r="A298" s="4">
        <v>44858</v>
      </c>
      <c r="B298" s="5">
        <v>1315</v>
      </c>
      <c r="C298">
        <f t="shared" si="24"/>
        <v>2</v>
      </c>
      <c r="D298">
        <f t="shared" si="27"/>
        <v>190</v>
      </c>
      <c r="E298">
        <f t="shared" si="28"/>
        <v>0</v>
      </c>
      <c r="F298">
        <f t="shared" si="25"/>
        <v>0</v>
      </c>
      <c r="G298">
        <f t="shared" si="29"/>
        <v>4305</v>
      </c>
      <c r="H298">
        <f t="shared" si="26"/>
        <v>4115</v>
      </c>
    </row>
    <row r="299" spans="1:8" x14ac:dyDescent="0.35">
      <c r="A299" s="6">
        <v>44859</v>
      </c>
      <c r="B299" s="7">
        <v>717</v>
      </c>
      <c r="C299">
        <f t="shared" si="24"/>
        <v>3</v>
      </c>
      <c r="D299">
        <f t="shared" si="27"/>
        <v>260</v>
      </c>
      <c r="E299">
        <f t="shared" si="28"/>
        <v>0</v>
      </c>
      <c r="F299">
        <f t="shared" si="25"/>
        <v>0</v>
      </c>
      <c r="G299">
        <f t="shared" si="29"/>
        <v>4832</v>
      </c>
      <c r="H299">
        <f t="shared" si="26"/>
        <v>4572</v>
      </c>
    </row>
    <row r="300" spans="1:8" x14ac:dyDescent="0.35">
      <c r="A300" s="4">
        <v>44860</v>
      </c>
      <c r="B300" s="5">
        <v>1398</v>
      </c>
      <c r="C300">
        <f t="shared" si="24"/>
        <v>4</v>
      </c>
      <c r="D300">
        <f t="shared" si="27"/>
        <v>190</v>
      </c>
      <c r="E300">
        <f t="shared" si="28"/>
        <v>0</v>
      </c>
      <c r="F300">
        <f t="shared" si="25"/>
        <v>0</v>
      </c>
      <c r="G300">
        <f t="shared" si="29"/>
        <v>5970</v>
      </c>
      <c r="H300">
        <f t="shared" si="26"/>
        <v>5780</v>
      </c>
    </row>
    <row r="301" spans="1:8" x14ac:dyDescent="0.35">
      <c r="A301" s="6">
        <v>44861</v>
      </c>
      <c r="B301" s="7">
        <v>913</v>
      </c>
      <c r="C301">
        <f t="shared" si="24"/>
        <v>5</v>
      </c>
      <c r="D301">
        <f t="shared" si="27"/>
        <v>190</v>
      </c>
      <c r="E301">
        <f t="shared" si="28"/>
        <v>0</v>
      </c>
      <c r="F301">
        <f t="shared" si="25"/>
        <v>0</v>
      </c>
      <c r="G301">
        <f t="shared" si="29"/>
        <v>6693</v>
      </c>
      <c r="H301">
        <f t="shared" si="26"/>
        <v>6503</v>
      </c>
    </row>
    <row r="302" spans="1:8" x14ac:dyDescent="0.35">
      <c r="A302" s="4">
        <v>44862</v>
      </c>
      <c r="B302" s="5">
        <v>660</v>
      </c>
      <c r="C302">
        <f t="shared" si="24"/>
        <v>6</v>
      </c>
      <c r="D302">
        <f t="shared" si="27"/>
        <v>190</v>
      </c>
      <c r="E302">
        <f t="shared" si="28"/>
        <v>0</v>
      </c>
      <c r="F302">
        <f t="shared" si="25"/>
        <v>0</v>
      </c>
      <c r="G302">
        <f t="shared" si="29"/>
        <v>7163</v>
      </c>
      <c r="H302">
        <f t="shared" si="26"/>
        <v>6973</v>
      </c>
    </row>
    <row r="303" spans="1:8" x14ac:dyDescent="0.35">
      <c r="A303" s="6">
        <v>44863</v>
      </c>
      <c r="B303" s="7">
        <v>0</v>
      </c>
      <c r="C303">
        <f t="shared" si="24"/>
        <v>7</v>
      </c>
      <c r="D303">
        <f t="shared" si="27"/>
        <v>190</v>
      </c>
      <c r="E303">
        <f t="shared" si="28"/>
        <v>1</v>
      </c>
      <c r="F303">
        <f t="shared" si="25"/>
        <v>0</v>
      </c>
      <c r="G303">
        <f t="shared" si="29"/>
        <v>6973</v>
      </c>
      <c r="H303">
        <f t="shared" si="26"/>
        <v>6783</v>
      </c>
    </row>
    <row r="304" spans="1:8" x14ac:dyDescent="0.35">
      <c r="A304" s="4">
        <v>44864</v>
      </c>
      <c r="B304" s="5">
        <v>0</v>
      </c>
      <c r="C304">
        <f t="shared" si="24"/>
        <v>1</v>
      </c>
      <c r="D304">
        <f t="shared" si="27"/>
        <v>190</v>
      </c>
      <c r="E304">
        <f t="shared" si="28"/>
        <v>2</v>
      </c>
      <c r="F304">
        <f t="shared" si="25"/>
        <v>0</v>
      </c>
      <c r="G304">
        <f t="shared" si="29"/>
        <v>6783</v>
      </c>
      <c r="H304">
        <f t="shared" si="26"/>
        <v>6593</v>
      </c>
    </row>
    <row r="305" spans="1:8" x14ac:dyDescent="0.35">
      <c r="A305" s="6">
        <v>44865</v>
      </c>
      <c r="B305" s="7">
        <v>0</v>
      </c>
      <c r="C305">
        <f t="shared" si="24"/>
        <v>2</v>
      </c>
      <c r="D305">
        <f t="shared" si="27"/>
        <v>190</v>
      </c>
      <c r="E305">
        <f t="shared" si="28"/>
        <v>3</v>
      </c>
      <c r="F305">
        <f t="shared" si="25"/>
        <v>0</v>
      </c>
      <c r="G305">
        <f t="shared" si="29"/>
        <v>6593</v>
      </c>
      <c r="H305">
        <f t="shared" si="26"/>
        <v>6403</v>
      </c>
    </row>
    <row r="306" spans="1:8" x14ac:dyDescent="0.35">
      <c r="A306" s="4">
        <v>44866</v>
      </c>
      <c r="B306" s="5">
        <v>0</v>
      </c>
      <c r="C306">
        <f t="shared" si="24"/>
        <v>3</v>
      </c>
      <c r="D306">
        <f t="shared" si="27"/>
        <v>260</v>
      </c>
      <c r="E306">
        <f t="shared" si="28"/>
        <v>4</v>
      </c>
      <c r="F306">
        <f t="shared" si="25"/>
        <v>0</v>
      </c>
      <c r="G306">
        <f t="shared" si="29"/>
        <v>6403</v>
      </c>
      <c r="H306">
        <f t="shared" si="26"/>
        <v>6143</v>
      </c>
    </row>
    <row r="307" spans="1:8" x14ac:dyDescent="0.35">
      <c r="A307" s="6">
        <v>44867</v>
      </c>
      <c r="B307" s="7">
        <v>0</v>
      </c>
      <c r="C307">
        <f t="shared" si="24"/>
        <v>4</v>
      </c>
      <c r="D307">
        <f t="shared" si="27"/>
        <v>190</v>
      </c>
      <c r="E307">
        <f t="shared" si="28"/>
        <v>5</v>
      </c>
      <c r="F307">
        <f t="shared" si="25"/>
        <v>0</v>
      </c>
      <c r="G307">
        <f t="shared" si="29"/>
        <v>6143</v>
      </c>
      <c r="H307">
        <f t="shared" si="26"/>
        <v>5953</v>
      </c>
    </row>
    <row r="308" spans="1:8" x14ac:dyDescent="0.35">
      <c r="A308" s="4">
        <v>44868</v>
      </c>
      <c r="B308" s="5">
        <v>935</v>
      </c>
      <c r="C308">
        <f t="shared" si="24"/>
        <v>5</v>
      </c>
      <c r="D308">
        <f t="shared" si="27"/>
        <v>190</v>
      </c>
      <c r="E308">
        <f t="shared" si="28"/>
        <v>0</v>
      </c>
      <c r="F308">
        <f t="shared" si="25"/>
        <v>0</v>
      </c>
      <c r="G308">
        <f t="shared" si="29"/>
        <v>6888</v>
      </c>
      <c r="H308">
        <f t="shared" si="26"/>
        <v>6698</v>
      </c>
    </row>
    <row r="309" spans="1:8" x14ac:dyDescent="0.35">
      <c r="A309" s="6">
        <v>44869</v>
      </c>
      <c r="B309" s="7">
        <v>648</v>
      </c>
      <c r="C309">
        <f t="shared" si="24"/>
        <v>6</v>
      </c>
      <c r="D309">
        <f t="shared" si="27"/>
        <v>190</v>
      </c>
      <c r="E309">
        <f t="shared" si="28"/>
        <v>0</v>
      </c>
      <c r="F309">
        <f t="shared" si="25"/>
        <v>0</v>
      </c>
      <c r="G309">
        <f t="shared" si="29"/>
        <v>7346</v>
      </c>
      <c r="H309">
        <f t="shared" si="26"/>
        <v>7156</v>
      </c>
    </row>
    <row r="310" spans="1:8" x14ac:dyDescent="0.35">
      <c r="A310" s="4">
        <v>44870</v>
      </c>
      <c r="B310" s="5">
        <v>793</v>
      </c>
      <c r="C310">
        <f t="shared" si="24"/>
        <v>7</v>
      </c>
      <c r="D310">
        <f t="shared" si="27"/>
        <v>190</v>
      </c>
      <c r="E310">
        <f t="shared" si="28"/>
        <v>0</v>
      </c>
      <c r="F310">
        <f t="shared" si="25"/>
        <v>0</v>
      </c>
      <c r="G310">
        <f t="shared" si="29"/>
        <v>7949</v>
      </c>
      <c r="H310">
        <f t="shared" si="26"/>
        <v>7759</v>
      </c>
    </row>
    <row r="311" spans="1:8" x14ac:dyDescent="0.35">
      <c r="A311" s="6">
        <v>44871</v>
      </c>
      <c r="B311" s="7">
        <v>1276</v>
      </c>
      <c r="C311">
        <f t="shared" si="24"/>
        <v>1</v>
      </c>
      <c r="D311">
        <f t="shared" si="27"/>
        <v>190</v>
      </c>
      <c r="E311">
        <f t="shared" si="28"/>
        <v>0</v>
      </c>
      <c r="F311">
        <f t="shared" si="25"/>
        <v>0</v>
      </c>
      <c r="G311">
        <f t="shared" si="29"/>
        <v>9035</v>
      </c>
      <c r="H311">
        <f t="shared" si="26"/>
        <v>8845</v>
      </c>
    </row>
    <row r="312" spans="1:8" x14ac:dyDescent="0.35">
      <c r="A312" s="4">
        <v>44872</v>
      </c>
      <c r="B312" s="5">
        <v>1234</v>
      </c>
      <c r="C312">
        <f t="shared" si="24"/>
        <v>2</v>
      </c>
      <c r="D312">
        <f t="shared" si="27"/>
        <v>190</v>
      </c>
      <c r="E312">
        <f t="shared" si="28"/>
        <v>0</v>
      </c>
      <c r="F312">
        <f t="shared" si="25"/>
        <v>0</v>
      </c>
      <c r="G312">
        <f t="shared" si="29"/>
        <v>10079</v>
      </c>
      <c r="H312">
        <f t="shared" si="26"/>
        <v>9889</v>
      </c>
    </row>
    <row r="313" spans="1:8" x14ac:dyDescent="0.35">
      <c r="A313" s="6">
        <v>44873</v>
      </c>
      <c r="B313" s="7">
        <v>1302</v>
      </c>
      <c r="C313">
        <f t="shared" si="24"/>
        <v>3</v>
      </c>
      <c r="D313">
        <f t="shared" si="27"/>
        <v>260</v>
      </c>
      <c r="E313">
        <f t="shared" si="28"/>
        <v>0</v>
      </c>
      <c r="F313">
        <f t="shared" si="25"/>
        <v>0</v>
      </c>
      <c r="G313">
        <f t="shared" si="29"/>
        <v>11191</v>
      </c>
      <c r="H313">
        <f t="shared" si="26"/>
        <v>10931</v>
      </c>
    </row>
    <row r="314" spans="1:8" x14ac:dyDescent="0.35">
      <c r="A314" s="4">
        <v>44874</v>
      </c>
      <c r="B314" s="5">
        <v>1316</v>
      </c>
      <c r="C314">
        <f t="shared" si="24"/>
        <v>4</v>
      </c>
      <c r="D314">
        <f t="shared" si="27"/>
        <v>190</v>
      </c>
      <c r="E314">
        <f t="shared" si="28"/>
        <v>0</v>
      </c>
      <c r="F314">
        <f t="shared" si="25"/>
        <v>0</v>
      </c>
      <c r="G314">
        <f t="shared" si="29"/>
        <v>12247</v>
      </c>
      <c r="H314">
        <f t="shared" si="26"/>
        <v>12057</v>
      </c>
    </row>
    <row r="315" spans="1:8" x14ac:dyDescent="0.35">
      <c r="A315" s="6">
        <v>44875</v>
      </c>
      <c r="B315" s="7">
        <v>1463</v>
      </c>
      <c r="C315">
        <f t="shared" si="24"/>
        <v>5</v>
      </c>
      <c r="D315">
        <f t="shared" si="27"/>
        <v>190</v>
      </c>
      <c r="E315">
        <f t="shared" si="28"/>
        <v>0</v>
      </c>
      <c r="F315">
        <f t="shared" si="25"/>
        <v>0</v>
      </c>
      <c r="G315">
        <f t="shared" si="29"/>
        <v>13520</v>
      </c>
      <c r="H315">
        <f t="shared" si="26"/>
        <v>13330</v>
      </c>
    </row>
    <row r="316" spans="1:8" x14ac:dyDescent="0.35">
      <c r="A316" s="4">
        <v>44876</v>
      </c>
      <c r="B316" s="5">
        <v>771</v>
      </c>
      <c r="C316">
        <f t="shared" si="24"/>
        <v>6</v>
      </c>
      <c r="D316">
        <f t="shared" si="27"/>
        <v>190</v>
      </c>
      <c r="E316">
        <f t="shared" si="28"/>
        <v>0</v>
      </c>
      <c r="F316">
        <f t="shared" si="25"/>
        <v>0</v>
      </c>
      <c r="G316">
        <f t="shared" si="29"/>
        <v>14101</v>
      </c>
      <c r="H316">
        <f t="shared" si="26"/>
        <v>13911</v>
      </c>
    </row>
    <row r="317" spans="1:8" x14ac:dyDescent="0.35">
      <c r="A317" s="6">
        <v>44877</v>
      </c>
      <c r="B317" s="7">
        <v>0</v>
      </c>
      <c r="C317">
        <f t="shared" si="24"/>
        <v>7</v>
      </c>
      <c r="D317">
        <f t="shared" si="27"/>
        <v>190</v>
      </c>
      <c r="E317">
        <f t="shared" si="28"/>
        <v>1</v>
      </c>
      <c r="F317">
        <f t="shared" si="25"/>
        <v>0</v>
      </c>
      <c r="G317">
        <f t="shared" si="29"/>
        <v>13911</v>
      </c>
      <c r="H317">
        <f t="shared" si="26"/>
        <v>13721</v>
      </c>
    </row>
    <row r="318" spans="1:8" x14ac:dyDescent="0.35">
      <c r="A318" s="4">
        <v>44878</v>
      </c>
      <c r="B318" s="5">
        <v>0</v>
      </c>
      <c r="C318">
        <f t="shared" si="24"/>
        <v>1</v>
      </c>
      <c r="D318">
        <f t="shared" si="27"/>
        <v>190</v>
      </c>
      <c r="E318">
        <f t="shared" si="28"/>
        <v>2</v>
      </c>
      <c r="F318">
        <f t="shared" si="25"/>
        <v>0</v>
      </c>
      <c r="G318">
        <f t="shared" si="29"/>
        <v>13721</v>
      </c>
      <c r="H318">
        <f t="shared" si="26"/>
        <v>13531</v>
      </c>
    </row>
    <row r="319" spans="1:8" x14ac:dyDescent="0.35">
      <c r="A319" s="6">
        <v>44879</v>
      </c>
      <c r="B319" s="7">
        <v>0</v>
      </c>
      <c r="C319">
        <f t="shared" si="24"/>
        <v>2</v>
      </c>
      <c r="D319">
        <f t="shared" si="27"/>
        <v>190</v>
      </c>
      <c r="E319">
        <f t="shared" si="28"/>
        <v>3</v>
      </c>
      <c r="F319">
        <f t="shared" si="25"/>
        <v>0</v>
      </c>
      <c r="G319">
        <f t="shared" si="29"/>
        <v>13531</v>
      </c>
      <c r="H319">
        <f t="shared" si="26"/>
        <v>13341</v>
      </c>
    </row>
    <row r="320" spans="1:8" x14ac:dyDescent="0.35">
      <c r="A320" s="4">
        <v>44880</v>
      </c>
      <c r="B320" s="5">
        <v>0</v>
      </c>
      <c r="C320">
        <f t="shared" si="24"/>
        <v>3</v>
      </c>
      <c r="D320">
        <f t="shared" si="27"/>
        <v>260</v>
      </c>
      <c r="E320">
        <f t="shared" si="28"/>
        <v>4</v>
      </c>
      <c r="F320">
        <f t="shared" si="25"/>
        <v>0</v>
      </c>
      <c r="G320">
        <f t="shared" si="29"/>
        <v>13341</v>
      </c>
      <c r="H320">
        <f t="shared" si="26"/>
        <v>13081</v>
      </c>
    </row>
    <row r="321" spans="1:8" x14ac:dyDescent="0.35">
      <c r="A321" s="6">
        <v>44881</v>
      </c>
      <c r="B321" s="7">
        <v>0</v>
      </c>
      <c r="C321">
        <f t="shared" si="24"/>
        <v>4</v>
      </c>
      <c r="D321">
        <f t="shared" si="27"/>
        <v>190</v>
      </c>
      <c r="E321">
        <f t="shared" si="28"/>
        <v>5</v>
      </c>
      <c r="F321">
        <f t="shared" si="25"/>
        <v>0</v>
      </c>
      <c r="G321">
        <f t="shared" si="29"/>
        <v>13081</v>
      </c>
      <c r="H321">
        <f t="shared" si="26"/>
        <v>12891</v>
      </c>
    </row>
    <row r="322" spans="1:8" x14ac:dyDescent="0.35">
      <c r="A322" s="4">
        <v>44882</v>
      </c>
      <c r="B322" s="5">
        <v>0</v>
      </c>
      <c r="C322">
        <f t="shared" si="24"/>
        <v>5</v>
      </c>
      <c r="D322">
        <f t="shared" si="27"/>
        <v>190</v>
      </c>
      <c r="E322">
        <f t="shared" si="28"/>
        <v>6</v>
      </c>
      <c r="F322">
        <f t="shared" si="25"/>
        <v>0</v>
      </c>
      <c r="G322">
        <f t="shared" si="29"/>
        <v>12891</v>
      </c>
      <c r="H322">
        <f t="shared" si="26"/>
        <v>12701</v>
      </c>
    </row>
    <row r="323" spans="1:8" x14ac:dyDescent="0.35">
      <c r="A323" s="6">
        <v>44883</v>
      </c>
      <c r="B323" s="7">
        <v>0</v>
      </c>
      <c r="C323">
        <f t="shared" ref="C323:C366" si="30">WEEKDAY(A323)</f>
        <v>6</v>
      </c>
      <c r="D323">
        <f t="shared" si="27"/>
        <v>190</v>
      </c>
      <c r="E323">
        <f t="shared" si="28"/>
        <v>7</v>
      </c>
      <c r="F323">
        <f t="shared" ref="F323:F366" si="31">IF(AND(MONTH(A323)&gt;=4,MONTH(A323)&lt;=9,OR(E323=5,E323=10,E323=15,E323=20)),300,0)</f>
        <v>0</v>
      </c>
      <c r="G323">
        <f t="shared" si="29"/>
        <v>12701</v>
      </c>
      <c r="H323">
        <f t="shared" ref="H323:H366" si="32">IF(G323-D323&lt;0,0,G323-D323)</f>
        <v>12511</v>
      </c>
    </row>
    <row r="324" spans="1:8" x14ac:dyDescent="0.35">
      <c r="A324" s="4">
        <v>44884</v>
      </c>
      <c r="B324" s="5">
        <v>816</v>
      </c>
      <c r="C324">
        <f t="shared" si="30"/>
        <v>7</v>
      </c>
      <c r="D324">
        <f t="shared" ref="D324:D366" si="33">IF(C324=3,260,190)+F324</f>
        <v>190</v>
      </c>
      <c r="E324">
        <f t="shared" ref="E324:E366" si="34">IF(B324=0,E323+1,0)</f>
        <v>0</v>
      </c>
      <c r="F324">
        <f t="shared" si="31"/>
        <v>0</v>
      </c>
      <c r="G324">
        <f t="shared" ref="G324:G366" si="35">H323+B324</f>
        <v>13327</v>
      </c>
      <c r="H324">
        <f t="shared" si="32"/>
        <v>13137</v>
      </c>
    </row>
    <row r="325" spans="1:8" x14ac:dyDescent="0.35">
      <c r="A325" s="6">
        <v>44885</v>
      </c>
      <c r="B325" s="7">
        <v>734</v>
      </c>
      <c r="C325">
        <f t="shared" si="30"/>
        <v>1</v>
      </c>
      <c r="D325">
        <f t="shared" si="33"/>
        <v>190</v>
      </c>
      <c r="E325">
        <f t="shared" si="34"/>
        <v>0</v>
      </c>
      <c r="F325">
        <f t="shared" si="31"/>
        <v>0</v>
      </c>
      <c r="G325">
        <f t="shared" si="35"/>
        <v>13871</v>
      </c>
      <c r="H325">
        <f t="shared" si="32"/>
        <v>13681</v>
      </c>
    </row>
    <row r="326" spans="1:8" x14ac:dyDescent="0.35">
      <c r="A326" s="4">
        <v>44886</v>
      </c>
      <c r="B326" s="5">
        <v>1097</v>
      </c>
      <c r="C326">
        <f t="shared" si="30"/>
        <v>2</v>
      </c>
      <c r="D326">
        <f t="shared" si="33"/>
        <v>190</v>
      </c>
      <c r="E326">
        <f t="shared" si="34"/>
        <v>0</v>
      </c>
      <c r="F326">
        <f t="shared" si="31"/>
        <v>0</v>
      </c>
      <c r="G326">
        <f t="shared" si="35"/>
        <v>14778</v>
      </c>
      <c r="H326">
        <f t="shared" si="32"/>
        <v>14588</v>
      </c>
    </row>
    <row r="327" spans="1:8" x14ac:dyDescent="0.35">
      <c r="A327" s="6">
        <v>44887</v>
      </c>
      <c r="B327" s="7">
        <v>640</v>
      </c>
      <c r="C327">
        <f t="shared" si="30"/>
        <v>3</v>
      </c>
      <c r="D327">
        <f t="shared" si="33"/>
        <v>260</v>
      </c>
      <c r="E327">
        <f t="shared" si="34"/>
        <v>0</v>
      </c>
      <c r="F327">
        <f t="shared" si="31"/>
        <v>0</v>
      </c>
      <c r="G327">
        <f t="shared" si="35"/>
        <v>15228</v>
      </c>
      <c r="H327">
        <f t="shared" si="32"/>
        <v>14968</v>
      </c>
    </row>
    <row r="328" spans="1:8" x14ac:dyDescent="0.35">
      <c r="A328" s="4">
        <v>44888</v>
      </c>
      <c r="B328" s="5">
        <v>0</v>
      </c>
      <c r="C328">
        <f t="shared" si="30"/>
        <v>4</v>
      </c>
      <c r="D328">
        <f t="shared" si="33"/>
        <v>190</v>
      </c>
      <c r="E328">
        <f t="shared" si="34"/>
        <v>1</v>
      </c>
      <c r="F328">
        <f t="shared" si="31"/>
        <v>0</v>
      </c>
      <c r="G328">
        <f t="shared" si="35"/>
        <v>14968</v>
      </c>
      <c r="H328">
        <f t="shared" si="32"/>
        <v>14778</v>
      </c>
    </row>
    <row r="329" spans="1:8" x14ac:dyDescent="0.35">
      <c r="A329" s="6">
        <v>44889</v>
      </c>
      <c r="B329" s="7">
        <v>0</v>
      </c>
      <c r="C329">
        <f t="shared" si="30"/>
        <v>5</v>
      </c>
      <c r="D329">
        <f t="shared" si="33"/>
        <v>190</v>
      </c>
      <c r="E329">
        <f t="shared" si="34"/>
        <v>2</v>
      </c>
      <c r="F329">
        <f t="shared" si="31"/>
        <v>0</v>
      </c>
      <c r="G329">
        <f t="shared" si="35"/>
        <v>14778</v>
      </c>
      <c r="H329">
        <f t="shared" si="32"/>
        <v>14588</v>
      </c>
    </row>
    <row r="330" spans="1:8" x14ac:dyDescent="0.35">
      <c r="A330" s="4">
        <v>44890</v>
      </c>
      <c r="B330" s="5">
        <v>1066</v>
      </c>
      <c r="C330">
        <f t="shared" si="30"/>
        <v>6</v>
      </c>
      <c r="D330">
        <f t="shared" si="33"/>
        <v>190</v>
      </c>
      <c r="E330">
        <f t="shared" si="34"/>
        <v>0</v>
      </c>
      <c r="F330">
        <f t="shared" si="31"/>
        <v>0</v>
      </c>
      <c r="G330">
        <f t="shared" si="35"/>
        <v>15654</v>
      </c>
      <c r="H330">
        <f t="shared" si="32"/>
        <v>15464</v>
      </c>
    </row>
    <row r="331" spans="1:8" x14ac:dyDescent="0.35">
      <c r="A331" s="6">
        <v>44891</v>
      </c>
      <c r="B331" s="7">
        <v>670</v>
      </c>
      <c r="C331">
        <f t="shared" si="30"/>
        <v>7</v>
      </c>
      <c r="D331">
        <f t="shared" si="33"/>
        <v>190</v>
      </c>
      <c r="E331">
        <f t="shared" si="34"/>
        <v>0</v>
      </c>
      <c r="F331">
        <f t="shared" si="31"/>
        <v>0</v>
      </c>
      <c r="G331">
        <f t="shared" si="35"/>
        <v>16134</v>
      </c>
      <c r="H331">
        <f t="shared" si="32"/>
        <v>15944</v>
      </c>
    </row>
    <row r="332" spans="1:8" x14ac:dyDescent="0.35">
      <c r="A332" s="4">
        <v>44892</v>
      </c>
      <c r="B332" s="5">
        <v>0</v>
      </c>
      <c r="C332">
        <f t="shared" si="30"/>
        <v>1</v>
      </c>
      <c r="D332">
        <f t="shared" si="33"/>
        <v>190</v>
      </c>
      <c r="E332">
        <f t="shared" si="34"/>
        <v>1</v>
      </c>
      <c r="F332">
        <f t="shared" si="31"/>
        <v>0</v>
      </c>
      <c r="G332">
        <f t="shared" si="35"/>
        <v>15944</v>
      </c>
      <c r="H332">
        <f t="shared" si="32"/>
        <v>15754</v>
      </c>
    </row>
    <row r="333" spans="1:8" x14ac:dyDescent="0.35">
      <c r="A333" s="6">
        <v>44893</v>
      </c>
      <c r="B333" s="7">
        <v>0</v>
      </c>
      <c r="C333">
        <f t="shared" si="30"/>
        <v>2</v>
      </c>
      <c r="D333">
        <f t="shared" si="33"/>
        <v>190</v>
      </c>
      <c r="E333">
        <f t="shared" si="34"/>
        <v>2</v>
      </c>
      <c r="F333">
        <f t="shared" si="31"/>
        <v>0</v>
      </c>
      <c r="G333">
        <f t="shared" si="35"/>
        <v>15754</v>
      </c>
      <c r="H333">
        <f t="shared" si="32"/>
        <v>15564</v>
      </c>
    </row>
    <row r="334" spans="1:8" x14ac:dyDescent="0.35">
      <c r="A334" s="4">
        <v>44894</v>
      </c>
      <c r="B334" s="5">
        <v>0</v>
      </c>
      <c r="C334">
        <f t="shared" si="30"/>
        <v>3</v>
      </c>
      <c r="D334">
        <f t="shared" si="33"/>
        <v>260</v>
      </c>
      <c r="E334">
        <f t="shared" si="34"/>
        <v>3</v>
      </c>
      <c r="F334">
        <f t="shared" si="31"/>
        <v>0</v>
      </c>
      <c r="G334">
        <f t="shared" si="35"/>
        <v>15564</v>
      </c>
      <c r="H334">
        <f t="shared" si="32"/>
        <v>15304</v>
      </c>
    </row>
    <row r="335" spans="1:8" x14ac:dyDescent="0.35">
      <c r="A335" s="6">
        <v>44895</v>
      </c>
      <c r="B335" s="7">
        <v>0</v>
      </c>
      <c r="C335">
        <f t="shared" si="30"/>
        <v>4</v>
      </c>
      <c r="D335">
        <f t="shared" si="33"/>
        <v>190</v>
      </c>
      <c r="E335">
        <f t="shared" si="34"/>
        <v>4</v>
      </c>
      <c r="F335">
        <f t="shared" si="31"/>
        <v>0</v>
      </c>
      <c r="G335">
        <f t="shared" si="35"/>
        <v>15304</v>
      </c>
      <c r="H335">
        <f t="shared" si="32"/>
        <v>15114</v>
      </c>
    </row>
    <row r="336" spans="1:8" x14ac:dyDescent="0.35">
      <c r="A336" s="4">
        <v>44896</v>
      </c>
      <c r="B336" s="5">
        <v>0</v>
      </c>
      <c r="C336">
        <f t="shared" si="30"/>
        <v>5</v>
      </c>
      <c r="D336">
        <f t="shared" si="33"/>
        <v>190</v>
      </c>
      <c r="E336">
        <f t="shared" si="34"/>
        <v>5</v>
      </c>
      <c r="F336">
        <f t="shared" si="31"/>
        <v>0</v>
      </c>
      <c r="G336">
        <f t="shared" si="35"/>
        <v>15114</v>
      </c>
      <c r="H336">
        <f t="shared" si="32"/>
        <v>14924</v>
      </c>
    </row>
    <row r="337" spans="1:8" x14ac:dyDescent="0.35">
      <c r="A337" s="6">
        <v>44897</v>
      </c>
      <c r="B337" s="7">
        <v>0</v>
      </c>
      <c r="C337">
        <f t="shared" si="30"/>
        <v>6</v>
      </c>
      <c r="D337">
        <f t="shared" si="33"/>
        <v>190</v>
      </c>
      <c r="E337">
        <f t="shared" si="34"/>
        <v>6</v>
      </c>
      <c r="F337">
        <f t="shared" si="31"/>
        <v>0</v>
      </c>
      <c r="G337">
        <f t="shared" si="35"/>
        <v>14924</v>
      </c>
      <c r="H337">
        <f t="shared" si="32"/>
        <v>14734</v>
      </c>
    </row>
    <row r="338" spans="1:8" x14ac:dyDescent="0.35">
      <c r="A338" s="4">
        <v>44898</v>
      </c>
      <c r="B338" s="5">
        <v>0</v>
      </c>
      <c r="C338">
        <f t="shared" si="30"/>
        <v>7</v>
      </c>
      <c r="D338">
        <f t="shared" si="33"/>
        <v>190</v>
      </c>
      <c r="E338">
        <f t="shared" si="34"/>
        <v>7</v>
      </c>
      <c r="F338">
        <f t="shared" si="31"/>
        <v>0</v>
      </c>
      <c r="G338">
        <f t="shared" si="35"/>
        <v>14734</v>
      </c>
      <c r="H338">
        <f t="shared" si="32"/>
        <v>14544</v>
      </c>
    </row>
    <row r="339" spans="1:8" x14ac:dyDescent="0.35">
      <c r="A339" s="6">
        <v>44899</v>
      </c>
      <c r="B339" s="7">
        <v>0</v>
      </c>
      <c r="C339">
        <f t="shared" si="30"/>
        <v>1</v>
      </c>
      <c r="D339">
        <f t="shared" si="33"/>
        <v>190</v>
      </c>
      <c r="E339">
        <f t="shared" si="34"/>
        <v>8</v>
      </c>
      <c r="F339">
        <f t="shared" si="31"/>
        <v>0</v>
      </c>
      <c r="G339">
        <f t="shared" si="35"/>
        <v>14544</v>
      </c>
      <c r="H339">
        <f t="shared" si="32"/>
        <v>14354</v>
      </c>
    </row>
    <row r="340" spans="1:8" x14ac:dyDescent="0.35">
      <c r="A340" s="4">
        <v>44900</v>
      </c>
      <c r="B340" s="5">
        <v>29</v>
      </c>
      <c r="C340">
        <f t="shared" si="30"/>
        <v>2</v>
      </c>
      <c r="D340">
        <f t="shared" si="33"/>
        <v>190</v>
      </c>
      <c r="E340">
        <f t="shared" si="34"/>
        <v>0</v>
      </c>
      <c r="F340">
        <f t="shared" si="31"/>
        <v>0</v>
      </c>
      <c r="G340">
        <f t="shared" si="35"/>
        <v>14383</v>
      </c>
      <c r="H340">
        <f t="shared" si="32"/>
        <v>14193</v>
      </c>
    </row>
    <row r="341" spans="1:8" x14ac:dyDescent="0.35">
      <c r="A341" s="6">
        <v>44901</v>
      </c>
      <c r="B341" s="7">
        <v>46</v>
      </c>
      <c r="C341">
        <f t="shared" si="30"/>
        <v>3</v>
      </c>
      <c r="D341">
        <f t="shared" si="33"/>
        <v>260</v>
      </c>
      <c r="E341">
        <f t="shared" si="34"/>
        <v>0</v>
      </c>
      <c r="F341">
        <f t="shared" si="31"/>
        <v>0</v>
      </c>
      <c r="G341">
        <f t="shared" si="35"/>
        <v>14239</v>
      </c>
      <c r="H341">
        <f t="shared" si="32"/>
        <v>13979</v>
      </c>
    </row>
    <row r="342" spans="1:8" x14ac:dyDescent="0.35">
      <c r="A342" s="4">
        <v>44902</v>
      </c>
      <c r="B342" s="5">
        <v>0</v>
      </c>
      <c r="C342">
        <f t="shared" si="30"/>
        <v>4</v>
      </c>
      <c r="D342">
        <f t="shared" si="33"/>
        <v>190</v>
      </c>
      <c r="E342">
        <f t="shared" si="34"/>
        <v>1</v>
      </c>
      <c r="F342">
        <f t="shared" si="31"/>
        <v>0</v>
      </c>
      <c r="G342">
        <f t="shared" si="35"/>
        <v>13979</v>
      </c>
      <c r="H342">
        <f t="shared" si="32"/>
        <v>13789</v>
      </c>
    </row>
    <row r="343" spans="1:8" x14ac:dyDescent="0.35">
      <c r="A343" s="6">
        <v>44903</v>
      </c>
      <c r="B343" s="7">
        <v>0</v>
      </c>
      <c r="C343">
        <f t="shared" si="30"/>
        <v>5</v>
      </c>
      <c r="D343">
        <f t="shared" si="33"/>
        <v>190</v>
      </c>
      <c r="E343">
        <f t="shared" si="34"/>
        <v>2</v>
      </c>
      <c r="F343">
        <f t="shared" si="31"/>
        <v>0</v>
      </c>
      <c r="G343">
        <f t="shared" si="35"/>
        <v>13789</v>
      </c>
      <c r="H343">
        <f t="shared" si="32"/>
        <v>13599</v>
      </c>
    </row>
    <row r="344" spans="1:8" x14ac:dyDescent="0.35">
      <c r="A344" s="4">
        <v>44904</v>
      </c>
      <c r="B344" s="5">
        <v>0</v>
      </c>
      <c r="C344">
        <f t="shared" si="30"/>
        <v>6</v>
      </c>
      <c r="D344">
        <f t="shared" si="33"/>
        <v>190</v>
      </c>
      <c r="E344">
        <f t="shared" si="34"/>
        <v>3</v>
      </c>
      <c r="F344">
        <f t="shared" si="31"/>
        <v>0</v>
      </c>
      <c r="G344">
        <f t="shared" si="35"/>
        <v>13599</v>
      </c>
      <c r="H344">
        <f t="shared" si="32"/>
        <v>13409</v>
      </c>
    </row>
    <row r="345" spans="1:8" x14ac:dyDescent="0.35">
      <c r="A345" s="6">
        <v>44905</v>
      </c>
      <c r="B345" s="7">
        <v>0</v>
      </c>
      <c r="C345">
        <f t="shared" si="30"/>
        <v>7</v>
      </c>
      <c r="D345">
        <f t="shared" si="33"/>
        <v>190</v>
      </c>
      <c r="E345">
        <f t="shared" si="34"/>
        <v>4</v>
      </c>
      <c r="F345">
        <f t="shared" si="31"/>
        <v>0</v>
      </c>
      <c r="G345">
        <f t="shared" si="35"/>
        <v>13409</v>
      </c>
      <c r="H345">
        <f t="shared" si="32"/>
        <v>13219</v>
      </c>
    </row>
    <row r="346" spans="1:8" x14ac:dyDescent="0.35">
      <c r="A346" s="4">
        <v>44906</v>
      </c>
      <c r="B346" s="5">
        <v>0</v>
      </c>
      <c r="C346">
        <f t="shared" si="30"/>
        <v>1</v>
      </c>
      <c r="D346">
        <f t="shared" si="33"/>
        <v>190</v>
      </c>
      <c r="E346">
        <f t="shared" si="34"/>
        <v>5</v>
      </c>
      <c r="F346">
        <f t="shared" si="31"/>
        <v>0</v>
      </c>
      <c r="G346">
        <f t="shared" si="35"/>
        <v>13219</v>
      </c>
      <c r="H346">
        <f t="shared" si="32"/>
        <v>13029</v>
      </c>
    </row>
    <row r="347" spans="1:8" x14ac:dyDescent="0.35">
      <c r="A347" s="6">
        <v>44907</v>
      </c>
      <c r="B347" s="7">
        <v>0</v>
      </c>
      <c r="C347">
        <f t="shared" si="30"/>
        <v>2</v>
      </c>
      <c r="D347">
        <f t="shared" si="33"/>
        <v>190</v>
      </c>
      <c r="E347">
        <f t="shared" si="34"/>
        <v>6</v>
      </c>
      <c r="F347">
        <f t="shared" si="31"/>
        <v>0</v>
      </c>
      <c r="G347">
        <f t="shared" si="35"/>
        <v>13029</v>
      </c>
      <c r="H347">
        <f t="shared" si="32"/>
        <v>12839</v>
      </c>
    </row>
    <row r="348" spans="1:8" x14ac:dyDescent="0.35">
      <c r="A348" s="4">
        <v>44908</v>
      </c>
      <c r="B348" s="5">
        <v>145</v>
      </c>
      <c r="C348">
        <f t="shared" si="30"/>
        <v>3</v>
      </c>
      <c r="D348">
        <f t="shared" si="33"/>
        <v>260</v>
      </c>
      <c r="E348">
        <f t="shared" si="34"/>
        <v>0</v>
      </c>
      <c r="F348">
        <f t="shared" si="31"/>
        <v>0</v>
      </c>
      <c r="G348">
        <f t="shared" si="35"/>
        <v>12984</v>
      </c>
      <c r="H348">
        <f t="shared" si="32"/>
        <v>12724</v>
      </c>
    </row>
    <row r="349" spans="1:8" x14ac:dyDescent="0.35">
      <c r="A349" s="6">
        <v>44909</v>
      </c>
      <c r="B349" s="7">
        <v>0</v>
      </c>
      <c r="C349">
        <f t="shared" si="30"/>
        <v>4</v>
      </c>
      <c r="D349">
        <f t="shared" si="33"/>
        <v>190</v>
      </c>
      <c r="E349">
        <f t="shared" si="34"/>
        <v>1</v>
      </c>
      <c r="F349">
        <f t="shared" si="31"/>
        <v>0</v>
      </c>
      <c r="G349">
        <f t="shared" si="35"/>
        <v>12724</v>
      </c>
      <c r="H349">
        <f t="shared" si="32"/>
        <v>12534</v>
      </c>
    </row>
    <row r="350" spans="1:8" x14ac:dyDescent="0.35">
      <c r="A350" s="4">
        <v>44910</v>
      </c>
      <c r="B350" s="5">
        <v>0</v>
      </c>
      <c r="C350">
        <f t="shared" si="30"/>
        <v>5</v>
      </c>
      <c r="D350">
        <f t="shared" si="33"/>
        <v>190</v>
      </c>
      <c r="E350">
        <f t="shared" si="34"/>
        <v>2</v>
      </c>
      <c r="F350">
        <f t="shared" si="31"/>
        <v>0</v>
      </c>
      <c r="G350">
        <f t="shared" si="35"/>
        <v>12534</v>
      </c>
      <c r="H350">
        <f t="shared" si="32"/>
        <v>12344</v>
      </c>
    </row>
    <row r="351" spans="1:8" x14ac:dyDescent="0.35">
      <c r="A351" s="6">
        <v>44911</v>
      </c>
      <c r="B351" s="7">
        <v>24</v>
      </c>
      <c r="C351">
        <f t="shared" si="30"/>
        <v>6</v>
      </c>
      <c r="D351">
        <f t="shared" si="33"/>
        <v>190</v>
      </c>
      <c r="E351">
        <f t="shared" si="34"/>
        <v>0</v>
      </c>
      <c r="F351">
        <f t="shared" si="31"/>
        <v>0</v>
      </c>
      <c r="G351">
        <f t="shared" si="35"/>
        <v>12368</v>
      </c>
      <c r="H351">
        <f t="shared" si="32"/>
        <v>12178</v>
      </c>
    </row>
    <row r="352" spans="1:8" x14ac:dyDescent="0.35">
      <c r="A352" s="4">
        <v>44912</v>
      </c>
      <c r="B352" s="5">
        <v>0</v>
      </c>
      <c r="C352">
        <f t="shared" si="30"/>
        <v>7</v>
      </c>
      <c r="D352">
        <f t="shared" si="33"/>
        <v>190</v>
      </c>
      <c r="E352">
        <f t="shared" si="34"/>
        <v>1</v>
      </c>
      <c r="F352">
        <f t="shared" si="31"/>
        <v>0</v>
      </c>
      <c r="G352">
        <f t="shared" si="35"/>
        <v>12178</v>
      </c>
      <c r="H352">
        <f t="shared" si="32"/>
        <v>11988</v>
      </c>
    </row>
    <row r="353" spans="1:8" x14ac:dyDescent="0.35">
      <c r="A353" s="6">
        <v>44913</v>
      </c>
      <c r="B353" s="7">
        <v>0</v>
      </c>
      <c r="C353">
        <f t="shared" si="30"/>
        <v>1</v>
      </c>
      <c r="D353">
        <f t="shared" si="33"/>
        <v>190</v>
      </c>
      <c r="E353">
        <f t="shared" si="34"/>
        <v>2</v>
      </c>
      <c r="F353">
        <f t="shared" si="31"/>
        <v>0</v>
      </c>
      <c r="G353">
        <f t="shared" si="35"/>
        <v>11988</v>
      </c>
      <c r="H353">
        <f t="shared" si="32"/>
        <v>11798</v>
      </c>
    </row>
    <row r="354" spans="1:8" x14ac:dyDescent="0.35">
      <c r="A354" s="4">
        <v>44914</v>
      </c>
      <c r="B354" s="5">
        <v>45</v>
      </c>
      <c r="C354">
        <f t="shared" si="30"/>
        <v>2</v>
      </c>
      <c r="D354">
        <f t="shared" si="33"/>
        <v>190</v>
      </c>
      <c r="E354">
        <f t="shared" si="34"/>
        <v>0</v>
      </c>
      <c r="F354">
        <f t="shared" si="31"/>
        <v>0</v>
      </c>
      <c r="G354">
        <f t="shared" si="35"/>
        <v>11843</v>
      </c>
      <c r="H354">
        <f t="shared" si="32"/>
        <v>11653</v>
      </c>
    </row>
    <row r="355" spans="1:8" x14ac:dyDescent="0.35">
      <c r="A355" s="6">
        <v>44915</v>
      </c>
      <c r="B355" s="7">
        <v>97</v>
      </c>
      <c r="C355">
        <f t="shared" si="30"/>
        <v>3</v>
      </c>
      <c r="D355">
        <f t="shared" si="33"/>
        <v>260</v>
      </c>
      <c r="E355">
        <f t="shared" si="34"/>
        <v>0</v>
      </c>
      <c r="F355">
        <f t="shared" si="31"/>
        <v>0</v>
      </c>
      <c r="G355">
        <f t="shared" si="35"/>
        <v>11750</v>
      </c>
      <c r="H355">
        <f t="shared" si="32"/>
        <v>11490</v>
      </c>
    </row>
    <row r="356" spans="1:8" x14ac:dyDescent="0.35">
      <c r="A356" s="4">
        <v>44916</v>
      </c>
      <c r="B356" s="5">
        <v>0</v>
      </c>
      <c r="C356">
        <f t="shared" si="30"/>
        <v>4</v>
      </c>
      <c r="D356">
        <f t="shared" si="33"/>
        <v>190</v>
      </c>
      <c r="E356">
        <f t="shared" si="34"/>
        <v>1</v>
      </c>
      <c r="F356">
        <f t="shared" si="31"/>
        <v>0</v>
      </c>
      <c r="G356">
        <f t="shared" si="35"/>
        <v>11490</v>
      </c>
      <c r="H356">
        <f t="shared" si="32"/>
        <v>11300</v>
      </c>
    </row>
    <row r="357" spans="1:8" x14ac:dyDescent="0.35">
      <c r="A357" s="6">
        <v>44917</v>
      </c>
      <c r="B357" s="7">
        <v>22</v>
      </c>
      <c r="C357">
        <f t="shared" si="30"/>
        <v>5</v>
      </c>
      <c r="D357">
        <f t="shared" si="33"/>
        <v>190</v>
      </c>
      <c r="E357">
        <f t="shared" si="34"/>
        <v>0</v>
      </c>
      <c r="F357">
        <f t="shared" si="31"/>
        <v>0</v>
      </c>
      <c r="G357">
        <f t="shared" si="35"/>
        <v>11322</v>
      </c>
      <c r="H357">
        <f t="shared" si="32"/>
        <v>11132</v>
      </c>
    </row>
    <row r="358" spans="1:8" x14ac:dyDescent="0.35">
      <c r="A358" s="4">
        <v>44918</v>
      </c>
      <c r="B358" s="5">
        <v>0</v>
      </c>
      <c r="C358">
        <f t="shared" si="30"/>
        <v>6</v>
      </c>
      <c r="D358">
        <f t="shared" si="33"/>
        <v>190</v>
      </c>
      <c r="E358">
        <f t="shared" si="34"/>
        <v>1</v>
      </c>
      <c r="F358">
        <f t="shared" si="31"/>
        <v>0</v>
      </c>
      <c r="G358">
        <f t="shared" si="35"/>
        <v>11132</v>
      </c>
      <c r="H358">
        <f t="shared" si="32"/>
        <v>10942</v>
      </c>
    </row>
    <row r="359" spans="1:8" x14ac:dyDescent="0.35">
      <c r="A359" s="6">
        <v>44919</v>
      </c>
      <c r="B359" s="7">
        <v>0</v>
      </c>
      <c r="C359">
        <f t="shared" si="30"/>
        <v>7</v>
      </c>
      <c r="D359">
        <f t="shared" si="33"/>
        <v>190</v>
      </c>
      <c r="E359">
        <f t="shared" si="34"/>
        <v>2</v>
      </c>
      <c r="F359">
        <f t="shared" si="31"/>
        <v>0</v>
      </c>
      <c r="G359">
        <f t="shared" si="35"/>
        <v>10942</v>
      </c>
      <c r="H359">
        <f t="shared" si="32"/>
        <v>10752</v>
      </c>
    </row>
    <row r="360" spans="1:8" x14ac:dyDescent="0.35">
      <c r="A360" s="4">
        <v>44920</v>
      </c>
      <c r="B360" s="5">
        <v>0</v>
      </c>
      <c r="C360">
        <f t="shared" si="30"/>
        <v>1</v>
      </c>
      <c r="D360">
        <f t="shared" si="33"/>
        <v>190</v>
      </c>
      <c r="E360">
        <f t="shared" si="34"/>
        <v>3</v>
      </c>
      <c r="F360">
        <f t="shared" si="31"/>
        <v>0</v>
      </c>
      <c r="G360">
        <f t="shared" si="35"/>
        <v>10752</v>
      </c>
      <c r="H360">
        <f t="shared" si="32"/>
        <v>10562</v>
      </c>
    </row>
    <row r="361" spans="1:8" x14ac:dyDescent="0.35">
      <c r="A361" s="6">
        <v>44921</v>
      </c>
      <c r="B361" s="7">
        <v>135</v>
      </c>
      <c r="C361">
        <f t="shared" si="30"/>
        <v>2</v>
      </c>
      <c r="D361">
        <f t="shared" si="33"/>
        <v>190</v>
      </c>
      <c r="E361">
        <f t="shared" si="34"/>
        <v>0</v>
      </c>
      <c r="F361">
        <f t="shared" si="31"/>
        <v>0</v>
      </c>
      <c r="G361">
        <f t="shared" si="35"/>
        <v>10697</v>
      </c>
      <c r="H361">
        <f t="shared" si="32"/>
        <v>10507</v>
      </c>
    </row>
    <row r="362" spans="1:8" x14ac:dyDescent="0.35">
      <c r="A362" s="4">
        <v>44922</v>
      </c>
      <c r="B362" s="5">
        <v>0</v>
      </c>
      <c r="C362">
        <f t="shared" si="30"/>
        <v>3</v>
      </c>
      <c r="D362">
        <f t="shared" si="33"/>
        <v>260</v>
      </c>
      <c r="E362">
        <f t="shared" si="34"/>
        <v>1</v>
      </c>
      <c r="F362">
        <f t="shared" si="31"/>
        <v>0</v>
      </c>
      <c r="G362">
        <f t="shared" si="35"/>
        <v>10507</v>
      </c>
      <c r="H362">
        <f t="shared" si="32"/>
        <v>10247</v>
      </c>
    </row>
    <row r="363" spans="1:8" x14ac:dyDescent="0.35">
      <c r="A363" s="6">
        <v>44923</v>
      </c>
      <c r="B363" s="7">
        <v>153</v>
      </c>
      <c r="C363">
        <f t="shared" si="30"/>
        <v>4</v>
      </c>
      <c r="D363">
        <f t="shared" si="33"/>
        <v>190</v>
      </c>
      <c r="E363">
        <f t="shared" si="34"/>
        <v>0</v>
      </c>
      <c r="F363">
        <f t="shared" si="31"/>
        <v>0</v>
      </c>
      <c r="G363">
        <f t="shared" si="35"/>
        <v>10400</v>
      </c>
      <c r="H363">
        <f t="shared" si="32"/>
        <v>10210</v>
      </c>
    </row>
    <row r="364" spans="1:8" x14ac:dyDescent="0.35">
      <c r="A364" s="4">
        <v>44924</v>
      </c>
      <c r="B364" s="5">
        <v>0</v>
      </c>
      <c r="C364">
        <f t="shared" si="30"/>
        <v>5</v>
      </c>
      <c r="D364">
        <f t="shared" si="33"/>
        <v>190</v>
      </c>
      <c r="E364">
        <f t="shared" si="34"/>
        <v>1</v>
      </c>
      <c r="F364">
        <f t="shared" si="31"/>
        <v>0</v>
      </c>
      <c r="G364">
        <f t="shared" si="35"/>
        <v>10210</v>
      </c>
      <c r="H364">
        <f t="shared" si="32"/>
        <v>10020</v>
      </c>
    </row>
    <row r="365" spans="1:8" x14ac:dyDescent="0.35">
      <c r="A365" s="6">
        <v>44925</v>
      </c>
      <c r="B365" s="7">
        <v>0</v>
      </c>
      <c r="C365">
        <f t="shared" si="30"/>
        <v>6</v>
      </c>
      <c r="D365">
        <f t="shared" si="33"/>
        <v>190</v>
      </c>
      <c r="E365">
        <f t="shared" si="34"/>
        <v>2</v>
      </c>
      <c r="F365">
        <f t="shared" si="31"/>
        <v>0</v>
      </c>
      <c r="G365">
        <f t="shared" si="35"/>
        <v>10020</v>
      </c>
      <c r="H365">
        <f t="shared" si="32"/>
        <v>9830</v>
      </c>
    </row>
    <row r="366" spans="1:8" x14ac:dyDescent="0.35">
      <c r="A366" s="8">
        <v>44926</v>
      </c>
      <c r="B366" s="1">
        <v>144</v>
      </c>
      <c r="C366">
        <f t="shared" si="30"/>
        <v>7</v>
      </c>
      <c r="D366">
        <f t="shared" si="33"/>
        <v>190</v>
      </c>
      <c r="E366">
        <f t="shared" si="34"/>
        <v>0</v>
      </c>
      <c r="F366">
        <f t="shared" si="31"/>
        <v>0</v>
      </c>
      <c r="G366">
        <f t="shared" si="35"/>
        <v>9974</v>
      </c>
      <c r="H366">
        <f t="shared" si="32"/>
        <v>9784</v>
      </c>
    </row>
  </sheetData>
  <autoFilter ref="A1:H366" xr:uid="{372944CE-37CA-4816-BC43-0DE8E32CAA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2022-7A9C-4E6A-97AC-56BE583B926E}">
  <dimension ref="A1:J366"/>
  <sheetViews>
    <sheetView topLeftCell="A7" zoomScale="85" zoomScaleNormal="85" workbookViewId="0">
      <selection activeCell="I5" sqref="I5:J17"/>
    </sheetView>
  </sheetViews>
  <sheetFormatPr defaultRowHeight="14.5" x14ac:dyDescent="0.35"/>
  <cols>
    <col min="1" max="1" width="10.54296875" bestFit="1" customWidth="1"/>
    <col min="2" max="2" width="10" bestFit="1" customWidth="1"/>
    <col min="6" max="6" width="17.6328125" bestFit="1" customWidth="1"/>
    <col min="7" max="7" width="14.453125" bestFit="1" customWidth="1"/>
    <col min="9" max="9" width="10.36328125" bestFit="1" customWidth="1"/>
    <col min="10" max="10" width="24.36328125" bestFit="1" customWidth="1"/>
  </cols>
  <sheetData>
    <row r="1" spans="1:10" x14ac:dyDescent="0.35">
      <c r="A1" s="2" t="s">
        <v>0</v>
      </c>
      <c r="B1" s="3" t="s">
        <v>1</v>
      </c>
      <c r="C1" t="s">
        <v>8</v>
      </c>
    </row>
    <row r="2" spans="1:10" x14ac:dyDescent="0.35">
      <c r="A2" s="4">
        <v>44562</v>
      </c>
      <c r="B2" s="5">
        <v>0</v>
      </c>
      <c r="C2">
        <f>MONTH(A2)</f>
        <v>1</v>
      </c>
    </row>
    <row r="3" spans="1:10" x14ac:dyDescent="0.35">
      <c r="A3" s="6">
        <v>44563</v>
      </c>
      <c r="B3" s="7">
        <v>0</v>
      </c>
      <c r="C3">
        <f t="shared" ref="C3:C66" si="0">MONTH(A3)</f>
        <v>1</v>
      </c>
    </row>
    <row r="4" spans="1:10" x14ac:dyDescent="0.35">
      <c r="A4" s="4">
        <v>44564</v>
      </c>
      <c r="B4" s="5">
        <v>0</v>
      </c>
      <c r="C4">
        <f t="shared" si="0"/>
        <v>1</v>
      </c>
    </row>
    <row r="5" spans="1:10" x14ac:dyDescent="0.35">
      <c r="A5" s="6">
        <v>44565</v>
      </c>
      <c r="B5" s="7">
        <v>0</v>
      </c>
      <c r="C5">
        <f t="shared" si="0"/>
        <v>1</v>
      </c>
      <c r="F5" s="9" t="s">
        <v>9</v>
      </c>
      <c r="G5" t="s">
        <v>10</v>
      </c>
      <c r="I5" t="s">
        <v>24</v>
      </c>
      <c r="J5" t="s">
        <v>25</v>
      </c>
    </row>
    <row r="6" spans="1:10" x14ac:dyDescent="0.35">
      <c r="A6" s="4">
        <v>44566</v>
      </c>
      <c r="B6" s="5">
        <v>0</v>
      </c>
      <c r="C6">
        <f t="shared" si="0"/>
        <v>1</v>
      </c>
      <c r="F6" s="10">
        <v>1</v>
      </c>
      <c r="G6" s="11">
        <v>2452</v>
      </c>
      <c r="I6" t="s">
        <v>12</v>
      </c>
      <c r="J6">
        <v>2452</v>
      </c>
    </row>
    <row r="7" spans="1:10" x14ac:dyDescent="0.35">
      <c r="A7" s="6">
        <v>44567</v>
      </c>
      <c r="B7" s="7">
        <v>0</v>
      </c>
      <c r="C7">
        <f t="shared" si="0"/>
        <v>1</v>
      </c>
      <c r="F7" s="10">
        <v>2</v>
      </c>
      <c r="G7" s="11">
        <v>1381</v>
      </c>
      <c r="I7" t="s">
        <v>13</v>
      </c>
      <c r="J7">
        <v>1381</v>
      </c>
    </row>
    <row r="8" spans="1:10" x14ac:dyDescent="0.35">
      <c r="A8" s="4">
        <v>44568</v>
      </c>
      <c r="B8" s="5">
        <v>0</v>
      </c>
      <c r="C8">
        <f t="shared" si="0"/>
        <v>1</v>
      </c>
      <c r="F8" s="10">
        <v>3</v>
      </c>
      <c r="G8" s="11">
        <v>3755</v>
      </c>
      <c r="I8" t="s">
        <v>14</v>
      </c>
      <c r="J8">
        <v>3755</v>
      </c>
    </row>
    <row r="9" spans="1:10" x14ac:dyDescent="0.35">
      <c r="A9" s="6">
        <v>44569</v>
      </c>
      <c r="B9" s="7">
        <v>41</v>
      </c>
      <c r="C9">
        <f t="shared" si="0"/>
        <v>1</v>
      </c>
      <c r="F9" s="10">
        <v>4</v>
      </c>
      <c r="G9" s="11">
        <v>4213</v>
      </c>
      <c r="I9" t="s">
        <v>15</v>
      </c>
      <c r="J9">
        <v>4213</v>
      </c>
    </row>
    <row r="10" spans="1:10" x14ac:dyDescent="0.35">
      <c r="A10" s="4">
        <v>44570</v>
      </c>
      <c r="B10" s="5">
        <v>79</v>
      </c>
      <c r="C10">
        <f t="shared" si="0"/>
        <v>1</v>
      </c>
      <c r="F10" s="10">
        <v>5</v>
      </c>
      <c r="G10" s="11">
        <v>3935</v>
      </c>
      <c r="I10" t="s">
        <v>16</v>
      </c>
      <c r="J10">
        <v>3935</v>
      </c>
    </row>
    <row r="11" spans="1:10" x14ac:dyDescent="0.35">
      <c r="A11" s="6">
        <v>44571</v>
      </c>
      <c r="B11" s="7">
        <v>163</v>
      </c>
      <c r="C11">
        <f t="shared" si="0"/>
        <v>1</v>
      </c>
      <c r="F11" s="10">
        <v>6</v>
      </c>
      <c r="G11" s="11">
        <v>5566</v>
      </c>
      <c r="I11" t="s">
        <v>17</v>
      </c>
      <c r="J11">
        <v>5566</v>
      </c>
    </row>
    <row r="12" spans="1:10" x14ac:dyDescent="0.35">
      <c r="A12" s="4">
        <v>44572</v>
      </c>
      <c r="B12" s="5">
        <v>259</v>
      </c>
      <c r="C12">
        <f t="shared" si="0"/>
        <v>1</v>
      </c>
      <c r="F12" s="10">
        <v>7</v>
      </c>
      <c r="G12" s="11">
        <v>6516</v>
      </c>
      <c r="I12" t="s">
        <v>18</v>
      </c>
      <c r="J12">
        <v>6516</v>
      </c>
    </row>
    <row r="13" spans="1:10" x14ac:dyDescent="0.35">
      <c r="A13" s="6">
        <v>44573</v>
      </c>
      <c r="B13" s="7">
        <v>368</v>
      </c>
      <c r="C13">
        <f t="shared" si="0"/>
        <v>1</v>
      </c>
      <c r="F13" s="10">
        <v>8</v>
      </c>
      <c r="G13" s="11">
        <v>2698</v>
      </c>
      <c r="I13" t="s">
        <v>19</v>
      </c>
      <c r="J13">
        <v>2698</v>
      </c>
    </row>
    <row r="14" spans="1:10" x14ac:dyDescent="0.35">
      <c r="A14" s="4">
        <v>44574</v>
      </c>
      <c r="B14" s="5">
        <v>45</v>
      </c>
      <c r="C14">
        <f t="shared" si="0"/>
        <v>1</v>
      </c>
      <c r="F14" s="10">
        <v>9</v>
      </c>
      <c r="G14" s="11">
        <v>5680</v>
      </c>
      <c r="I14" t="s">
        <v>20</v>
      </c>
      <c r="J14">
        <v>5680</v>
      </c>
    </row>
    <row r="15" spans="1:10" x14ac:dyDescent="0.35">
      <c r="A15" s="6">
        <v>44575</v>
      </c>
      <c r="B15" s="7">
        <v>0</v>
      </c>
      <c r="C15">
        <f t="shared" si="0"/>
        <v>1</v>
      </c>
      <c r="F15" s="10">
        <v>10</v>
      </c>
      <c r="G15" s="11">
        <v>12225</v>
      </c>
      <c r="I15" t="s">
        <v>21</v>
      </c>
      <c r="J15">
        <v>12225</v>
      </c>
    </row>
    <row r="16" spans="1:10" x14ac:dyDescent="0.35">
      <c r="A16" s="4">
        <v>44576</v>
      </c>
      <c r="B16" s="5">
        <v>0</v>
      </c>
      <c r="C16">
        <f t="shared" si="0"/>
        <v>1</v>
      </c>
      <c r="F16" s="10">
        <v>11</v>
      </c>
      <c r="G16" s="11">
        <v>14761</v>
      </c>
      <c r="I16" t="s">
        <v>22</v>
      </c>
      <c r="J16">
        <v>14761</v>
      </c>
    </row>
    <row r="17" spans="1:10" x14ac:dyDescent="0.35">
      <c r="A17" s="6">
        <v>44577</v>
      </c>
      <c r="B17" s="7">
        <v>0</v>
      </c>
      <c r="C17">
        <f t="shared" si="0"/>
        <v>1</v>
      </c>
      <c r="F17" s="10">
        <v>12</v>
      </c>
      <c r="G17" s="11">
        <v>840</v>
      </c>
      <c r="I17" t="s">
        <v>23</v>
      </c>
      <c r="J17">
        <v>840</v>
      </c>
    </row>
    <row r="18" spans="1:10" x14ac:dyDescent="0.35">
      <c r="A18" s="4">
        <v>44578</v>
      </c>
      <c r="B18" s="5">
        <v>0</v>
      </c>
      <c r="C18">
        <f t="shared" si="0"/>
        <v>1</v>
      </c>
      <c r="F18" s="10" t="s">
        <v>11</v>
      </c>
      <c r="G18" s="11">
        <v>64022</v>
      </c>
    </row>
    <row r="19" spans="1:10" x14ac:dyDescent="0.35">
      <c r="A19" s="6">
        <v>44579</v>
      </c>
      <c r="B19" s="7">
        <v>0</v>
      </c>
      <c r="C19">
        <f t="shared" si="0"/>
        <v>1</v>
      </c>
    </row>
    <row r="20" spans="1:10" x14ac:dyDescent="0.35">
      <c r="A20" s="4">
        <v>44580</v>
      </c>
      <c r="B20" s="5">
        <v>0</v>
      </c>
      <c r="C20">
        <f t="shared" si="0"/>
        <v>1</v>
      </c>
    </row>
    <row r="21" spans="1:10" x14ac:dyDescent="0.35">
      <c r="A21" s="6">
        <v>44581</v>
      </c>
      <c r="B21" s="7">
        <v>0</v>
      </c>
      <c r="C21">
        <f t="shared" si="0"/>
        <v>1</v>
      </c>
    </row>
    <row r="22" spans="1:10" x14ac:dyDescent="0.35">
      <c r="A22" s="4">
        <v>44582</v>
      </c>
      <c r="B22" s="5">
        <v>0</v>
      </c>
      <c r="C22">
        <f t="shared" si="0"/>
        <v>1</v>
      </c>
    </row>
    <row r="23" spans="1:10" x14ac:dyDescent="0.35">
      <c r="A23" s="6">
        <v>44583</v>
      </c>
      <c r="B23" s="7">
        <v>0</v>
      </c>
      <c r="C23">
        <f t="shared" si="0"/>
        <v>1</v>
      </c>
    </row>
    <row r="24" spans="1:10" x14ac:dyDescent="0.35">
      <c r="A24" s="4">
        <v>44584</v>
      </c>
      <c r="B24" s="5">
        <v>33</v>
      </c>
      <c r="C24">
        <f t="shared" si="0"/>
        <v>1</v>
      </c>
    </row>
    <row r="25" spans="1:10" x14ac:dyDescent="0.35">
      <c r="A25" s="6">
        <v>44585</v>
      </c>
      <c r="B25" s="7">
        <v>75</v>
      </c>
      <c r="C25">
        <f t="shared" si="0"/>
        <v>1</v>
      </c>
    </row>
    <row r="26" spans="1:10" x14ac:dyDescent="0.35">
      <c r="A26" s="4">
        <v>44586</v>
      </c>
      <c r="B26" s="5">
        <v>537</v>
      </c>
      <c r="C26">
        <f t="shared" si="0"/>
        <v>1</v>
      </c>
    </row>
    <row r="27" spans="1:10" x14ac:dyDescent="0.35">
      <c r="A27" s="6">
        <v>44587</v>
      </c>
      <c r="B27" s="7">
        <v>826</v>
      </c>
      <c r="C27">
        <f t="shared" si="0"/>
        <v>1</v>
      </c>
    </row>
    <row r="28" spans="1:10" x14ac:dyDescent="0.35">
      <c r="A28" s="4">
        <v>44588</v>
      </c>
      <c r="B28" s="5">
        <v>26</v>
      </c>
      <c r="C28">
        <f t="shared" si="0"/>
        <v>1</v>
      </c>
    </row>
    <row r="29" spans="1:10" x14ac:dyDescent="0.35">
      <c r="A29" s="6">
        <v>44589</v>
      </c>
      <c r="B29" s="7">
        <v>0</v>
      </c>
      <c r="C29">
        <f t="shared" si="0"/>
        <v>1</v>
      </c>
    </row>
    <row r="30" spans="1:10" x14ac:dyDescent="0.35">
      <c r="A30" s="4">
        <v>44590</v>
      </c>
      <c r="B30" s="5">
        <v>0</v>
      </c>
      <c r="C30">
        <f t="shared" si="0"/>
        <v>1</v>
      </c>
    </row>
    <row r="31" spans="1:10" x14ac:dyDescent="0.35">
      <c r="A31" s="6">
        <v>44591</v>
      </c>
      <c r="B31" s="7">
        <v>0</v>
      </c>
      <c r="C31">
        <f t="shared" si="0"/>
        <v>1</v>
      </c>
    </row>
    <row r="32" spans="1:10" x14ac:dyDescent="0.35">
      <c r="A32" s="4">
        <v>44592</v>
      </c>
      <c r="B32" s="5">
        <v>0</v>
      </c>
      <c r="C32">
        <f t="shared" si="0"/>
        <v>1</v>
      </c>
    </row>
    <row r="33" spans="1:3" x14ac:dyDescent="0.35">
      <c r="A33" s="6">
        <v>44593</v>
      </c>
      <c r="B33" s="7">
        <v>0</v>
      </c>
      <c r="C33">
        <f t="shared" si="0"/>
        <v>2</v>
      </c>
    </row>
    <row r="34" spans="1:3" x14ac:dyDescent="0.35">
      <c r="A34" s="4">
        <v>44594</v>
      </c>
      <c r="B34" s="5">
        <v>0</v>
      </c>
      <c r="C34">
        <f t="shared" si="0"/>
        <v>2</v>
      </c>
    </row>
    <row r="35" spans="1:3" x14ac:dyDescent="0.35">
      <c r="A35" s="6">
        <v>44595</v>
      </c>
      <c r="B35" s="7">
        <v>0</v>
      </c>
      <c r="C35">
        <f t="shared" si="0"/>
        <v>2</v>
      </c>
    </row>
    <row r="36" spans="1:3" x14ac:dyDescent="0.35">
      <c r="A36" s="4">
        <v>44596</v>
      </c>
      <c r="B36" s="5">
        <v>0</v>
      </c>
      <c r="C36">
        <f t="shared" si="0"/>
        <v>2</v>
      </c>
    </row>
    <row r="37" spans="1:3" x14ac:dyDescent="0.35">
      <c r="A37" s="6">
        <v>44597</v>
      </c>
      <c r="B37" s="7">
        <v>97</v>
      </c>
      <c r="C37">
        <f t="shared" si="0"/>
        <v>2</v>
      </c>
    </row>
    <row r="38" spans="1:3" x14ac:dyDescent="0.35">
      <c r="A38" s="4">
        <v>44598</v>
      </c>
      <c r="B38" s="5">
        <v>0</v>
      </c>
      <c r="C38">
        <f t="shared" si="0"/>
        <v>2</v>
      </c>
    </row>
    <row r="39" spans="1:3" x14ac:dyDescent="0.35">
      <c r="A39" s="6">
        <v>44599</v>
      </c>
      <c r="B39" s="7">
        <v>99</v>
      </c>
      <c r="C39">
        <f t="shared" si="0"/>
        <v>2</v>
      </c>
    </row>
    <row r="40" spans="1:3" x14ac:dyDescent="0.35">
      <c r="A40" s="4">
        <v>44600</v>
      </c>
      <c r="B40" s="5">
        <v>0</v>
      </c>
      <c r="C40">
        <f t="shared" si="0"/>
        <v>2</v>
      </c>
    </row>
    <row r="41" spans="1:3" x14ac:dyDescent="0.35">
      <c r="A41" s="6">
        <v>44601</v>
      </c>
      <c r="B41" s="7">
        <v>0</v>
      </c>
      <c r="C41">
        <f t="shared" si="0"/>
        <v>2</v>
      </c>
    </row>
    <row r="42" spans="1:3" x14ac:dyDescent="0.35">
      <c r="A42" s="4">
        <v>44602</v>
      </c>
      <c r="B42" s="5">
        <v>0</v>
      </c>
      <c r="C42">
        <f t="shared" si="0"/>
        <v>2</v>
      </c>
    </row>
    <row r="43" spans="1:3" x14ac:dyDescent="0.35">
      <c r="A43" s="6">
        <v>44603</v>
      </c>
      <c r="B43" s="7">
        <v>97</v>
      </c>
      <c r="C43">
        <f t="shared" si="0"/>
        <v>2</v>
      </c>
    </row>
    <row r="44" spans="1:3" x14ac:dyDescent="0.35">
      <c r="A44" s="4">
        <v>44604</v>
      </c>
      <c r="B44" s="5">
        <v>83</v>
      </c>
      <c r="C44">
        <f t="shared" si="0"/>
        <v>2</v>
      </c>
    </row>
    <row r="45" spans="1:3" x14ac:dyDescent="0.35">
      <c r="A45" s="6">
        <v>44605</v>
      </c>
      <c r="B45" s="7">
        <v>77</v>
      </c>
      <c r="C45">
        <f t="shared" si="0"/>
        <v>2</v>
      </c>
    </row>
    <row r="46" spans="1:3" x14ac:dyDescent="0.35">
      <c r="A46" s="4">
        <v>44606</v>
      </c>
      <c r="B46" s="5">
        <v>195</v>
      </c>
      <c r="C46">
        <f t="shared" si="0"/>
        <v>2</v>
      </c>
    </row>
    <row r="47" spans="1:3" x14ac:dyDescent="0.35">
      <c r="A47" s="6">
        <v>44607</v>
      </c>
      <c r="B47" s="7">
        <v>145</v>
      </c>
      <c r="C47">
        <f t="shared" si="0"/>
        <v>2</v>
      </c>
    </row>
    <row r="48" spans="1:3" x14ac:dyDescent="0.35">
      <c r="A48" s="4">
        <v>44608</v>
      </c>
      <c r="B48" s="5">
        <v>90</v>
      </c>
      <c r="C48">
        <f t="shared" si="0"/>
        <v>2</v>
      </c>
    </row>
    <row r="49" spans="1:3" x14ac:dyDescent="0.35">
      <c r="A49" s="6">
        <v>44609</v>
      </c>
      <c r="B49" s="7">
        <v>0</v>
      </c>
      <c r="C49">
        <f t="shared" si="0"/>
        <v>2</v>
      </c>
    </row>
    <row r="50" spans="1:3" x14ac:dyDescent="0.35">
      <c r="A50" s="4">
        <v>44610</v>
      </c>
      <c r="B50" s="5">
        <v>0</v>
      </c>
      <c r="C50">
        <f t="shared" si="0"/>
        <v>2</v>
      </c>
    </row>
    <row r="51" spans="1:3" x14ac:dyDescent="0.35">
      <c r="A51" s="6">
        <v>44611</v>
      </c>
      <c r="B51" s="7">
        <v>93</v>
      </c>
      <c r="C51">
        <f t="shared" si="0"/>
        <v>2</v>
      </c>
    </row>
    <row r="52" spans="1:3" x14ac:dyDescent="0.35">
      <c r="A52" s="4">
        <v>44612</v>
      </c>
      <c r="B52" s="5">
        <v>0</v>
      </c>
      <c r="C52">
        <f t="shared" si="0"/>
        <v>2</v>
      </c>
    </row>
    <row r="53" spans="1:3" x14ac:dyDescent="0.35">
      <c r="A53" s="6">
        <v>44613</v>
      </c>
      <c r="B53" s="7">
        <v>0</v>
      </c>
      <c r="C53">
        <f t="shared" si="0"/>
        <v>2</v>
      </c>
    </row>
    <row r="54" spans="1:3" x14ac:dyDescent="0.35">
      <c r="A54" s="4">
        <v>44614</v>
      </c>
      <c r="B54" s="5">
        <v>93</v>
      </c>
      <c r="C54">
        <f t="shared" si="0"/>
        <v>2</v>
      </c>
    </row>
    <row r="55" spans="1:3" x14ac:dyDescent="0.35">
      <c r="A55" s="6">
        <v>44615</v>
      </c>
      <c r="B55" s="7">
        <v>0</v>
      </c>
      <c r="C55">
        <f t="shared" si="0"/>
        <v>2</v>
      </c>
    </row>
    <row r="56" spans="1:3" x14ac:dyDescent="0.35">
      <c r="A56" s="4">
        <v>44616</v>
      </c>
      <c r="B56" s="5">
        <v>0</v>
      </c>
      <c r="C56">
        <f t="shared" si="0"/>
        <v>2</v>
      </c>
    </row>
    <row r="57" spans="1:3" x14ac:dyDescent="0.35">
      <c r="A57" s="6">
        <v>44617</v>
      </c>
      <c r="B57" s="7">
        <v>0</v>
      </c>
      <c r="C57">
        <f t="shared" si="0"/>
        <v>2</v>
      </c>
    </row>
    <row r="58" spans="1:3" x14ac:dyDescent="0.35">
      <c r="A58" s="4">
        <v>44618</v>
      </c>
      <c r="B58" s="5">
        <v>228</v>
      </c>
      <c r="C58">
        <f t="shared" si="0"/>
        <v>2</v>
      </c>
    </row>
    <row r="59" spans="1:3" x14ac:dyDescent="0.35">
      <c r="A59" s="6">
        <v>44619</v>
      </c>
      <c r="B59" s="7">
        <v>0</v>
      </c>
      <c r="C59">
        <f t="shared" si="0"/>
        <v>2</v>
      </c>
    </row>
    <row r="60" spans="1:3" x14ac:dyDescent="0.35">
      <c r="A60" s="4">
        <v>44620</v>
      </c>
      <c r="B60" s="5">
        <v>84</v>
      </c>
      <c r="C60">
        <f t="shared" si="0"/>
        <v>2</v>
      </c>
    </row>
    <row r="61" spans="1:3" x14ac:dyDescent="0.35">
      <c r="A61" s="6">
        <v>44621</v>
      </c>
      <c r="B61" s="7">
        <v>90</v>
      </c>
      <c r="C61">
        <f t="shared" si="0"/>
        <v>3</v>
      </c>
    </row>
    <row r="62" spans="1:3" x14ac:dyDescent="0.35">
      <c r="A62" s="4">
        <v>44622</v>
      </c>
      <c r="B62" s="5">
        <v>0</v>
      </c>
      <c r="C62">
        <f t="shared" si="0"/>
        <v>3</v>
      </c>
    </row>
    <row r="63" spans="1:3" x14ac:dyDescent="0.35">
      <c r="A63" s="6">
        <v>44623</v>
      </c>
      <c r="B63" s="7">
        <v>93</v>
      </c>
      <c r="C63">
        <f t="shared" si="0"/>
        <v>3</v>
      </c>
    </row>
    <row r="64" spans="1:3" x14ac:dyDescent="0.35">
      <c r="A64" s="4">
        <v>44624</v>
      </c>
      <c r="B64" s="5">
        <v>1189</v>
      </c>
      <c r="C64">
        <f t="shared" si="0"/>
        <v>3</v>
      </c>
    </row>
    <row r="65" spans="1:3" x14ac:dyDescent="0.35">
      <c r="A65" s="6">
        <v>44625</v>
      </c>
      <c r="B65" s="7">
        <v>139</v>
      </c>
      <c r="C65">
        <f t="shared" si="0"/>
        <v>3</v>
      </c>
    </row>
    <row r="66" spans="1:3" x14ac:dyDescent="0.35">
      <c r="A66" s="4">
        <v>44626</v>
      </c>
      <c r="B66" s="5">
        <v>0</v>
      </c>
      <c r="C66">
        <f t="shared" si="0"/>
        <v>3</v>
      </c>
    </row>
    <row r="67" spans="1:3" x14ac:dyDescent="0.35">
      <c r="A67" s="6">
        <v>44627</v>
      </c>
      <c r="B67" s="7">
        <v>0</v>
      </c>
      <c r="C67">
        <f t="shared" ref="C67:C130" si="1">MONTH(A67)</f>
        <v>3</v>
      </c>
    </row>
    <row r="68" spans="1:3" x14ac:dyDescent="0.35">
      <c r="A68" s="4">
        <v>44628</v>
      </c>
      <c r="B68" s="5">
        <v>75</v>
      </c>
      <c r="C68">
        <f t="shared" si="1"/>
        <v>3</v>
      </c>
    </row>
    <row r="69" spans="1:3" x14ac:dyDescent="0.35">
      <c r="A69" s="6">
        <v>44629</v>
      </c>
      <c r="B69" s="7">
        <v>612</v>
      </c>
      <c r="C69">
        <f t="shared" si="1"/>
        <v>3</v>
      </c>
    </row>
    <row r="70" spans="1:3" x14ac:dyDescent="0.35">
      <c r="A70" s="4">
        <v>44630</v>
      </c>
      <c r="B70" s="5">
        <v>0</v>
      </c>
      <c r="C70">
        <f t="shared" si="1"/>
        <v>3</v>
      </c>
    </row>
    <row r="71" spans="1:3" x14ac:dyDescent="0.35">
      <c r="A71" s="6">
        <v>44631</v>
      </c>
      <c r="B71" s="7">
        <v>137</v>
      </c>
      <c r="C71">
        <f t="shared" si="1"/>
        <v>3</v>
      </c>
    </row>
    <row r="72" spans="1:3" x14ac:dyDescent="0.35">
      <c r="A72" s="4">
        <v>44632</v>
      </c>
      <c r="B72" s="5">
        <v>122</v>
      </c>
      <c r="C72">
        <f t="shared" si="1"/>
        <v>3</v>
      </c>
    </row>
    <row r="73" spans="1:3" x14ac:dyDescent="0.35">
      <c r="A73" s="6">
        <v>44633</v>
      </c>
      <c r="B73" s="7">
        <v>0</v>
      </c>
      <c r="C73">
        <f t="shared" si="1"/>
        <v>3</v>
      </c>
    </row>
    <row r="74" spans="1:3" x14ac:dyDescent="0.35">
      <c r="A74" s="4">
        <v>44634</v>
      </c>
      <c r="B74" s="5">
        <v>0</v>
      </c>
      <c r="C74">
        <f t="shared" si="1"/>
        <v>3</v>
      </c>
    </row>
    <row r="75" spans="1:3" x14ac:dyDescent="0.35">
      <c r="A75" s="6">
        <v>44635</v>
      </c>
      <c r="B75" s="7">
        <v>88</v>
      </c>
      <c r="C75">
        <f t="shared" si="1"/>
        <v>3</v>
      </c>
    </row>
    <row r="76" spans="1:3" x14ac:dyDescent="0.35">
      <c r="A76" s="4">
        <v>44636</v>
      </c>
      <c r="B76" s="5">
        <v>112</v>
      </c>
      <c r="C76">
        <f t="shared" si="1"/>
        <v>3</v>
      </c>
    </row>
    <row r="77" spans="1:3" x14ac:dyDescent="0.35">
      <c r="A77" s="6">
        <v>44637</v>
      </c>
      <c r="B77" s="7">
        <v>82</v>
      </c>
      <c r="C77">
        <f t="shared" si="1"/>
        <v>3</v>
      </c>
    </row>
    <row r="78" spans="1:3" x14ac:dyDescent="0.35">
      <c r="A78" s="4">
        <v>44638</v>
      </c>
      <c r="B78" s="5">
        <v>174</v>
      </c>
      <c r="C78">
        <f t="shared" si="1"/>
        <v>3</v>
      </c>
    </row>
    <row r="79" spans="1:3" x14ac:dyDescent="0.35">
      <c r="A79" s="6">
        <v>44639</v>
      </c>
      <c r="B79" s="7">
        <v>279</v>
      </c>
      <c r="C79">
        <f t="shared" si="1"/>
        <v>3</v>
      </c>
    </row>
    <row r="80" spans="1:3" x14ac:dyDescent="0.35">
      <c r="A80" s="4">
        <v>44640</v>
      </c>
      <c r="B80" s="5">
        <v>125</v>
      </c>
      <c r="C80">
        <f t="shared" si="1"/>
        <v>3</v>
      </c>
    </row>
    <row r="81" spans="1:3" x14ac:dyDescent="0.35">
      <c r="A81" s="6">
        <v>44641</v>
      </c>
      <c r="B81" s="7">
        <v>123</v>
      </c>
      <c r="C81">
        <f t="shared" si="1"/>
        <v>3</v>
      </c>
    </row>
    <row r="82" spans="1:3" x14ac:dyDescent="0.35">
      <c r="A82" s="4">
        <v>44642</v>
      </c>
      <c r="B82" s="5">
        <v>108</v>
      </c>
      <c r="C82">
        <f t="shared" si="1"/>
        <v>3</v>
      </c>
    </row>
    <row r="83" spans="1:3" x14ac:dyDescent="0.35">
      <c r="A83" s="6">
        <v>44643</v>
      </c>
      <c r="B83" s="7">
        <v>0</v>
      </c>
      <c r="C83">
        <f t="shared" si="1"/>
        <v>3</v>
      </c>
    </row>
    <row r="84" spans="1:3" x14ac:dyDescent="0.35">
      <c r="A84" s="4">
        <v>44644</v>
      </c>
      <c r="B84" s="5">
        <v>0</v>
      </c>
      <c r="C84">
        <f t="shared" si="1"/>
        <v>3</v>
      </c>
    </row>
    <row r="85" spans="1:3" x14ac:dyDescent="0.35">
      <c r="A85" s="6">
        <v>44645</v>
      </c>
      <c r="B85" s="7">
        <v>0</v>
      </c>
      <c r="C85">
        <f t="shared" si="1"/>
        <v>3</v>
      </c>
    </row>
    <row r="86" spans="1:3" x14ac:dyDescent="0.35">
      <c r="A86" s="4">
        <v>44646</v>
      </c>
      <c r="B86" s="5">
        <v>0</v>
      </c>
      <c r="C86">
        <f t="shared" si="1"/>
        <v>3</v>
      </c>
    </row>
    <row r="87" spans="1:3" x14ac:dyDescent="0.35">
      <c r="A87" s="6">
        <v>44647</v>
      </c>
      <c r="B87" s="7">
        <v>0</v>
      </c>
      <c r="C87">
        <f t="shared" si="1"/>
        <v>3</v>
      </c>
    </row>
    <row r="88" spans="1:3" x14ac:dyDescent="0.35">
      <c r="A88" s="4">
        <v>44648</v>
      </c>
      <c r="B88" s="5">
        <v>0</v>
      </c>
      <c r="C88">
        <f t="shared" si="1"/>
        <v>3</v>
      </c>
    </row>
    <row r="89" spans="1:3" x14ac:dyDescent="0.35">
      <c r="A89" s="6">
        <v>44649</v>
      </c>
      <c r="B89" s="7">
        <v>0</v>
      </c>
      <c r="C89">
        <f t="shared" si="1"/>
        <v>3</v>
      </c>
    </row>
    <row r="90" spans="1:3" x14ac:dyDescent="0.35">
      <c r="A90" s="4">
        <v>44650</v>
      </c>
      <c r="B90" s="5">
        <v>0</v>
      </c>
      <c r="C90">
        <f t="shared" si="1"/>
        <v>3</v>
      </c>
    </row>
    <row r="91" spans="1:3" x14ac:dyDescent="0.35">
      <c r="A91" s="6">
        <v>44651</v>
      </c>
      <c r="B91" s="7">
        <v>207</v>
      </c>
      <c r="C91">
        <f t="shared" si="1"/>
        <v>3</v>
      </c>
    </row>
    <row r="92" spans="1:3" x14ac:dyDescent="0.35">
      <c r="A92" s="4">
        <v>44652</v>
      </c>
      <c r="B92" s="5">
        <v>1299</v>
      </c>
      <c r="C92">
        <f t="shared" si="1"/>
        <v>4</v>
      </c>
    </row>
    <row r="93" spans="1:3" x14ac:dyDescent="0.35">
      <c r="A93" s="6">
        <v>44653</v>
      </c>
      <c r="B93" s="7">
        <v>218</v>
      </c>
      <c r="C93">
        <f t="shared" si="1"/>
        <v>4</v>
      </c>
    </row>
    <row r="94" spans="1:3" x14ac:dyDescent="0.35">
      <c r="A94" s="4">
        <v>44654</v>
      </c>
      <c r="B94" s="5">
        <v>0</v>
      </c>
      <c r="C94">
        <f t="shared" si="1"/>
        <v>4</v>
      </c>
    </row>
    <row r="95" spans="1:3" x14ac:dyDescent="0.35">
      <c r="A95" s="6">
        <v>44655</v>
      </c>
      <c r="B95" s="7">
        <v>0</v>
      </c>
      <c r="C95">
        <f t="shared" si="1"/>
        <v>4</v>
      </c>
    </row>
    <row r="96" spans="1:3" x14ac:dyDescent="0.35">
      <c r="A96" s="4">
        <v>44656</v>
      </c>
      <c r="B96" s="5">
        <v>0</v>
      </c>
      <c r="C96">
        <f t="shared" si="1"/>
        <v>4</v>
      </c>
    </row>
    <row r="97" spans="1:3" x14ac:dyDescent="0.35">
      <c r="A97" s="6">
        <v>44657</v>
      </c>
      <c r="B97" s="7">
        <v>220</v>
      </c>
      <c r="C97">
        <f t="shared" si="1"/>
        <v>4</v>
      </c>
    </row>
    <row r="98" spans="1:3" x14ac:dyDescent="0.35">
      <c r="A98" s="4">
        <v>44658</v>
      </c>
      <c r="B98" s="5">
        <v>72</v>
      </c>
      <c r="C98">
        <f t="shared" si="1"/>
        <v>4</v>
      </c>
    </row>
    <row r="99" spans="1:3" x14ac:dyDescent="0.35">
      <c r="A99" s="6">
        <v>44659</v>
      </c>
      <c r="B99" s="7">
        <v>0</v>
      </c>
      <c r="C99">
        <f t="shared" si="1"/>
        <v>4</v>
      </c>
    </row>
    <row r="100" spans="1:3" x14ac:dyDescent="0.35">
      <c r="A100" s="4">
        <v>44660</v>
      </c>
      <c r="B100" s="5">
        <v>0</v>
      </c>
      <c r="C100">
        <f t="shared" si="1"/>
        <v>4</v>
      </c>
    </row>
    <row r="101" spans="1:3" x14ac:dyDescent="0.35">
      <c r="A101" s="6">
        <v>44661</v>
      </c>
      <c r="B101" s="7">
        <v>0</v>
      </c>
      <c r="C101">
        <f t="shared" si="1"/>
        <v>4</v>
      </c>
    </row>
    <row r="102" spans="1:3" x14ac:dyDescent="0.35">
      <c r="A102" s="4">
        <v>44662</v>
      </c>
      <c r="B102" s="5">
        <v>0</v>
      </c>
      <c r="C102">
        <f t="shared" si="1"/>
        <v>4</v>
      </c>
    </row>
    <row r="103" spans="1:3" x14ac:dyDescent="0.35">
      <c r="A103" s="6">
        <v>44663</v>
      </c>
      <c r="B103" s="7">
        <v>0</v>
      </c>
      <c r="C103">
        <f t="shared" si="1"/>
        <v>4</v>
      </c>
    </row>
    <row r="104" spans="1:3" x14ac:dyDescent="0.35">
      <c r="A104" s="4">
        <v>44664</v>
      </c>
      <c r="B104" s="5">
        <v>205</v>
      </c>
      <c r="C104">
        <f t="shared" si="1"/>
        <v>4</v>
      </c>
    </row>
    <row r="105" spans="1:3" x14ac:dyDescent="0.35">
      <c r="A105" s="6">
        <v>44665</v>
      </c>
      <c r="B105" s="7">
        <v>0</v>
      </c>
      <c r="C105">
        <f t="shared" si="1"/>
        <v>4</v>
      </c>
    </row>
    <row r="106" spans="1:3" x14ac:dyDescent="0.35">
      <c r="A106" s="4">
        <v>44666</v>
      </c>
      <c r="B106" s="5">
        <v>436</v>
      </c>
      <c r="C106">
        <f t="shared" si="1"/>
        <v>4</v>
      </c>
    </row>
    <row r="107" spans="1:3" x14ac:dyDescent="0.35">
      <c r="A107" s="6">
        <v>44667</v>
      </c>
      <c r="B107" s="7">
        <v>622</v>
      </c>
      <c r="C107">
        <f t="shared" si="1"/>
        <v>4</v>
      </c>
    </row>
    <row r="108" spans="1:3" x14ac:dyDescent="0.35">
      <c r="A108" s="4">
        <v>44668</v>
      </c>
      <c r="B108" s="5">
        <v>34</v>
      </c>
      <c r="C108">
        <f t="shared" si="1"/>
        <v>4</v>
      </c>
    </row>
    <row r="109" spans="1:3" x14ac:dyDescent="0.35">
      <c r="A109" s="6">
        <v>44669</v>
      </c>
      <c r="B109" s="7">
        <v>0</v>
      </c>
      <c r="C109">
        <f t="shared" si="1"/>
        <v>4</v>
      </c>
    </row>
    <row r="110" spans="1:3" x14ac:dyDescent="0.35">
      <c r="A110" s="4">
        <v>44670</v>
      </c>
      <c r="B110" s="5">
        <v>0</v>
      </c>
      <c r="C110">
        <f t="shared" si="1"/>
        <v>4</v>
      </c>
    </row>
    <row r="111" spans="1:3" x14ac:dyDescent="0.35">
      <c r="A111" s="6">
        <v>44671</v>
      </c>
      <c r="B111" s="7">
        <v>0</v>
      </c>
      <c r="C111">
        <f t="shared" si="1"/>
        <v>4</v>
      </c>
    </row>
    <row r="112" spans="1:3" x14ac:dyDescent="0.35">
      <c r="A112" s="4">
        <v>44672</v>
      </c>
      <c r="B112" s="5">
        <v>0</v>
      </c>
      <c r="C112">
        <f t="shared" si="1"/>
        <v>4</v>
      </c>
    </row>
    <row r="113" spans="1:3" x14ac:dyDescent="0.35">
      <c r="A113" s="6">
        <v>44673</v>
      </c>
      <c r="B113" s="7">
        <v>0</v>
      </c>
      <c r="C113">
        <f t="shared" si="1"/>
        <v>4</v>
      </c>
    </row>
    <row r="114" spans="1:3" x14ac:dyDescent="0.35">
      <c r="A114" s="4">
        <v>44674</v>
      </c>
      <c r="B114" s="5">
        <v>0</v>
      </c>
      <c r="C114">
        <f t="shared" si="1"/>
        <v>4</v>
      </c>
    </row>
    <row r="115" spans="1:3" x14ac:dyDescent="0.35">
      <c r="A115" s="6">
        <v>44675</v>
      </c>
      <c r="B115" s="7">
        <v>0</v>
      </c>
      <c r="C115">
        <f t="shared" si="1"/>
        <v>4</v>
      </c>
    </row>
    <row r="116" spans="1:3" x14ac:dyDescent="0.35">
      <c r="A116" s="4">
        <v>44676</v>
      </c>
      <c r="B116" s="5">
        <v>0</v>
      </c>
      <c r="C116">
        <f t="shared" si="1"/>
        <v>4</v>
      </c>
    </row>
    <row r="117" spans="1:3" x14ac:dyDescent="0.35">
      <c r="A117" s="6">
        <v>44677</v>
      </c>
      <c r="B117" s="7">
        <v>0</v>
      </c>
      <c r="C117">
        <f t="shared" si="1"/>
        <v>4</v>
      </c>
    </row>
    <row r="118" spans="1:3" x14ac:dyDescent="0.35">
      <c r="A118" s="4">
        <v>44678</v>
      </c>
      <c r="B118" s="5">
        <v>0</v>
      </c>
      <c r="C118">
        <f t="shared" si="1"/>
        <v>4</v>
      </c>
    </row>
    <row r="119" spans="1:3" x14ac:dyDescent="0.35">
      <c r="A119" s="6">
        <v>44679</v>
      </c>
      <c r="B119" s="7">
        <v>36</v>
      </c>
      <c r="C119">
        <f t="shared" si="1"/>
        <v>4</v>
      </c>
    </row>
    <row r="120" spans="1:3" x14ac:dyDescent="0.35">
      <c r="A120" s="4">
        <v>44680</v>
      </c>
      <c r="B120" s="5">
        <v>542</v>
      </c>
      <c r="C120">
        <f t="shared" si="1"/>
        <v>4</v>
      </c>
    </row>
    <row r="121" spans="1:3" x14ac:dyDescent="0.35">
      <c r="A121" s="6">
        <v>44681</v>
      </c>
      <c r="B121" s="7">
        <v>529</v>
      </c>
      <c r="C121">
        <f t="shared" si="1"/>
        <v>4</v>
      </c>
    </row>
    <row r="122" spans="1:3" x14ac:dyDescent="0.35">
      <c r="A122" s="4">
        <v>44682</v>
      </c>
      <c r="B122" s="5">
        <v>890</v>
      </c>
      <c r="C122">
        <f t="shared" si="1"/>
        <v>5</v>
      </c>
    </row>
    <row r="123" spans="1:3" x14ac:dyDescent="0.35">
      <c r="A123" s="6">
        <v>44683</v>
      </c>
      <c r="B123" s="7">
        <v>609</v>
      </c>
      <c r="C123">
        <f t="shared" si="1"/>
        <v>5</v>
      </c>
    </row>
    <row r="124" spans="1:3" x14ac:dyDescent="0.35">
      <c r="A124" s="4">
        <v>44684</v>
      </c>
      <c r="B124" s="5">
        <v>79</v>
      </c>
      <c r="C124">
        <f t="shared" si="1"/>
        <v>5</v>
      </c>
    </row>
    <row r="125" spans="1:3" x14ac:dyDescent="0.35">
      <c r="A125" s="6">
        <v>44685</v>
      </c>
      <c r="B125" s="7">
        <v>0</v>
      </c>
      <c r="C125">
        <f t="shared" si="1"/>
        <v>5</v>
      </c>
    </row>
    <row r="126" spans="1:3" x14ac:dyDescent="0.35">
      <c r="A126" s="4">
        <v>44686</v>
      </c>
      <c r="B126" s="5">
        <v>0</v>
      </c>
      <c r="C126">
        <f t="shared" si="1"/>
        <v>5</v>
      </c>
    </row>
    <row r="127" spans="1:3" x14ac:dyDescent="0.35">
      <c r="A127" s="6">
        <v>44687</v>
      </c>
      <c r="B127" s="7">
        <v>0</v>
      </c>
      <c r="C127">
        <f t="shared" si="1"/>
        <v>5</v>
      </c>
    </row>
    <row r="128" spans="1:3" x14ac:dyDescent="0.35">
      <c r="A128" s="4">
        <v>44688</v>
      </c>
      <c r="B128" s="5">
        <v>0</v>
      </c>
      <c r="C128">
        <f t="shared" si="1"/>
        <v>5</v>
      </c>
    </row>
    <row r="129" spans="1:3" x14ac:dyDescent="0.35">
      <c r="A129" s="6">
        <v>44689</v>
      </c>
      <c r="B129" s="7">
        <v>0</v>
      </c>
      <c r="C129">
        <f t="shared" si="1"/>
        <v>5</v>
      </c>
    </row>
    <row r="130" spans="1:3" x14ac:dyDescent="0.35">
      <c r="A130" s="4">
        <v>44690</v>
      </c>
      <c r="B130" s="5">
        <v>0</v>
      </c>
      <c r="C130">
        <f t="shared" si="1"/>
        <v>5</v>
      </c>
    </row>
    <row r="131" spans="1:3" x14ac:dyDescent="0.35">
      <c r="A131" s="6">
        <v>44691</v>
      </c>
      <c r="B131" s="7">
        <v>467</v>
      </c>
      <c r="C131">
        <f t="shared" ref="C131:C194" si="2">MONTH(A131)</f>
        <v>5</v>
      </c>
    </row>
    <row r="132" spans="1:3" x14ac:dyDescent="0.35">
      <c r="A132" s="4">
        <v>44692</v>
      </c>
      <c r="B132" s="5">
        <v>234</v>
      </c>
      <c r="C132">
        <f t="shared" si="2"/>
        <v>5</v>
      </c>
    </row>
    <row r="133" spans="1:3" x14ac:dyDescent="0.35">
      <c r="A133" s="6">
        <v>44693</v>
      </c>
      <c r="B133" s="7">
        <v>0</v>
      </c>
      <c r="C133">
        <f t="shared" si="2"/>
        <v>5</v>
      </c>
    </row>
    <row r="134" spans="1:3" x14ac:dyDescent="0.35">
      <c r="A134" s="4">
        <v>44694</v>
      </c>
      <c r="B134" s="5">
        <v>0</v>
      </c>
      <c r="C134">
        <f t="shared" si="2"/>
        <v>5</v>
      </c>
    </row>
    <row r="135" spans="1:3" x14ac:dyDescent="0.35">
      <c r="A135" s="6">
        <v>44695</v>
      </c>
      <c r="B135" s="7">
        <v>0</v>
      </c>
      <c r="C135">
        <f t="shared" si="2"/>
        <v>5</v>
      </c>
    </row>
    <row r="136" spans="1:3" x14ac:dyDescent="0.35">
      <c r="A136" s="4">
        <v>44696</v>
      </c>
      <c r="B136" s="5">
        <v>0</v>
      </c>
      <c r="C136">
        <f t="shared" si="2"/>
        <v>5</v>
      </c>
    </row>
    <row r="137" spans="1:3" x14ac:dyDescent="0.35">
      <c r="A137" s="6">
        <v>44697</v>
      </c>
      <c r="B137" s="7">
        <v>65</v>
      </c>
      <c r="C137">
        <f t="shared" si="2"/>
        <v>5</v>
      </c>
    </row>
    <row r="138" spans="1:3" x14ac:dyDescent="0.35">
      <c r="A138" s="4">
        <v>44698</v>
      </c>
      <c r="B138" s="5">
        <v>781</v>
      </c>
      <c r="C138">
        <f t="shared" si="2"/>
        <v>5</v>
      </c>
    </row>
    <row r="139" spans="1:3" x14ac:dyDescent="0.35">
      <c r="A139" s="6">
        <v>44699</v>
      </c>
      <c r="B139" s="7">
        <v>778</v>
      </c>
      <c r="C139">
        <f t="shared" si="2"/>
        <v>5</v>
      </c>
    </row>
    <row r="140" spans="1:3" x14ac:dyDescent="0.35">
      <c r="A140" s="4">
        <v>44700</v>
      </c>
      <c r="B140" s="5">
        <v>32</v>
      </c>
      <c r="C140">
        <f t="shared" si="2"/>
        <v>5</v>
      </c>
    </row>
    <row r="141" spans="1:3" x14ac:dyDescent="0.35">
      <c r="A141" s="6">
        <v>44701</v>
      </c>
      <c r="B141" s="7">
        <v>0</v>
      </c>
      <c r="C141">
        <f t="shared" si="2"/>
        <v>5</v>
      </c>
    </row>
    <row r="142" spans="1:3" x14ac:dyDescent="0.35">
      <c r="A142" s="4">
        <v>44702</v>
      </c>
      <c r="B142" s="5">
        <v>0</v>
      </c>
      <c r="C142">
        <f t="shared" si="2"/>
        <v>5</v>
      </c>
    </row>
    <row r="143" spans="1:3" x14ac:dyDescent="0.35">
      <c r="A143" s="6">
        <v>44703</v>
      </c>
      <c r="B143" s="7">
        <v>0</v>
      </c>
      <c r="C143">
        <f t="shared" si="2"/>
        <v>5</v>
      </c>
    </row>
    <row r="144" spans="1:3" x14ac:dyDescent="0.35">
      <c r="A144" s="4">
        <v>44704</v>
      </c>
      <c r="B144" s="5">
        <v>0</v>
      </c>
      <c r="C144">
        <f t="shared" si="2"/>
        <v>5</v>
      </c>
    </row>
    <row r="145" spans="1:3" x14ac:dyDescent="0.35">
      <c r="A145" s="6">
        <v>44705</v>
      </c>
      <c r="B145" s="7">
        <v>0</v>
      </c>
      <c r="C145">
        <f t="shared" si="2"/>
        <v>5</v>
      </c>
    </row>
    <row r="146" spans="1:3" x14ac:dyDescent="0.35">
      <c r="A146" s="4">
        <v>44706</v>
      </c>
      <c r="B146" s="5">
        <v>0</v>
      </c>
      <c r="C146">
        <f t="shared" si="2"/>
        <v>5</v>
      </c>
    </row>
    <row r="147" spans="1:3" x14ac:dyDescent="0.35">
      <c r="A147" s="6">
        <v>44707</v>
      </c>
      <c r="B147" s="7">
        <v>0</v>
      </c>
      <c r="C147">
        <f t="shared" si="2"/>
        <v>5</v>
      </c>
    </row>
    <row r="148" spans="1:3" x14ac:dyDescent="0.35">
      <c r="A148" s="4">
        <v>44708</v>
      </c>
      <c r="B148" s="5">
        <v>0</v>
      </c>
      <c r="C148">
        <f t="shared" si="2"/>
        <v>5</v>
      </c>
    </row>
    <row r="149" spans="1:3" x14ac:dyDescent="0.35">
      <c r="A149" s="6">
        <v>44709</v>
      </c>
      <c r="B149" s="7">
        <v>0</v>
      </c>
      <c r="C149">
        <f t="shared" si="2"/>
        <v>5</v>
      </c>
    </row>
    <row r="150" spans="1:3" x14ac:dyDescent="0.35">
      <c r="A150" s="4">
        <v>44710</v>
      </c>
      <c r="B150" s="5">
        <v>0</v>
      </c>
      <c r="C150">
        <f t="shared" si="2"/>
        <v>5</v>
      </c>
    </row>
    <row r="151" spans="1:3" x14ac:dyDescent="0.35">
      <c r="A151" s="6">
        <v>44711</v>
      </c>
      <c r="B151" s="7">
        <v>0</v>
      </c>
      <c r="C151">
        <f t="shared" si="2"/>
        <v>5</v>
      </c>
    </row>
    <row r="152" spans="1:3" x14ac:dyDescent="0.35">
      <c r="A152" s="4">
        <v>44712</v>
      </c>
      <c r="B152" s="5">
        <v>0</v>
      </c>
      <c r="C152">
        <f t="shared" si="2"/>
        <v>5</v>
      </c>
    </row>
    <row r="153" spans="1:3" x14ac:dyDescent="0.35">
      <c r="A153" s="6">
        <v>44713</v>
      </c>
      <c r="B153" s="7">
        <v>0</v>
      </c>
      <c r="C153">
        <f t="shared" si="2"/>
        <v>6</v>
      </c>
    </row>
    <row r="154" spans="1:3" x14ac:dyDescent="0.35">
      <c r="A154" s="4">
        <v>44714</v>
      </c>
      <c r="B154" s="5">
        <v>18</v>
      </c>
      <c r="C154">
        <f t="shared" si="2"/>
        <v>6</v>
      </c>
    </row>
    <row r="155" spans="1:3" x14ac:dyDescent="0.35">
      <c r="A155" s="6">
        <v>44715</v>
      </c>
      <c r="B155" s="7">
        <v>525</v>
      </c>
      <c r="C155">
        <f t="shared" si="2"/>
        <v>6</v>
      </c>
    </row>
    <row r="156" spans="1:3" x14ac:dyDescent="0.35">
      <c r="A156" s="4">
        <v>44716</v>
      </c>
      <c r="B156" s="5">
        <v>697</v>
      </c>
      <c r="C156">
        <f t="shared" si="2"/>
        <v>6</v>
      </c>
    </row>
    <row r="157" spans="1:3" x14ac:dyDescent="0.35">
      <c r="A157" s="6">
        <v>44717</v>
      </c>
      <c r="B157" s="7">
        <v>786</v>
      </c>
      <c r="C157">
        <f t="shared" si="2"/>
        <v>6</v>
      </c>
    </row>
    <row r="158" spans="1:3" x14ac:dyDescent="0.35">
      <c r="A158" s="4">
        <v>44718</v>
      </c>
      <c r="B158" s="5">
        <v>792</v>
      </c>
      <c r="C158">
        <f t="shared" si="2"/>
        <v>6</v>
      </c>
    </row>
    <row r="159" spans="1:3" x14ac:dyDescent="0.35">
      <c r="A159" s="6">
        <v>44719</v>
      </c>
      <c r="B159" s="7">
        <v>0</v>
      </c>
      <c r="C159">
        <f t="shared" si="2"/>
        <v>6</v>
      </c>
    </row>
    <row r="160" spans="1:3" x14ac:dyDescent="0.35">
      <c r="A160" s="4">
        <v>44720</v>
      </c>
      <c r="B160" s="5">
        <v>0</v>
      </c>
      <c r="C160">
        <f t="shared" si="2"/>
        <v>6</v>
      </c>
    </row>
    <row r="161" spans="1:3" x14ac:dyDescent="0.35">
      <c r="A161" s="6">
        <v>44721</v>
      </c>
      <c r="B161" s="7">
        <v>0</v>
      </c>
      <c r="C161">
        <f t="shared" si="2"/>
        <v>6</v>
      </c>
    </row>
    <row r="162" spans="1:3" x14ac:dyDescent="0.35">
      <c r="A162" s="4">
        <v>44722</v>
      </c>
      <c r="B162" s="5">
        <v>0</v>
      </c>
      <c r="C162">
        <f t="shared" si="2"/>
        <v>6</v>
      </c>
    </row>
    <row r="163" spans="1:3" x14ac:dyDescent="0.35">
      <c r="A163" s="6">
        <v>44723</v>
      </c>
      <c r="B163" s="7">
        <v>0</v>
      </c>
      <c r="C163">
        <f t="shared" si="2"/>
        <v>6</v>
      </c>
    </row>
    <row r="164" spans="1:3" x14ac:dyDescent="0.35">
      <c r="A164" s="4">
        <v>44724</v>
      </c>
      <c r="B164" s="5">
        <v>0</v>
      </c>
      <c r="C164">
        <f t="shared" si="2"/>
        <v>6</v>
      </c>
    </row>
    <row r="165" spans="1:3" x14ac:dyDescent="0.35">
      <c r="A165" s="6">
        <v>44725</v>
      </c>
      <c r="B165" s="7">
        <v>0</v>
      </c>
      <c r="C165">
        <f t="shared" si="2"/>
        <v>6</v>
      </c>
    </row>
    <row r="166" spans="1:3" x14ac:dyDescent="0.35">
      <c r="A166" s="4">
        <v>44726</v>
      </c>
      <c r="B166" s="5">
        <v>0</v>
      </c>
      <c r="C166">
        <f t="shared" si="2"/>
        <v>6</v>
      </c>
    </row>
    <row r="167" spans="1:3" x14ac:dyDescent="0.35">
      <c r="A167" s="6">
        <v>44727</v>
      </c>
      <c r="B167" s="7">
        <v>0</v>
      </c>
      <c r="C167">
        <f t="shared" si="2"/>
        <v>6</v>
      </c>
    </row>
    <row r="168" spans="1:3" x14ac:dyDescent="0.35">
      <c r="A168" s="4">
        <v>44728</v>
      </c>
      <c r="B168" s="5">
        <v>0</v>
      </c>
      <c r="C168">
        <f t="shared" si="2"/>
        <v>6</v>
      </c>
    </row>
    <row r="169" spans="1:3" x14ac:dyDescent="0.35">
      <c r="A169" s="6">
        <v>44729</v>
      </c>
      <c r="B169" s="7">
        <v>998</v>
      </c>
      <c r="C169">
        <f t="shared" si="2"/>
        <v>6</v>
      </c>
    </row>
    <row r="170" spans="1:3" x14ac:dyDescent="0.35">
      <c r="A170" s="4">
        <v>44730</v>
      </c>
      <c r="B170" s="5">
        <v>0</v>
      </c>
      <c r="C170">
        <f t="shared" si="2"/>
        <v>6</v>
      </c>
    </row>
    <row r="171" spans="1:3" x14ac:dyDescent="0.35">
      <c r="A171" s="6">
        <v>44731</v>
      </c>
      <c r="B171" s="7">
        <v>0</v>
      </c>
      <c r="C171">
        <f t="shared" si="2"/>
        <v>6</v>
      </c>
    </row>
    <row r="172" spans="1:3" x14ac:dyDescent="0.35">
      <c r="A172" s="4">
        <v>44732</v>
      </c>
      <c r="B172" s="5">
        <v>0</v>
      </c>
      <c r="C172">
        <f t="shared" si="2"/>
        <v>6</v>
      </c>
    </row>
    <row r="173" spans="1:3" x14ac:dyDescent="0.35">
      <c r="A173" s="6">
        <v>44733</v>
      </c>
      <c r="B173" s="7">
        <v>0</v>
      </c>
      <c r="C173">
        <f t="shared" si="2"/>
        <v>6</v>
      </c>
    </row>
    <row r="174" spans="1:3" x14ac:dyDescent="0.35">
      <c r="A174" s="4">
        <v>44734</v>
      </c>
      <c r="B174" s="5">
        <v>0</v>
      </c>
      <c r="C174">
        <f t="shared" si="2"/>
        <v>6</v>
      </c>
    </row>
    <row r="175" spans="1:3" x14ac:dyDescent="0.35">
      <c r="A175" s="6">
        <v>44735</v>
      </c>
      <c r="B175" s="7">
        <v>0</v>
      </c>
      <c r="C175">
        <f t="shared" si="2"/>
        <v>6</v>
      </c>
    </row>
    <row r="176" spans="1:3" x14ac:dyDescent="0.35">
      <c r="A176" s="4">
        <v>44736</v>
      </c>
      <c r="B176" s="5">
        <v>0</v>
      </c>
      <c r="C176">
        <f t="shared" si="2"/>
        <v>6</v>
      </c>
    </row>
    <row r="177" spans="1:3" x14ac:dyDescent="0.35">
      <c r="A177" s="6">
        <v>44737</v>
      </c>
      <c r="B177" s="7">
        <v>0</v>
      </c>
      <c r="C177">
        <f t="shared" si="2"/>
        <v>6</v>
      </c>
    </row>
    <row r="178" spans="1:3" x14ac:dyDescent="0.35">
      <c r="A178" s="4">
        <v>44738</v>
      </c>
      <c r="B178" s="5">
        <v>540</v>
      </c>
      <c r="C178">
        <f t="shared" si="2"/>
        <v>6</v>
      </c>
    </row>
    <row r="179" spans="1:3" x14ac:dyDescent="0.35">
      <c r="A179" s="6">
        <v>44739</v>
      </c>
      <c r="B179" s="7">
        <v>607</v>
      </c>
      <c r="C179">
        <f t="shared" si="2"/>
        <v>6</v>
      </c>
    </row>
    <row r="180" spans="1:3" x14ac:dyDescent="0.35">
      <c r="A180" s="4">
        <v>44740</v>
      </c>
      <c r="B180" s="5">
        <v>603</v>
      </c>
      <c r="C180">
        <f t="shared" si="2"/>
        <v>6</v>
      </c>
    </row>
    <row r="181" spans="1:3" x14ac:dyDescent="0.35">
      <c r="A181" s="6">
        <v>44741</v>
      </c>
      <c r="B181" s="7">
        <v>0</v>
      </c>
      <c r="C181">
        <f t="shared" si="2"/>
        <v>6</v>
      </c>
    </row>
    <row r="182" spans="1:3" x14ac:dyDescent="0.35">
      <c r="A182" s="4">
        <v>44742</v>
      </c>
      <c r="B182" s="5">
        <v>0</v>
      </c>
      <c r="C182">
        <f t="shared" si="2"/>
        <v>6</v>
      </c>
    </row>
    <row r="183" spans="1:3" x14ac:dyDescent="0.35">
      <c r="A183" s="6">
        <v>44743</v>
      </c>
      <c r="B183" s="7">
        <v>0</v>
      </c>
      <c r="C183">
        <f t="shared" si="2"/>
        <v>7</v>
      </c>
    </row>
    <row r="184" spans="1:3" x14ac:dyDescent="0.35">
      <c r="A184" s="4">
        <v>44744</v>
      </c>
      <c r="B184" s="5">
        <v>0</v>
      </c>
      <c r="C184">
        <f t="shared" si="2"/>
        <v>7</v>
      </c>
    </row>
    <row r="185" spans="1:3" x14ac:dyDescent="0.35">
      <c r="A185" s="6">
        <v>44745</v>
      </c>
      <c r="B185" s="7">
        <v>0</v>
      </c>
      <c r="C185">
        <f t="shared" si="2"/>
        <v>7</v>
      </c>
    </row>
    <row r="186" spans="1:3" x14ac:dyDescent="0.35">
      <c r="A186" s="4">
        <v>44746</v>
      </c>
      <c r="B186" s="5">
        <v>0</v>
      </c>
      <c r="C186">
        <f t="shared" si="2"/>
        <v>7</v>
      </c>
    </row>
    <row r="187" spans="1:3" x14ac:dyDescent="0.35">
      <c r="A187" s="6">
        <v>44747</v>
      </c>
      <c r="B187" s="7">
        <v>0</v>
      </c>
      <c r="C187">
        <f t="shared" si="2"/>
        <v>7</v>
      </c>
    </row>
    <row r="188" spans="1:3" x14ac:dyDescent="0.35">
      <c r="A188" s="4">
        <v>44748</v>
      </c>
      <c r="B188" s="5">
        <v>527</v>
      </c>
      <c r="C188">
        <f t="shared" si="2"/>
        <v>7</v>
      </c>
    </row>
    <row r="189" spans="1:3" x14ac:dyDescent="0.35">
      <c r="A189" s="6">
        <v>44749</v>
      </c>
      <c r="B189" s="7">
        <v>619</v>
      </c>
      <c r="C189">
        <f t="shared" si="2"/>
        <v>7</v>
      </c>
    </row>
    <row r="190" spans="1:3" x14ac:dyDescent="0.35">
      <c r="A190" s="4">
        <v>44750</v>
      </c>
      <c r="B190" s="5">
        <v>0</v>
      </c>
      <c r="C190">
        <f t="shared" si="2"/>
        <v>7</v>
      </c>
    </row>
    <row r="191" spans="1:3" x14ac:dyDescent="0.35">
      <c r="A191" s="6">
        <v>44751</v>
      </c>
      <c r="B191" s="7">
        <v>0</v>
      </c>
      <c r="C191">
        <f t="shared" si="2"/>
        <v>7</v>
      </c>
    </row>
    <row r="192" spans="1:3" x14ac:dyDescent="0.35">
      <c r="A192" s="4">
        <v>44752</v>
      </c>
      <c r="B192" s="5">
        <v>0</v>
      </c>
      <c r="C192">
        <f t="shared" si="2"/>
        <v>7</v>
      </c>
    </row>
    <row r="193" spans="1:3" x14ac:dyDescent="0.35">
      <c r="A193" s="6">
        <v>44753</v>
      </c>
      <c r="B193" s="7">
        <v>170</v>
      </c>
      <c r="C193">
        <f t="shared" si="2"/>
        <v>7</v>
      </c>
    </row>
    <row r="194" spans="1:3" x14ac:dyDescent="0.35">
      <c r="A194" s="4">
        <v>44754</v>
      </c>
      <c r="B194" s="5">
        <v>13</v>
      </c>
      <c r="C194">
        <f t="shared" si="2"/>
        <v>7</v>
      </c>
    </row>
    <row r="195" spans="1:3" x14ac:dyDescent="0.35">
      <c r="A195" s="6">
        <v>44755</v>
      </c>
      <c r="B195" s="7">
        <v>0</v>
      </c>
      <c r="C195">
        <f t="shared" ref="C195:C258" si="3">MONTH(A195)</f>
        <v>7</v>
      </c>
    </row>
    <row r="196" spans="1:3" x14ac:dyDescent="0.35">
      <c r="A196" s="4">
        <v>44756</v>
      </c>
      <c r="B196" s="5">
        <v>0</v>
      </c>
      <c r="C196">
        <f t="shared" si="3"/>
        <v>7</v>
      </c>
    </row>
    <row r="197" spans="1:3" x14ac:dyDescent="0.35">
      <c r="A197" s="6">
        <v>44757</v>
      </c>
      <c r="B197" s="7">
        <v>0</v>
      </c>
      <c r="C197">
        <f t="shared" si="3"/>
        <v>7</v>
      </c>
    </row>
    <row r="198" spans="1:3" x14ac:dyDescent="0.35">
      <c r="A198" s="4">
        <v>44758</v>
      </c>
      <c r="B198" s="5">
        <v>0</v>
      </c>
      <c r="C198">
        <f t="shared" si="3"/>
        <v>7</v>
      </c>
    </row>
    <row r="199" spans="1:3" x14ac:dyDescent="0.35">
      <c r="A199" s="6">
        <v>44759</v>
      </c>
      <c r="B199" s="7">
        <v>518</v>
      </c>
      <c r="C199">
        <f t="shared" si="3"/>
        <v>7</v>
      </c>
    </row>
    <row r="200" spans="1:3" x14ac:dyDescent="0.35">
      <c r="A200" s="4">
        <v>44760</v>
      </c>
      <c r="B200" s="5">
        <v>791</v>
      </c>
      <c r="C200">
        <f t="shared" si="3"/>
        <v>7</v>
      </c>
    </row>
    <row r="201" spans="1:3" x14ac:dyDescent="0.35">
      <c r="A201" s="6">
        <v>44761</v>
      </c>
      <c r="B201" s="7">
        <v>673</v>
      </c>
      <c r="C201">
        <f t="shared" si="3"/>
        <v>7</v>
      </c>
    </row>
    <row r="202" spans="1:3" x14ac:dyDescent="0.35">
      <c r="A202" s="4">
        <v>44762</v>
      </c>
      <c r="B202" s="5">
        <v>601</v>
      </c>
      <c r="C202">
        <f t="shared" si="3"/>
        <v>7</v>
      </c>
    </row>
    <row r="203" spans="1:3" x14ac:dyDescent="0.35">
      <c r="A203" s="6">
        <v>44763</v>
      </c>
      <c r="B203" s="7">
        <v>612</v>
      </c>
      <c r="C203">
        <f t="shared" si="3"/>
        <v>7</v>
      </c>
    </row>
    <row r="204" spans="1:3" x14ac:dyDescent="0.35">
      <c r="A204" s="4">
        <v>44764</v>
      </c>
      <c r="B204" s="5">
        <v>705</v>
      </c>
      <c r="C204">
        <f t="shared" si="3"/>
        <v>7</v>
      </c>
    </row>
    <row r="205" spans="1:3" x14ac:dyDescent="0.35">
      <c r="A205" s="6">
        <v>44765</v>
      </c>
      <c r="B205" s="7">
        <v>0</v>
      </c>
      <c r="C205">
        <f t="shared" si="3"/>
        <v>7</v>
      </c>
    </row>
    <row r="206" spans="1:3" x14ac:dyDescent="0.35">
      <c r="A206" s="4">
        <v>44766</v>
      </c>
      <c r="B206" s="5">
        <v>0</v>
      </c>
      <c r="C206">
        <f t="shared" si="3"/>
        <v>7</v>
      </c>
    </row>
    <row r="207" spans="1:3" x14ac:dyDescent="0.35">
      <c r="A207" s="6">
        <v>44767</v>
      </c>
      <c r="B207" s="7">
        <v>1100</v>
      </c>
      <c r="C207">
        <f t="shared" si="3"/>
        <v>7</v>
      </c>
    </row>
    <row r="208" spans="1:3" x14ac:dyDescent="0.35">
      <c r="A208" s="4">
        <v>44768</v>
      </c>
      <c r="B208" s="5">
        <v>118</v>
      </c>
      <c r="C208">
        <f t="shared" si="3"/>
        <v>7</v>
      </c>
    </row>
    <row r="209" spans="1:3" x14ac:dyDescent="0.35">
      <c r="A209" s="6">
        <v>44769</v>
      </c>
      <c r="B209" s="7">
        <v>69</v>
      </c>
      <c r="C209">
        <f t="shared" si="3"/>
        <v>7</v>
      </c>
    </row>
    <row r="210" spans="1:3" x14ac:dyDescent="0.35">
      <c r="A210" s="4">
        <v>44770</v>
      </c>
      <c r="B210" s="5">
        <v>0</v>
      </c>
      <c r="C210">
        <f t="shared" si="3"/>
        <v>7</v>
      </c>
    </row>
    <row r="211" spans="1:3" x14ac:dyDescent="0.35">
      <c r="A211" s="6">
        <v>44771</v>
      </c>
      <c r="B211" s="7">
        <v>0</v>
      </c>
      <c r="C211">
        <f t="shared" si="3"/>
        <v>7</v>
      </c>
    </row>
    <row r="212" spans="1:3" x14ac:dyDescent="0.35">
      <c r="A212" s="4">
        <v>44772</v>
      </c>
      <c r="B212" s="5">
        <v>0</v>
      </c>
      <c r="C212">
        <f t="shared" si="3"/>
        <v>7</v>
      </c>
    </row>
    <row r="213" spans="1:3" x14ac:dyDescent="0.35">
      <c r="A213" s="6">
        <v>44773</v>
      </c>
      <c r="B213" s="7">
        <v>0</v>
      </c>
      <c r="C213">
        <f t="shared" si="3"/>
        <v>7</v>
      </c>
    </row>
    <row r="214" spans="1:3" x14ac:dyDescent="0.35">
      <c r="A214" s="4">
        <v>44774</v>
      </c>
      <c r="B214" s="5">
        <v>0</v>
      </c>
      <c r="C214">
        <f t="shared" si="3"/>
        <v>8</v>
      </c>
    </row>
    <row r="215" spans="1:3" x14ac:dyDescent="0.35">
      <c r="A215" s="6">
        <v>44775</v>
      </c>
      <c r="B215" s="7">
        <v>0</v>
      </c>
      <c r="C215">
        <f t="shared" si="3"/>
        <v>8</v>
      </c>
    </row>
    <row r="216" spans="1:3" x14ac:dyDescent="0.35">
      <c r="A216" s="4">
        <v>44776</v>
      </c>
      <c r="B216" s="5">
        <v>0</v>
      </c>
      <c r="C216">
        <f t="shared" si="3"/>
        <v>8</v>
      </c>
    </row>
    <row r="217" spans="1:3" x14ac:dyDescent="0.35">
      <c r="A217" s="6">
        <v>44777</v>
      </c>
      <c r="B217" s="7">
        <v>0</v>
      </c>
      <c r="C217">
        <f t="shared" si="3"/>
        <v>8</v>
      </c>
    </row>
    <row r="218" spans="1:3" x14ac:dyDescent="0.35">
      <c r="A218" s="4">
        <v>44778</v>
      </c>
      <c r="B218" s="5">
        <v>0</v>
      </c>
      <c r="C218">
        <f t="shared" si="3"/>
        <v>8</v>
      </c>
    </row>
    <row r="219" spans="1:3" x14ac:dyDescent="0.35">
      <c r="A219" s="6">
        <v>44779</v>
      </c>
      <c r="B219" s="7">
        <v>0</v>
      </c>
      <c r="C219">
        <f t="shared" si="3"/>
        <v>8</v>
      </c>
    </row>
    <row r="220" spans="1:3" x14ac:dyDescent="0.35">
      <c r="A220" s="4">
        <v>44780</v>
      </c>
      <c r="B220" s="5">
        <v>0</v>
      </c>
      <c r="C220">
        <f t="shared" si="3"/>
        <v>8</v>
      </c>
    </row>
    <row r="221" spans="1:3" x14ac:dyDescent="0.35">
      <c r="A221" s="6">
        <v>44781</v>
      </c>
      <c r="B221" s="7">
        <v>660</v>
      </c>
      <c r="C221">
        <f t="shared" si="3"/>
        <v>8</v>
      </c>
    </row>
    <row r="222" spans="1:3" x14ac:dyDescent="0.35">
      <c r="A222" s="4">
        <v>44782</v>
      </c>
      <c r="B222" s="5">
        <v>1245</v>
      </c>
      <c r="C222">
        <f t="shared" si="3"/>
        <v>8</v>
      </c>
    </row>
    <row r="223" spans="1:3" x14ac:dyDescent="0.35">
      <c r="A223" s="6">
        <v>44783</v>
      </c>
      <c r="B223" s="7">
        <v>745</v>
      </c>
      <c r="C223">
        <f t="shared" si="3"/>
        <v>8</v>
      </c>
    </row>
    <row r="224" spans="1:3" x14ac:dyDescent="0.35">
      <c r="A224" s="4">
        <v>44784</v>
      </c>
      <c r="B224" s="5">
        <v>48</v>
      </c>
      <c r="C224">
        <f t="shared" si="3"/>
        <v>8</v>
      </c>
    </row>
    <row r="225" spans="1:3" x14ac:dyDescent="0.35">
      <c r="A225" s="6">
        <v>44785</v>
      </c>
      <c r="B225" s="7">
        <v>0</v>
      </c>
      <c r="C225">
        <f t="shared" si="3"/>
        <v>8</v>
      </c>
    </row>
    <row r="226" spans="1:3" x14ac:dyDescent="0.35">
      <c r="A226" s="4">
        <v>44786</v>
      </c>
      <c r="B226" s="5">
        <v>0</v>
      </c>
      <c r="C226">
        <f t="shared" si="3"/>
        <v>8</v>
      </c>
    </row>
    <row r="227" spans="1:3" x14ac:dyDescent="0.35">
      <c r="A227" s="6">
        <v>44787</v>
      </c>
      <c r="B227" s="7">
        <v>0</v>
      </c>
      <c r="C227">
        <f t="shared" si="3"/>
        <v>8</v>
      </c>
    </row>
    <row r="228" spans="1:3" x14ac:dyDescent="0.35">
      <c r="A228" s="4">
        <v>44788</v>
      </c>
      <c r="B228" s="5">
        <v>0</v>
      </c>
      <c r="C228">
        <f t="shared" si="3"/>
        <v>8</v>
      </c>
    </row>
    <row r="229" spans="1:3" x14ac:dyDescent="0.35">
      <c r="A229" s="6">
        <v>44789</v>
      </c>
      <c r="B229" s="7">
        <v>0</v>
      </c>
      <c r="C229">
        <f t="shared" si="3"/>
        <v>8</v>
      </c>
    </row>
    <row r="230" spans="1:3" x14ac:dyDescent="0.35">
      <c r="A230" s="4">
        <v>44790</v>
      </c>
      <c r="B230" s="5">
        <v>0</v>
      </c>
      <c r="C230">
        <f t="shared" si="3"/>
        <v>8</v>
      </c>
    </row>
    <row r="231" spans="1:3" x14ac:dyDescent="0.35">
      <c r="A231" s="6">
        <v>44791</v>
      </c>
      <c r="B231" s="7">
        <v>0</v>
      </c>
      <c r="C231">
        <f t="shared" si="3"/>
        <v>8</v>
      </c>
    </row>
    <row r="232" spans="1:3" x14ac:dyDescent="0.35">
      <c r="A232" s="4">
        <v>44792</v>
      </c>
      <c r="B232" s="5">
        <v>0</v>
      </c>
      <c r="C232">
        <f t="shared" si="3"/>
        <v>8</v>
      </c>
    </row>
    <row r="233" spans="1:3" x14ac:dyDescent="0.35">
      <c r="A233" s="6">
        <v>44793</v>
      </c>
      <c r="B233" s="7">
        <v>0</v>
      </c>
      <c r="C233">
        <f t="shared" si="3"/>
        <v>8</v>
      </c>
    </row>
    <row r="234" spans="1:3" x14ac:dyDescent="0.35">
      <c r="A234" s="4">
        <v>44794</v>
      </c>
      <c r="B234" s="5">
        <v>0</v>
      </c>
      <c r="C234">
        <f t="shared" si="3"/>
        <v>8</v>
      </c>
    </row>
    <row r="235" spans="1:3" x14ac:dyDescent="0.35">
      <c r="A235" s="6">
        <v>44795</v>
      </c>
      <c r="B235" s="7">
        <v>0</v>
      </c>
      <c r="C235">
        <f t="shared" si="3"/>
        <v>8</v>
      </c>
    </row>
    <row r="236" spans="1:3" x14ac:dyDescent="0.35">
      <c r="A236" s="4">
        <v>44796</v>
      </c>
      <c r="B236" s="5">
        <v>0</v>
      </c>
      <c r="C236">
        <f t="shared" si="3"/>
        <v>8</v>
      </c>
    </row>
    <row r="237" spans="1:3" x14ac:dyDescent="0.35">
      <c r="A237" s="6">
        <v>44797</v>
      </c>
      <c r="B237" s="7">
        <v>0</v>
      </c>
      <c r="C237">
        <f t="shared" si="3"/>
        <v>8</v>
      </c>
    </row>
    <row r="238" spans="1:3" x14ac:dyDescent="0.35">
      <c r="A238" s="4">
        <v>44798</v>
      </c>
      <c r="B238" s="5">
        <v>0</v>
      </c>
      <c r="C238">
        <f t="shared" si="3"/>
        <v>8</v>
      </c>
    </row>
    <row r="239" spans="1:3" x14ac:dyDescent="0.35">
      <c r="A239" s="6">
        <v>44799</v>
      </c>
      <c r="B239" s="7">
        <v>0</v>
      </c>
      <c r="C239">
        <f t="shared" si="3"/>
        <v>8</v>
      </c>
    </row>
    <row r="240" spans="1:3" x14ac:dyDescent="0.35">
      <c r="A240" s="4">
        <v>44800</v>
      </c>
      <c r="B240" s="5">
        <v>0</v>
      </c>
      <c r="C240">
        <f t="shared" si="3"/>
        <v>8</v>
      </c>
    </row>
    <row r="241" spans="1:3" x14ac:dyDescent="0.35">
      <c r="A241" s="6">
        <v>44801</v>
      </c>
      <c r="B241" s="7">
        <v>0</v>
      </c>
      <c r="C241">
        <f t="shared" si="3"/>
        <v>8</v>
      </c>
    </row>
    <row r="242" spans="1:3" x14ac:dyDescent="0.35">
      <c r="A242" s="4">
        <v>44802</v>
      </c>
      <c r="B242" s="5">
        <v>0</v>
      </c>
      <c r="C242">
        <f t="shared" si="3"/>
        <v>8</v>
      </c>
    </row>
    <row r="243" spans="1:3" x14ac:dyDescent="0.35">
      <c r="A243" s="6">
        <v>44803</v>
      </c>
      <c r="B243" s="7">
        <v>0</v>
      </c>
      <c r="C243">
        <f t="shared" si="3"/>
        <v>8</v>
      </c>
    </row>
    <row r="244" spans="1:3" x14ac:dyDescent="0.35">
      <c r="A244" s="4">
        <v>44804</v>
      </c>
      <c r="B244" s="5">
        <v>0</v>
      </c>
      <c r="C244">
        <f t="shared" si="3"/>
        <v>8</v>
      </c>
    </row>
    <row r="245" spans="1:3" x14ac:dyDescent="0.35">
      <c r="A245" s="6">
        <v>44805</v>
      </c>
      <c r="B245" s="7">
        <v>0</v>
      </c>
      <c r="C245">
        <f t="shared" si="3"/>
        <v>9</v>
      </c>
    </row>
    <row r="246" spans="1:3" x14ac:dyDescent="0.35">
      <c r="A246" s="4">
        <v>44806</v>
      </c>
      <c r="B246" s="5">
        <v>388</v>
      </c>
      <c r="C246">
        <f t="shared" si="3"/>
        <v>9</v>
      </c>
    </row>
    <row r="247" spans="1:3" x14ac:dyDescent="0.35">
      <c r="A247" s="6">
        <v>44807</v>
      </c>
      <c r="B247" s="7">
        <v>415</v>
      </c>
      <c r="C247">
        <f t="shared" si="3"/>
        <v>9</v>
      </c>
    </row>
    <row r="248" spans="1:3" x14ac:dyDescent="0.35">
      <c r="A248" s="4">
        <v>44808</v>
      </c>
      <c r="B248" s="5">
        <v>560</v>
      </c>
      <c r="C248">
        <f t="shared" si="3"/>
        <v>9</v>
      </c>
    </row>
    <row r="249" spans="1:3" x14ac:dyDescent="0.35">
      <c r="A249" s="6">
        <v>44809</v>
      </c>
      <c r="B249" s="7">
        <v>467</v>
      </c>
      <c r="C249">
        <f t="shared" si="3"/>
        <v>9</v>
      </c>
    </row>
    <row r="250" spans="1:3" x14ac:dyDescent="0.35">
      <c r="A250" s="4">
        <v>44810</v>
      </c>
      <c r="B250" s="5">
        <v>517</v>
      </c>
      <c r="C250">
        <f t="shared" si="3"/>
        <v>9</v>
      </c>
    </row>
    <row r="251" spans="1:3" x14ac:dyDescent="0.35">
      <c r="A251" s="6">
        <v>44811</v>
      </c>
      <c r="B251" s="7">
        <v>552</v>
      </c>
      <c r="C251">
        <f t="shared" si="3"/>
        <v>9</v>
      </c>
    </row>
    <row r="252" spans="1:3" x14ac:dyDescent="0.35">
      <c r="A252" s="4">
        <v>44812</v>
      </c>
      <c r="B252" s="5">
        <v>0</v>
      </c>
      <c r="C252">
        <f t="shared" si="3"/>
        <v>9</v>
      </c>
    </row>
    <row r="253" spans="1:3" x14ac:dyDescent="0.35">
      <c r="A253" s="6">
        <v>44813</v>
      </c>
      <c r="B253" s="7">
        <v>0</v>
      </c>
      <c r="C253">
        <f t="shared" si="3"/>
        <v>9</v>
      </c>
    </row>
    <row r="254" spans="1:3" x14ac:dyDescent="0.35">
      <c r="A254" s="4">
        <v>44814</v>
      </c>
      <c r="B254" s="5">
        <v>0</v>
      </c>
      <c r="C254">
        <f t="shared" si="3"/>
        <v>9</v>
      </c>
    </row>
    <row r="255" spans="1:3" x14ac:dyDescent="0.35">
      <c r="A255" s="6">
        <v>44815</v>
      </c>
      <c r="B255" s="7">
        <v>0</v>
      </c>
      <c r="C255">
        <f t="shared" si="3"/>
        <v>9</v>
      </c>
    </row>
    <row r="256" spans="1:3" x14ac:dyDescent="0.35">
      <c r="A256" s="4">
        <v>44816</v>
      </c>
      <c r="B256" s="5">
        <v>435</v>
      </c>
      <c r="C256">
        <f t="shared" si="3"/>
        <v>9</v>
      </c>
    </row>
    <row r="257" spans="1:3" x14ac:dyDescent="0.35">
      <c r="A257" s="6">
        <v>44817</v>
      </c>
      <c r="B257" s="7">
        <v>406</v>
      </c>
      <c r="C257">
        <f t="shared" si="3"/>
        <v>9</v>
      </c>
    </row>
    <row r="258" spans="1:3" x14ac:dyDescent="0.35">
      <c r="A258" s="4">
        <v>44818</v>
      </c>
      <c r="B258" s="5">
        <v>0</v>
      </c>
      <c r="C258">
        <f t="shared" si="3"/>
        <v>9</v>
      </c>
    </row>
    <row r="259" spans="1:3" x14ac:dyDescent="0.35">
      <c r="A259" s="6">
        <v>44819</v>
      </c>
      <c r="B259" s="7">
        <v>0</v>
      </c>
      <c r="C259">
        <f t="shared" ref="C259:C322" si="4">MONTH(A259)</f>
        <v>9</v>
      </c>
    </row>
    <row r="260" spans="1:3" x14ac:dyDescent="0.35">
      <c r="A260" s="4">
        <v>44820</v>
      </c>
      <c r="B260" s="5">
        <v>0</v>
      </c>
      <c r="C260">
        <f t="shared" si="4"/>
        <v>9</v>
      </c>
    </row>
    <row r="261" spans="1:3" x14ac:dyDescent="0.35">
      <c r="A261" s="6">
        <v>44821</v>
      </c>
      <c r="B261" s="7">
        <v>0</v>
      </c>
      <c r="C261">
        <f t="shared" si="4"/>
        <v>9</v>
      </c>
    </row>
    <row r="262" spans="1:3" x14ac:dyDescent="0.35">
      <c r="A262" s="4">
        <v>44822</v>
      </c>
      <c r="B262" s="5">
        <v>0</v>
      </c>
      <c r="C262">
        <f t="shared" si="4"/>
        <v>9</v>
      </c>
    </row>
    <row r="263" spans="1:3" x14ac:dyDescent="0.35">
      <c r="A263" s="6">
        <v>44823</v>
      </c>
      <c r="B263" s="7">
        <v>353</v>
      </c>
      <c r="C263">
        <f t="shared" si="4"/>
        <v>9</v>
      </c>
    </row>
    <row r="264" spans="1:3" x14ac:dyDescent="0.35">
      <c r="A264" s="4">
        <v>44824</v>
      </c>
      <c r="B264" s="5">
        <v>476</v>
      </c>
      <c r="C264">
        <f t="shared" si="4"/>
        <v>9</v>
      </c>
    </row>
    <row r="265" spans="1:3" x14ac:dyDescent="0.35">
      <c r="A265" s="6">
        <v>44825</v>
      </c>
      <c r="B265" s="7">
        <v>383</v>
      </c>
      <c r="C265">
        <f t="shared" si="4"/>
        <v>9</v>
      </c>
    </row>
    <row r="266" spans="1:3" x14ac:dyDescent="0.35">
      <c r="A266" s="4">
        <v>44826</v>
      </c>
      <c r="B266" s="5">
        <v>0</v>
      </c>
      <c r="C266">
        <f t="shared" si="4"/>
        <v>9</v>
      </c>
    </row>
    <row r="267" spans="1:3" x14ac:dyDescent="0.35">
      <c r="A267" s="6">
        <v>44827</v>
      </c>
      <c r="B267" s="7">
        <v>0</v>
      </c>
      <c r="C267">
        <f t="shared" si="4"/>
        <v>9</v>
      </c>
    </row>
    <row r="268" spans="1:3" x14ac:dyDescent="0.35">
      <c r="A268" s="4">
        <v>44828</v>
      </c>
      <c r="B268" s="5">
        <v>0</v>
      </c>
      <c r="C268">
        <f t="shared" si="4"/>
        <v>9</v>
      </c>
    </row>
    <row r="269" spans="1:3" x14ac:dyDescent="0.35">
      <c r="A269" s="6">
        <v>44829</v>
      </c>
      <c r="B269" s="7">
        <v>0</v>
      </c>
      <c r="C269">
        <f t="shared" si="4"/>
        <v>9</v>
      </c>
    </row>
    <row r="270" spans="1:3" x14ac:dyDescent="0.35">
      <c r="A270" s="4">
        <v>44830</v>
      </c>
      <c r="B270" s="5">
        <v>0</v>
      </c>
      <c r="C270">
        <f t="shared" si="4"/>
        <v>9</v>
      </c>
    </row>
    <row r="271" spans="1:3" x14ac:dyDescent="0.35">
      <c r="A271" s="6">
        <v>44831</v>
      </c>
      <c r="B271" s="7">
        <v>0</v>
      </c>
      <c r="C271">
        <f t="shared" si="4"/>
        <v>9</v>
      </c>
    </row>
    <row r="272" spans="1:3" x14ac:dyDescent="0.35">
      <c r="A272" s="4">
        <v>44832</v>
      </c>
      <c r="B272" s="5">
        <v>0</v>
      </c>
      <c r="C272">
        <f t="shared" si="4"/>
        <v>9</v>
      </c>
    </row>
    <row r="273" spans="1:3" x14ac:dyDescent="0.35">
      <c r="A273" s="6">
        <v>44833</v>
      </c>
      <c r="B273" s="7">
        <v>302</v>
      </c>
      <c r="C273">
        <f t="shared" si="4"/>
        <v>9</v>
      </c>
    </row>
    <row r="274" spans="1:3" x14ac:dyDescent="0.35">
      <c r="A274" s="4">
        <v>44834</v>
      </c>
      <c r="B274" s="5">
        <v>426</v>
      </c>
      <c r="C274">
        <f t="shared" si="4"/>
        <v>9</v>
      </c>
    </row>
    <row r="275" spans="1:3" x14ac:dyDescent="0.35">
      <c r="A275" s="6">
        <v>44835</v>
      </c>
      <c r="B275" s="7">
        <v>456</v>
      </c>
      <c r="C275">
        <f t="shared" si="4"/>
        <v>10</v>
      </c>
    </row>
    <row r="276" spans="1:3" x14ac:dyDescent="0.35">
      <c r="A276" s="4">
        <v>44836</v>
      </c>
      <c r="B276" s="5">
        <v>568</v>
      </c>
      <c r="C276">
        <f t="shared" si="4"/>
        <v>10</v>
      </c>
    </row>
    <row r="277" spans="1:3" x14ac:dyDescent="0.35">
      <c r="A277" s="6">
        <v>44837</v>
      </c>
      <c r="B277" s="7">
        <v>1182</v>
      </c>
      <c r="C277">
        <f t="shared" si="4"/>
        <v>10</v>
      </c>
    </row>
    <row r="278" spans="1:3" x14ac:dyDescent="0.35">
      <c r="A278" s="4">
        <v>44838</v>
      </c>
      <c r="B278" s="5">
        <v>0</v>
      </c>
      <c r="C278">
        <f t="shared" si="4"/>
        <v>10</v>
      </c>
    </row>
    <row r="279" spans="1:3" x14ac:dyDescent="0.35">
      <c r="A279" s="6">
        <v>44839</v>
      </c>
      <c r="B279" s="7">
        <v>0</v>
      </c>
      <c r="C279">
        <f t="shared" si="4"/>
        <v>10</v>
      </c>
    </row>
    <row r="280" spans="1:3" x14ac:dyDescent="0.35">
      <c r="A280" s="4">
        <v>44840</v>
      </c>
      <c r="B280" s="5">
        <v>0</v>
      </c>
      <c r="C280">
        <f t="shared" si="4"/>
        <v>10</v>
      </c>
    </row>
    <row r="281" spans="1:3" x14ac:dyDescent="0.35">
      <c r="A281" s="6">
        <v>44841</v>
      </c>
      <c r="B281" s="7">
        <v>0</v>
      </c>
      <c r="C281">
        <f t="shared" si="4"/>
        <v>10</v>
      </c>
    </row>
    <row r="282" spans="1:3" x14ac:dyDescent="0.35">
      <c r="A282" s="4">
        <v>44842</v>
      </c>
      <c r="B282" s="5">
        <v>0</v>
      </c>
      <c r="C282">
        <f t="shared" si="4"/>
        <v>10</v>
      </c>
    </row>
    <row r="283" spans="1:3" x14ac:dyDescent="0.35">
      <c r="A283" s="6">
        <v>44843</v>
      </c>
      <c r="B283" s="7">
        <v>0</v>
      </c>
      <c r="C283">
        <f t="shared" si="4"/>
        <v>10</v>
      </c>
    </row>
    <row r="284" spans="1:3" x14ac:dyDescent="0.35">
      <c r="A284" s="4">
        <v>44844</v>
      </c>
      <c r="B284" s="5">
        <v>1170</v>
      </c>
      <c r="C284">
        <f t="shared" si="4"/>
        <v>10</v>
      </c>
    </row>
    <row r="285" spans="1:3" x14ac:dyDescent="0.35">
      <c r="A285" s="6">
        <v>44845</v>
      </c>
      <c r="B285" s="7">
        <v>695</v>
      </c>
      <c r="C285">
        <f t="shared" si="4"/>
        <v>10</v>
      </c>
    </row>
    <row r="286" spans="1:3" x14ac:dyDescent="0.35">
      <c r="A286" s="4">
        <v>44846</v>
      </c>
      <c r="B286" s="5">
        <v>644</v>
      </c>
      <c r="C286">
        <f t="shared" si="4"/>
        <v>10</v>
      </c>
    </row>
    <row r="287" spans="1:3" x14ac:dyDescent="0.35">
      <c r="A287" s="6">
        <v>44847</v>
      </c>
      <c r="B287" s="7">
        <v>0</v>
      </c>
      <c r="C287">
        <f t="shared" si="4"/>
        <v>10</v>
      </c>
    </row>
    <row r="288" spans="1:3" x14ac:dyDescent="0.35">
      <c r="A288" s="4">
        <v>44848</v>
      </c>
      <c r="B288" s="5">
        <v>0</v>
      </c>
      <c r="C288">
        <f t="shared" si="4"/>
        <v>10</v>
      </c>
    </row>
    <row r="289" spans="1:3" x14ac:dyDescent="0.35">
      <c r="A289" s="6">
        <v>44849</v>
      </c>
      <c r="B289" s="7">
        <v>0</v>
      </c>
      <c r="C289">
        <f t="shared" si="4"/>
        <v>10</v>
      </c>
    </row>
    <row r="290" spans="1:3" x14ac:dyDescent="0.35">
      <c r="A290" s="4">
        <v>44850</v>
      </c>
      <c r="B290" s="5">
        <v>0</v>
      </c>
      <c r="C290">
        <f t="shared" si="4"/>
        <v>10</v>
      </c>
    </row>
    <row r="291" spans="1:3" x14ac:dyDescent="0.35">
      <c r="A291" s="6">
        <v>44851</v>
      </c>
      <c r="B291" s="7">
        <v>0</v>
      </c>
      <c r="C291">
        <f t="shared" si="4"/>
        <v>10</v>
      </c>
    </row>
    <row r="292" spans="1:3" x14ac:dyDescent="0.35">
      <c r="A292" s="4">
        <v>44852</v>
      </c>
      <c r="B292" s="5">
        <v>0</v>
      </c>
      <c r="C292">
        <f t="shared" si="4"/>
        <v>10</v>
      </c>
    </row>
    <row r="293" spans="1:3" x14ac:dyDescent="0.35">
      <c r="A293" s="6">
        <v>44853</v>
      </c>
      <c r="B293" s="7">
        <v>0</v>
      </c>
      <c r="C293">
        <f t="shared" si="4"/>
        <v>10</v>
      </c>
    </row>
    <row r="294" spans="1:3" x14ac:dyDescent="0.35">
      <c r="A294" s="4">
        <v>44854</v>
      </c>
      <c r="B294" s="5">
        <v>0</v>
      </c>
      <c r="C294">
        <f t="shared" si="4"/>
        <v>10</v>
      </c>
    </row>
    <row r="295" spans="1:3" x14ac:dyDescent="0.35">
      <c r="A295" s="6">
        <v>44855</v>
      </c>
      <c r="B295" s="7">
        <v>0</v>
      </c>
      <c r="C295">
        <f t="shared" si="4"/>
        <v>10</v>
      </c>
    </row>
    <row r="296" spans="1:3" x14ac:dyDescent="0.35">
      <c r="A296" s="4">
        <v>44856</v>
      </c>
      <c r="B296" s="5">
        <v>1084</v>
      </c>
      <c r="C296">
        <f t="shared" si="4"/>
        <v>10</v>
      </c>
    </row>
    <row r="297" spans="1:3" x14ac:dyDescent="0.35">
      <c r="A297" s="6">
        <v>44857</v>
      </c>
      <c r="B297" s="7">
        <v>1423</v>
      </c>
      <c r="C297">
        <f t="shared" si="4"/>
        <v>10</v>
      </c>
    </row>
    <row r="298" spans="1:3" x14ac:dyDescent="0.35">
      <c r="A298" s="4">
        <v>44858</v>
      </c>
      <c r="B298" s="5">
        <v>1315</v>
      </c>
      <c r="C298">
        <f t="shared" si="4"/>
        <v>10</v>
      </c>
    </row>
    <row r="299" spans="1:3" x14ac:dyDescent="0.35">
      <c r="A299" s="6">
        <v>44859</v>
      </c>
      <c r="B299" s="7">
        <v>717</v>
      </c>
      <c r="C299">
        <f t="shared" si="4"/>
        <v>10</v>
      </c>
    </row>
    <row r="300" spans="1:3" x14ac:dyDescent="0.35">
      <c r="A300" s="4">
        <v>44860</v>
      </c>
      <c r="B300" s="5">
        <v>1398</v>
      </c>
      <c r="C300">
        <f t="shared" si="4"/>
        <v>10</v>
      </c>
    </row>
    <row r="301" spans="1:3" x14ac:dyDescent="0.35">
      <c r="A301" s="6">
        <v>44861</v>
      </c>
      <c r="B301" s="7">
        <v>913</v>
      </c>
      <c r="C301">
        <f t="shared" si="4"/>
        <v>10</v>
      </c>
    </row>
    <row r="302" spans="1:3" x14ac:dyDescent="0.35">
      <c r="A302" s="4">
        <v>44862</v>
      </c>
      <c r="B302" s="5">
        <v>660</v>
      </c>
      <c r="C302">
        <f t="shared" si="4"/>
        <v>10</v>
      </c>
    </row>
    <row r="303" spans="1:3" x14ac:dyDescent="0.35">
      <c r="A303" s="6">
        <v>44863</v>
      </c>
      <c r="B303" s="7">
        <v>0</v>
      </c>
      <c r="C303">
        <f t="shared" si="4"/>
        <v>10</v>
      </c>
    </row>
    <row r="304" spans="1:3" x14ac:dyDescent="0.35">
      <c r="A304" s="4">
        <v>44864</v>
      </c>
      <c r="B304" s="5">
        <v>0</v>
      </c>
      <c r="C304">
        <f t="shared" si="4"/>
        <v>10</v>
      </c>
    </row>
    <row r="305" spans="1:3" x14ac:dyDescent="0.35">
      <c r="A305" s="6">
        <v>44865</v>
      </c>
      <c r="B305" s="7">
        <v>0</v>
      </c>
      <c r="C305">
        <f t="shared" si="4"/>
        <v>10</v>
      </c>
    </row>
    <row r="306" spans="1:3" x14ac:dyDescent="0.35">
      <c r="A306" s="4">
        <v>44866</v>
      </c>
      <c r="B306" s="5">
        <v>0</v>
      </c>
      <c r="C306">
        <f t="shared" si="4"/>
        <v>11</v>
      </c>
    </row>
    <row r="307" spans="1:3" x14ac:dyDescent="0.35">
      <c r="A307" s="6">
        <v>44867</v>
      </c>
      <c r="B307" s="7">
        <v>0</v>
      </c>
      <c r="C307">
        <f t="shared" si="4"/>
        <v>11</v>
      </c>
    </row>
    <row r="308" spans="1:3" x14ac:dyDescent="0.35">
      <c r="A308" s="4">
        <v>44868</v>
      </c>
      <c r="B308" s="5">
        <v>935</v>
      </c>
      <c r="C308">
        <f t="shared" si="4"/>
        <v>11</v>
      </c>
    </row>
    <row r="309" spans="1:3" x14ac:dyDescent="0.35">
      <c r="A309" s="6">
        <v>44869</v>
      </c>
      <c r="B309" s="7">
        <v>648</v>
      </c>
      <c r="C309">
        <f t="shared" si="4"/>
        <v>11</v>
      </c>
    </row>
    <row r="310" spans="1:3" x14ac:dyDescent="0.35">
      <c r="A310" s="4">
        <v>44870</v>
      </c>
      <c r="B310" s="5">
        <v>793</v>
      </c>
      <c r="C310">
        <f t="shared" si="4"/>
        <v>11</v>
      </c>
    </row>
    <row r="311" spans="1:3" x14ac:dyDescent="0.35">
      <c r="A311" s="6">
        <v>44871</v>
      </c>
      <c r="B311" s="7">
        <v>1276</v>
      </c>
      <c r="C311">
        <f t="shared" si="4"/>
        <v>11</v>
      </c>
    </row>
    <row r="312" spans="1:3" x14ac:dyDescent="0.35">
      <c r="A312" s="4">
        <v>44872</v>
      </c>
      <c r="B312" s="5">
        <v>1234</v>
      </c>
      <c r="C312">
        <f t="shared" si="4"/>
        <v>11</v>
      </c>
    </row>
    <row r="313" spans="1:3" x14ac:dyDescent="0.35">
      <c r="A313" s="6">
        <v>44873</v>
      </c>
      <c r="B313" s="7">
        <v>1302</v>
      </c>
      <c r="C313">
        <f t="shared" si="4"/>
        <v>11</v>
      </c>
    </row>
    <row r="314" spans="1:3" x14ac:dyDescent="0.35">
      <c r="A314" s="4">
        <v>44874</v>
      </c>
      <c r="B314" s="5">
        <v>1316</v>
      </c>
      <c r="C314">
        <f t="shared" si="4"/>
        <v>11</v>
      </c>
    </row>
    <row r="315" spans="1:3" x14ac:dyDescent="0.35">
      <c r="A315" s="6">
        <v>44875</v>
      </c>
      <c r="B315" s="7">
        <v>1463</v>
      </c>
      <c r="C315">
        <f t="shared" si="4"/>
        <v>11</v>
      </c>
    </row>
    <row r="316" spans="1:3" x14ac:dyDescent="0.35">
      <c r="A316" s="4">
        <v>44876</v>
      </c>
      <c r="B316" s="5">
        <v>771</v>
      </c>
      <c r="C316">
        <f t="shared" si="4"/>
        <v>11</v>
      </c>
    </row>
    <row r="317" spans="1:3" x14ac:dyDescent="0.35">
      <c r="A317" s="6">
        <v>44877</v>
      </c>
      <c r="B317" s="7">
        <v>0</v>
      </c>
      <c r="C317">
        <f t="shared" si="4"/>
        <v>11</v>
      </c>
    </row>
    <row r="318" spans="1:3" x14ac:dyDescent="0.35">
      <c r="A318" s="4">
        <v>44878</v>
      </c>
      <c r="B318" s="5">
        <v>0</v>
      </c>
      <c r="C318">
        <f t="shared" si="4"/>
        <v>11</v>
      </c>
    </row>
    <row r="319" spans="1:3" x14ac:dyDescent="0.35">
      <c r="A319" s="6">
        <v>44879</v>
      </c>
      <c r="B319" s="7">
        <v>0</v>
      </c>
      <c r="C319">
        <f t="shared" si="4"/>
        <v>11</v>
      </c>
    </row>
    <row r="320" spans="1:3" x14ac:dyDescent="0.35">
      <c r="A320" s="4">
        <v>44880</v>
      </c>
      <c r="B320" s="5">
        <v>0</v>
      </c>
      <c r="C320">
        <f t="shared" si="4"/>
        <v>11</v>
      </c>
    </row>
    <row r="321" spans="1:3" x14ac:dyDescent="0.35">
      <c r="A321" s="6">
        <v>44881</v>
      </c>
      <c r="B321" s="7">
        <v>0</v>
      </c>
      <c r="C321">
        <f t="shared" si="4"/>
        <v>11</v>
      </c>
    </row>
    <row r="322" spans="1:3" x14ac:dyDescent="0.35">
      <c r="A322" s="4">
        <v>44882</v>
      </c>
      <c r="B322" s="5">
        <v>0</v>
      </c>
      <c r="C322">
        <f t="shared" si="4"/>
        <v>11</v>
      </c>
    </row>
    <row r="323" spans="1:3" x14ac:dyDescent="0.35">
      <c r="A323" s="6">
        <v>44883</v>
      </c>
      <c r="B323" s="7">
        <v>0</v>
      </c>
      <c r="C323">
        <f t="shared" ref="C323:C366" si="5">MONTH(A323)</f>
        <v>11</v>
      </c>
    </row>
    <row r="324" spans="1:3" x14ac:dyDescent="0.35">
      <c r="A324" s="4">
        <v>44884</v>
      </c>
      <c r="B324" s="5">
        <v>816</v>
      </c>
      <c r="C324">
        <f t="shared" si="5"/>
        <v>11</v>
      </c>
    </row>
    <row r="325" spans="1:3" x14ac:dyDescent="0.35">
      <c r="A325" s="6">
        <v>44885</v>
      </c>
      <c r="B325" s="7">
        <v>734</v>
      </c>
      <c r="C325">
        <f t="shared" si="5"/>
        <v>11</v>
      </c>
    </row>
    <row r="326" spans="1:3" x14ac:dyDescent="0.35">
      <c r="A326" s="4">
        <v>44886</v>
      </c>
      <c r="B326" s="5">
        <v>1097</v>
      </c>
      <c r="C326">
        <f t="shared" si="5"/>
        <v>11</v>
      </c>
    </row>
    <row r="327" spans="1:3" x14ac:dyDescent="0.35">
      <c r="A327" s="6">
        <v>44887</v>
      </c>
      <c r="B327" s="7">
        <v>640</v>
      </c>
      <c r="C327">
        <f t="shared" si="5"/>
        <v>11</v>
      </c>
    </row>
    <row r="328" spans="1:3" x14ac:dyDescent="0.35">
      <c r="A328" s="4">
        <v>44888</v>
      </c>
      <c r="B328" s="5">
        <v>0</v>
      </c>
      <c r="C328">
        <f t="shared" si="5"/>
        <v>11</v>
      </c>
    </row>
    <row r="329" spans="1:3" x14ac:dyDescent="0.35">
      <c r="A329" s="6">
        <v>44889</v>
      </c>
      <c r="B329" s="7">
        <v>0</v>
      </c>
      <c r="C329">
        <f t="shared" si="5"/>
        <v>11</v>
      </c>
    </row>
    <row r="330" spans="1:3" x14ac:dyDescent="0.35">
      <c r="A330" s="4">
        <v>44890</v>
      </c>
      <c r="B330" s="5">
        <v>1066</v>
      </c>
      <c r="C330">
        <f t="shared" si="5"/>
        <v>11</v>
      </c>
    </row>
    <row r="331" spans="1:3" x14ac:dyDescent="0.35">
      <c r="A331" s="6">
        <v>44891</v>
      </c>
      <c r="B331" s="7">
        <v>670</v>
      </c>
      <c r="C331">
        <f t="shared" si="5"/>
        <v>11</v>
      </c>
    </row>
    <row r="332" spans="1:3" x14ac:dyDescent="0.35">
      <c r="A332" s="4">
        <v>44892</v>
      </c>
      <c r="B332" s="5">
        <v>0</v>
      </c>
      <c r="C332">
        <f t="shared" si="5"/>
        <v>11</v>
      </c>
    </row>
    <row r="333" spans="1:3" x14ac:dyDescent="0.35">
      <c r="A333" s="6">
        <v>44893</v>
      </c>
      <c r="B333" s="7">
        <v>0</v>
      </c>
      <c r="C333">
        <f t="shared" si="5"/>
        <v>11</v>
      </c>
    </row>
    <row r="334" spans="1:3" x14ac:dyDescent="0.35">
      <c r="A334" s="4">
        <v>44894</v>
      </c>
      <c r="B334" s="5">
        <v>0</v>
      </c>
      <c r="C334">
        <f t="shared" si="5"/>
        <v>11</v>
      </c>
    </row>
    <row r="335" spans="1:3" x14ac:dyDescent="0.35">
      <c r="A335" s="6">
        <v>44895</v>
      </c>
      <c r="B335" s="7">
        <v>0</v>
      </c>
      <c r="C335">
        <f t="shared" si="5"/>
        <v>11</v>
      </c>
    </row>
    <row r="336" spans="1:3" x14ac:dyDescent="0.35">
      <c r="A336" s="4">
        <v>44896</v>
      </c>
      <c r="B336" s="5">
        <v>0</v>
      </c>
      <c r="C336">
        <f t="shared" si="5"/>
        <v>12</v>
      </c>
    </row>
    <row r="337" spans="1:3" x14ac:dyDescent="0.35">
      <c r="A337" s="6">
        <v>44897</v>
      </c>
      <c r="B337" s="7">
        <v>0</v>
      </c>
      <c r="C337">
        <f t="shared" si="5"/>
        <v>12</v>
      </c>
    </row>
    <row r="338" spans="1:3" x14ac:dyDescent="0.35">
      <c r="A338" s="4">
        <v>44898</v>
      </c>
      <c r="B338" s="5">
        <v>0</v>
      </c>
      <c r="C338">
        <f t="shared" si="5"/>
        <v>12</v>
      </c>
    </row>
    <row r="339" spans="1:3" x14ac:dyDescent="0.35">
      <c r="A339" s="6">
        <v>44899</v>
      </c>
      <c r="B339" s="7">
        <v>0</v>
      </c>
      <c r="C339">
        <f t="shared" si="5"/>
        <v>12</v>
      </c>
    </row>
    <row r="340" spans="1:3" x14ac:dyDescent="0.35">
      <c r="A340" s="4">
        <v>44900</v>
      </c>
      <c r="B340" s="5">
        <v>29</v>
      </c>
      <c r="C340">
        <f t="shared" si="5"/>
        <v>12</v>
      </c>
    </row>
    <row r="341" spans="1:3" x14ac:dyDescent="0.35">
      <c r="A341" s="6">
        <v>44901</v>
      </c>
      <c r="B341" s="7">
        <v>46</v>
      </c>
      <c r="C341">
        <f t="shared" si="5"/>
        <v>12</v>
      </c>
    </row>
    <row r="342" spans="1:3" x14ac:dyDescent="0.35">
      <c r="A342" s="4">
        <v>44902</v>
      </c>
      <c r="B342" s="5">
        <v>0</v>
      </c>
      <c r="C342">
        <f t="shared" si="5"/>
        <v>12</v>
      </c>
    </row>
    <row r="343" spans="1:3" x14ac:dyDescent="0.35">
      <c r="A343" s="6">
        <v>44903</v>
      </c>
      <c r="B343" s="7">
        <v>0</v>
      </c>
      <c r="C343">
        <f t="shared" si="5"/>
        <v>12</v>
      </c>
    </row>
    <row r="344" spans="1:3" x14ac:dyDescent="0.35">
      <c r="A344" s="4">
        <v>44904</v>
      </c>
      <c r="B344" s="5">
        <v>0</v>
      </c>
      <c r="C344">
        <f t="shared" si="5"/>
        <v>12</v>
      </c>
    </row>
    <row r="345" spans="1:3" x14ac:dyDescent="0.35">
      <c r="A345" s="6">
        <v>44905</v>
      </c>
      <c r="B345" s="7">
        <v>0</v>
      </c>
      <c r="C345">
        <f t="shared" si="5"/>
        <v>12</v>
      </c>
    </row>
    <row r="346" spans="1:3" x14ac:dyDescent="0.35">
      <c r="A346" s="4">
        <v>44906</v>
      </c>
      <c r="B346" s="5">
        <v>0</v>
      </c>
      <c r="C346">
        <f t="shared" si="5"/>
        <v>12</v>
      </c>
    </row>
    <row r="347" spans="1:3" x14ac:dyDescent="0.35">
      <c r="A347" s="6">
        <v>44907</v>
      </c>
      <c r="B347" s="7">
        <v>0</v>
      </c>
      <c r="C347">
        <f t="shared" si="5"/>
        <v>12</v>
      </c>
    </row>
    <row r="348" spans="1:3" x14ac:dyDescent="0.35">
      <c r="A348" s="4">
        <v>44908</v>
      </c>
      <c r="B348" s="5">
        <v>145</v>
      </c>
      <c r="C348">
        <f t="shared" si="5"/>
        <v>12</v>
      </c>
    </row>
    <row r="349" spans="1:3" x14ac:dyDescent="0.35">
      <c r="A349" s="6">
        <v>44909</v>
      </c>
      <c r="B349" s="7">
        <v>0</v>
      </c>
      <c r="C349">
        <f t="shared" si="5"/>
        <v>12</v>
      </c>
    </row>
    <row r="350" spans="1:3" x14ac:dyDescent="0.35">
      <c r="A350" s="4">
        <v>44910</v>
      </c>
      <c r="B350" s="5">
        <v>0</v>
      </c>
      <c r="C350">
        <f t="shared" si="5"/>
        <v>12</v>
      </c>
    </row>
    <row r="351" spans="1:3" x14ac:dyDescent="0.35">
      <c r="A351" s="6">
        <v>44911</v>
      </c>
      <c r="B351" s="7">
        <v>24</v>
      </c>
      <c r="C351">
        <f t="shared" si="5"/>
        <v>12</v>
      </c>
    </row>
    <row r="352" spans="1:3" x14ac:dyDescent="0.35">
      <c r="A352" s="4">
        <v>44912</v>
      </c>
      <c r="B352" s="5">
        <v>0</v>
      </c>
      <c r="C352">
        <f t="shared" si="5"/>
        <v>12</v>
      </c>
    </row>
    <row r="353" spans="1:3" x14ac:dyDescent="0.35">
      <c r="A353" s="6">
        <v>44913</v>
      </c>
      <c r="B353" s="7">
        <v>0</v>
      </c>
      <c r="C353">
        <f t="shared" si="5"/>
        <v>12</v>
      </c>
    </row>
    <row r="354" spans="1:3" x14ac:dyDescent="0.35">
      <c r="A354" s="4">
        <v>44914</v>
      </c>
      <c r="B354" s="5">
        <v>45</v>
      </c>
      <c r="C354">
        <f t="shared" si="5"/>
        <v>12</v>
      </c>
    </row>
    <row r="355" spans="1:3" x14ac:dyDescent="0.35">
      <c r="A355" s="6">
        <v>44915</v>
      </c>
      <c r="B355" s="7">
        <v>97</v>
      </c>
      <c r="C355">
        <f t="shared" si="5"/>
        <v>12</v>
      </c>
    </row>
    <row r="356" spans="1:3" x14ac:dyDescent="0.35">
      <c r="A356" s="4">
        <v>44916</v>
      </c>
      <c r="B356" s="5">
        <v>0</v>
      </c>
      <c r="C356">
        <f t="shared" si="5"/>
        <v>12</v>
      </c>
    </row>
    <row r="357" spans="1:3" x14ac:dyDescent="0.35">
      <c r="A357" s="6">
        <v>44917</v>
      </c>
      <c r="B357" s="7">
        <v>22</v>
      </c>
      <c r="C357">
        <f t="shared" si="5"/>
        <v>12</v>
      </c>
    </row>
    <row r="358" spans="1:3" x14ac:dyDescent="0.35">
      <c r="A358" s="4">
        <v>44918</v>
      </c>
      <c r="B358" s="5">
        <v>0</v>
      </c>
      <c r="C358">
        <f t="shared" si="5"/>
        <v>12</v>
      </c>
    </row>
    <row r="359" spans="1:3" x14ac:dyDescent="0.35">
      <c r="A359" s="6">
        <v>44919</v>
      </c>
      <c r="B359" s="7">
        <v>0</v>
      </c>
      <c r="C359">
        <f t="shared" si="5"/>
        <v>12</v>
      </c>
    </row>
    <row r="360" spans="1:3" x14ac:dyDescent="0.35">
      <c r="A360" s="4">
        <v>44920</v>
      </c>
      <c r="B360" s="5">
        <v>0</v>
      </c>
      <c r="C360">
        <f t="shared" si="5"/>
        <v>12</v>
      </c>
    </row>
    <row r="361" spans="1:3" x14ac:dyDescent="0.35">
      <c r="A361" s="6">
        <v>44921</v>
      </c>
      <c r="B361" s="7">
        <v>135</v>
      </c>
      <c r="C361">
        <f t="shared" si="5"/>
        <v>12</v>
      </c>
    </row>
    <row r="362" spans="1:3" x14ac:dyDescent="0.35">
      <c r="A362" s="4">
        <v>44922</v>
      </c>
      <c r="B362" s="5">
        <v>0</v>
      </c>
      <c r="C362">
        <f t="shared" si="5"/>
        <v>12</v>
      </c>
    </row>
    <row r="363" spans="1:3" x14ac:dyDescent="0.35">
      <c r="A363" s="6">
        <v>44923</v>
      </c>
      <c r="B363" s="7">
        <v>153</v>
      </c>
      <c r="C363">
        <f t="shared" si="5"/>
        <v>12</v>
      </c>
    </row>
    <row r="364" spans="1:3" x14ac:dyDescent="0.35">
      <c r="A364" s="4">
        <v>44924</v>
      </c>
      <c r="B364" s="5">
        <v>0</v>
      </c>
      <c r="C364">
        <f t="shared" si="5"/>
        <v>12</v>
      </c>
    </row>
    <row r="365" spans="1:3" x14ac:dyDescent="0.35">
      <c r="A365" s="6">
        <v>44925</v>
      </c>
      <c r="B365" s="7">
        <v>0</v>
      </c>
      <c r="C365">
        <f t="shared" si="5"/>
        <v>12</v>
      </c>
    </row>
    <row r="366" spans="1:3" x14ac:dyDescent="0.35">
      <c r="A366" s="8">
        <v>44926</v>
      </c>
      <c r="B366" s="1">
        <v>144</v>
      </c>
      <c r="C366">
        <f t="shared" si="5"/>
        <v>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1F1C-45CA-4C5F-96EA-6D82448A91FE}">
  <dimension ref="A1:K366"/>
  <sheetViews>
    <sheetView tabSelected="1" zoomScale="85" zoomScaleNormal="85" workbookViewId="0">
      <selection activeCell="E12" sqref="E12"/>
    </sheetView>
  </sheetViews>
  <sheetFormatPr defaultRowHeight="14.5" x14ac:dyDescent="0.35"/>
  <cols>
    <col min="1" max="1" width="10.54296875" bestFit="1" customWidth="1"/>
    <col min="2" max="2" width="10" bestFit="1" customWidth="1"/>
    <col min="5" max="5" width="11" bestFit="1" customWidth="1"/>
    <col min="6" max="6" width="10.54296875" bestFit="1" customWidth="1"/>
    <col min="7" max="7" width="12.7265625" bestFit="1" customWidth="1"/>
    <col min="8" max="8" width="10.1796875" bestFit="1" customWidth="1"/>
  </cols>
  <sheetData>
    <row r="1" spans="1:11" x14ac:dyDescent="0.35">
      <c r="A1" s="2" t="s">
        <v>0</v>
      </c>
      <c r="B1" s="3" t="s">
        <v>1</v>
      </c>
      <c r="C1" t="s">
        <v>3</v>
      </c>
      <c r="D1" t="s">
        <v>2</v>
      </c>
      <c r="E1" t="s">
        <v>4</v>
      </c>
      <c r="F1" t="s">
        <v>5</v>
      </c>
      <c r="G1" t="s">
        <v>7</v>
      </c>
      <c r="H1" t="s">
        <v>6</v>
      </c>
      <c r="I1" t="s">
        <v>26</v>
      </c>
      <c r="J1">
        <f>COUNTIF(I2:I366,"&gt;0")</f>
        <v>94</v>
      </c>
      <c r="K1">
        <f>SUM(I2:I366)</f>
        <v>19152</v>
      </c>
    </row>
    <row r="2" spans="1:11" x14ac:dyDescent="0.35">
      <c r="A2" s="4">
        <v>44562</v>
      </c>
      <c r="B2" s="5">
        <v>0</v>
      </c>
      <c r="C2">
        <f>WEEKDAY(A2)</f>
        <v>7</v>
      </c>
      <c r="D2">
        <f>IF(C2=3,260,190)+F2</f>
        <v>190</v>
      </c>
      <c r="E2">
        <f>IF(B2=0,1)</f>
        <v>1</v>
      </c>
      <c r="F2">
        <f>IF(AND(MONTH(A2)&gt;=4,MONTH(A2)&lt;=9,OR(E2=5,E2=10,E2=15,E2=20)),300,0)</f>
        <v>0</v>
      </c>
      <c r="G2">
        <f>5000</f>
        <v>5000</v>
      </c>
      <c r="H2">
        <f>IF(G2-D2&lt;0,0,G2-D2)</f>
        <v>4810</v>
      </c>
      <c r="I2">
        <f>IF(H2=0,ABS(G2-D2),0)</f>
        <v>0</v>
      </c>
    </row>
    <row r="3" spans="1:11" x14ac:dyDescent="0.35">
      <c r="A3" s="6">
        <v>44563</v>
      </c>
      <c r="B3" s="7">
        <v>0</v>
      </c>
      <c r="C3">
        <f t="shared" ref="C3:C66" si="0">WEEKDAY(A3)</f>
        <v>1</v>
      </c>
      <c r="D3">
        <f>IF(C3=3,260,190)+F3</f>
        <v>190</v>
      </c>
      <c r="E3">
        <f>IF(B3=0,E2+1,0)</f>
        <v>2</v>
      </c>
      <c r="F3">
        <f t="shared" ref="F3:F66" si="1">IF(AND(MONTH(A3)&gt;=4,MONTH(A3)&lt;=9,OR(E3=5,E3=10,E3=15,E3=20)),300,0)</f>
        <v>0</v>
      </c>
      <c r="G3">
        <f>H2+B3</f>
        <v>4810</v>
      </c>
      <c r="H3">
        <f t="shared" ref="H3:H66" si="2">IF(G3-D3&lt;0,0,G3-D3)</f>
        <v>4620</v>
      </c>
      <c r="I3">
        <f t="shared" ref="I3:I66" si="3">IF(H3=0,ABS(G3-D3),0)</f>
        <v>0</v>
      </c>
    </row>
    <row r="4" spans="1:11" x14ac:dyDescent="0.35">
      <c r="A4" s="4">
        <v>44564</v>
      </c>
      <c r="B4" s="5">
        <v>0</v>
      </c>
      <c r="C4">
        <f t="shared" si="0"/>
        <v>2</v>
      </c>
      <c r="D4">
        <f t="shared" ref="D4:D67" si="4">IF(C4=3,260,190)+F4</f>
        <v>190</v>
      </c>
      <c r="E4">
        <f t="shared" ref="E4:E67" si="5">IF(B4=0,E3+1,0)</f>
        <v>3</v>
      </c>
      <c r="F4">
        <f t="shared" si="1"/>
        <v>0</v>
      </c>
      <c r="G4">
        <f t="shared" ref="G4:G67" si="6">H3+B4</f>
        <v>4620</v>
      </c>
      <c r="H4">
        <f t="shared" si="2"/>
        <v>4430</v>
      </c>
      <c r="I4">
        <f t="shared" si="3"/>
        <v>0</v>
      </c>
    </row>
    <row r="5" spans="1:11" x14ac:dyDescent="0.35">
      <c r="A5" s="6">
        <v>44565</v>
      </c>
      <c r="B5" s="7">
        <v>0</v>
      </c>
      <c r="C5">
        <f t="shared" si="0"/>
        <v>3</v>
      </c>
      <c r="D5">
        <f t="shared" si="4"/>
        <v>260</v>
      </c>
      <c r="E5">
        <f t="shared" si="5"/>
        <v>4</v>
      </c>
      <c r="F5">
        <f t="shared" si="1"/>
        <v>0</v>
      </c>
      <c r="G5">
        <f t="shared" si="6"/>
        <v>4430</v>
      </c>
      <c r="H5">
        <f t="shared" si="2"/>
        <v>4170</v>
      </c>
      <c r="I5">
        <f t="shared" si="3"/>
        <v>0</v>
      </c>
    </row>
    <row r="6" spans="1:11" x14ac:dyDescent="0.35">
      <c r="A6" s="4">
        <v>44566</v>
      </c>
      <c r="B6" s="5">
        <v>0</v>
      </c>
      <c r="C6">
        <f t="shared" si="0"/>
        <v>4</v>
      </c>
      <c r="D6">
        <f t="shared" si="4"/>
        <v>190</v>
      </c>
      <c r="E6">
        <f t="shared" si="5"/>
        <v>5</v>
      </c>
      <c r="F6">
        <f t="shared" si="1"/>
        <v>0</v>
      </c>
      <c r="G6">
        <f t="shared" si="6"/>
        <v>4170</v>
      </c>
      <c r="H6">
        <f t="shared" si="2"/>
        <v>3980</v>
      </c>
      <c r="I6">
        <f t="shared" si="3"/>
        <v>0</v>
      </c>
    </row>
    <row r="7" spans="1:11" x14ac:dyDescent="0.35">
      <c r="A7" s="6">
        <v>44567</v>
      </c>
      <c r="B7" s="7">
        <v>0</v>
      </c>
      <c r="C7">
        <f t="shared" si="0"/>
        <v>5</v>
      </c>
      <c r="D7">
        <f t="shared" si="4"/>
        <v>190</v>
      </c>
      <c r="E7">
        <f t="shared" si="5"/>
        <v>6</v>
      </c>
      <c r="F7">
        <f t="shared" si="1"/>
        <v>0</v>
      </c>
      <c r="G7">
        <f t="shared" si="6"/>
        <v>3980</v>
      </c>
      <c r="H7">
        <f t="shared" si="2"/>
        <v>3790</v>
      </c>
      <c r="I7">
        <f t="shared" si="3"/>
        <v>0</v>
      </c>
    </row>
    <row r="8" spans="1:11" x14ac:dyDescent="0.35">
      <c r="A8" s="4">
        <v>44568</v>
      </c>
      <c r="B8" s="5">
        <v>0</v>
      </c>
      <c r="C8">
        <f t="shared" si="0"/>
        <v>6</v>
      </c>
      <c r="D8">
        <f t="shared" si="4"/>
        <v>190</v>
      </c>
      <c r="E8">
        <f t="shared" si="5"/>
        <v>7</v>
      </c>
      <c r="F8">
        <f t="shared" si="1"/>
        <v>0</v>
      </c>
      <c r="G8">
        <f t="shared" si="6"/>
        <v>3790</v>
      </c>
      <c r="H8">
        <f t="shared" si="2"/>
        <v>3600</v>
      </c>
      <c r="I8">
        <f t="shared" si="3"/>
        <v>0</v>
      </c>
    </row>
    <row r="9" spans="1:11" x14ac:dyDescent="0.35">
      <c r="A9" s="6">
        <v>44569</v>
      </c>
      <c r="B9" s="7">
        <v>41</v>
      </c>
      <c r="C9">
        <f t="shared" si="0"/>
        <v>7</v>
      </c>
      <c r="D9">
        <f t="shared" si="4"/>
        <v>190</v>
      </c>
      <c r="E9">
        <f t="shared" si="5"/>
        <v>0</v>
      </c>
      <c r="F9">
        <f t="shared" si="1"/>
        <v>0</v>
      </c>
      <c r="G9">
        <f t="shared" si="6"/>
        <v>3641</v>
      </c>
      <c r="H9">
        <f t="shared" si="2"/>
        <v>3451</v>
      </c>
      <c r="I9">
        <f t="shared" si="3"/>
        <v>0</v>
      </c>
    </row>
    <row r="10" spans="1:11" x14ac:dyDescent="0.35">
      <c r="A10" s="4">
        <v>44570</v>
      </c>
      <c r="B10" s="5">
        <v>79</v>
      </c>
      <c r="C10">
        <f t="shared" si="0"/>
        <v>1</v>
      </c>
      <c r="D10">
        <f t="shared" si="4"/>
        <v>190</v>
      </c>
      <c r="E10">
        <f t="shared" si="5"/>
        <v>0</v>
      </c>
      <c r="F10">
        <f t="shared" si="1"/>
        <v>0</v>
      </c>
      <c r="G10">
        <f t="shared" si="6"/>
        <v>3530</v>
      </c>
      <c r="H10">
        <f t="shared" si="2"/>
        <v>3340</v>
      </c>
      <c r="I10">
        <f t="shared" si="3"/>
        <v>0</v>
      </c>
    </row>
    <row r="11" spans="1:11" x14ac:dyDescent="0.35">
      <c r="A11" s="6">
        <v>44571</v>
      </c>
      <c r="B11" s="7">
        <v>163</v>
      </c>
      <c r="C11">
        <f t="shared" si="0"/>
        <v>2</v>
      </c>
      <c r="D11">
        <f t="shared" si="4"/>
        <v>190</v>
      </c>
      <c r="E11">
        <f t="shared" si="5"/>
        <v>0</v>
      </c>
      <c r="F11">
        <f t="shared" si="1"/>
        <v>0</v>
      </c>
      <c r="G11">
        <f t="shared" si="6"/>
        <v>3503</v>
      </c>
      <c r="H11">
        <f t="shared" si="2"/>
        <v>3313</v>
      </c>
      <c r="I11">
        <f t="shared" si="3"/>
        <v>0</v>
      </c>
    </row>
    <row r="12" spans="1:11" x14ac:dyDescent="0.35">
      <c r="A12" s="4">
        <v>44572</v>
      </c>
      <c r="B12" s="5">
        <v>259</v>
      </c>
      <c r="C12">
        <f t="shared" si="0"/>
        <v>3</v>
      </c>
      <c r="D12">
        <f t="shared" si="4"/>
        <v>260</v>
      </c>
      <c r="E12">
        <f t="shared" si="5"/>
        <v>0</v>
      </c>
      <c r="F12">
        <f t="shared" si="1"/>
        <v>0</v>
      </c>
      <c r="G12">
        <f t="shared" si="6"/>
        <v>3572</v>
      </c>
      <c r="H12">
        <f t="shared" si="2"/>
        <v>3312</v>
      </c>
      <c r="I12">
        <f t="shared" si="3"/>
        <v>0</v>
      </c>
    </row>
    <row r="13" spans="1:11" x14ac:dyDescent="0.35">
      <c r="A13" s="6">
        <v>44573</v>
      </c>
      <c r="B13" s="7">
        <v>368</v>
      </c>
      <c r="C13">
        <f t="shared" si="0"/>
        <v>4</v>
      </c>
      <c r="D13">
        <f t="shared" si="4"/>
        <v>190</v>
      </c>
      <c r="E13">
        <f t="shared" si="5"/>
        <v>0</v>
      </c>
      <c r="F13">
        <f t="shared" si="1"/>
        <v>0</v>
      </c>
      <c r="G13">
        <f t="shared" si="6"/>
        <v>3680</v>
      </c>
      <c r="H13">
        <f t="shared" si="2"/>
        <v>3490</v>
      </c>
      <c r="I13">
        <f t="shared" si="3"/>
        <v>0</v>
      </c>
    </row>
    <row r="14" spans="1:11" x14ac:dyDescent="0.35">
      <c r="A14" s="4">
        <v>44574</v>
      </c>
      <c r="B14" s="5">
        <v>45</v>
      </c>
      <c r="C14">
        <f t="shared" si="0"/>
        <v>5</v>
      </c>
      <c r="D14">
        <f t="shared" si="4"/>
        <v>190</v>
      </c>
      <c r="E14">
        <f t="shared" si="5"/>
        <v>0</v>
      </c>
      <c r="F14">
        <f t="shared" si="1"/>
        <v>0</v>
      </c>
      <c r="G14">
        <f t="shared" si="6"/>
        <v>3535</v>
      </c>
      <c r="H14">
        <f t="shared" si="2"/>
        <v>3345</v>
      </c>
      <c r="I14">
        <f t="shared" si="3"/>
        <v>0</v>
      </c>
    </row>
    <row r="15" spans="1:11" x14ac:dyDescent="0.35">
      <c r="A15" s="6">
        <v>44575</v>
      </c>
      <c r="B15" s="7">
        <v>0</v>
      </c>
      <c r="C15">
        <f t="shared" si="0"/>
        <v>6</v>
      </c>
      <c r="D15">
        <f t="shared" si="4"/>
        <v>190</v>
      </c>
      <c r="E15">
        <f t="shared" si="5"/>
        <v>1</v>
      </c>
      <c r="F15">
        <f t="shared" si="1"/>
        <v>0</v>
      </c>
      <c r="G15">
        <f t="shared" si="6"/>
        <v>3345</v>
      </c>
      <c r="H15">
        <f t="shared" si="2"/>
        <v>3155</v>
      </c>
      <c r="I15">
        <f t="shared" si="3"/>
        <v>0</v>
      </c>
    </row>
    <row r="16" spans="1:11" x14ac:dyDescent="0.35">
      <c r="A16" s="4">
        <v>44576</v>
      </c>
      <c r="B16" s="5">
        <v>0</v>
      </c>
      <c r="C16">
        <f t="shared" si="0"/>
        <v>7</v>
      </c>
      <c r="D16">
        <f t="shared" si="4"/>
        <v>190</v>
      </c>
      <c r="E16">
        <f t="shared" si="5"/>
        <v>2</v>
      </c>
      <c r="F16">
        <f t="shared" si="1"/>
        <v>0</v>
      </c>
      <c r="G16">
        <f t="shared" si="6"/>
        <v>3155</v>
      </c>
      <c r="H16">
        <f t="shared" si="2"/>
        <v>2965</v>
      </c>
      <c r="I16">
        <f t="shared" si="3"/>
        <v>0</v>
      </c>
    </row>
    <row r="17" spans="1:9" x14ac:dyDescent="0.35">
      <c r="A17" s="6">
        <v>44577</v>
      </c>
      <c r="B17" s="7">
        <v>0</v>
      </c>
      <c r="C17">
        <f t="shared" si="0"/>
        <v>1</v>
      </c>
      <c r="D17">
        <f t="shared" si="4"/>
        <v>190</v>
      </c>
      <c r="E17">
        <f t="shared" si="5"/>
        <v>3</v>
      </c>
      <c r="F17">
        <f t="shared" si="1"/>
        <v>0</v>
      </c>
      <c r="G17">
        <f t="shared" si="6"/>
        <v>2965</v>
      </c>
      <c r="H17">
        <f t="shared" si="2"/>
        <v>2775</v>
      </c>
      <c r="I17">
        <f t="shared" si="3"/>
        <v>0</v>
      </c>
    </row>
    <row r="18" spans="1:9" x14ac:dyDescent="0.35">
      <c r="A18" s="4">
        <v>44578</v>
      </c>
      <c r="B18" s="5">
        <v>0</v>
      </c>
      <c r="C18">
        <f t="shared" si="0"/>
        <v>2</v>
      </c>
      <c r="D18">
        <f t="shared" si="4"/>
        <v>190</v>
      </c>
      <c r="E18">
        <f t="shared" si="5"/>
        <v>4</v>
      </c>
      <c r="F18">
        <f t="shared" si="1"/>
        <v>0</v>
      </c>
      <c r="G18">
        <f t="shared" si="6"/>
        <v>2775</v>
      </c>
      <c r="H18">
        <f t="shared" si="2"/>
        <v>2585</v>
      </c>
      <c r="I18">
        <f t="shared" si="3"/>
        <v>0</v>
      </c>
    </row>
    <row r="19" spans="1:9" x14ac:dyDescent="0.35">
      <c r="A19" s="6">
        <v>44579</v>
      </c>
      <c r="B19" s="7">
        <v>0</v>
      </c>
      <c r="C19">
        <f t="shared" si="0"/>
        <v>3</v>
      </c>
      <c r="D19">
        <f t="shared" si="4"/>
        <v>260</v>
      </c>
      <c r="E19">
        <f t="shared" si="5"/>
        <v>5</v>
      </c>
      <c r="F19">
        <f t="shared" si="1"/>
        <v>0</v>
      </c>
      <c r="G19">
        <f t="shared" si="6"/>
        <v>2585</v>
      </c>
      <c r="H19">
        <f t="shared" si="2"/>
        <v>2325</v>
      </c>
      <c r="I19">
        <f t="shared" si="3"/>
        <v>0</v>
      </c>
    </row>
    <row r="20" spans="1:9" x14ac:dyDescent="0.35">
      <c r="A20" s="4">
        <v>44580</v>
      </c>
      <c r="B20" s="5">
        <v>0</v>
      </c>
      <c r="C20">
        <f t="shared" si="0"/>
        <v>4</v>
      </c>
      <c r="D20">
        <f t="shared" si="4"/>
        <v>190</v>
      </c>
      <c r="E20">
        <f t="shared" si="5"/>
        <v>6</v>
      </c>
      <c r="F20">
        <f t="shared" si="1"/>
        <v>0</v>
      </c>
      <c r="G20">
        <f t="shared" si="6"/>
        <v>2325</v>
      </c>
      <c r="H20">
        <f t="shared" si="2"/>
        <v>2135</v>
      </c>
      <c r="I20">
        <f t="shared" si="3"/>
        <v>0</v>
      </c>
    </row>
    <row r="21" spans="1:9" x14ac:dyDescent="0.35">
      <c r="A21" s="6">
        <v>44581</v>
      </c>
      <c r="B21" s="7">
        <v>0</v>
      </c>
      <c r="C21">
        <f t="shared" si="0"/>
        <v>5</v>
      </c>
      <c r="D21">
        <f t="shared" si="4"/>
        <v>190</v>
      </c>
      <c r="E21">
        <f t="shared" si="5"/>
        <v>7</v>
      </c>
      <c r="F21">
        <f t="shared" si="1"/>
        <v>0</v>
      </c>
      <c r="G21">
        <f t="shared" si="6"/>
        <v>2135</v>
      </c>
      <c r="H21">
        <f t="shared" si="2"/>
        <v>1945</v>
      </c>
      <c r="I21">
        <f t="shared" si="3"/>
        <v>0</v>
      </c>
    </row>
    <row r="22" spans="1:9" x14ac:dyDescent="0.35">
      <c r="A22" s="4">
        <v>44582</v>
      </c>
      <c r="B22" s="5">
        <v>0</v>
      </c>
      <c r="C22">
        <f t="shared" si="0"/>
        <v>6</v>
      </c>
      <c r="D22">
        <f t="shared" si="4"/>
        <v>190</v>
      </c>
      <c r="E22">
        <f t="shared" si="5"/>
        <v>8</v>
      </c>
      <c r="F22">
        <f t="shared" si="1"/>
        <v>0</v>
      </c>
      <c r="G22">
        <f t="shared" si="6"/>
        <v>1945</v>
      </c>
      <c r="H22">
        <f t="shared" si="2"/>
        <v>1755</v>
      </c>
      <c r="I22">
        <f t="shared" si="3"/>
        <v>0</v>
      </c>
    </row>
    <row r="23" spans="1:9" x14ac:dyDescent="0.35">
      <c r="A23" s="6">
        <v>44583</v>
      </c>
      <c r="B23" s="7">
        <v>0</v>
      </c>
      <c r="C23">
        <f t="shared" si="0"/>
        <v>7</v>
      </c>
      <c r="D23">
        <f t="shared" si="4"/>
        <v>190</v>
      </c>
      <c r="E23">
        <f t="shared" si="5"/>
        <v>9</v>
      </c>
      <c r="F23">
        <f t="shared" si="1"/>
        <v>0</v>
      </c>
      <c r="G23">
        <f t="shared" si="6"/>
        <v>1755</v>
      </c>
      <c r="H23">
        <f t="shared" si="2"/>
        <v>1565</v>
      </c>
      <c r="I23">
        <f t="shared" si="3"/>
        <v>0</v>
      </c>
    </row>
    <row r="24" spans="1:9" x14ac:dyDescent="0.35">
      <c r="A24" s="4">
        <v>44584</v>
      </c>
      <c r="B24" s="5">
        <v>33</v>
      </c>
      <c r="C24">
        <f t="shared" si="0"/>
        <v>1</v>
      </c>
      <c r="D24">
        <f t="shared" si="4"/>
        <v>190</v>
      </c>
      <c r="E24">
        <f t="shared" si="5"/>
        <v>0</v>
      </c>
      <c r="F24">
        <f t="shared" si="1"/>
        <v>0</v>
      </c>
      <c r="G24">
        <f t="shared" si="6"/>
        <v>1598</v>
      </c>
      <c r="H24">
        <f t="shared" si="2"/>
        <v>1408</v>
      </c>
      <c r="I24">
        <f t="shared" si="3"/>
        <v>0</v>
      </c>
    </row>
    <row r="25" spans="1:9" x14ac:dyDescent="0.35">
      <c r="A25" s="6">
        <v>44585</v>
      </c>
      <c r="B25" s="7">
        <v>75</v>
      </c>
      <c r="C25">
        <f t="shared" si="0"/>
        <v>2</v>
      </c>
      <c r="D25">
        <f t="shared" si="4"/>
        <v>190</v>
      </c>
      <c r="E25">
        <f t="shared" si="5"/>
        <v>0</v>
      </c>
      <c r="F25">
        <f t="shared" si="1"/>
        <v>0</v>
      </c>
      <c r="G25">
        <f t="shared" si="6"/>
        <v>1483</v>
      </c>
      <c r="H25">
        <f t="shared" si="2"/>
        <v>1293</v>
      </c>
      <c r="I25">
        <f t="shared" si="3"/>
        <v>0</v>
      </c>
    </row>
    <row r="26" spans="1:9" x14ac:dyDescent="0.35">
      <c r="A26" s="4">
        <v>44586</v>
      </c>
      <c r="B26" s="5">
        <v>537</v>
      </c>
      <c r="C26">
        <f t="shared" si="0"/>
        <v>3</v>
      </c>
      <c r="D26">
        <f t="shared" si="4"/>
        <v>260</v>
      </c>
      <c r="E26">
        <f t="shared" si="5"/>
        <v>0</v>
      </c>
      <c r="F26">
        <f t="shared" si="1"/>
        <v>0</v>
      </c>
      <c r="G26">
        <f t="shared" si="6"/>
        <v>1830</v>
      </c>
      <c r="H26">
        <f t="shared" si="2"/>
        <v>1570</v>
      </c>
      <c r="I26">
        <f t="shared" si="3"/>
        <v>0</v>
      </c>
    </row>
    <row r="27" spans="1:9" x14ac:dyDescent="0.35">
      <c r="A27" s="6">
        <v>44587</v>
      </c>
      <c r="B27" s="7">
        <v>826</v>
      </c>
      <c r="C27">
        <f t="shared" si="0"/>
        <v>4</v>
      </c>
      <c r="D27">
        <f t="shared" si="4"/>
        <v>190</v>
      </c>
      <c r="E27">
        <f t="shared" si="5"/>
        <v>0</v>
      </c>
      <c r="F27">
        <f t="shared" si="1"/>
        <v>0</v>
      </c>
      <c r="G27">
        <f t="shared" si="6"/>
        <v>2396</v>
      </c>
      <c r="H27">
        <f t="shared" si="2"/>
        <v>2206</v>
      </c>
      <c r="I27">
        <f t="shared" si="3"/>
        <v>0</v>
      </c>
    </row>
    <row r="28" spans="1:9" x14ac:dyDescent="0.35">
      <c r="A28" s="4">
        <v>44588</v>
      </c>
      <c r="B28" s="5">
        <v>26</v>
      </c>
      <c r="C28">
        <f t="shared" si="0"/>
        <v>5</v>
      </c>
      <c r="D28">
        <f t="shared" si="4"/>
        <v>190</v>
      </c>
      <c r="E28">
        <f t="shared" si="5"/>
        <v>0</v>
      </c>
      <c r="F28">
        <f t="shared" si="1"/>
        <v>0</v>
      </c>
      <c r="G28">
        <f t="shared" si="6"/>
        <v>2232</v>
      </c>
      <c r="H28">
        <f t="shared" si="2"/>
        <v>2042</v>
      </c>
      <c r="I28">
        <f t="shared" si="3"/>
        <v>0</v>
      </c>
    </row>
    <row r="29" spans="1:9" x14ac:dyDescent="0.35">
      <c r="A29" s="6">
        <v>44589</v>
      </c>
      <c r="B29" s="7">
        <v>0</v>
      </c>
      <c r="C29">
        <f t="shared" si="0"/>
        <v>6</v>
      </c>
      <c r="D29">
        <f t="shared" si="4"/>
        <v>190</v>
      </c>
      <c r="E29">
        <f t="shared" si="5"/>
        <v>1</v>
      </c>
      <c r="F29">
        <f t="shared" si="1"/>
        <v>0</v>
      </c>
      <c r="G29">
        <f t="shared" si="6"/>
        <v>2042</v>
      </c>
      <c r="H29">
        <f t="shared" si="2"/>
        <v>1852</v>
      </c>
      <c r="I29">
        <f t="shared" si="3"/>
        <v>0</v>
      </c>
    </row>
    <row r="30" spans="1:9" x14ac:dyDescent="0.35">
      <c r="A30" s="4">
        <v>44590</v>
      </c>
      <c r="B30" s="5">
        <v>0</v>
      </c>
      <c r="C30">
        <f t="shared" si="0"/>
        <v>7</v>
      </c>
      <c r="D30">
        <f t="shared" si="4"/>
        <v>190</v>
      </c>
      <c r="E30">
        <f t="shared" si="5"/>
        <v>2</v>
      </c>
      <c r="F30">
        <f t="shared" si="1"/>
        <v>0</v>
      </c>
      <c r="G30">
        <f t="shared" si="6"/>
        <v>1852</v>
      </c>
      <c r="H30">
        <f t="shared" si="2"/>
        <v>1662</v>
      </c>
      <c r="I30">
        <f t="shared" si="3"/>
        <v>0</v>
      </c>
    </row>
    <row r="31" spans="1:9" x14ac:dyDescent="0.35">
      <c r="A31" s="6">
        <v>44591</v>
      </c>
      <c r="B31" s="7">
        <v>0</v>
      </c>
      <c r="C31">
        <f t="shared" si="0"/>
        <v>1</v>
      </c>
      <c r="D31">
        <f t="shared" si="4"/>
        <v>190</v>
      </c>
      <c r="E31">
        <f t="shared" si="5"/>
        <v>3</v>
      </c>
      <c r="F31">
        <f t="shared" si="1"/>
        <v>0</v>
      </c>
      <c r="G31">
        <f t="shared" si="6"/>
        <v>1662</v>
      </c>
      <c r="H31">
        <f t="shared" si="2"/>
        <v>1472</v>
      </c>
      <c r="I31">
        <f t="shared" si="3"/>
        <v>0</v>
      </c>
    </row>
    <row r="32" spans="1:9" x14ac:dyDescent="0.35">
      <c r="A32" s="4">
        <v>44592</v>
      </c>
      <c r="B32" s="5">
        <v>0</v>
      </c>
      <c r="C32">
        <f t="shared" si="0"/>
        <v>2</v>
      </c>
      <c r="D32">
        <f t="shared" si="4"/>
        <v>190</v>
      </c>
      <c r="E32">
        <f t="shared" si="5"/>
        <v>4</v>
      </c>
      <c r="F32">
        <f t="shared" si="1"/>
        <v>0</v>
      </c>
      <c r="G32">
        <f t="shared" si="6"/>
        <v>1472</v>
      </c>
      <c r="H32">
        <f t="shared" si="2"/>
        <v>1282</v>
      </c>
      <c r="I32">
        <f t="shared" si="3"/>
        <v>0</v>
      </c>
    </row>
    <row r="33" spans="1:9" x14ac:dyDescent="0.35">
      <c r="A33" s="6">
        <v>44593</v>
      </c>
      <c r="B33" s="7">
        <v>0</v>
      </c>
      <c r="C33">
        <f t="shared" si="0"/>
        <v>3</v>
      </c>
      <c r="D33">
        <f t="shared" si="4"/>
        <v>260</v>
      </c>
      <c r="E33">
        <f t="shared" si="5"/>
        <v>5</v>
      </c>
      <c r="F33">
        <f t="shared" si="1"/>
        <v>0</v>
      </c>
      <c r="G33">
        <f t="shared" si="6"/>
        <v>1282</v>
      </c>
      <c r="H33">
        <f t="shared" si="2"/>
        <v>1022</v>
      </c>
      <c r="I33">
        <f t="shared" si="3"/>
        <v>0</v>
      </c>
    </row>
    <row r="34" spans="1:9" x14ac:dyDescent="0.35">
      <c r="A34" s="4">
        <v>44594</v>
      </c>
      <c r="B34" s="5">
        <v>0</v>
      </c>
      <c r="C34">
        <f t="shared" si="0"/>
        <v>4</v>
      </c>
      <c r="D34">
        <f t="shared" si="4"/>
        <v>190</v>
      </c>
      <c r="E34">
        <f t="shared" si="5"/>
        <v>6</v>
      </c>
      <c r="F34">
        <f t="shared" si="1"/>
        <v>0</v>
      </c>
      <c r="G34">
        <f t="shared" si="6"/>
        <v>1022</v>
      </c>
      <c r="H34">
        <f t="shared" si="2"/>
        <v>832</v>
      </c>
      <c r="I34">
        <f t="shared" si="3"/>
        <v>0</v>
      </c>
    </row>
    <row r="35" spans="1:9" x14ac:dyDescent="0.35">
      <c r="A35" s="6">
        <v>44595</v>
      </c>
      <c r="B35" s="7">
        <v>0</v>
      </c>
      <c r="C35">
        <f t="shared" si="0"/>
        <v>5</v>
      </c>
      <c r="D35">
        <f t="shared" si="4"/>
        <v>190</v>
      </c>
      <c r="E35">
        <f t="shared" si="5"/>
        <v>7</v>
      </c>
      <c r="F35">
        <f t="shared" si="1"/>
        <v>0</v>
      </c>
      <c r="G35">
        <f t="shared" si="6"/>
        <v>832</v>
      </c>
      <c r="H35">
        <f t="shared" si="2"/>
        <v>642</v>
      </c>
      <c r="I35">
        <f t="shared" si="3"/>
        <v>0</v>
      </c>
    </row>
    <row r="36" spans="1:9" x14ac:dyDescent="0.35">
      <c r="A36" s="4">
        <v>44596</v>
      </c>
      <c r="B36" s="5">
        <v>0</v>
      </c>
      <c r="C36">
        <f t="shared" si="0"/>
        <v>6</v>
      </c>
      <c r="D36">
        <f t="shared" si="4"/>
        <v>190</v>
      </c>
      <c r="E36">
        <f t="shared" si="5"/>
        <v>8</v>
      </c>
      <c r="F36">
        <f t="shared" si="1"/>
        <v>0</v>
      </c>
      <c r="G36">
        <f t="shared" si="6"/>
        <v>642</v>
      </c>
      <c r="H36">
        <f t="shared" si="2"/>
        <v>452</v>
      </c>
      <c r="I36">
        <f t="shared" si="3"/>
        <v>0</v>
      </c>
    </row>
    <row r="37" spans="1:9" x14ac:dyDescent="0.35">
      <c r="A37" s="6">
        <v>44597</v>
      </c>
      <c r="B37" s="7">
        <v>97</v>
      </c>
      <c r="C37">
        <f t="shared" si="0"/>
        <v>7</v>
      </c>
      <c r="D37">
        <f t="shared" si="4"/>
        <v>190</v>
      </c>
      <c r="E37">
        <f t="shared" si="5"/>
        <v>0</v>
      </c>
      <c r="F37">
        <f t="shared" si="1"/>
        <v>0</v>
      </c>
      <c r="G37">
        <f t="shared" si="6"/>
        <v>549</v>
      </c>
      <c r="H37">
        <f t="shared" si="2"/>
        <v>359</v>
      </c>
      <c r="I37">
        <f t="shared" si="3"/>
        <v>0</v>
      </c>
    </row>
    <row r="38" spans="1:9" x14ac:dyDescent="0.35">
      <c r="A38" s="4">
        <v>44598</v>
      </c>
      <c r="B38" s="5">
        <v>0</v>
      </c>
      <c r="C38">
        <f t="shared" si="0"/>
        <v>1</v>
      </c>
      <c r="D38">
        <f t="shared" si="4"/>
        <v>190</v>
      </c>
      <c r="E38">
        <f t="shared" si="5"/>
        <v>1</v>
      </c>
      <c r="F38">
        <f t="shared" si="1"/>
        <v>0</v>
      </c>
      <c r="G38">
        <f t="shared" si="6"/>
        <v>359</v>
      </c>
      <c r="H38">
        <f t="shared" si="2"/>
        <v>169</v>
      </c>
      <c r="I38">
        <f t="shared" si="3"/>
        <v>0</v>
      </c>
    </row>
    <row r="39" spans="1:9" x14ac:dyDescent="0.35">
      <c r="A39" s="6">
        <v>44599</v>
      </c>
      <c r="B39" s="7">
        <v>99</v>
      </c>
      <c r="C39">
        <f t="shared" si="0"/>
        <v>2</v>
      </c>
      <c r="D39">
        <f t="shared" si="4"/>
        <v>190</v>
      </c>
      <c r="E39">
        <f t="shared" si="5"/>
        <v>0</v>
      </c>
      <c r="F39">
        <f t="shared" si="1"/>
        <v>0</v>
      </c>
      <c r="G39">
        <f t="shared" si="6"/>
        <v>268</v>
      </c>
      <c r="H39">
        <f t="shared" si="2"/>
        <v>78</v>
      </c>
      <c r="I39">
        <f t="shared" si="3"/>
        <v>0</v>
      </c>
    </row>
    <row r="40" spans="1:9" x14ac:dyDescent="0.35">
      <c r="A40" s="4">
        <v>44600</v>
      </c>
      <c r="B40" s="5">
        <v>0</v>
      </c>
      <c r="C40">
        <f t="shared" si="0"/>
        <v>3</v>
      </c>
      <c r="D40">
        <f t="shared" si="4"/>
        <v>260</v>
      </c>
      <c r="E40">
        <f t="shared" si="5"/>
        <v>1</v>
      </c>
      <c r="F40">
        <f t="shared" si="1"/>
        <v>0</v>
      </c>
      <c r="G40">
        <f t="shared" si="6"/>
        <v>78</v>
      </c>
      <c r="H40">
        <f t="shared" si="2"/>
        <v>0</v>
      </c>
      <c r="I40">
        <f t="shared" si="3"/>
        <v>182</v>
      </c>
    </row>
    <row r="41" spans="1:9" x14ac:dyDescent="0.35">
      <c r="A41" s="6">
        <v>44601</v>
      </c>
      <c r="B41" s="7">
        <v>0</v>
      </c>
      <c r="C41">
        <f t="shared" si="0"/>
        <v>4</v>
      </c>
      <c r="D41">
        <f t="shared" si="4"/>
        <v>190</v>
      </c>
      <c r="E41">
        <f t="shared" si="5"/>
        <v>2</v>
      </c>
      <c r="F41">
        <f t="shared" si="1"/>
        <v>0</v>
      </c>
      <c r="G41">
        <f t="shared" si="6"/>
        <v>0</v>
      </c>
      <c r="H41">
        <f t="shared" si="2"/>
        <v>0</v>
      </c>
      <c r="I41">
        <f t="shared" si="3"/>
        <v>190</v>
      </c>
    </row>
    <row r="42" spans="1:9" x14ac:dyDescent="0.35">
      <c r="A42" s="4">
        <v>44602</v>
      </c>
      <c r="B42" s="5">
        <v>0</v>
      </c>
      <c r="C42">
        <f t="shared" si="0"/>
        <v>5</v>
      </c>
      <c r="D42">
        <f t="shared" si="4"/>
        <v>190</v>
      </c>
      <c r="E42">
        <f t="shared" si="5"/>
        <v>3</v>
      </c>
      <c r="F42">
        <f t="shared" si="1"/>
        <v>0</v>
      </c>
      <c r="G42">
        <f t="shared" si="6"/>
        <v>0</v>
      </c>
      <c r="H42">
        <f t="shared" si="2"/>
        <v>0</v>
      </c>
      <c r="I42">
        <f t="shared" si="3"/>
        <v>190</v>
      </c>
    </row>
    <row r="43" spans="1:9" x14ac:dyDescent="0.35">
      <c r="A43" s="6">
        <v>44603</v>
      </c>
      <c r="B43" s="7">
        <v>97</v>
      </c>
      <c r="C43">
        <f t="shared" si="0"/>
        <v>6</v>
      </c>
      <c r="D43">
        <f t="shared" si="4"/>
        <v>190</v>
      </c>
      <c r="E43">
        <f t="shared" si="5"/>
        <v>0</v>
      </c>
      <c r="F43">
        <f t="shared" si="1"/>
        <v>0</v>
      </c>
      <c r="G43">
        <f t="shared" si="6"/>
        <v>97</v>
      </c>
      <c r="H43">
        <f t="shared" si="2"/>
        <v>0</v>
      </c>
      <c r="I43">
        <f t="shared" si="3"/>
        <v>93</v>
      </c>
    </row>
    <row r="44" spans="1:9" x14ac:dyDescent="0.35">
      <c r="A44" s="4">
        <v>44604</v>
      </c>
      <c r="B44" s="5">
        <v>83</v>
      </c>
      <c r="C44">
        <f t="shared" si="0"/>
        <v>7</v>
      </c>
      <c r="D44">
        <f t="shared" si="4"/>
        <v>190</v>
      </c>
      <c r="E44">
        <f t="shared" si="5"/>
        <v>0</v>
      </c>
      <c r="F44">
        <f t="shared" si="1"/>
        <v>0</v>
      </c>
      <c r="G44">
        <f t="shared" si="6"/>
        <v>83</v>
      </c>
      <c r="H44">
        <f t="shared" si="2"/>
        <v>0</v>
      </c>
      <c r="I44">
        <f t="shared" si="3"/>
        <v>107</v>
      </c>
    </row>
    <row r="45" spans="1:9" x14ac:dyDescent="0.35">
      <c r="A45" s="6">
        <v>44605</v>
      </c>
      <c r="B45" s="7">
        <v>77</v>
      </c>
      <c r="C45">
        <f t="shared" si="0"/>
        <v>1</v>
      </c>
      <c r="D45">
        <f t="shared" si="4"/>
        <v>190</v>
      </c>
      <c r="E45">
        <f t="shared" si="5"/>
        <v>0</v>
      </c>
      <c r="F45">
        <f t="shared" si="1"/>
        <v>0</v>
      </c>
      <c r="G45">
        <f t="shared" si="6"/>
        <v>77</v>
      </c>
      <c r="H45">
        <f t="shared" si="2"/>
        <v>0</v>
      </c>
      <c r="I45">
        <f t="shared" si="3"/>
        <v>113</v>
      </c>
    </row>
    <row r="46" spans="1:9" x14ac:dyDescent="0.35">
      <c r="A46" s="4">
        <v>44606</v>
      </c>
      <c r="B46" s="5">
        <v>195</v>
      </c>
      <c r="C46">
        <f t="shared" si="0"/>
        <v>2</v>
      </c>
      <c r="D46">
        <f t="shared" si="4"/>
        <v>190</v>
      </c>
      <c r="E46">
        <f t="shared" si="5"/>
        <v>0</v>
      </c>
      <c r="F46">
        <f t="shared" si="1"/>
        <v>0</v>
      </c>
      <c r="G46">
        <f t="shared" si="6"/>
        <v>195</v>
      </c>
      <c r="H46">
        <f t="shared" si="2"/>
        <v>5</v>
      </c>
      <c r="I46">
        <f t="shared" si="3"/>
        <v>0</v>
      </c>
    </row>
    <row r="47" spans="1:9" x14ac:dyDescent="0.35">
      <c r="A47" s="6">
        <v>44607</v>
      </c>
      <c r="B47" s="7">
        <v>145</v>
      </c>
      <c r="C47">
        <f t="shared" si="0"/>
        <v>3</v>
      </c>
      <c r="D47">
        <f t="shared" si="4"/>
        <v>260</v>
      </c>
      <c r="E47">
        <f t="shared" si="5"/>
        <v>0</v>
      </c>
      <c r="F47">
        <f t="shared" si="1"/>
        <v>0</v>
      </c>
      <c r="G47">
        <f t="shared" si="6"/>
        <v>150</v>
      </c>
      <c r="H47">
        <f t="shared" si="2"/>
        <v>0</v>
      </c>
      <c r="I47">
        <f t="shared" si="3"/>
        <v>110</v>
      </c>
    </row>
    <row r="48" spans="1:9" x14ac:dyDescent="0.35">
      <c r="A48" s="4">
        <v>44608</v>
      </c>
      <c r="B48" s="5">
        <v>90</v>
      </c>
      <c r="C48">
        <f t="shared" si="0"/>
        <v>4</v>
      </c>
      <c r="D48">
        <f t="shared" si="4"/>
        <v>190</v>
      </c>
      <c r="E48">
        <f t="shared" si="5"/>
        <v>0</v>
      </c>
      <c r="F48">
        <f t="shared" si="1"/>
        <v>0</v>
      </c>
      <c r="G48">
        <f t="shared" si="6"/>
        <v>90</v>
      </c>
      <c r="H48">
        <f t="shared" si="2"/>
        <v>0</v>
      </c>
      <c r="I48">
        <f t="shared" si="3"/>
        <v>100</v>
      </c>
    </row>
    <row r="49" spans="1:9" x14ac:dyDescent="0.35">
      <c r="A49" s="6">
        <v>44609</v>
      </c>
      <c r="B49" s="7">
        <v>0</v>
      </c>
      <c r="C49">
        <f t="shared" si="0"/>
        <v>5</v>
      </c>
      <c r="D49">
        <f t="shared" si="4"/>
        <v>190</v>
      </c>
      <c r="E49">
        <f t="shared" si="5"/>
        <v>1</v>
      </c>
      <c r="F49">
        <f t="shared" si="1"/>
        <v>0</v>
      </c>
      <c r="G49">
        <f t="shared" si="6"/>
        <v>0</v>
      </c>
      <c r="H49">
        <f t="shared" si="2"/>
        <v>0</v>
      </c>
      <c r="I49">
        <f t="shared" si="3"/>
        <v>190</v>
      </c>
    </row>
    <row r="50" spans="1:9" x14ac:dyDescent="0.35">
      <c r="A50" s="4">
        <v>44610</v>
      </c>
      <c r="B50" s="5">
        <v>0</v>
      </c>
      <c r="C50">
        <f t="shared" si="0"/>
        <v>6</v>
      </c>
      <c r="D50">
        <f t="shared" si="4"/>
        <v>190</v>
      </c>
      <c r="E50">
        <f t="shared" si="5"/>
        <v>2</v>
      </c>
      <c r="F50">
        <f t="shared" si="1"/>
        <v>0</v>
      </c>
      <c r="G50">
        <f t="shared" si="6"/>
        <v>0</v>
      </c>
      <c r="H50">
        <f t="shared" si="2"/>
        <v>0</v>
      </c>
      <c r="I50">
        <f t="shared" si="3"/>
        <v>190</v>
      </c>
    </row>
    <row r="51" spans="1:9" x14ac:dyDescent="0.35">
      <c r="A51" s="6">
        <v>44611</v>
      </c>
      <c r="B51" s="7">
        <v>93</v>
      </c>
      <c r="C51">
        <f t="shared" si="0"/>
        <v>7</v>
      </c>
      <c r="D51">
        <f t="shared" si="4"/>
        <v>190</v>
      </c>
      <c r="E51">
        <f t="shared" si="5"/>
        <v>0</v>
      </c>
      <c r="F51">
        <f t="shared" si="1"/>
        <v>0</v>
      </c>
      <c r="G51">
        <f t="shared" si="6"/>
        <v>93</v>
      </c>
      <c r="H51">
        <f t="shared" si="2"/>
        <v>0</v>
      </c>
      <c r="I51">
        <f t="shared" si="3"/>
        <v>97</v>
      </c>
    </row>
    <row r="52" spans="1:9" x14ac:dyDescent="0.35">
      <c r="A52" s="4">
        <v>44612</v>
      </c>
      <c r="B52" s="5">
        <v>0</v>
      </c>
      <c r="C52">
        <f t="shared" si="0"/>
        <v>1</v>
      </c>
      <c r="D52">
        <f t="shared" si="4"/>
        <v>190</v>
      </c>
      <c r="E52">
        <f t="shared" si="5"/>
        <v>1</v>
      </c>
      <c r="F52">
        <f t="shared" si="1"/>
        <v>0</v>
      </c>
      <c r="G52">
        <f t="shared" si="6"/>
        <v>0</v>
      </c>
      <c r="H52">
        <f t="shared" si="2"/>
        <v>0</v>
      </c>
      <c r="I52">
        <f t="shared" si="3"/>
        <v>190</v>
      </c>
    </row>
    <row r="53" spans="1:9" x14ac:dyDescent="0.35">
      <c r="A53" s="6">
        <v>44613</v>
      </c>
      <c r="B53" s="7">
        <v>0</v>
      </c>
      <c r="C53">
        <f t="shared" si="0"/>
        <v>2</v>
      </c>
      <c r="D53">
        <f t="shared" si="4"/>
        <v>190</v>
      </c>
      <c r="E53">
        <f t="shared" si="5"/>
        <v>2</v>
      </c>
      <c r="F53">
        <f t="shared" si="1"/>
        <v>0</v>
      </c>
      <c r="G53">
        <f t="shared" si="6"/>
        <v>0</v>
      </c>
      <c r="H53">
        <f t="shared" si="2"/>
        <v>0</v>
      </c>
      <c r="I53">
        <f t="shared" si="3"/>
        <v>190</v>
      </c>
    </row>
    <row r="54" spans="1:9" x14ac:dyDescent="0.35">
      <c r="A54" s="4">
        <v>44614</v>
      </c>
      <c r="B54" s="5">
        <v>93</v>
      </c>
      <c r="C54">
        <f t="shared" si="0"/>
        <v>3</v>
      </c>
      <c r="D54">
        <f t="shared" si="4"/>
        <v>260</v>
      </c>
      <c r="E54">
        <f t="shared" si="5"/>
        <v>0</v>
      </c>
      <c r="F54">
        <f t="shared" si="1"/>
        <v>0</v>
      </c>
      <c r="G54">
        <f t="shared" si="6"/>
        <v>93</v>
      </c>
      <c r="H54">
        <f t="shared" si="2"/>
        <v>0</v>
      </c>
      <c r="I54">
        <f t="shared" si="3"/>
        <v>167</v>
      </c>
    </row>
    <row r="55" spans="1:9" x14ac:dyDescent="0.35">
      <c r="A55" s="6">
        <v>44615</v>
      </c>
      <c r="B55" s="7">
        <v>0</v>
      </c>
      <c r="C55">
        <f t="shared" si="0"/>
        <v>4</v>
      </c>
      <c r="D55">
        <f t="shared" si="4"/>
        <v>190</v>
      </c>
      <c r="E55">
        <f t="shared" si="5"/>
        <v>1</v>
      </c>
      <c r="F55">
        <f t="shared" si="1"/>
        <v>0</v>
      </c>
      <c r="G55">
        <f t="shared" si="6"/>
        <v>0</v>
      </c>
      <c r="H55">
        <f t="shared" si="2"/>
        <v>0</v>
      </c>
      <c r="I55">
        <f t="shared" si="3"/>
        <v>190</v>
      </c>
    </row>
    <row r="56" spans="1:9" x14ac:dyDescent="0.35">
      <c r="A56" s="4">
        <v>44616</v>
      </c>
      <c r="B56" s="5">
        <v>0</v>
      </c>
      <c r="C56">
        <f t="shared" si="0"/>
        <v>5</v>
      </c>
      <c r="D56">
        <f t="shared" si="4"/>
        <v>190</v>
      </c>
      <c r="E56">
        <f t="shared" si="5"/>
        <v>2</v>
      </c>
      <c r="F56">
        <f t="shared" si="1"/>
        <v>0</v>
      </c>
      <c r="G56">
        <f t="shared" si="6"/>
        <v>0</v>
      </c>
      <c r="H56">
        <f t="shared" si="2"/>
        <v>0</v>
      </c>
      <c r="I56">
        <f t="shared" si="3"/>
        <v>190</v>
      </c>
    </row>
    <row r="57" spans="1:9" x14ac:dyDescent="0.35">
      <c r="A57" s="6">
        <v>44617</v>
      </c>
      <c r="B57" s="7">
        <v>0</v>
      </c>
      <c r="C57">
        <f t="shared" si="0"/>
        <v>6</v>
      </c>
      <c r="D57">
        <f t="shared" si="4"/>
        <v>190</v>
      </c>
      <c r="E57">
        <f t="shared" si="5"/>
        <v>3</v>
      </c>
      <c r="F57">
        <f t="shared" si="1"/>
        <v>0</v>
      </c>
      <c r="G57">
        <f t="shared" si="6"/>
        <v>0</v>
      </c>
      <c r="H57">
        <f t="shared" si="2"/>
        <v>0</v>
      </c>
      <c r="I57">
        <f t="shared" si="3"/>
        <v>190</v>
      </c>
    </row>
    <row r="58" spans="1:9" x14ac:dyDescent="0.35">
      <c r="A58" s="4">
        <v>44618</v>
      </c>
      <c r="B58" s="5">
        <v>228</v>
      </c>
      <c r="C58">
        <f t="shared" si="0"/>
        <v>7</v>
      </c>
      <c r="D58">
        <f t="shared" si="4"/>
        <v>190</v>
      </c>
      <c r="E58">
        <f t="shared" si="5"/>
        <v>0</v>
      </c>
      <c r="F58">
        <f t="shared" si="1"/>
        <v>0</v>
      </c>
      <c r="G58">
        <f t="shared" si="6"/>
        <v>228</v>
      </c>
      <c r="H58">
        <f t="shared" si="2"/>
        <v>38</v>
      </c>
      <c r="I58">
        <f t="shared" si="3"/>
        <v>0</v>
      </c>
    </row>
    <row r="59" spans="1:9" x14ac:dyDescent="0.35">
      <c r="A59" s="6">
        <v>44619</v>
      </c>
      <c r="B59" s="7">
        <v>0</v>
      </c>
      <c r="C59">
        <f t="shared" si="0"/>
        <v>1</v>
      </c>
      <c r="D59">
        <f t="shared" si="4"/>
        <v>190</v>
      </c>
      <c r="E59">
        <f t="shared" si="5"/>
        <v>1</v>
      </c>
      <c r="F59">
        <f t="shared" si="1"/>
        <v>0</v>
      </c>
      <c r="G59">
        <f t="shared" si="6"/>
        <v>38</v>
      </c>
      <c r="H59">
        <f t="shared" si="2"/>
        <v>0</v>
      </c>
      <c r="I59">
        <f t="shared" si="3"/>
        <v>152</v>
      </c>
    </row>
    <row r="60" spans="1:9" x14ac:dyDescent="0.35">
      <c r="A60" s="4">
        <v>44620</v>
      </c>
      <c r="B60" s="5">
        <v>84</v>
      </c>
      <c r="C60">
        <f t="shared" si="0"/>
        <v>2</v>
      </c>
      <c r="D60">
        <f t="shared" si="4"/>
        <v>190</v>
      </c>
      <c r="E60">
        <f t="shared" si="5"/>
        <v>0</v>
      </c>
      <c r="F60">
        <f t="shared" si="1"/>
        <v>0</v>
      </c>
      <c r="G60">
        <f t="shared" si="6"/>
        <v>84</v>
      </c>
      <c r="H60">
        <f t="shared" si="2"/>
        <v>0</v>
      </c>
      <c r="I60">
        <f t="shared" si="3"/>
        <v>106</v>
      </c>
    </row>
    <row r="61" spans="1:9" x14ac:dyDescent="0.35">
      <c r="A61" s="6">
        <v>44621</v>
      </c>
      <c r="B61" s="7">
        <v>90</v>
      </c>
      <c r="C61">
        <f t="shared" si="0"/>
        <v>3</v>
      </c>
      <c r="D61">
        <f t="shared" si="4"/>
        <v>260</v>
      </c>
      <c r="E61">
        <f t="shared" si="5"/>
        <v>0</v>
      </c>
      <c r="F61">
        <f t="shared" si="1"/>
        <v>0</v>
      </c>
      <c r="G61">
        <f t="shared" si="6"/>
        <v>90</v>
      </c>
      <c r="H61">
        <f t="shared" si="2"/>
        <v>0</v>
      </c>
      <c r="I61">
        <f t="shared" si="3"/>
        <v>170</v>
      </c>
    </row>
    <row r="62" spans="1:9" x14ac:dyDescent="0.35">
      <c r="A62" s="4">
        <v>44622</v>
      </c>
      <c r="B62" s="5">
        <v>0</v>
      </c>
      <c r="C62">
        <f t="shared" si="0"/>
        <v>4</v>
      </c>
      <c r="D62">
        <f t="shared" si="4"/>
        <v>190</v>
      </c>
      <c r="E62">
        <f t="shared" si="5"/>
        <v>1</v>
      </c>
      <c r="F62">
        <f t="shared" si="1"/>
        <v>0</v>
      </c>
      <c r="G62">
        <f t="shared" si="6"/>
        <v>0</v>
      </c>
      <c r="H62">
        <f t="shared" si="2"/>
        <v>0</v>
      </c>
      <c r="I62">
        <f t="shared" si="3"/>
        <v>190</v>
      </c>
    </row>
    <row r="63" spans="1:9" x14ac:dyDescent="0.35">
      <c r="A63" s="6">
        <v>44623</v>
      </c>
      <c r="B63" s="7">
        <v>93</v>
      </c>
      <c r="C63">
        <f t="shared" si="0"/>
        <v>5</v>
      </c>
      <c r="D63">
        <f t="shared" si="4"/>
        <v>190</v>
      </c>
      <c r="E63">
        <f t="shared" si="5"/>
        <v>0</v>
      </c>
      <c r="F63">
        <f t="shared" si="1"/>
        <v>0</v>
      </c>
      <c r="G63">
        <f t="shared" si="6"/>
        <v>93</v>
      </c>
      <c r="H63">
        <f t="shared" si="2"/>
        <v>0</v>
      </c>
      <c r="I63">
        <f t="shared" si="3"/>
        <v>97</v>
      </c>
    </row>
    <row r="64" spans="1:9" x14ac:dyDescent="0.35">
      <c r="A64" s="4">
        <v>44624</v>
      </c>
      <c r="B64" s="5">
        <v>1189</v>
      </c>
      <c r="C64">
        <f t="shared" si="0"/>
        <v>6</v>
      </c>
      <c r="D64">
        <f t="shared" si="4"/>
        <v>190</v>
      </c>
      <c r="E64">
        <f t="shared" si="5"/>
        <v>0</v>
      </c>
      <c r="F64">
        <f t="shared" si="1"/>
        <v>0</v>
      </c>
      <c r="G64">
        <f t="shared" si="6"/>
        <v>1189</v>
      </c>
      <c r="H64">
        <f t="shared" si="2"/>
        <v>999</v>
      </c>
      <c r="I64">
        <f t="shared" si="3"/>
        <v>0</v>
      </c>
    </row>
    <row r="65" spans="1:9" x14ac:dyDescent="0.35">
      <c r="A65" s="6">
        <v>44625</v>
      </c>
      <c r="B65" s="7">
        <v>139</v>
      </c>
      <c r="C65">
        <f t="shared" si="0"/>
        <v>7</v>
      </c>
      <c r="D65">
        <f t="shared" si="4"/>
        <v>190</v>
      </c>
      <c r="E65">
        <f t="shared" si="5"/>
        <v>0</v>
      </c>
      <c r="F65">
        <f t="shared" si="1"/>
        <v>0</v>
      </c>
      <c r="G65">
        <f t="shared" si="6"/>
        <v>1138</v>
      </c>
      <c r="H65">
        <f t="shared" si="2"/>
        <v>948</v>
      </c>
      <c r="I65">
        <f t="shared" si="3"/>
        <v>0</v>
      </c>
    </row>
    <row r="66" spans="1:9" x14ac:dyDescent="0.35">
      <c r="A66" s="4">
        <v>44626</v>
      </c>
      <c r="B66" s="5">
        <v>0</v>
      </c>
      <c r="C66">
        <f t="shared" si="0"/>
        <v>1</v>
      </c>
      <c r="D66">
        <f t="shared" si="4"/>
        <v>190</v>
      </c>
      <c r="E66">
        <f t="shared" si="5"/>
        <v>1</v>
      </c>
      <c r="F66">
        <f t="shared" si="1"/>
        <v>0</v>
      </c>
      <c r="G66">
        <f t="shared" si="6"/>
        <v>948</v>
      </c>
      <c r="H66">
        <f t="shared" si="2"/>
        <v>758</v>
      </c>
      <c r="I66">
        <f t="shared" si="3"/>
        <v>0</v>
      </c>
    </row>
    <row r="67" spans="1:9" x14ac:dyDescent="0.35">
      <c r="A67" s="6">
        <v>44627</v>
      </c>
      <c r="B67" s="7">
        <v>0</v>
      </c>
      <c r="C67">
        <f t="shared" ref="C67:C130" si="7">WEEKDAY(A67)</f>
        <v>2</v>
      </c>
      <c r="D67">
        <f t="shared" si="4"/>
        <v>190</v>
      </c>
      <c r="E67">
        <f t="shared" si="5"/>
        <v>2</v>
      </c>
      <c r="F67">
        <f t="shared" ref="F67:F130" si="8">IF(AND(MONTH(A67)&gt;=4,MONTH(A67)&lt;=9,OR(E67=5,E67=10,E67=15,E67=20)),300,0)</f>
        <v>0</v>
      </c>
      <c r="G67">
        <f t="shared" si="6"/>
        <v>758</v>
      </c>
      <c r="H67">
        <f t="shared" ref="H67:H130" si="9">IF(G67-D67&lt;0,0,G67-D67)</f>
        <v>568</v>
      </c>
      <c r="I67">
        <f t="shared" ref="I67:I130" si="10">IF(H67=0,ABS(G67-D67),0)</f>
        <v>0</v>
      </c>
    </row>
    <row r="68" spans="1:9" x14ac:dyDescent="0.35">
      <c r="A68" s="4">
        <v>44628</v>
      </c>
      <c r="B68" s="5">
        <v>75</v>
      </c>
      <c r="C68">
        <f t="shared" si="7"/>
        <v>3</v>
      </c>
      <c r="D68">
        <f t="shared" ref="D68:D131" si="11">IF(C68=3,260,190)+F68</f>
        <v>260</v>
      </c>
      <c r="E68">
        <f t="shared" ref="E68:E131" si="12">IF(B68=0,E67+1,0)</f>
        <v>0</v>
      </c>
      <c r="F68">
        <f t="shared" si="8"/>
        <v>0</v>
      </c>
      <c r="G68">
        <f t="shared" ref="G68:G131" si="13">H67+B68</f>
        <v>643</v>
      </c>
      <c r="H68">
        <f t="shared" si="9"/>
        <v>383</v>
      </c>
      <c r="I68">
        <f t="shared" si="10"/>
        <v>0</v>
      </c>
    </row>
    <row r="69" spans="1:9" x14ac:dyDescent="0.35">
      <c r="A69" s="6">
        <v>44629</v>
      </c>
      <c r="B69" s="7">
        <v>612</v>
      </c>
      <c r="C69">
        <f t="shared" si="7"/>
        <v>4</v>
      </c>
      <c r="D69">
        <f t="shared" si="11"/>
        <v>190</v>
      </c>
      <c r="E69">
        <f t="shared" si="12"/>
        <v>0</v>
      </c>
      <c r="F69">
        <f t="shared" si="8"/>
        <v>0</v>
      </c>
      <c r="G69">
        <f t="shared" si="13"/>
        <v>995</v>
      </c>
      <c r="H69">
        <f t="shared" si="9"/>
        <v>805</v>
      </c>
      <c r="I69">
        <f t="shared" si="10"/>
        <v>0</v>
      </c>
    </row>
    <row r="70" spans="1:9" x14ac:dyDescent="0.35">
      <c r="A70" s="4">
        <v>44630</v>
      </c>
      <c r="B70" s="5">
        <v>0</v>
      </c>
      <c r="C70">
        <f t="shared" si="7"/>
        <v>5</v>
      </c>
      <c r="D70">
        <f t="shared" si="11"/>
        <v>190</v>
      </c>
      <c r="E70">
        <f t="shared" si="12"/>
        <v>1</v>
      </c>
      <c r="F70">
        <f t="shared" si="8"/>
        <v>0</v>
      </c>
      <c r="G70">
        <f t="shared" si="13"/>
        <v>805</v>
      </c>
      <c r="H70">
        <f t="shared" si="9"/>
        <v>615</v>
      </c>
      <c r="I70">
        <f t="shared" si="10"/>
        <v>0</v>
      </c>
    </row>
    <row r="71" spans="1:9" x14ac:dyDescent="0.35">
      <c r="A71" s="6">
        <v>44631</v>
      </c>
      <c r="B71" s="7">
        <v>137</v>
      </c>
      <c r="C71">
        <f t="shared" si="7"/>
        <v>6</v>
      </c>
      <c r="D71">
        <f t="shared" si="11"/>
        <v>190</v>
      </c>
      <c r="E71">
        <f t="shared" si="12"/>
        <v>0</v>
      </c>
      <c r="F71">
        <f t="shared" si="8"/>
        <v>0</v>
      </c>
      <c r="G71">
        <f t="shared" si="13"/>
        <v>752</v>
      </c>
      <c r="H71">
        <f t="shared" si="9"/>
        <v>562</v>
      </c>
      <c r="I71">
        <f t="shared" si="10"/>
        <v>0</v>
      </c>
    </row>
    <row r="72" spans="1:9" x14ac:dyDescent="0.35">
      <c r="A72" s="4">
        <v>44632</v>
      </c>
      <c r="B72" s="5">
        <v>122</v>
      </c>
      <c r="C72">
        <f t="shared" si="7"/>
        <v>7</v>
      </c>
      <c r="D72">
        <f t="shared" si="11"/>
        <v>190</v>
      </c>
      <c r="E72">
        <f t="shared" si="12"/>
        <v>0</v>
      </c>
      <c r="F72">
        <f t="shared" si="8"/>
        <v>0</v>
      </c>
      <c r="G72">
        <f t="shared" si="13"/>
        <v>684</v>
      </c>
      <c r="H72">
        <f t="shared" si="9"/>
        <v>494</v>
      </c>
      <c r="I72">
        <f t="shared" si="10"/>
        <v>0</v>
      </c>
    </row>
    <row r="73" spans="1:9" x14ac:dyDescent="0.35">
      <c r="A73" s="6">
        <v>44633</v>
      </c>
      <c r="B73" s="7">
        <v>0</v>
      </c>
      <c r="C73">
        <f t="shared" si="7"/>
        <v>1</v>
      </c>
      <c r="D73">
        <f t="shared" si="11"/>
        <v>190</v>
      </c>
      <c r="E73">
        <f t="shared" si="12"/>
        <v>1</v>
      </c>
      <c r="F73">
        <f t="shared" si="8"/>
        <v>0</v>
      </c>
      <c r="G73">
        <f t="shared" si="13"/>
        <v>494</v>
      </c>
      <c r="H73">
        <f t="shared" si="9"/>
        <v>304</v>
      </c>
      <c r="I73">
        <f t="shared" si="10"/>
        <v>0</v>
      </c>
    </row>
    <row r="74" spans="1:9" x14ac:dyDescent="0.35">
      <c r="A74" s="4">
        <v>44634</v>
      </c>
      <c r="B74" s="5">
        <v>0</v>
      </c>
      <c r="C74">
        <f t="shared" si="7"/>
        <v>2</v>
      </c>
      <c r="D74">
        <f t="shared" si="11"/>
        <v>190</v>
      </c>
      <c r="E74">
        <f t="shared" si="12"/>
        <v>2</v>
      </c>
      <c r="F74">
        <f t="shared" si="8"/>
        <v>0</v>
      </c>
      <c r="G74">
        <f t="shared" si="13"/>
        <v>304</v>
      </c>
      <c r="H74">
        <f t="shared" si="9"/>
        <v>114</v>
      </c>
      <c r="I74">
        <f t="shared" si="10"/>
        <v>0</v>
      </c>
    </row>
    <row r="75" spans="1:9" x14ac:dyDescent="0.35">
      <c r="A75" s="6">
        <v>44635</v>
      </c>
      <c r="B75" s="7">
        <v>88</v>
      </c>
      <c r="C75">
        <f t="shared" si="7"/>
        <v>3</v>
      </c>
      <c r="D75">
        <f t="shared" si="11"/>
        <v>260</v>
      </c>
      <c r="E75">
        <f t="shared" si="12"/>
        <v>0</v>
      </c>
      <c r="F75">
        <f t="shared" si="8"/>
        <v>0</v>
      </c>
      <c r="G75">
        <f t="shared" si="13"/>
        <v>202</v>
      </c>
      <c r="H75">
        <f t="shared" si="9"/>
        <v>0</v>
      </c>
      <c r="I75">
        <f t="shared" si="10"/>
        <v>58</v>
      </c>
    </row>
    <row r="76" spans="1:9" x14ac:dyDescent="0.35">
      <c r="A76" s="4">
        <v>44636</v>
      </c>
      <c r="B76" s="5">
        <v>112</v>
      </c>
      <c r="C76">
        <f t="shared" si="7"/>
        <v>4</v>
      </c>
      <c r="D76">
        <f t="shared" si="11"/>
        <v>190</v>
      </c>
      <c r="E76">
        <f t="shared" si="12"/>
        <v>0</v>
      </c>
      <c r="F76">
        <f t="shared" si="8"/>
        <v>0</v>
      </c>
      <c r="G76">
        <f t="shared" si="13"/>
        <v>112</v>
      </c>
      <c r="H76">
        <f t="shared" si="9"/>
        <v>0</v>
      </c>
      <c r="I76">
        <f t="shared" si="10"/>
        <v>78</v>
      </c>
    </row>
    <row r="77" spans="1:9" x14ac:dyDescent="0.35">
      <c r="A77" s="6">
        <v>44637</v>
      </c>
      <c r="B77" s="7">
        <v>82</v>
      </c>
      <c r="C77">
        <f t="shared" si="7"/>
        <v>5</v>
      </c>
      <c r="D77">
        <f t="shared" si="11"/>
        <v>190</v>
      </c>
      <c r="E77">
        <f t="shared" si="12"/>
        <v>0</v>
      </c>
      <c r="F77">
        <f t="shared" si="8"/>
        <v>0</v>
      </c>
      <c r="G77">
        <f t="shared" si="13"/>
        <v>82</v>
      </c>
      <c r="H77">
        <f t="shared" si="9"/>
        <v>0</v>
      </c>
      <c r="I77">
        <f t="shared" si="10"/>
        <v>108</v>
      </c>
    </row>
    <row r="78" spans="1:9" x14ac:dyDescent="0.35">
      <c r="A78" s="4">
        <v>44638</v>
      </c>
      <c r="B78" s="5">
        <v>174</v>
      </c>
      <c r="C78">
        <f t="shared" si="7"/>
        <v>6</v>
      </c>
      <c r="D78">
        <f t="shared" si="11"/>
        <v>190</v>
      </c>
      <c r="E78">
        <f t="shared" si="12"/>
        <v>0</v>
      </c>
      <c r="F78">
        <f t="shared" si="8"/>
        <v>0</v>
      </c>
      <c r="G78">
        <f t="shared" si="13"/>
        <v>174</v>
      </c>
      <c r="H78">
        <f t="shared" si="9"/>
        <v>0</v>
      </c>
      <c r="I78">
        <f t="shared" si="10"/>
        <v>16</v>
      </c>
    </row>
    <row r="79" spans="1:9" x14ac:dyDescent="0.35">
      <c r="A79" s="6">
        <v>44639</v>
      </c>
      <c r="B79" s="7">
        <v>279</v>
      </c>
      <c r="C79">
        <f t="shared" si="7"/>
        <v>7</v>
      </c>
      <c r="D79">
        <f t="shared" si="11"/>
        <v>190</v>
      </c>
      <c r="E79">
        <f t="shared" si="12"/>
        <v>0</v>
      </c>
      <c r="F79">
        <f t="shared" si="8"/>
        <v>0</v>
      </c>
      <c r="G79">
        <f t="shared" si="13"/>
        <v>279</v>
      </c>
      <c r="H79">
        <f t="shared" si="9"/>
        <v>89</v>
      </c>
      <c r="I79">
        <f t="shared" si="10"/>
        <v>0</v>
      </c>
    </row>
    <row r="80" spans="1:9" x14ac:dyDescent="0.35">
      <c r="A80" s="4">
        <v>44640</v>
      </c>
      <c r="B80" s="5">
        <v>125</v>
      </c>
      <c r="C80">
        <f t="shared" si="7"/>
        <v>1</v>
      </c>
      <c r="D80">
        <f t="shared" si="11"/>
        <v>190</v>
      </c>
      <c r="E80">
        <f t="shared" si="12"/>
        <v>0</v>
      </c>
      <c r="F80">
        <f t="shared" si="8"/>
        <v>0</v>
      </c>
      <c r="G80">
        <f t="shared" si="13"/>
        <v>214</v>
      </c>
      <c r="H80">
        <f t="shared" si="9"/>
        <v>24</v>
      </c>
      <c r="I80">
        <f t="shared" si="10"/>
        <v>0</v>
      </c>
    </row>
    <row r="81" spans="1:9" x14ac:dyDescent="0.35">
      <c r="A81" s="6">
        <v>44641</v>
      </c>
      <c r="B81" s="7">
        <v>123</v>
      </c>
      <c r="C81">
        <f t="shared" si="7"/>
        <v>2</v>
      </c>
      <c r="D81">
        <f t="shared" si="11"/>
        <v>190</v>
      </c>
      <c r="E81">
        <f t="shared" si="12"/>
        <v>0</v>
      </c>
      <c r="F81">
        <f t="shared" si="8"/>
        <v>0</v>
      </c>
      <c r="G81">
        <f t="shared" si="13"/>
        <v>147</v>
      </c>
      <c r="H81">
        <f t="shared" si="9"/>
        <v>0</v>
      </c>
      <c r="I81">
        <f t="shared" si="10"/>
        <v>43</v>
      </c>
    </row>
    <row r="82" spans="1:9" x14ac:dyDescent="0.35">
      <c r="A82" s="4">
        <v>44642</v>
      </c>
      <c r="B82" s="5">
        <v>108</v>
      </c>
      <c r="C82">
        <f t="shared" si="7"/>
        <v>3</v>
      </c>
      <c r="D82">
        <f t="shared" si="11"/>
        <v>260</v>
      </c>
      <c r="E82">
        <f t="shared" si="12"/>
        <v>0</v>
      </c>
      <c r="F82">
        <f t="shared" si="8"/>
        <v>0</v>
      </c>
      <c r="G82">
        <f t="shared" si="13"/>
        <v>108</v>
      </c>
      <c r="H82">
        <f t="shared" si="9"/>
        <v>0</v>
      </c>
      <c r="I82">
        <f t="shared" si="10"/>
        <v>152</v>
      </c>
    </row>
    <row r="83" spans="1:9" x14ac:dyDescent="0.35">
      <c r="A83" s="6">
        <v>44643</v>
      </c>
      <c r="B83" s="7">
        <v>0</v>
      </c>
      <c r="C83">
        <f t="shared" si="7"/>
        <v>4</v>
      </c>
      <c r="D83">
        <f t="shared" si="11"/>
        <v>190</v>
      </c>
      <c r="E83">
        <f t="shared" si="12"/>
        <v>1</v>
      </c>
      <c r="F83">
        <f t="shared" si="8"/>
        <v>0</v>
      </c>
      <c r="G83">
        <f t="shared" si="13"/>
        <v>0</v>
      </c>
      <c r="H83">
        <f t="shared" si="9"/>
        <v>0</v>
      </c>
      <c r="I83">
        <f t="shared" si="10"/>
        <v>190</v>
      </c>
    </row>
    <row r="84" spans="1:9" x14ac:dyDescent="0.35">
      <c r="A84" s="4">
        <v>44644</v>
      </c>
      <c r="B84" s="5">
        <v>0</v>
      </c>
      <c r="C84">
        <f t="shared" si="7"/>
        <v>5</v>
      </c>
      <c r="D84">
        <f t="shared" si="11"/>
        <v>190</v>
      </c>
      <c r="E84">
        <f t="shared" si="12"/>
        <v>2</v>
      </c>
      <c r="F84">
        <f t="shared" si="8"/>
        <v>0</v>
      </c>
      <c r="G84">
        <f t="shared" si="13"/>
        <v>0</v>
      </c>
      <c r="H84">
        <f t="shared" si="9"/>
        <v>0</v>
      </c>
      <c r="I84">
        <f t="shared" si="10"/>
        <v>190</v>
      </c>
    </row>
    <row r="85" spans="1:9" x14ac:dyDescent="0.35">
      <c r="A85" s="6">
        <v>44645</v>
      </c>
      <c r="B85" s="7">
        <v>0</v>
      </c>
      <c r="C85">
        <f t="shared" si="7"/>
        <v>6</v>
      </c>
      <c r="D85">
        <f t="shared" si="11"/>
        <v>190</v>
      </c>
      <c r="E85">
        <f t="shared" si="12"/>
        <v>3</v>
      </c>
      <c r="F85">
        <f t="shared" si="8"/>
        <v>0</v>
      </c>
      <c r="G85">
        <f t="shared" si="13"/>
        <v>0</v>
      </c>
      <c r="H85">
        <f t="shared" si="9"/>
        <v>0</v>
      </c>
      <c r="I85">
        <f t="shared" si="10"/>
        <v>190</v>
      </c>
    </row>
    <row r="86" spans="1:9" x14ac:dyDescent="0.35">
      <c r="A86" s="4">
        <v>44646</v>
      </c>
      <c r="B86" s="5">
        <v>0</v>
      </c>
      <c r="C86">
        <f t="shared" si="7"/>
        <v>7</v>
      </c>
      <c r="D86">
        <f t="shared" si="11"/>
        <v>190</v>
      </c>
      <c r="E86">
        <f t="shared" si="12"/>
        <v>4</v>
      </c>
      <c r="F86">
        <f t="shared" si="8"/>
        <v>0</v>
      </c>
      <c r="G86">
        <f t="shared" si="13"/>
        <v>0</v>
      </c>
      <c r="H86">
        <f t="shared" si="9"/>
        <v>0</v>
      </c>
      <c r="I86">
        <f t="shared" si="10"/>
        <v>190</v>
      </c>
    </row>
    <row r="87" spans="1:9" x14ac:dyDescent="0.35">
      <c r="A87" s="6">
        <v>44647</v>
      </c>
      <c r="B87" s="7">
        <v>0</v>
      </c>
      <c r="C87">
        <f t="shared" si="7"/>
        <v>1</v>
      </c>
      <c r="D87">
        <f t="shared" si="11"/>
        <v>190</v>
      </c>
      <c r="E87">
        <f t="shared" si="12"/>
        <v>5</v>
      </c>
      <c r="F87">
        <f t="shared" si="8"/>
        <v>0</v>
      </c>
      <c r="G87">
        <f t="shared" si="13"/>
        <v>0</v>
      </c>
      <c r="H87">
        <f t="shared" si="9"/>
        <v>0</v>
      </c>
      <c r="I87">
        <f t="shared" si="10"/>
        <v>190</v>
      </c>
    </row>
    <row r="88" spans="1:9" x14ac:dyDescent="0.35">
      <c r="A88" s="4">
        <v>44648</v>
      </c>
      <c r="B88" s="5">
        <v>0</v>
      </c>
      <c r="C88">
        <f t="shared" si="7"/>
        <v>2</v>
      </c>
      <c r="D88">
        <f t="shared" si="11"/>
        <v>190</v>
      </c>
      <c r="E88">
        <f t="shared" si="12"/>
        <v>6</v>
      </c>
      <c r="F88">
        <f t="shared" si="8"/>
        <v>0</v>
      </c>
      <c r="G88">
        <f t="shared" si="13"/>
        <v>0</v>
      </c>
      <c r="H88">
        <f t="shared" si="9"/>
        <v>0</v>
      </c>
      <c r="I88">
        <f t="shared" si="10"/>
        <v>190</v>
      </c>
    </row>
    <row r="89" spans="1:9" x14ac:dyDescent="0.35">
      <c r="A89" s="6">
        <v>44649</v>
      </c>
      <c r="B89" s="7">
        <v>0</v>
      </c>
      <c r="C89">
        <f t="shared" si="7"/>
        <v>3</v>
      </c>
      <c r="D89">
        <f t="shared" si="11"/>
        <v>260</v>
      </c>
      <c r="E89">
        <f t="shared" si="12"/>
        <v>7</v>
      </c>
      <c r="F89">
        <f t="shared" si="8"/>
        <v>0</v>
      </c>
      <c r="G89">
        <f t="shared" si="13"/>
        <v>0</v>
      </c>
      <c r="H89">
        <f t="shared" si="9"/>
        <v>0</v>
      </c>
      <c r="I89">
        <f t="shared" si="10"/>
        <v>260</v>
      </c>
    </row>
    <row r="90" spans="1:9" x14ac:dyDescent="0.35">
      <c r="A90" s="4">
        <v>44650</v>
      </c>
      <c r="B90" s="5">
        <v>0</v>
      </c>
      <c r="C90">
        <f t="shared" si="7"/>
        <v>4</v>
      </c>
      <c r="D90">
        <f t="shared" si="11"/>
        <v>190</v>
      </c>
      <c r="E90">
        <f t="shared" si="12"/>
        <v>8</v>
      </c>
      <c r="F90">
        <f t="shared" si="8"/>
        <v>0</v>
      </c>
      <c r="G90">
        <f t="shared" si="13"/>
        <v>0</v>
      </c>
      <c r="H90">
        <f t="shared" si="9"/>
        <v>0</v>
      </c>
      <c r="I90">
        <f t="shared" si="10"/>
        <v>190</v>
      </c>
    </row>
    <row r="91" spans="1:9" x14ac:dyDescent="0.35">
      <c r="A91" s="6">
        <v>44651</v>
      </c>
      <c r="B91" s="7">
        <v>207</v>
      </c>
      <c r="C91">
        <f t="shared" si="7"/>
        <v>5</v>
      </c>
      <c r="D91">
        <f t="shared" si="11"/>
        <v>190</v>
      </c>
      <c r="E91">
        <f t="shared" si="12"/>
        <v>0</v>
      </c>
      <c r="F91">
        <f t="shared" si="8"/>
        <v>0</v>
      </c>
      <c r="G91">
        <f t="shared" si="13"/>
        <v>207</v>
      </c>
      <c r="H91">
        <f t="shared" si="9"/>
        <v>17</v>
      </c>
      <c r="I91">
        <f t="shared" si="10"/>
        <v>0</v>
      </c>
    </row>
    <row r="92" spans="1:9" x14ac:dyDescent="0.35">
      <c r="A92" s="4">
        <v>44652</v>
      </c>
      <c r="B92" s="5">
        <v>1299</v>
      </c>
      <c r="C92">
        <f t="shared" si="7"/>
        <v>6</v>
      </c>
      <c r="D92">
        <f t="shared" si="11"/>
        <v>190</v>
      </c>
      <c r="E92">
        <f t="shared" si="12"/>
        <v>0</v>
      </c>
      <c r="F92">
        <f t="shared" si="8"/>
        <v>0</v>
      </c>
      <c r="G92">
        <f t="shared" si="13"/>
        <v>1316</v>
      </c>
      <c r="H92">
        <f t="shared" si="9"/>
        <v>1126</v>
      </c>
      <c r="I92">
        <f t="shared" si="10"/>
        <v>0</v>
      </c>
    </row>
    <row r="93" spans="1:9" x14ac:dyDescent="0.35">
      <c r="A93" s="6">
        <v>44653</v>
      </c>
      <c r="B93" s="7">
        <v>218</v>
      </c>
      <c r="C93">
        <f t="shared" si="7"/>
        <v>7</v>
      </c>
      <c r="D93">
        <f t="shared" si="11"/>
        <v>190</v>
      </c>
      <c r="E93">
        <f t="shared" si="12"/>
        <v>0</v>
      </c>
      <c r="F93">
        <f t="shared" si="8"/>
        <v>0</v>
      </c>
      <c r="G93">
        <f t="shared" si="13"/>
        <v>1344</v>
      </c>
      <c r="H93">
        <f t="shared" si="9"/>
        <v>1154</v>
      </c>
      <c r="I93">
        <f t="shared" si="10"/>
        <v>0</v>
      </c>
    </row>
    <row r="94" spans="1:9" x14ac:dyDescent="0.35">
      <c r="A94" s="4">
        <v>44654</v>
      </c>
      <c r="B94" s="5">
        <v>0</v>
      </c>
      <c r="C94">
        <f t="shared" si="7"/>
        <v>1</v>
      </c>
      <c r="D94">
        <f t="shared" si="11"/>
        <v>190</v>
      </c>
      <c r="E94">
        <f t="shared" si="12"/>
        <v>1</v>
      </c>
      <c r="F94">
        <f t="shared" si="8"/>
        <v>0</v>
      </c>
      <c r="G94">
        <f t="shared" si="13"/>
        <v>1154</v>
      </c>
      <c r="H94">
        <f t="shared" si="9"/>
        <v>964</v>
      </c>
      <c r="I94">
        <f t="shared" si="10"/>
        <v>0</v>
      </c>
    </row>
    <row r="95" spans="1:9" x14ac:dyDescent="0.35">
      <c r="A95" s="6">
        <v>44655</v>
      </c>
      <c r="B95" s="7">
        <v>0</v>
      </c>
      <c r="C95">
        <f t="shared" si="7"/>
        <v>2</v>
      </c>
      <c r="D95">
        <f t="shared" si="11"/>
        <v>190</v>
      </c>
      <c r="E95">
        <f t="shared" si="12"/>
        <v>2</v>
      </c>
      <c r="F95">
        <f t="shared" si="8"/>
        <v>0</v>
      </c>
      <c r="G95">
        <f t="shared" si="13"/>
        <v>964</v>
      </c>
      <c r="H95">
        <f t="shared" si="9"/>
        <v>774</v>
      </c>
      <c r="I95">
        <f t="shared" si="10"/>
        <v>0</v>
      </c>
    </row>
    <row r="96" spans="1:9" x14ac:dyDescent="0.35">
      <c r="A96" s="4">
        <v>44656</v>
      </c>
      <c r="B96" s="5">
        <v>0</v>
      </c>
      <c r="C96">
        <f t="shared" si="7"/>
        <v>3</v>
      </c>
      <c r="D96">
        <f t="shared" si="11"/>
        <v>260</v>
      </c>
      <c r="E96">
        <f t="shared" si="12"/>
        <v>3</v>
      </c>
      <c r="F96">
        <f t="shared" si="8"/>
        <v>0</v>
      </c>
      <c r="G96">
        <f t="shared" si="13"/>
        <v>774</v>
      </c>
      <c r="H96">
        <f t="shared" si="9"/>
        <v>514</v>
      </c>
      <c r="I96">
        <f t="shared" si="10"/>
        <v>0</v>
      </c>
    </row>
    <row r="97" spans="1:9" x14ac:dyDescent="0.35">
      <c r="A97" s="6">
        <v>44657</v>
      </c>
      <c r="B97" s="7">
        <v>220</v>
      </c>
      <c r="C97">
        <f t="shared" si="7"/>
        <v>4</v>
      </c>
      <c r="D97">
        <f t="shared" si="11"/>
        <v>190</v>
      </c>
      <c r="E97">
        <f t="shared" si="12"/>
        <v>0</v>
      </c>
      <c r="F97">
        <f t="shared" si="8"/>
        <v>0</v>
      </c>
      <c r="G97">
        <f t="shared" si="13"/>
        <v>734</v>
      </c>
      <c r="H97">
        <f t="shared" si="9"/>
        <v>544</v>
      </c>
      <c r="I97">
        <f t="shared" si="10"/>
        <v>0</v>
      </c>
    </row>
    <row r="98" spans="1:9" x14ac:dyDescent="0.35">
      <c r="A98" s="4">
        <v>44658</v>
      </c>
      <c r="B98" s="5">
        <v>72</v>
      </c>
      <c r="C98">
        <f t="shared" si="7"/>
        <v>5</v>
      </c>
      <c r="D98">
        <f t="shared" si="11"/>
        <v>190</v>
      </c>
      <c r="E98">
        <f t="shared" si="12"/>
        <v>0</v>
      </c>
      <c r="F98">
        <f t="shared" si="8"/>
        <v>0</v>
      </c>
      <c r="G98">
        <f t="shared" si="13"/>
        <v>616</v>
      </c>
      <c r="H98">
        <f t="shared" si="9"/>
        <v>426</v>
      </c>
      <c r="I98">
        <f t="shared" si="10"/>
        <v>0</v>
      </c>
    </row>
    <row r="99" spans="1:9" x14ac:dyDescent="0.35">
      <c r="A99" s="6">
        <v>44659</v>
      </c>
      <c r="B99" s="7">
        <v>0</v>
      </c>
      <c r="C99">
        <f t="shared" si="7"/>
        <v>6</v>
      </c>
      <c r="D99">
        <f t="shared" si="11"/>
        <v>190</v>
      </c>
      <c r="E99">
        <f t="shared" si="12"/>
        <v>1</v>
      </c>
      <c r="F99">
        <f t="shared" si="8"/>
        <v>0</v>
      </c>
      <c r="G99">
        <f t="shared" si="13"/>
        <v>426</v>
      </c>
      <c r="H99">
        <f t="shared" si="9"/>
        <v>236</v>
      </c>
      <c r="I99">
        <f t="shared" si="10"/>
        <v>0</v>
      </c>
    </row>
    <row r="100" spans="1:9" x14ac:dyDescent="0.35">
      <c r="A100" s="4">
        <v>44660</v>
      </c>
      <c r="B100" s="5">
        <v>0</v>
      </c>
      <c r="C100">
        <f t="shared" si="7"/>
        <v>7</v>
      </c>
      <c r="D100">
        <f t="shared" si="11"/>
        <v>190</v>
      </c>
      <c r="E100">
        <f t="shared" si="12"/>
        <v>2</v>
      </c>
      <c r="F100">
        <f t="shared" si="8"/>
        <v>0</v>
      </c>
      <c r="G100">
        <f t="shared" si="13"/>
        <v>236</v>
      </c>
      <c r="H100">
        <f t="shared" si="9"/>
        <v>46</v>
      </c>
      <c r="I100">
        <f t="shared" si="10"/>
        <v>0</v>
      </c>
    </row>
    <row r="101" spans="1:9" x14ac:dyDescent="0.35">
      <c r="A101" s="6">
        <v>44661</v>
      </c>
      <c r="B101" s="7">
        <v>0</v>
      </c>
      <c r="C101">
        <f t="shared" si="7"/>
        <v>1</v>
      </c>
      <c r="D101">
        <f t="shared" si="11"/>
        <v>190</v>
      </c>
      <c r="E101">
        <f t="shared" si="12"/>
        <v>3</v>
      </c>
      <c r="F101">
        <f t="shared" si="8"/>
        <v>0</v>
      </c>
      <c r="G101">
        <f t="shared" si="13"/>
        <v>46</v>
      </c>
      <c r="H101">
        <f t="shared" si="9"/>
        <v>0</v>
      </c>
      <c r="I101">
        <f t="shared" si="10"/>
        <v>144</v>
      </c>
    </row>
    <row r="102" spans="1:9" x14ac:dyDescent="0.35">
      <c r="A102" s="4">
        <v>44662</v>
      </c>
      <c r="B102" s="5">
        <v>0</v>
      </c>
      <c r="C102">
        <f t="shared" si="7"/>
        <v>2</v>
      </c>
      <c r="D102">
        <f t="shared" si="11"/>
        <v>190</v>
      </c>
      <c r="E102">
        <f t="shared" si="12"/>
        <v>4</v>
      </c>
      <c r="F102">
        <f t="shared" si="8"/>
        <v>0</v>
      </c>
      <c r="G102">
        <f t="shared" si="13"/>
        <v>0</v>
      </c>
      <c r="H102">
        <f t="shared" si="9"/>
        <v>0</v>
      </c>
      <c r="I102">
        <f t="shared" si="10"/>
        <v>190</v>
      </c>
    </row>
    <row r="103" spans="1:9" x14ac:dyDescent="0.35">
      <c r="A103" s="6">
        <v>44663</v>
      </c>
      <c r="B103" s="7">
        <v>0</v>
      </c>
      <c r="C103">
        <f t="shared" si="7"/>
        <v>3</v>
      </c>
      <c r="D103">
        <f t="shared" si="11"/>
        <v>560</v>
      </c>
      <c r="E103">
        <f t="shared" si="12"/>
        <v>5</v>
      </c>
      <c r="F103">
        <f t="shared" si="8"/>
        <v>300</v>
      </c>
      <c r="G103">
        <f t="shared" si="13"/>
        <v>0</v>
      </c>
      <c r="H103">
        <f t="shared" si="9"/>
        <v>0</v>
      </c>
      <c r="I103">
        <f t="shared" si="10"/>
        <v>560</v>
      </c>
    </row>
    <row r="104" spans="1:9" x14ac:dyDescent="0.35">
      <c r="A104" s="4">
        <v>44664</v>
      </c>
      <c r="B104" s="5">
        <v>205</v>
      </c>
      <c r="C104">
        <f t="shared" si="7"/>
        <v>4</v>
      </c>
      <c r="D104">
        <f t="shared" si="11"/>
        <v>190</v>
      </c>
      <c r="E104">
        <f t="shared" si="12"/>
        <v>0</v>
      </c>
      <c r="F104">
        <f t="shared" si="8"/>
        <v>0</v>
      </c>
      <c r="G104">
        <f t="shared" si="13"/>
        <v>205</v>
      </c>
      <c r="H104">
        <f t="shared" si="9"/>
        <v>15</v>
      </c>
      <c r="I104">
        <f t="shared" si="10"/>
        <v>0</v>
      </c>
    </row>
    <row r="105" spans="1:9" x14ac:dyDescent="0.35">
      <c r="A105" s="6">
        <v>44665</v>
      </c>
      <c r="B105" s="7">
        <v>0</v>
      </c>
      <c r="C105">
        <f t="shared" si="7"/>
        <v>5</v>
      </c>
      <c r="D105">
        <f t="shared" si="11"/>
        <v>190</v>
      </c>
      <c r="E105">
        <f t="shared" si="12"/>
        <v>1</v>
      </c>
      <c r="F105">
        <f t="shared" si="8"/>
        <v>0</v>
      </c>
      <c r="G105">
        <f t="shared" si="13"/>
        <v>15</v>
      </c>
      <c r="H105">
        <f t="shared" si="9"/>
        <v>0</v>
      </c>
      <c r="I105">
        <f t="shared" si="10"/>
        <v>175</v>
      </c>
    </row>
    <row r="106" spans="1:9" x14ac:dyDescent="0.35">
      <c r="A106" s="4">
        <v>44666</v>
      </c>
      <c r="B106" s="5">
        <v>436</v>
      </c>
      <c r="C106">
        <f t="shared" si="7"/>
        <v>6</v>
      </c>
      <c r="D106">
        <f t="shared" si="11"/>
        <v>190</v>
      </c>
      <c r="E106">
        <f t="shared" si="12"/>
        <v>0</v>
      </c>
      <c r="F106">
        <f t="shared" si="8"/>
        <v>0</v>
      </c>
      <c r="G106">
        <f t="shared" si="13"/>
        <v>436</v>
      </c>
      <c r="H106">
        <f t="shared" si="9"/>
        <v>246</v>
      </c>
      <c r="I106">
        <f t="shared" si="10"/>
        <v>0</v>
      </c>
    </row>
    <row r="107" spans="1:9" x14ac:dyDescent="0.35">
      <c r="A107" s="6">
        <v>44667</v>
      </c>
      <c r="B107" s="7">
        <v>622</v>
      </c>
      <c r="C107">
        <f t="shared" si="7"/>
        <v>7</v>
      </c>
      <c r="D107">
        <f t="shared" si="11"/>
        <v>190</v>
      </c>
      <c r="E107">
        <f t="shared" si="12"/>
        <v>0</v>
      </c>
      <c r="F107">
        <f t="shared" si="8"/>
        <v>0</v>
      </c>
      <c r="G107">
        <f t="shared" si="13"/>
        <v>868</v>
      </c>
      <c r="H107">
        <f t="shared" si="9"/>
        <v>678</v>
      </c>
      <c r="I107">
        <f t="shared" si="10"/>
        <v>0</v>
      </c>
    </row>
    <row r="108" spans="1:9" x14ac:dyDescent="0.35">
      <c r="A108" s="4">
        <v>44668</v>
      </c>
      <c r="B108" s="5">
        <v>34</v>
      </c>
      <c r="C108">
        <f t="shared" si="7"/>
        <v>1</v>
      </c>
      <c r="D108">
        <f t="shared" si="11"/>
        <v>190</v>
      </c>
      <c r="E108">
        <f t="shared" si="12"/>
        <v>0</v>
      </c>
      <c r="F108">
        <f t="shared" si="8"/>
        <v>0</v>
      </c>
      <c r="G108">
        <f t="shared" si="13"/>
        <v>712</v>
      </c>
      <c r="H108">
        <f t="shared" si="9"/>
        <v>522</v>
      </c>
      <c r="I108">
        <f t="shared" si="10"/>
        <v>0</v>
      </c>
    </row>
    <row r="109" spans="1:9" x14ac:dyDescent="0.35">
      <c r="A109" s="6">
        <v>44669</v>
      </c>
      <c r="B109" s="7">
        <v>0</v>
      </c>
      <c r="C109">
        <f t="shared" si="7"/>
        <v>2</v>
      </c>
      <c r="D109">
        <f t="shared" si="11"/>
        <v>190</v>
      </c>
      <c r="E109">
        <f t="shared" si="12"/>
        <v>1</v>
      </c>
      <c r="F109">
        <f t="shared" si="8"/>
        <v>0</v>
      </c>
      <c r="G109">
        <f t="shared" si="13"/>
        <v>522</v>
      </c>
      <c r="H109">
        <f t="shared" si="9"/>
        <v>332</v>
      </c>
      <c r="I109">
        <f t="shared" si="10"/>
        <v>0</v>
      </c>
    </row>
    <row r="110" spans="1:9" x14ac:dyDescent="0.35">
      <c r="A110" s="4">
        <v>44670</v>
      </c>
      <c r="B110" s="5">
        <v>0</v>
      </c>
      <c r="C110">
        <f t="shared" si="7"/>
        <v>3</v>
      </c>
      <c r="D110">
        <f t="shared" si="11"/>
        <v>260</v>
      </c>
      <c r="E110">
        <f t="shared" si="12"/>
        <v>2</v>
      </c>
      <c r="F110">
        <f t="shared" si="8"/>
        <v>0</v>
      </c>
      <c r="G110">
        <f t="shared" si="13"/>
        <v>332</v>
      </c>
      <c r="H110">
        <f t="shared" si="9"/>
        <v>72</v>
      </c>
      <c r="I110">
        <f t="shared" si="10"/>
        <v>0</v>
      </c>
    </row>
    <row r="111" spans="1:9" x14ac:dyDescent="0.35">
      <c r="A111" s="6">
        <v>44671</v>
      </c>
      <c r="B111" s="7">
        <v>0</v>
      </c>
      <c r="C111">
        <f t="shared" si="7"/>
        <v>4</v>
      </c>
      <c r="D111">
        <f t="shared" si="11"/>
        <v>190</v>
      </c>
      <c r="E111">
        <f t="shared" si="12"/>
        <v>3</v>
      </c>
      <c r="F111">
        <f t="shared" si="8"/>
        <v>0</v>
      </c>
      <c r="G111">
        <f t="shared" si="13"/>
        <v>72</v>
      </c>
      <c r="H111">
        <f t="shared" si="9"/>
        <v>0</v>
      </c>
      <c r="I111">
        <f t="shared" si="10"/>
        <v>118</v>
      </c>
    </row>
    <row r="112" spans="1:9" x14ac:dyDescent="0.35">
      <c r="A112" s="4">
        <v>44672</v>
      </c>
      <c r="B112" s="5">
        <v>0</v>
      </c>
      <c r="C112">
        <f t="shared" si="7"/>
        <v>5</v>
      </c>
      <c r="D112">
        <f t="shared" si="11"/>
        <v>190</v>
      </c>
      <c r="E112">
        <f t="shared" si="12"/>
        <v>4</v>
      </c>
      <c r="F112">
        <f t="shared" si="8"/>
        <v>0</v>
      </c>
      <c r="G112">
        <f t="shared" si="13"/>
        <v>0</v>
      </c>
      <c r="H112">
        <f t="shared" si="9"/>
        <v>0</v>
      </c>
      <c r="I112">
        <f t="shared" si="10"/>
        <v>190</v>
      </c>
    </row>
    <row r="113" spans="1:9" x14ac:dyDescent="0.35">
      <c r="A113" s="6">
        <v>44673</v>
      </c>
      <c r="B113" s="7">
        <v>0</v>
      </c>
      <c r="C113">
        <f t="shared" si="7"/>
        <v>6</v>
      </c>
      <c r="D113">
        <f t="shared" si="11"/>
        <v>490</v>
      </c>
      <c r="E113">
        <f t="shared" si="12"/>
        <v>5</v>
      </c>
      <c r="F113">
        <f t="shared" si="8"/>
        <v>300</v>
      </c>
      <c r="G113">
        <f t="shared" si="13"/>
        <v>0</v>
      </c>
      <c r="H113">
        <f t="shared" si="9"/>
        <v>0</v>
      </c>
      <c r="I113">
        <f t="shared" si="10"/>
        <v>490</v>
      </c>
    </row>
    <row r="114" spans="1:9" x14ac:dyDescent="0.35">
      <c r="A114" s="4">
        <v>44674</v>
      </c>
      <c r="B114" s="5">
        <v>0</v>
      </c>
      <c r="C114">
        <f t="shared" si="7"/>
        <v>7</v>
      </c>
      <c r="D114">
        <f t="shared" si="11"/>
        <v>190</v>
      </c>
      <c r="E114">
        <f t="shared" si="12"/>
        <v>6</v>
      </c>
      <c r="F114">
        <f t="shared" si="8"/>
        <v>0</v>
      </c>
      <c r="G114">
        <f t="shared" si="13"/>
        <v>0</v>
      </c>
      <c r="H114">
        <f t="shared" si="9"/>
        <v>0</v>
      </c>
      <c r="I114">
        <f t="shared" si="10"/>
        <v>190</v>
      </c>
    </row>
    <row r="115" spans="1:9" x14ac:dyDescent="0.35">
      <c r="A115" s="6">
        <v>44675</v>
      </c>
      <c r="B115" s="7">
        <v>0</v>
      </c>
      <c r="C115">
        <f t="shared" si="7"/>
        <v>1</v>
      </c>
      <c r="D115">
        <f t="shared" si="11"/>
        <v>190</v>
      </c>
      <c r="E115">
        <f t="shared" si="12"/>
        <v>7</v>
      </c>
      <c r="F115">
        <f t="shared" si="8"/>
        <v>0</v>
      </c>
      <c r="G115">
        <f t="shared" si="13"/>
        <v>0</v>
      </c>
      <c r="H115">
        <f t="shared" si="9"/>
        <v>0</v>
      </c>
      <c r="I115">
        <f t="shared" si="10"/>
        <v>190</v>
      </c>
    </row>
    <row r="116" spans="1:9" x14ac:dyDescent="0.35">
      <c r="A116" s="4">
        <v>44676</v>
      </c>
      <c r="B116" s="5">
        <v>0</v>
      </c>
      <c r="C116">
        <f t="shared" si="7"/>
        <v>2</v>
      </c>
      <c r="D116">
        <f t="shared" si="11"/>
        <v>190</v>
      </c>
      <c r="E116">
        <f t="shared" si="12"/>
        <v>8</v>
      </c>
      <c r="F116">
        <f t="shared" si="8"/>
        <v>0</v>
      </c>
      <c r="G116">
        <f t="shared" si="13"/>
        <v>0</v>
      </c>
      <c r="H116">
        <f t="shared" si="9"/>
        <v>0</v>
      </c>
      <c r="I116">
        <f t="shared" si="10"/>
        <v>190</v>
      </c>
    </row>
    <row r="117" spans="1:9" x14ac:dyDescent="0.35">
      <c r="A117" s="6">
        <v>44677</v>
      </c>
      <c r="B117" s="7">
        <v>0</v>
      </c>
      <c r="C117">
        <f t="shared" si="7"/>
        <v>3</v>
      </c>
      <c r="D117">
        <f t="shared" si="11"/>
        <v>260</v>
      </c>
      <c r="E117">
        <f t="shared" si="12"/>
        <v>9</v>
      </c>
      <c r="F117">
        <f t="shared" si="8"/>
        <v>0</v>
      </c>
      <c r="G117">
        <f t="shared" si="13"/>
        <v>0</v>
      </c>
      <c r="H117">
        <f t="shared" si="9"/>
        <v>0</v>
      </c>
      <c r="I117">
        <f t="shared" si="10"/>
        <v>260</v>
      </c>
    </row>
    <row r="118" spans="1:9" x14ac:dyDescent="0.35">
      <c r="A118" s="4">
        <v>44678</v>
      </c>
      <c r="B118" s="5">
        <v>0</v>
      </c>
      <c r="C118">
        <f t="shared" si="7"/>
        <v>4</v>
      </c>
      <c r="D118">
        <f t="shared" si="11"/>
        <v>490</v>
      </c>
      <c r="E118">
        <f t="shared" si="12"/>
        <v>10</v>
      </c>
      <c r="F118">
        <f t="shared" si="8"/>
        <v>300</v>
      </c>
      <c r="G118">
        <f t="shared" si="13"/>
        <v>0</v>
      </c>
      <c r="H118">
        <f t="shared" si="9"/>
        <v>0</v>
      </c>
      <c r="I118">
        <f t="shared" si="10"/>
        <v>490</v>
      </c>
    </row>
    <row r="119" spans="1:9" x14ac:dyDescent="0.35">
      <c r="A119" s="6">
        <v>44679</v>
      </c>
      <c r="B119" s="7">
        <v>36</v>
      </c>
      <c r="C119">
        <f t="shared" si="7"/>
        <v>5</v>
      </c>
      <c r="D119">
        <f t="shared" si="11"/>
        <v>190</v>
      </c>
      <c r="E119">
        <f t="shared" si="12"/>
        <v>0</v>
      </c>
      <c r="F119">
        <f t="shared" si="8"/>
        <v>0</v>
      </c>
      <c r="G119">
        <f t="shared" si="13"/>
        <v>36</v>
      </c>
      <c r="H119">
        <f t="shared" si="9"/>
        <v>0</v>
      </c>
      <c r="I119">
        <f t="shared" si="10"/>
        <v>154</v>
      </c>
    </row>
    <row r="120" spans="1:9" x14ac:dyDescent="0.35">
      <c r="A120" s="4">
        <v>44680</v>
      </c>
      <c r="B120" s="5">
        <v>542</v>
      </c>
      <c r="C120">
        <f t="shared" si="7"/>
        <v>6</v>
      </c>
      <c r="D120">
        <f t="shared" si="11"/>
        <v>190</v>
      </c>
      <c r="E120">
        <f t="shared" si="12"/>
        <v>0</v>
      </c>
      <c r="F120">
        <f t="shared" si="8"/>
        <v>0</v>
      </c>
      <c r="G120">
        <f t="shared" si="13"/>
        <v>542</v>
      </c>
      <c r="H120">
        <f t="shared" si="9"/>
        <v>352</v>
      </c>
      <c r="I120">
        <f t="shared" si="10"/>
        <v>0</v>
      </c>
    </row>
    <row r="121" spans="1:9" x14ac:dyDescent="0.35">
      <c r="A121" s="6">
        <v>44681</v>
      </c>
      <c r="B121" s="7">
        <v>529</v>
      </c>
      <c r="C121">
        <f t="shared" si="7"/>
        <v>7</v>
      </c>
      <c r="D121">
        <f t="shared" si="11"/>
        <v>190</v>
      </c>
      <c r="E121">
        <f t="shared" si="12"/>
        <v>0</v>
      </c>
      <c r="F121">
        <f t="shared" si="8"/>
        <v>0</v>
      </c>
      <c r="G121">
        <f t="shared" si="13"/>
        <v>881</v>
      </c>
      <c r="H121">
        <f t="shared" si="9"/>
        <v>691</v>
      </c>
      <c r="I121">
        <f t="shared" si="10"/>
        <v>0</v>
      </c>
    </row>
    <row r="122" spans="1:9" x14ac:dyDescent="0.35">
      <c r="A122" s="4">
        <v>44682</v>
      </c>
      <c r="B122" s="5">
        <v>890</v>
      </c>
      <c r="C122">
        <f t="shared" si="7"/>
        <v>1</v>
      </c>
      <c r="D122">
        <f t="shared" si="11"/>
        <v>190</v>
      </c>
      <c r="E122">
        <f t="shared" si="12"/>
        <v>0</v>
      </c>
      <c r="F122">
        <f t="shared" si="8"/>
        <v>0</v>
      </c>
      <c r="G122">
        <f t="shared" si="13"/>
        <v>1581</v>
      </c>
      <c r="H122">
        <f t="shared" si="9"/>
        <v>1391</v>
      </c>
      <c r="I122">
        <f t="shared" si="10"/>
        <v>0</v>
      </c>
    </row>
    <row r="123" spans="1:9" x14ac:dyDescent="0.35">
      <c r="A123" s="6">
        <v>44683</v>
      </c>
      <c r="B123" s="7">
        <v>609</v>
      </c>
      <c r="C123">
        <f t="shared" si="7"/>
        <v>2</v>
      </c>
      <c r="D123">
        <f t="shared" si="11"/>
        <v>190</v>
      </c>
      <c r="E123">
        <f t="shared" si="12"/>
        <v>0</v>
      </c>
      <c r="F123">
        <f t="shared" si="8"/>
        <v>0</v>
      </c>
      <c r="G123">
        <f t="shared" si="13"/>
        <v>2000</v>
      </c>
      <c r="H123">
        <f t="shared" si="9"/>
        <v>1810</v>
      </c>
      <c r="I123">
        <f t="shared" si="10"/>
        <v>0</v>
      </c>
    </row>
    <row r="124" spans="1:9" x14ac:dyDescent="0.35">
      <c r="A124" s="4">
        <v>44684</v>
      </c>
      <c r="B124" s="5">
        <v>79</v>
      </c>
      <c r="C124">
        <f t="shared" si="7"/>
        <v>3</v>
      </c>
      <c r="D124">
        <f t="shared" si="11"/>
        <v>260</v>
      </c>
      <c r="E124">
        <f t="shared" si="12"/>
        <v>0</v>
      </c>
      <c r="F124">
        <f t="shared" si="8"/>
        <v>0</v>
      </c>
      <c r="G124">
        <f t="shared" si="13"/>
        <v>1889</v>
      </c>
      <c r="H124">
        <f t="shared" si="9"/>
        <v>1629</v>
      </c>
      <c r="I124">
        <f t="shared" si="10"/>
        <v>0</v>
      </c>
    </row>
    <row r="125" spans="1:9" x14ac:dyDescent="0.35">
      <c r="A125" s="6">
        <v>44685</v>
      </c>
      <c r="B125" s="7">
        <v>0</v>
      </c>
      <c r="C125">
        <f t="shared" si="7"/>
        <v>4</v>
      </c>
      <c r="D125">
        <f t="shared" si="11"/>
        <v>190</v>
      </c>
      <c r="E125">
        <f t="shared" si="12"/>
        <v>1</v>
      </c>
      <c r="F125">
        <f t="shared" si="8"/>
        <v>0</v>
      </c>
      <c r="G125">
        <f t="shared" si="13"/>
        <v>1629</v>
      </c>
      <c r="H125">
        <f t="shared" si="9"/>
        <v>1439</v>
      </c>
      <c r="I125">
        <f t="shared" si="10"/>
        <v>0</v>
      </c>
    </row>
    <row r="126" spans="1:9" x14ac:dyDescent="0.35">
      <c r="A126" s="4">
        <v>44686</v>
      </c>
      <c r="B126" s="5">
        <v>0</v>
      </c>
      <c r="C126">
        <f t="shared" si="7"/>
        <v>5</v>
      </c>
      <c r="D126">
        <f t="shared" si="11"/>
        <v>190</v>
      </c>
      <c r="E126">
        <f t="shared" si="12"/>
        <v>2</v>
      </c>
      <c r="F126">
        <f t="shared" si="8"/>
        <v>0</v>
      </c>
      <c r="G126">
        <f t="shared" si="13"/>
        <v>1439</v>
      </c>
      <c r="H126">
        <f t="shared" si="9"/>
        <v>1249</v>
      </c>
      <c r="I126">
        <f t="shared" si="10"/>
        <v>0</v>
      </c>
    </row>
    <row r="127" spans="1:9" x14ac:dyDescent="0.35">
      <c r="A127" s="6">
        <v>44687</v>
      </c>
      <c r="B127" s="7">
        <v>0</v>
      </c>
      <c r="C127">
        <f t="shared" si="7"/>
        <v>6</v>
      </c>
      <c r="D127">
        <f t="shared" si="11"/>
        <v>190</v>
      </c>
      <c r="E127">
        <f t="shared" si="12"/>
        <v>3</v>
      </c>
      <c r="F127">
        <f t="shared" si="8"/>
        <v>0</v>
      </c>
      <c r="G127">
        <f t="shared" si="13"/>
        <v>1249</v>
      </c>
      <c r="H127">
        <f t="shared" si="9"/>
        <v>1059</v>
      </c>
      <c r="I127">
        <f t="shared" si="10"/>
        <v>0</v>
      </c>
    </row>
    <row r="128" spans="1:9" x14ac:dyDescent="0.35">
      <c r="A128" s="4">
        <v>44688</v>
      </c>
      <c r="B128" s="5">
        <v>0</v>
      </c>
      <c r="C128">
        <f t="shared" si="7"/>
        <v>7</v>
      </c>
      <c r="D128">
        <f t="shared" si="11"/>
        <v>190</v>
      </c>
      <c r="E128">
        <f t="shared" si="12"/>
        <v>4</v>
      </c>
      <c r="F128">
        <f t="shared" si="8"/>
        <v>0</v>
      </c>
      <c r="G128">
        <f t="shared" si="13"/>
        <v>1059</v>
      </c>
      <c r="H128">
        <f t="shared" si="9"/>
        <v>869</v>
      </c>
      <c r="I128">
        <f t="shared" si="10"/>
        <v>0</v>
      </c>
    </row>
    <row r="129" spans="1:9" x14ac:dyDescent="0.35">
      <c r="A129" s="6">
        <v>44689</v>
      </c>
      <c r="B129" s="7">
        <v>0</v>
      </c>
      <c r="C129">
        <f t="shared" si="7"/>
        <v>1</v>
      </c>
      <c r="D129">
        <f t="shared" si="11"/>
        <v>490</v>
      </c>
      <c r="E129">
        <f t="shared" si="12"/>
        <v>5</v>
      </c>
      <c r="F129">
        <f t="shared" si="8"/>
        <v>300</v>
      </c>
      <c r="G129">
        <f t="shared" si="13"/>
        <v>869</v>
      </c>
      <c r="H129">
        <f t="shared" si="9"/>
        <v>379</v>
      </c>
      <c r="I129">
        <f t="shared" si="10"/>
        <v>0</v>
      </c>
    </row>
    <row r="130" spans="1:9" x14ac:dyDescent="0.35">
      <c r="A130" s="4">
        <v>44690</v>
      </c>
      <c r="B130" s="5">
        <v>0</v>
      </c>
      <c r="C130">
        <f t="shared" si="7"/>
        <v>2</v>
      </c>
      <c r="D130">
        <f t="shared" si="11"/>
        <v>190</v>
      </c>
      <c r="E130">
        <f t="shared" si="12"/>
        <v>6</v>
      </c>
      <c r="F130">
        <f t="shared" si="8"/>
        <v>0</v>
      </c>
      <c r="G130">
        <f t="shared" si="13"/>
        <v>379</v>
      </c>
      <c r="H130">
        <f t="shared" si="9"/>
        <v>189</v>
      </c>
      <c r="I130">
        <f t="shared" si="10"/>
        <v>0</v>
      </c>
    </row>
    <row r="131" spans="1:9" x14ac:dyDescent="0.35">
      <c r="A131" s="6">
        <v>44691</v>
      </c>
      <c r="B131" s="7">
        <v>467</v>
      </c>
      <c r="C131">
        <f t="shared" ref="C131:C194" si="14">WEEKDAY(A131)</f>
        <v>3</v>
      </c>
      <c r="D131">
        <f t="shared" si="11"/>
        <v>260</v>
      </c>
      <c r="E131">
        <f t="shared" si="12"/>
        <v>0</v>
      </c>
      <c r="F131">
        <f t="shared" ref="F131:F194" si="15">IF(AND(MONTH(A131)&gt;=4,MONTH(A131)&lt;=9,OR(E131=5,E131=10,E131=15,E131=20)),300,0)</f>
        <v>0</v>
      </c>
      <c r="G131">
        <f t="shared" si="13"/>
        <v>656</v>
      </c>
      <c r="H131">
        <f t="shared" ref="H131:H194" si="16">IF(G131-D131&lt;0,0,G131-D131)</f>
        <v>396</v>
      </c>
      <c r="I131">
        <f t="shared" ref="I131:I194" si="17">IF(H131=0,ABS(G131-D131),0)</f>
        <v>0</v>
      </c>
    </row>
    <row r="132" spans="1:9" x14ac:dyDescent="0.35">
      <c r="A132" s="4">
        <v>44692</v>
      </c>
      <c r="B132" s="5">
        <v>234</v>
      </c>
      <c r="C132">
        <f t="shared" si="14"/>
        <v>4</v>
      </c>
      <c r="D132">
        <f t="shared" ref="D132:D195" si="18">IF(C132=3,260,190)+F132</f>
        <v>190</v>
      </c>
      <c r="E132">
        <f t="shared" ref="E132:E195" si="19">IF(B132=0,E131+1,0)</f>
        <v>0</v>
      </c>
      <c r="F132">
        <f t="shared" si="15"/>
        <v>0</v>
      </c>
      <c r="G132">
        <f t="shared" ref="G132:G195" si="20">H131+B132</f>
        <v>630</v>
      </c>
      <c r="H132">
        <f t="shared" si="16"/>
        <v>440</v>
      </c>
      <c r="I132">
        <f t="shared" si="17"/>
        <v>0</v>
      </c>
    </row>
    <row r="133" spans="1:9" x14ac:dyDescent="0.35">
      <c r="A133" s="6">
        <v>44693</v>
      </c>
      <c r="B133" s="7">
        <v>0</v>
      </c>
      <c r="C133">
        <f t="shared" si="14"/>
        <v>5</v>
      </c>
      <c r="D133">
        <f t="shared" si="18"/>
        <v>190</v>
      </c>
      <c r="E133">
        <f t="shared" si="19"/>
        <v>1</v>
      </c>
      <c r="F133">
        <f t="shared" si="15"/>
        <v>0</v>
      </c>
      <c r="G133">
        <f t="shared" si="20"/>
        <v>440</v>
      </c>
      <c r="H133">
        <f t="shared" si="16"/>
        <v>250</v>
      </c>
      <c r="I133">
        <f t="shared" si="17"/>
        <v>0</v>
      </c>
    </row>
    <row r="134" spans="1:9" x14ac:dyDescent="0.35">
      <c r="A134" s="4">
        <v>44694</v>
      </c>
      <c r="B134" s="5">
        <v>0</v>
      </c>
      <c r="C134">
        <f t="shared" si="14"/>
        <v>6</v>
      </c>
      <c r="D134">
        <f t="shared" si="18"/>
        <v>190</v>
      </c>
      <c r="E134">
        <f t="shared" si="19"/>
        <v>2</v>
      </c>
      <c r="F134">
        <f t="shared" si="15"/>
        <v>0</v>
      </c>
      <c r="G134">
        <f t="shared" si="20"/>
        <v>250</v>
      </c>
      <c r="H134">
        <f t="shared" si="16"/>
        <v>60</v>
      </c>
      <c r="I134">
        <f t="shared" si="17"/>
        <v>0</v>
      </c>
    </row>
    <row r="135" spans="1:9" x14ac:dyDescent="0.35">
      <c r="A135" s="6">
        <v>44695</v>
      </c>
      <c r="B135" s="7">
        <v>0</v>
      </c>
      <c r="C135">
        <f t="shared" si="14"/>
        <v>7</v>
      </c>
      <c r="D135">
        <f t="shared" si="18"/>
        <v>190</v>
      </c>
      <c r="E135">
        <f t="shared" si="19"/>
        <v>3</v>
      </c>
      <c r="F135">
        <f t="shared" si="15"/>
        <v>0</v>
      </c>
      <c r="G135">
        <f t="shared" si="20"/>
        <v>60</v>
      </c>
      <c r="H135">
        <f t="shared" si="16"/>
        <v>0</v>
      </c>
      <c r="I135">
        <f t="shared" si="17"/>
        <v>130</v>
      </c>
    </row>
    <row r="136" spans="1:9" x14ac:dyDescent="0.35">
      <c r="A136" s="4">
        <v>44696</v>
      </c>
      <c r="B136" s="5">
        <v>0</v>
      </c>
      <c r="C136">
        <f t="shared" si="14"/>
        <v>1</v>
      </c>
      <c r="D136">
        <f t="shared" si="18"/>
        <v>190</v>
      </c>
      <c r="E136">
        <f t="shared" si="19"/>
        <v>4</v>
      </c>
      <c r="F136">
        <f t="shared" si="15"/>
        <v>0</v>
      </c>
      <c r="G136">
        <f t="shared" si="20"/>
        <v>0</v>
      </c>
      <c r="H136">
        <f t="shared" si="16"/>
        <v>0</v>
      </c>
      <c r="I136">
        <f t="shared" si="17"/>
        <v>190</v>
      </c>
    </row>
    <row r="137" spans="1:9" x14ac:dyDescent="0.35">
      <c r="A137" s="6">
        <v>44697</v>
      </c>
      <c r="B137" s="7">
        <v>65</v>
      </c>
      <c r="C137">
        <f t="shared" si="14"/>
        <v>2</v>
      </c>
      <c r="D137">
        <f t="shared" si="18"/>
        <v>190</v>
      </c>
      <c r="E137">
        <f t="shared" si="19"/>
        <v>0</v>
      </c>
      <c r="F137">
        <f t="shared" si="15"/>
        <v>0</v>
      </c>
      <c r="G137">
        <f t="shared" si="20"/>
        <v>65</v>
      </c>
      <c r="H137">
        <f t="shared" si="16"/>
        <v>0</v>
      </c>
      <c r="I137">
        <f t="shared" si="17"/>
        <v>125</v>
      </c>
    </row>
    <row r="138" spans="1:9" x14ac:dyDescent="0.35">
      <c r="A138" s="4">
        <v>44698</v>
      </c>
      <c r="B138" s="5">
        <v>781</v>
      </c>
      <c r="C138">
        <f t="shared" si="14"/>
        <v>3</v>
      </c>
      <c r="D138">
        <f t="shared" si="18"/>
        <v>260</v>
      </c>
      <c r="E138">
        <f t="shared" si="19"/>
        <v>0</v>
      </c>
      <c r="F138">
        <f t="shared" si="15"/>
        <v>0</v>
      </c>
      <c r="G138">
        <f t="shared" si="20"/>
        <v>781</v>
      </c>
      <c r="H138">
        <f t="shared" si="16"/>
        <v>521</v>
      </c>
      <c r="I138">
        <f t="shared" si="17"/>
        <v>0</v>
      </c>
    </row>
    <row r="139" spans="1:9" x14ac:dyDescent="0.35">
      <c r="A139" s="6">
        <v>44699</v>
      </c>
      <c r="B139" s="7">
        <v>778</v>
      </c>
      <c r="C139">
        <f t="shared" si="14"/>
        <v>4</v>
      </c>
      <c r="D139">
        <f t="shared" si="18"/>
        <v>190</v>
      </c>
      <c r="E139">
        <f t="shared" si="19"/>
        <v>0</v>
      </c>
      <c r="F139">
        <f t="shared" si="15"/>
        <v>0</v>
      </c>
      <c r="G139">
        <f t="shared" si="20"/>
        <v>1299</v>
      </c>
      <c r="H139">
        <f t="shared" si="16"/>
        <v>1109</v>
      </c>
      <c r="I139">
        <f t="shared" si="17"/>
        <v>0</v>
      </c>
    </row>
    <row r="140" spans="1:9" x14ac:dyDescent="0.35">
      <c r="A140" s="4">
        <v>44700</v>
      </c>
      <c r="B140" s="5">
        <v>32</v>
      </c>
      <c r="C140">
        <f t="shared" si="14"/>
        <v>5</v>
      </c>
      <c r="D140">
        <f t="shared" si="18"/>
        <v>190</v>
      </c>
      <c r="E140">
        <f t="shared" si="19"/>
        <v>0</v>
      </c>
      <c r="F140">
        <f t="shared" si="15"/>
        <v>0</v>
      </c>
      <c r="G140">
        <f t="shared" si="20"/>
        <v>1141</v>
      </c>
      <c r="H140">
        <f t="shared" si="16"/>
        <v>951</v>
      </c>
      <c r="I140">
        <f t="shared" si="17"/>
        <v>0</v>
      </c>
    </row>
    <row r="141" spans="1:9" x14ac:dyDescent="0.35">
      <c r="A141" s="6">
        <v>44701</v>
      </c>
      <c r="B141" s="7">
        <v>0</v>
      </c>
      <c r="C141">
        <f t="shared" si="14"/>
        <v>6</v>
      </c>
      <c r="D141">
        <f t="shared" si="18"/>
        <v>190</v>
      </c>
      <c r="E141">
        <f t="shared" si="19"/>
        <v>1</v>
      </c>
      <c r="F141">
        <f t="shared" si="15"/>
        <v>0</v>
      </c>
      <c r="G141">
        <f t="shared" si="20"/>
        <v>951</v>
      </c>
      <c r="H141">
        <f t="shared" si="16"/>
        <v>761</v>
      </c>
      <c r="I141">
        <f t="shared" si="17"/>
        <v>0</v>
      </c>
    </row>
    <row r="142" spans="1:9" x14ac:dyDescent="0.35">
      <c r="A142" s="4">
        <v>44702</v>
      </c>
      <c r="B142" s="5">
        <v>0</v>
      </c>
      <c r="C142">
        <f t="shared" si="14"/>
        <v>7</v>
      </c>
      <c r="D142">
        <f t="shared" si="18"/>
        <v>190</v>
      </c>
      <c r="E142">
        <f t="shared" si="19"/>
        <v>2</v>
      </c>
      <c r="F142">
        <f t="shared" si="15"/>
        <v>0</v>
      </c>
      <c r="G142">
        <f t="shared" si="20"/>
        <v>761</v>
      </c>
      <c r="H142">
        <f t="shared" si="16"/>
        <v>571</v>
      </c>
      <c r="I142">
        <f t="shared" si="17"/>
        <v>0</v>
      </c>
    </row>
    <row r="143" spans="1:9" x14ac:dyDescent="0.35">
      <c r="A143" s="6">
        <v>44703</v>
      </c>
      <c r="B143" s="7">
        <v>0</v>
      </c>
      <c r="C143">
        <f t="shared" si="14"/>
        <v>1</v>
      </c>
      <c r="D143">
        <f t="shared" si="18"/>
        <v>190</v>
      </c>
      <c r="E143">
        <f t="shared" si="19"/>
        <v>3</v>
      </c>
      <c r="F143">
        <f t="shared" si="15"/>
        <v>0</v>
      </c>
      <c r="G143">
        <f t="shared" si="20"/>
        <v>571</v>
      </c>
      <c r="H143">
        <f t="shared" si="16"/>
        <v>381</v>
      </c>
      <c r="I143">
        <f t="shared" si="17"/>
        <v>0</v>
      </c>
    </row>
    <row r="144" spans="1:9" x14ac:dyDescent="0.35">
      <c r="A144" s="4">
        <v>44704</v>
      </c>
      <c r="B144" s="5">
        <v>0</v>
      </c>
      <c r="C144">
        <f t="shared" si="14"/>
        <v>2</v>
      </c>
      <c r="D144">
        <f t="shared" si="18"/>
        <v>190</v>
      </c>
      <c r="E144">
        <f t="shared" si="19"/>
        <v>4</v>
      </c>
      <c r="F144">
        <f t="shared" si="15"/>
        <v>0</v>
      </c>
      <c r="G144">
        <f t="shared" si="20"/>
        <v>381</v>
      </c>
      <c r="H144">
        <f t="shared" si="16"/>
        <v>191</v>
      </c>
      <c r="I144">
        <f t="shared" si="17"/>
        <v>0</v>
      </c>
    </row>
    <row r="145" spans="1:9" x14ac:dyDescent="0.35">
      <c r="A145" s="6">
        <v>44705</v>
      </c>
      <c r="B145" s="7">
        <v>0</v>
      </c>
      <c r="C145">
        <f t="shared" si="14"/>
        <v>3</v>
      </c>
      <c r="D145">
        <f t="shared" si="18"/>
        <v>560</v>
      </c>
      <c r="E145">
        <f t="shared" si="19"/>
        <v>5</v>
      </c>
      <c r="F145">
        <f t="shared" si="15"/>
        <v>300</v>
      </c>
      <c r="G145">
        <f t="shared" si="20"/>
        <v>191</v>
      </c>
      <c r="H145">
        <f t="shared" si="16"/>
        <v>0</v>
      </c>
      <c r="I145">
        <f t="shared" si="17"/>
        <v>369</v>
      </c>
    </row>
    <row r="146" spans="1:9" x14ac:dyDescent="0.35">
      <c r="A146" s="4">
        <v>44706</v>
      </c>
      <c r="B146" s="5">
        <v>0</v>
      </c>
      <c r="C146">
        <f t="shared" si="14"/>
        <v>4</v>
      </c>
      <c r="D146">
        <f t="shared" si="18"/>
        <v>190</v>
      </c>
      <c r="E146">
        <f t="shared" si="19"/>
        <v>6</v>
      </c>
      <c r="F146">
        <f t="shared" si="15"/>
        <v>0</v>
      </c>
      <c r="G146">
        <f t="shared" si="20"/>
        <v>0</v>
      </c>
      <c r="H146">
        <f t="shared" si="16"/>
        <v>0</v>
      </c>
      <c r="I146">
        <f t="shared" si="17"/>
        <v>190</v>
      </c>
    </row>
    <row r="147" spans="1:9" x14ac:dyDescent="0.35">
      <c r="A147" s="6">
        <v>44707</v>
      </c>
      <c r="B147" s="7">
        <v>0</v>
      </c>
      <c r="C147">
        <f t="shared" si="14"/>
        <v>5</v>
      </c>
      <c r="D147">
        <f t="shared" si="18"/>
        <v>190</v>
      </c>
      <c r="E147">
        <f t="shared" si="19"/>
        <v>7</v>
      </c>
      <c r="F147">
        <f t="shared" si="15"/>
        <v>0</v>
      </c>
      <c r="G147">
        <f t="shared" si="20"/>
        <v>0</v>
      </c>
      <c r="H147">
        <f t="shared" si="16"/>
        <v>0</v>
      </c>
      <c r="I147">
        <f t="shared" si="17"/>
        <v>190</v>
      </c>
    </row>
    <row r="148" spans="1:9" x14ac:dyDescent="0.35">
      <c r="A148" s="4">
        <v>44708</v>
      </c>
      <c r="B148" s="5">
        <v>0</v>
      </c>
      <c r="C148">
        <f t="shared" si="14"/>
        <v>6</v>
      </c>
      <c r="D148">
        <f t="shared" si="18"/>
        <v>190</v>
      </c>
      <c r="E148">
        <f t="shared" si="19"/>
        <v>8</v>
      </c>
      <c r="F148">
        <f t="shared" si="15"/>
        <v>0</v>
      </c>
      <c r="G148">
        <f t="shared" si="20"/>
        <v>0</v>
      </c>
      <c r="H148">
        <f t="shared" si="16"/>
        <v>0</v>
      </c>
      <c r="I148">
        <f t="shared" si="17"/>
        <v>190</v>
      </c>
    </row>
    <row r="149" spans="1:9" x14ac:dyDescent="0.35">
      <c r="A149" s="6">
        <v>44709</v>
      </c>
      <c r="B149" s="7">
        <v>0</v>
      </c>
      <c r="C149">
        <f t="shared" si="14"/>
        <v>7</v>
      </c>
      <c r="D149">
        <f t="shared" si="18"/>
        <v>190</v>
      </c>
      <c r="E149">
        <f t="shared" si="19"/>
        <v>9</v>
      </c>
      <c r="F149">
        <f t="shared" si="15"/>
        <v>0</v>
      </c>
      <c r="G149">
        <f t="shared" si="20"/>
        <v>0</v>
      </c>
      <c r="H149">
        <f t="shared" si="16"/>
        <v>0</v>
      </c>
      <c r="I149">
        <f t="shared" si="17"/>
        <v>190</v>
      </c>
    </row>
    <row r="150" spans="1:9" x14ac:dyDescent="0.35">
      <c r="A150" s="4">
        <v>44710</v>
      </c>
      <c r="B150" s="5">
        <v>0</v>
      </c>
      <c r="C150">
        <f t="shared" si="14"/>
        <v>1</v>
      </c>
      <c r="D150">
        <f t="shared" si="18"/>
        <v>490</v>
      </c>
      <c r="E150">
        <f t="shared" si="19"/>
        <v>10</v>
      </c>
      <c r="F150">
        <f t="shared" si="15"/>
        <v>300</v>
      </c>
      <c r="G150">
        <f t="shared" si="20"/>
        <v>0</v>
      </c>
      <c r="H150">
        <f t="shared" si="16"/>
        <v>0</v>
      </c>
      <c r="I150">
        <f t="shared" si="17"/>
        <v>490</v>
      </c>
    </row>
    <row r="151" spans="1:9" x14ac:dyDescent="0.35">
      <c r="A151" s="6">
        <v>44711</v>
      </c>
      <c r="B151" s="7">
        <v>0</v>
      </c>
      <c r="C151">
        <f t="shared" si="14"/>
        <v>2</v>
      </c>
      <c r="D151">
        <f t="shared" si="18"/>
        <v>190</v>
      </c>
      <c r="E151">
        <f t="shared" si="19"/>
        <v>11</v>
      </c>
      <c r="F151">
        <f t="shared" si="15"/>
        <v>0</v>
      </c>
      <c r="G151">
        <f t="shared" si="20"/>
        <v>0</v>
      </c>
      <c r="H151">
        <f t="shared" si="16"/>
        <v>0</v>
      </c>
      <c r="I151">
        <f t="shared" si="17"/>
        <v>190</v>
      </c>
    </row>
    <row r="152" spans="1:9" x14ac:dyDescent="0.35">
      <c r="A152" s="4">
        <v>44712</v>
      </c>
      <c r="B152" s="5">
        <v>0</v>
      </c>
      <c r="C152">
        <f t="shared" si="14"/>
        <v>3</v>
      </c>
      <c r="D152">
        <f t="shared" si="18"/>
        <v>260</v>
      </c>
      <c r="E152">
        <f t="shared" si="19"/>
        <v>12</v>
      </c>
      <c r="F152">
        <f t="shared" si="15"/>
        <v>0</v>
      </c>
      <c r="G152">
        <f t="shared" si="20"/>
        <v>0</v>
      </c>
      <c r="H152">
        <f t="shared" si="16"/>
        <v>0</v>
      </c>
      <c r="I152">
        <f t="shared" si="17"/>
        <v>260</v>
      </c>
    </row>
    <row r="153" spans="1:9" x14ac:dyDescent="0.35">
      <c r="A153" s="6">
        <v>44713</v>
      </c>
      <c r="B153" s="7">
        <v>0</v>
      </c>
      <c r="C153">
        <f t="shared" si="14"/>
        <v>4</v>
      </c>
      <c r="D153">
        <f t="shared" si="18"/>
        <v>190</v>
      </c>
      <c r="E153">
        <f t="shared" si="19"/>
        <v>13</v>
      </c>
      <c r="F153">
        <f t="shared" si="15"/>
        <v>0</v>
      </c>
      <c r="G153">
        <f t="shared" si="20"/>
        <v>0</v>
      </c>
      <c r="H153">
        <f t="shared" si="16"/>
        <v>0</v>
      </c>
      <c r="I153">
        <f t="shared" si="17"/>
        <v>190</v>
      </c>
    </row>
    <row r="154" spans="1:9" x14ac:dyDescent="0.35">
      <c r="A154" s="4">
        <v>44714</v>
      </c>
      <c r="B154" s="5">
        <v>18</v>
      </c>
      <c r="C154">
        <f t="shared" si="14"/>
        <v>5</v>
      </c>
      <c r="D154">
        <f t="shared" si="18"/>
        <v>190</v>
      </c>
      <c r="E154">
        <f t="shared" si="19"/>
        <v>0</v>
      </c>
      <c r="F154">
        <f t="shared" si="15"/>
        <v>0</v>
      </c>
      <c r="G154">
        <f t="shared" si="20"/>
        <v>18</v>
      </c>
      <c r="H154">
        <f t="shared" si="16"/>
        <v>0</v>
      </c>
      <c r="I154">
        <f t="shared" si="17"/>
        <v>172</v>
      </c>
    </row>
    <row r="155" spans="1:9" x14ac:dyDescent="0.35">
      <c r="A155" s="6">
        <v>44715</v>
      </c>
      <c r="B155" s="7">
        <v>525</v>
      </c>
      <c r="C155">
        <f t="shared" si="14"/>
        <v>6</v>
      </c>
      <c r="D155">
        <f t="shared" si="18"/>
        <v>190</v>
      </c>
      <c r="E155">
        <f t="shared" si="19"/>
        <v>0</v>
      </c>
      <c r="F155">
        <f t="shared" si="15"/>
        <v>0</v>
      </c>
      <c r="G155">
        <f t="shared" si="20"/>
        <v>525</v>
      </c>
      <c r="H155">
        <f t="shared" si="16"/>
        <v>335</v>
      </c>
      <c r="I155">
        <f t="shared" si="17"/>
        <v>0</v>
      </c>
    </row>
    <row r="156" spans="1:9" x14ac:dyDescent="0.35">
      <c r="A156" s="4">
        <v>44716</v>
      </c>
      <c r="B156" s="5">
        <v>697</v>
      </c>
      <c r="C156">
        <f t="shared" si="14"/>
        <v>7</v>
      </c>
      <c r="D156">
        <f t="shared" si="18"/>
        <v>190</v>
      </c>
      <c r="E156">
        <f t="shared" si="19"/>
        <v>0</v>
      </c>
      <c r="F156">
        <f t="shared" si="15"/>
        <v>0</v>
      </c>
      <c r="G156">
        <f t="shared" si="20"/>
        <v>1032</v>
      </c>
      <c r="H156">
        <f t="shared" si="16"/>
        <v>842</v>
      </c>
      <c r="I156">
        <f t="shared" si="17"/>
        <v>0</v>
      </c>
    </row>
    <row r="157" spans="1:9" x14ac:dyDescent="0.35">
      <c r="A157" s="6">
        <v>44717</v>
      </c>
      <c r="B157" s="7">
        <v>786</v>
      </c>
      <c r="C157">
        <f t="shared" si="14"/>
        <v>1</v>
      </c>
      <c r="D157">
        <f t="shared" si="18"/>
        <v>190</v>
      </c>
      <c r="E157">
        <f t="shared" si="19"/>
        <v>0</v>
      </c>
      <c r="F157">
        <f t="shared" si="15"/>
        <v>0</v>
      </c>
      <c r="G157">
        <f t="shared" si="20"/>
        <v>1628</v>
      </c>
      <c r="H157">
        <f t="shared" si="16"/>
        <v>1438</v>
      </c>
      <c r="I157">
        <f t="shared" si="17"/>
        <v>0</v>
      </c>
    </row>
    <row r="158" spans="1:9" x14ac:dyDescent="0.35">
      <c r="A158" s="4">
        <v>44718</v>
      </c>
      <c r="B158" s="5">
        <v>792</v>
      </c>
      <c r="C158">
        <f t="shared" si="14"/>
        <v>2</v>
      </c>
      <c r="D158">
        <f t="shared" si="18"/>
        <v>190</v>
      </c>
      <c r="E158">
        <f t="shared" si="19"/>
        <v>0</v>
      </c>
      <c r="F158">
        <f t="shared" si="15"/>
        <v>0</v>
      </c>
      <c r="G158">
        <f t="shared" si="20"/>
        <v>2230</v>
      </c>
      <c r="H158">
        <f t="shared" si="16"/>
        <v>2040</v>
      </c>
      <c r="I158">
        <f t="shared" si="17"/>
        <v>0</v>
      </c>
    </row>
    <row r="159" spans="1:9" x14ac:dyDescent="0.35">
      <c r="A159" s="6">
        <v>44719</v>
      </c>
      <c r="B159" s="7">
        <v>0</v>
      </c>
      <c r="C159">
        <f t="shared" si="14"/>
        <v>3</v>
      </c>
      <c r="D159">
        <f t="shared" si="18"/>
        <v>260</v>
      </c>
      <c r="E159">
        <f t="shared" si="19"/>
        <v>1</v>
      </c>
      <c r="F159">
        <f t="shared" si="15"/>
        <v>0</v>
      </c>
      <c r="G159">
        <f t="shared" si="20"/>
        <v>2040</v>
      </c>
      <c r="H159">
        <f t="shared" si="16"/>
        <v>1780</v>
      </c>
      <c r="I159">
        <f t="shared" si="17"/>
        <v>0</v>
      </c>
    </row>
    <row r="160" spans="1:9" x14ac:dyDescent="0.35">
      <c r="A160" s="4">
        <v>44720</v>
      </c>
      <c r="B160" s="5">
        <v>0</v>
      </c>
      <c r="C160">
        <f t="shared" si="14"/>
        <v>4</v>
      </c>
      <c r="D160">
        <f t="shared" si="18"/>
        <v>190</v>
      </c>
      <c r="E160">
        <f t="shared" si="19"/>
        <v>2</v>
      </c>
      <c r="F160">
        <f t="shared" si="15"/>
        <v>0</v>
      </c>
      <c r="G160">
        <f t="shared" si="20"/>
        <v>1780</v>
      </c>
      <c r="H160">
        <f t="shared" si="16"/>
        <v>1590</v>
      </c>
      <c r="I160">
        <f t="shared" si="17"/>
        <v>0</v>
      </c>
    </row>
    <row r="161" spans="1:9" x14ac:dyDescent="0.35">
      <c r="A161" s="6">
        <v>44721</v>
      </c>
      <c r="B161" s="7">
        <v>0</v>
      </c>
      <c r="C161">
        <f t="shared" si="14"/>
        <v>5</v>
      </c>
      <c r="D161">
        <f t="shared" si="18"/>
        <v>190</v>
      </c>
      <c r="E161">
        <f t="shared" si="19"/>
        <v>3</v>
      </c>
      <c r="F161">
        <f t="shared" si="15"/>
        <v>0</v>
      </c>
      <c r="G161">
        <f t="shared" si="20"/>
        <v>1590</v>
      </c>
      <c r="H161">
        <f t="shared" si="16"/>
        <v>1400</v>
      </c>
      <c r="I161">
        <f t="shared" si="17"/>
        <v>0</v>
      </c>
    </row>
    <row r="162" spans="1:9" x14ac:dyDescent="0.35">
      <c r="A162" s="4">
        <v>44722</v>
      </c>
      <c r="B162" s="5">
        <v>0</v>
      </c>
      <c r="C162">
        <f t="shared" si="14"/>
        <v>6</v>
      </c>
      <c r="D162">
        <f t="shared" si="18"/>
        <v>190</v>
      </c>
      <c r="E162">
        <f t="shared" si="19"/>
        <v>4</v>
      </c>
      <c r="F162">
        <f t="shared" si="15"/>
        <v>0</v>
      </c>
      <c r="G162">
        <f t="shared" si="20"/>
        <v>1400</v>
      </c>
      <c r="H162">
        <f t="shared" si="16"/>
        <v>1210</v>
      </c>
      <c r="I162">
        <f t="shared" si="17"/>
        <v>0</v>
      </c>
    </row>
    <row r="163" spans="1:9" x14ac:dyDescent="0.35">
      <c r="A163" s="6">
        <v>44723</v>
      </c>
      <c r="B163" s="7">
        <v>0</v>
      </c>
      <c r="C163">
        <f t="shared" si="14"/>
        <v>7</v>
      </c>
      <c r="D163">
        <f t="shared" si="18"/>
        <v>490</v>
      </c>
      <c r="E163">
        <f t="shared" si="19"/>
        <v>5</v>
      </c>
      <c r="F163">
        <f t="shared" si="15"/>
        <v>300</v>
      </c>
      <c r="G163">
        <f t="shared" si="20"/>
        <v>1210</v>
      </c>
      <c r="H163">
        <f t="shared" si="16"/>
        <v>720</v>
      </c>
      <c r="I163">
        <f t="shared" si="17"/>
        <v>0</v>
      </c>
    </row>
    <row r="164" spans="1:9" x14ac:dyDescent="0.35">
      <c r="A164" s="4">
        <v>44724</v>
      </c>
      <c r="B164" s="5">
        <v>0</v>
      </c>
      <c r="C164">
        <f t="shared" si="14"/>
        <v>1</v>
      </c>
      <c r="D164">
        <f t="shared" si="18"/>
        <v>190</v>
      </c>
      <c r="E164">
        <f t="shared" si="19"/>
        <v>6</v>
      </c>
      <c r="F164">
        <f t="shared" si="15"/>
        <v>0</v>
      </c>
      <c r="G164">
        <f t="shared" si="20"/>
        <v>720</v>
      </c>
      <c r="H164">
        <f t="shared" si="16"/>
        <v>530</v>
      </c>
      <c r="I164">
        <f t="shared" si="17"/>
        <v>0</v>
      </c>
    </row>
    <row r="165" spans="1:9" x14ac:dyDescent="0.35">
      <c r="A165" s="6">
        <v>44725</v>
      </c>
      <c r="B165" s="7">
        <v>0</v>
      </c>
      <c r="C165">
        <f t="shared" si="14"/>
        <v>2</v>
      </c>
      <c r="D165">
        <f t="shared" si="18"/>
        <v>190</v>
      </c>
      <c r="E165">
        <f t="shared" si="19"/>
        <v>7</v>
      </c>
      <c r="F165">
        <f t="shared" si="15"/>
        <v>0</v>
      </c>
      <c r="G165">
        <f t="shared" si="20"/>
        <v>530</v>
      </c>
      <c r="H165">
        <f t="shared" si="16"/>
        <v>340</v>
      </c>
      <c r="I165">
        <f t="shared" si="17"/>
        <v>0</v>
      </c>
    </row>
    <row r="166" spans="1:9" x14ac:dyDescent="0.35">
      <c r="A166" s="4">
        <v>44726</v>
      </c>
      <c r="B166" s="5">
        <v>0</v>
      </c>
      <c r="C166">
        <f t="shared" si="14"/>
        <v>3</v>
      </c>
      <c r="D166">
        <f t="shared" si="18"/>
        <v>260</v>
      </c>
      <c r="E166">
        <f t="shared" si="19"/>
        <v>8</v>
      </c>
      <c r="F166">
        <f t="shared" si="15"/>
        <v>0</v>
      </c>
      <c r="G166">
        <f t="shared" si="20"/>
        <v>340</v>
      </c>
      <c r="H166">
        <f t="shared" si="16"/>
        <v>80</v>
      </c>
      <c r="I166">
        <f t="shared" si="17"/>
        <v>0</v>
      </c>
    </row>
    <row r="167" spans="1:9" x14ac:dyDescent="0.35">
      <c r="A167" s="6">
        <v>44727</v>
      </c>
      <c r="B167" s="7">
        <v>0</v>
      </c>
      <c r="C167">
        <f t="shared" si="14"/>
        <v>4</v>
      </c>
      <c r="D167">
        <f t="shared" si="18"/>
        <v>190</v>
      </c>
      <c r="E167">
        <f t="shared" si="19"/>
        <v>9</v>
      </c>
      <c r="F167">
        <f t="shared" si="15"/>
        <v>0</v>
      </c>
      <c r="G167">
        <f t="shared" si="20"/>
        <v>80</v>
      </c>
      <c r="H167">
        <f t="shared" si="16"/>
        <v>0</v>
      </c>
      <c r="I167">
        <f t="shared" si="17"/>
        <v>110</v>
      </c>
    </row>
    <row r="168" spans="1:9" x14ac:dyDescent="0.35">
      <c r="A168" s="4">
        <v>44728</v>
      </c>
      <c r="B168" s="5">
        <v>0</v>
      </c>
      <c r="C168">
        <f t="shared" si="14"/>
        <v>5</v>
      </c>
      <c r="D168">
        <f t="shared" si="18"/>
        <v>490</v>
      </c>
      <c r="E168">
        <f t="shared" si="19"/>
        <v>10</v>
      </c>
      <c r="F168">
        <f t="shared" si="15"/>
        <v>300</v>
      </c>
      <c r="G168">
        <f t="shared" si="20"/>
        <v>0</v>
      </c>
      <c r="H168">
        <f t="shared" si="16"/>
        <v>0</v>
      </c>
      <c r="I168">
        <f t="shared" si="17"/>
        <v>490</v>
      </c>
    </row>
    <row r="169" spans="1:9" x14ac:dyDescent="0.35">
      <c r="A169" s="6">
        <v>44729</v>
      </c>
      <c r="B169" s="7">
        <v>998</v>
      </c>
      <c r="C169">
        <f t="shared" si="14"/>
        <v>6</v>
      </c>
      <c r="D169">
        <f t="shared" si="18"/>
        <v>190</v>
      </c>
      <c r="E169">
        <f t="shared" si="19"/>
        <v>0</v>
      </c>
      <c r="F169">
        <f t="shared" si="15"/>
        <v>0</v>
      </c>
      <c r="G169">
        <f t="shared" si="20"/>
        <v>998</v>
      </c>
      <c r="H169">
        <f t="shared" si="16"/>
        <v>808</v>
      </c>
      <c r="I169">
        <f t="shared" si="17"/>
        <v>0</v>
      </c>
    </row>
    <row r="170" spans="1:9" x14ac:dyDescent="0.35">
      <c r="A170" s="4">
        <v>44730</v>
      </c>
      <c r="B170" s="5">
        <v>0</v>
      </c>
      <c r="C170">
        <f t="shared" si="14"/>
        <v>7</v>
      </c>
      <c r="D170">
        <f t="shared" si="18"/>
        <v>190</v>
      </c>
      <c r="E170">
        <f t="shared" si="19"/>
        <v>1</v>
      </c>
      <c r="F170">
        <f t="shared" si="15"/>
        <v>0</v>
      </c>
      <c r="G170">
        <f t="shared" si="20"/>
        <v>808</v>
      </c>
      <c r="H170">
        <f t="shared" si="16"/>
        <v>618</v>
      </c>
      <c r="I170">
        <f t="shared" si="17"/>
        <v>0</v>
      </c>
    </row>
    <row r="171" spans="1:9" x14ac:dyDescent="0.35">
      <c r="A171" s="6">
        <v>44731</v>
      </c>
      <c r="B171" s="7">
        <v>0</v>
      </c>
      <c r="C171">
        <f t="shared" si="14"/>
        <v>1</v>
      </c>
      <c r="D171">
        <f t="shared" si="18"/>
        <v>190</v>
      </c>
      <c r="E171">
        <f t="shared" si="19"/>
        <v>2</v>
      </c>
      <c r="F171">
        <f t="shared" si="15"/>
        <v>0</v>
      </c>
      <c r="G171">
        <f t="shared" si="20"/>
        <v>618</v>
      </c>
      <c r="H171">
        <f t="shared" si="16"/>
        <v>428</v>
      </c>
      <c r="I171">
        <f t="shared" si="17"/>
        <v>0</v>
      </c>
    </row>
    <row r="172" spans="1:9" x14ac:dyDescent="0.35">
      <c r="A172" s="4">
        <v>44732</v>
      </c>
      <c r="B172" s="5">
        <v>0</v>
      </c>
      <c r="C172">
        <f t="shared" si="14"/>
        <v>2</v>
      </c>
      <c r="D172">
        <f t="shared" si="18"/>
        <v>190</v>
      </c>
      <c r="E172">
        <f t="shared" si="19"/>
        <v>3</v>
      </c>
      <c r="F172">
        <f t="shared" si="15"/>
        <v>0</v>
      </c>
      <c r="G172">
        <f t="shared" si="20"/>
        <v>428</v>
      </c>
      <c r="H172">
        <f t="shared" si="16"/>
        <v>238</v>
      </c>
      <c r="I172">
        <f t="shared" si="17"/>
        <v>0</v>
      </c>
    </row>
    <row r="173" spans="1:9" x14ac:dyDescent="0.35">
      <c r="A173" s="6">
        <v>44733</v>
      </c>
      <c r="B173" s="7">
        <v>0</v>
      </c>
      <c r="C173">
        <f t="shared" si="14"/>
        <v>3</v>
      </c>
      <c r="D173">
        <f t="shared" si="18"/>
        <v>260</v>
      </c>
      <c r="E173">
        <f t="shared" si="19"/>
        <v>4</v>
      </c>
      <c r="F173">
        <f t="shared" si="15"/>
        <v>0</v>
      </c>
      <c r="G173">
        <f t="shared" si="20"/>
        <v>238</v>
      </c>
      <c r="H173">
        <f t="shared" si="16"/>
        <v>0</v>
      </c>
      <c r="I173">
        <f t="shared" si="17"/>
        <v>22</v>
      </c>
    </row>
    <row r="174" spans="1:9" x14ac:dyDescent="0.35">
      <c r="A174" s="4">
        <v>44734</v>
      </c>
      <c r="B174" s="5">
        <v>0</v>
      </c>
      <c r="C174">
        <f t="shared" si="14"/>
        <v>4</v>
      </c>
      <c r="D174">
        <f t="shared" si="18"/>
        <v>490</v>
      </c>
      <c r="E174">
        <f t="shared" si="19"/>
        <v>5</v>
      </c>
      <c r="F174">
        <f t="shared" si="15"/>
        <v>300</v>
      </c>
      <c r="G174">
        <f t="shared" si="20"/>
        <v>0</v>
      </c>
      <c r="H174">
        <f t="shared" si="16"/>
        <v>0</v>
      </c>
      <c r="I174">
        <f t="shared" si="17"/>
        <v>490</v>
      </c>
    </row>
    <row r="175" spans="1:9" x14ac:dyDescent="0.35">
      <c r="A175" s="6">
        <v>44735</v>
      </c>
      <c r="B175" s="7">
        <v>0</v>
      </c>
      <c r="C175">
        <f t="shared" si="14"/>
        <v>5</v>
      </c>
      <c r="D175">
        <f t="shared" si="18"/>
        <v>190</v>
      </c>
      <c r="E175">
        <f t="shared" si="19"/>
        <v>6</v>
      </c>
      <c r="F175">
        <f t="shared" si="15"/>
        <v>0</v>
      </c>
      <c r="G175">
        <f t="shared" si="20"/>
        <v>0</v>
      </c>
      <c r="H175">
        <f t="shared" si="16"/>
        <v>0</v>
      </c>
      <c r="I175">
        <f t="shared" si="17"/>
        <v>190</v>
      </c>
    </row>
    <row r="176" spans="1:9" x14ac:dyDescent="0.35">
      <c r="A176" s="4">
        <v>44736</v>
      </c>
      <c r="B176" s="5">
        <v>0</v>
      </c>
      <c r="C176">
        <f t="shared" si="14"/>
        <v>6</v>
      </c>
      <c r="D176">
        <f t="shared" si="18"/>
        <v>190</v>
      </c>
      <c r="E176">
        <f t="shared" si="19"/>
        <v>7</v>
      </c>
      <c r="F176">
        <f t="shared" si="15"/>
        <v>0</v>
      </c>
      <c r="G176">
        <f t="shared" si="20"/>
        <v>0</v>
      </c>
      <c r="H176">
        <f t="shared" si="16"/>
        <v>0</v>
      </c>
      <c r="I176">
        <f t="shared" si="17"/>
        <v>190</v>
      </c>
    </row>
    <row r="177" spans="1:9" x14ac:dyDescent="0.35">
      <c r="A177" s="6">
        <v>44737</v>
      </c>
      <c r="B177" s="7">
        <v>0</v>
      </c>
      <c r="C177">
        <f t="shared" si="14"/>
        <v>7</v>
      </c>
      <c r="D177">
        <f t="shared" si="18"/>
        <v>190</v>
      </c>
      <c r="E177">
        <f t="shared" si="19"/>
        <v>8</v>
      </c>
      <c r="F177">
        <f t="shared" si="15"/>
        <v>0</v>
      </c>
      <c r="G177">
        <f t="shared" si="20"/>
        <v>0</v>
      </c>
      <c r="H177">
        <f t="shared" si="16"/>
        <v>0</v>
      </c>
      <c r="I177">
        <f t="shared" si="17"/>
        <v>190</v>
      </c>
    </row>
    <row r="178" spans="1:9" x14ac:dyDescent="0.35">
      <c r="A178" s="4">
        <v>44738</v>
      </c>
      <c r="B178" s="5">
        <v>540</v>
      </c>
      <c r="C178">
        <f t="shared" si="14"/>
        <v>1</v>
      </c>
      <c r="D178">
        <f t="shared" si="18"/>
        <v>190</v>
      </c>
      <c r="E178">
        <f t="shared" si="19"/>
        <v>0</v>
      </c>
      <c r="F178">
        <f t="shared" si="15"/>
        <v>0</v>
      </c>
      <c r="G178">
        <f t="shared" si="20"/>
        <v>540</v>
      </c>
      <c r="H178">
        <f t="shared" si="16"/>
        <v>350</v>
      </c>
      <c r="I178">
        <f t="shared" si="17"/>
        <v>0</v>
      </c>
    </row>
    <row r="179" spans="1:9" x14ac:dyDescent="0.35">
      <c r="A179" s="6">
        <v>44739</v>
      </c>
      <c r="B179" s="7">
        <v>607</v>
      </c>
      <c r="C179">
        <f t="shared" si="14"/>
        <v>2</v>
      </c>
      <c r="D179">
        <f t="shared" si="18"/>
        <v>190</v>
      </c>
      <c r="E179">
        <f t="shared" si="19"/>
        <v>0</v>
      </c>
      <c r="F179">
        <f t="shared" si="15"/>
        <v>0</v>
      </c>
      <c r="G179">
        <f t="shared" si="20"/>
        <v>957</v>
      </c>
      <c r="H179">
        <f t="shared" si="16"/>
        <v>767</v>
      </c>
      <c r="I179">
        <f t="shared" si="17"/>
        <v>0</v>
      </c>
    </row>
    <row r="180" spans="1:9" x14ac:dyDescent="0.35">
      <c r="A180" s="4">
        <v>44740</v>
      </c>
      <c r="B180" s="5">
        <v>603</v>
      </c>
      <c r="C180">
        <f t="shared" si="14"/>
        <v>3</v>
      </c>
      <c r="D180">
        <f t="shared" si="18"/>
        <v>260</v>
      </c>
      <c r="E180">
        <f t="shared" si="19"/>
        <v>0</v>
      </c>
      <c r="F180">
        <f t="shared" si="15"/>
        <v>0</v>
      </c>
      <c r="G180">
        <f t="shared" si="20"/>
        <v>1370</v>
      </c>
      <c r="H180">
        <f t="shared" si="16"/>
        <v>1110</v>
      </c>
      <c r="I180">
        <f t="shared" si="17"/>
        <v>0</v>
      </c>
    </row>
    <row r="181" spans="1:9" x14ac:dyDescent="0.35">
      <c r="A181" s="6">
        <v>44741</v>
      </c>
      <c r="B181" s="7">
        <v>0</v>
      </c>
      <c r="C181">
        <f t="shared" si="14"/>
        <v>4</v>
      </c>
      <c r="D181">
        <f t="shared" si="18"/>
        <v>190</v>
      </c>
      <c r="E181">
        <f t="shared" si="19"/>
        <v>1</v>
      </c>
      <c r="F181">
        <f t="shared" si="15"/>
        <v>0</v>
      </c>
      <c r="G181">
        <f t="shared" si="20"/>
        <v>1110</v>
      </c>
      <c r="H181">
        <f t="shared" si="16"/>
        <v>920</v>
      </c>
      <c r="I181">
        <f t="shared" si="17"/>
        <v>0</v>
      </c>
    </row>
    <row r="182" spans="1:9" x14ac:dyDescent="0.35">
      <c r="A182" s="4">
        <v>44742</v>
      </c>
      <c r="B182" s="5">
        <v>0</v>
      </c>
      <c r="C182">
        <f t="shared" si="14"/>
        <v>5</v>
      </c>
      <c r="D182">
        <f t="shared" si="18"/>
        <v>190</v>
      </c>
      <c r="E182">
        <f t="shared" si="19"/>
        <v>2</v>
      </c>
      <c r="F182">
        <f t="shared" si="15"/>
        <v>0</v>
      </c>
      <c r="G182">
        <f t="shared" si="20"/>
        <v>920</v>
      </c>
      <c r="H182">
        <f t="shared" si="16"/>
        <v>730</v>
      </c>
      <c r="I182">
        <f t="shared" si="17"/>
        <v>0</v>
      </c>
    </row>
    <row r="183" spans="1:9" x14ac:dyDescent="0.35">
      <c r="A183" s="6">
        <v>44743</v>
      </c>
      <c r="B183" s="7">
        <v>0</v>
      </c>
      <c r="C183">
        <f t="shared" si="14"/>
        <v>6</v>
      </c>
      <c r="D183">
        <f t="shared" si="18"/>
        <v>190</v>
      </c>
      <c r="E183">
        <f t="shared" si="19"/>
        <v>3</v>
      </c>
      <c r="F183">
        <f t="shared" si="15"/>
        <v>0</v>
      </c>
      <c r="G183">
        <f t="shared" si="20"/>
        <v>730</v>
      </c>
      <c r="H183">
        <f t="shared" si="16"/>
        <v>540</v>
      </c>
      <c r="I183">
        <f t="shared" si="17"/>
        <v>0</v>
      </c>
    </row>
    <row r="184" spans="1:9" x14ac:dyDescent="0.35">
      <c r="A184" s="4">
        <v>44744</v>
      </c>
      <c r="B184" s="5">
        <v>0</v>
      </c>
      <c r="C184">
        <f t="shared" si="14"/>
        <v>7</v>
      </c>
      <c r="D184">
        <f t="shared" si="18"/>
        <v>190</v>
      </c>
      <c r="E184">
        <f t="shared" si="19"/>
        <v>4</v>
      </c>
      <c r="F184">
        <f t="shared" si="15"/>
        <v>0</v>
      </c>
      <c r="G184">
        <f t="shared" si="20"/>
        <v>540</v>
      </c>
      <c r="H184">
        <f t="shared" si="16"/>
        <v>350</v>
      </c>
      <c r="I184">
        <f t="shared" si="17"/>
        <v>0</v>
      </c>
    </row>
    <row r="185" spans="1:9" x14ac:dyDescent="0.35">
      <c r="A185" s="6">
        <v>44745</v>
      </c>
      <c r="B185" s="7">
        <v>0</v>
      </c>
      <c r="C185">
        <f t="shared" si="14"/>
        <v>1</v>
      </c>
      <c r="D185">
        <f t="shared" si="18"/>
        <v>490</v>
      </c>
      <c r="E185">
        <f t="shared" si="19"/>
        <v>5</v>
      </c>
      <c r="F185">
        <f t="shared" si="15"/>
        <v>300</v>
      </c>
      <c r="G185">
        <f t="shared" si="20"/>
        <v>350</v>
      </c>
      <c r="H185">
        <f t="shared" si="16"/>
        <v>0</v>
      </c>
      <c r="I185">
        <f t="shared" si="17"/>
        <v>140</v>
      </c>
    </row>
    <row r="186" spans="1:9" x14ac:dyDescent="0.35">
      <c r="A186" s="4">
        <v>44746</v>
      </c>
      <c r="B186" s="5">
        <v>0</v>
      </c>
      <c r="C186">
        <f t="shared" si="14"/>
        <v>2</v>
      </c>
      <c r="D186">
        <f t="shared" si="18"/>
        <v>190</v>
      </c>
      <c r="E186">
        <f t="shared" si="19"/>
        <v>6</v>
      </c>
      <c r="F186">
        <f t="shared" si="15"/>
        <v>0</v>
      </c>
      <c r="G186">
        <f t="shared" si="20"/>
        <v>0</v>
      </c>
      <c r="H186">
        <f t="shared" si="16"/>
        <v>0</v>
      </c>
      <c r="I186">
        <f t="shared" si="17"/>
        <v>190</v>
      </c>
    </row>
    <row r="187" spans="1:9" x14ac:dyDescent="0.35">
      <c r="A187" s="6">
        <v>44747</v>
      </c>
      <c r="B187" s="7">
        <v>0</v>
      </c>
      <c r="C187">
        <f t="shared" si="14"/>
        <v>3</v>
      </c>
      <c r="D187">
        <f t="shared" si="18"/>
        <v>260</v>
      </c>
      <c r="E187">
        <f t="shared" si="19"/>
        <v>7</v>
      </c>
      <c r="F187">
        <f t="shared" si="15"/>
        <v>0</v>
      </c>
      <c r="G187">
        <f t="shared" si="20"/>
        <v>0</v>
      </c>
      <c r="H187">
        <f t="shared" si="16"/>
        <v>0</v>
      </c>
      <c r="I187">
        <f t="shared" si="17"/>
        <v>260</v>
      </c>
    </row>
    <row r="188" spans="1:9" x14ac:dyDescent="0.35">
      <c r="A188" s="4">
        <v>44748</v>
      </c>
      <c r="B188" s="5">
        <v>527</v>
      </c>
      <c r="C188">
        <f t="shared" si="14"/>
        <v>4</v>
      </c>
      <c r="D188">
        <f t="shared" si="18"/>
        <v>190</v>
      </c>
      <c r="E188">
        <f t="shared" si="19"/>
        <v>0</v>
      </c>
      <c r="F188">
        <f t="shared" si="15"/>
        <v>0</v>
      </c>
      <c r="G188">
        <f t="shared" si="20"/>
        <v>527</v>
      </c>
      <c r="H188">
        <f t="shared" si="16"/>
        <v>337</v>
      </c>
      <c r="I188">
        <f t="shared" si="17"/>
        <v>0</v>
      </c>
    </row>
    <row r="189" spans="1:9" x14ac:dyDescent="0.35">
      <c r="A189" s="6">
        <v>44749</v>
      </c>
      <c r="B189" s="7">
        <v>619</v>
      </c>
      <c r="C189">
        <f t="shared" si="14"/>
        <v>5</v>
      </c>
      <c r="D189">
        <f t="shared" si="18"/>
        <v>190</v>
      </c>
      <c r="E189">
        <f t="shared" si="19"/>
        <v>0</v>
      </c>
      <c r="F189">
        <f t="shared" si="15"/>
        <v>0</v>
      </c>
      <c r="G189">
        <f t="shared" si="20"/>
        <v>956</v>
      </c>
      <c r="H189">
        <f t="shared" si="16"/>
        <v>766</v>
      </c>
      <c r="I189">
        <f t="shared" si="17"/>
        <v>0</v>
      </c>
    </row>
    <row r="190" spans="1:9" x14ac:dyDescent="0.35">
      <c r="A190" s="4">
        <v>44750</v>
      </c>
      <c r="B190" s="5">
        <v>0</v>
      </c>
      <c r="C190">
        <f t="shared" si="14"/>
        <v>6</v>
      </c>
      <c r="D190">
        <f t="shared" si="18"/>
        <v>190</v>
      </c>
      <c r="E190">
        <f t="shared" si="19"/>
        <v>1</v>
      </c>
      <c r="F190">
        <f t="shared" si="15"/>
        <v>0</v>
      </c>
      <c r="G190">
        <f t="shared" si="20"/>
        <v>766</v>
      </c>
      <c r="H190">
        <f t="shared" si="16"/>
        <v>576</v>
      </c>
      <c r="I190">
        <f t="shared" si="17"/>
        <v>0</v>
      </c>
    </row>
    <row r="191" spans="1:9" x14ac:dyDescent="0.35">
      <c r="A191" s="6">
        <v>44751</v>
      </c>
      <c r="B191" s="7">
        <v>0</v>
      </c>
      <c r="C191">
        <f t="shared" si="14"/>
        <v>7</v>
      </c>
      <c r="D191">
        <f t="shared" si="18"/>
        <v>190</v>
      </c>
      <c r="E191">
        <f t="shared" si="19"/>
        <v>2</v>
      </c>
      <c r="F191">
        <f t="shared" si="15"/>
        <v>0</v>
      </c>
      <c r="G191">
        <f t="shared" si="20"/>
        <v>576</v>
      </c>
      <c r="H191">
        <f t="shared" si="16"/>
        <v>386</v>
      </c>
      <c r="I191">
        <f t="shared" si="17"/>
        <v>0</v>
      </c>
    </row>
    <row r="192" spans="1:9" x14ac:dyDescent="0.35">
      <c r="A192" s="4">
        <v>44752</v>
      </c>
      <c r="B192" s="5">
        <v>0</v>
      </c>
      <c r="C192">
        <f t="shared" si="14"/>
        <v>1</v>
      </c>
      <c r="D192">
        <f t="shared" si="18"/>
        <v>190</v>
      </c>
      <c r="E192">
        <f t="shared" si="19"/>
        <v>3</v>
      </c>
      <c r="F192">
        <f t="shared" si="15"/>
        <v>0</v>
      </c>
      <c r="G192">
        <f t="shared" si="20"/>
        <v>386</v>
      </c>
      <c r="H192">
        <f t="shared" si="16"/>
        <v>196</v>
      </c>
      <c r="I192">
        <f t="shared" si="17"/>
        <v>0</v>
      </c>
    </row>
    <row r="193" spans="1:9" x14ac:dyDescent="0.35">
      <c r="A193" s="6">
        <v>44753</v>
      </c>
      <c r="B193" s="7">
        <v>170</v>
      </c>
      <c r="C193">
        <f t="shared" si="14"/>
        <v>2</v>
      </c>
      <c r="D193">
        <f t="shared" si="18"/>
        <v>190</v>
      </c>
      <c r="E193">
        <f t="shared" si="19"/>
        <v>0</v>
      </c>
      <c r="F193">
        <f t="shared" si="15"/>
        <v>0</v>
      </c>
      <c r="G193">
        <f t="shared" si="20"/>
        <v>366</v>
      </c>
      <c r="H193">
        <f t="shared" si="16"/>
        <v>176</v>
      </c>
      <c r="I193">
        <f t="shared" si="17"/>
        <v>0</v>
      </c>
    </row>
    <row r="194" spans="1:9" x14ac:dyDescent="0.35">
      <c r="A194" s="4">
        <v>44754</v>
      </c>
      <c r="B194" s="5">
        <v>13</v>
      </c>
      <c r="C194">
        <f t="shared" si="14"/>
        <v>3</v>
      </c>
      <c r="D194">
        <f t="shared" si="18"/>
        <v>260</v>
      </c>
      <c r="E194">
        <f t="shared" si="19"/>
        <v>0</v>
      </c>
      <c r="F194">
        <f t="shared" si="15"/>
        <v>0</v>
      </c>
      <c r="G194">
        <f t="shared" si="20"/>
        <v>189</v>
      </c>
      <c r="H194">
        <f t="shared" si="16"/>
        <v>0</v>
      </c>
      <c r="I194">
        <f t="shared" si="17"/>
        <v>71</v>
      </c>
    </row>
    <row r="195" spans="1:9" x14ac:dyDescent="0.35">
      <c r="A195" s="6">
        <v>44755</v>
      </c>
      <c r="B195" s="7">
        <v>0</v>
      </c>
      <c r="C195">
        <f t="shared" ref="C195:C258" si="21">WEEKDAY(A195)</f>
        <v>4</v>
      </c>
      <c r="D195">
        <f t="shared" si="18"/>
        <v>190</v>
      </c>
      <c r="E195">
        <f t="shared" si="19"/>
        <v>1</v>
      </c>
      <c r="F195">
        <f t="shared" ref="F195:F258" si="22">IF(AND(MONTH(A195)&gt;=4,MONTH(A195)&lt;=9,OR(E195=5,E195=10,E195=15,E195=20)),300,0)</f>
        <v>0</v>
      </c>
      <c r="G195">
        <f t="shared" si="20"/>
        <v>0</v>
      </c>
      <c r="H195">
        <f t="shared" ref="H195:H258" si="23">IF(G195-D195&lt;0,0,G195-D195)</f>
        <v>0</v>
      </c>
      <c r="I195">
        <f t="shared" ref="I195:I258" si="24">IF(H195=0,ABS(G195-D195),0)</f>
        <v>190</v>
      </c>
    </row>
    <row r="196" spans="1:9" x14ac:dyDescent="0.35">
      <c r="A196" s="4">
        <v>44756</v>
      </c>
      <c r="B196" s="5">
        <v>0</v>
      </c>
      <c r="C196">
        <f t="shared" si="21"/>
        <v>5</v>
      </c>
      <c r="D196">
        <f t="shared" ref="D196:D259" si="25">IF(C196=3,260,190)+F196</f>
        <v>190</v>
      </c>
      <c r="E196">
        <f t="shared" ref="E196:E259" si="26">IF(B196=0,E195+1,0)</f>
        <v>2</v>
      </c>
      <c r="F196">
        <f t="shared" si="22"/>
        <v>0</v>
      </c>
      <c r="G196">
        <f t="shared" ref="G196:G259" si="27">H195+B196</f>
        <v>0</v>
      </c>
      <c r="H196">
        <f t="shared" si="23"/>
        <v>0</v>
      </c>
      <c r="I196">
        <f t="shared" si="24"/>
        <v>190</v>
      </c>
    </row>
    <row r="197" spans="1:9" x14ac:dyDescent="0.35">
      <c r="A197" s="6">
        <v>44757</v>
      </c>
      <c r="B197" s="7">
        <v>0</v>
      </c>
      <c r="C197">
        <f t="shared" si="21"/>
        <v>6</v>
      </c>
      <c r="D197">
        <f t="shared" si="25"/>
        <v>190</v>
      </c>
      <c r="E197">
        <f t="shared" si="26"/>
        <v>3</v>
      </c>
      <c r="F197">
        <f t="shared" si="22"/>
        <v>0</v>
      </c>
      <c r="G197">
        <f t="shared" si="27"/>
        <v>0</v>
      </c>
      <c r="H197">
        <f t="shared" si="23"/>
        <v>0</v>
      </c>
      <c r="I197">
        <f t="shared" si="24"/>
        <v>190</v>
      </c>
    </row>
    <row r="198" spans="1:9" x14ac:dyDescent="0.35">
      <c r="A198" s="4">
        <v>44758</v>
      </c>
      <c r="B198" s="5">
        <v>0</v>
      </c>
      <c r="C198">
        <f t="shared" si="21"/>
        <v>7</v>
      </c>
      <c r="D198">
        <f t="shared" si="25"/>
        <v>190</v>
      </c>
      <c r="E198">
        <f t="shared" si="26"/>
        <v>4</v>
      </c>
      <c r="F198">
        <f t="shared" si="22"/>
        <v>0</v>
      </c>
      <c r="G198">
        <f t="shared" si="27"/>
        <v>0</v>
      </c>
      <c r="H198">
        <f t="shared" si="23"/>
        <v>0</v>
      </c>
      <c r="I198">
        <f t="shared" si="24"/>
        <v>190</v>
      </c>
    </row>
    <row r="199" spans="1:9" x14ac:dyDescent="0.35">
      <c r="A199" s="6">
        <v>44759</v>
      </c>
      <c r="B199" s="7">
        <v>518</v>
      </c>
      <c r="C199">
        <f t="shared" si="21"/>
        <v>1</v>
      </c>
      <c r="D199">
        <f t="shared" si="25"/>
        <v>190</v>
      </c>
      <c r="E199">
        <f t="shared" si="26"/>
        <v>0</v>
      </c>
      <c r="F199">
        <f t="shared" si="22"/>
        <v>0</v>
      </c>
      <c r="G199">
        <f t="shared" si="27"/>
        <v>518</v>
      </c>
      <c r="H199">
        <f t="shared" si="23"/>
        <v>328</v>
      </c>
      <c r="I199">
        <f t="shared" si="24"/>
        <v>0</v>
      </c>
    </row>
    <row r="200" spans="1:9" x14ac:dyDescent="0.35">
      <c r="A200" s="4">
        <v>44760</v>
      </c>
      <c r="B200" s="5">
        <v>791</v>
      </c>
      <c r="C200">
        <f t="shared" si="21"/>
        <v>2</v>
      </c>
      <c r="D200">
        <f t="shared" si="25"/>
        <v>190</v>
      </c>
      <c r="E200">
        <f t="shared" si="26"/>
        <v>0</v>
      </c>
      <c r="F200">
        <f t="shared" si="22"/>
        <v>0</v>
      </c>
      <c r="G200">
        <f t="shared" si="27"/>
        <v>1119</v>
      </c>
      <c r="H200">
        <f t="shared" si="23"/>
        <v>929</v>
      </c>
      <c r="I200">
        <f t="shared" si="24"/>
        <v>0</v>
      </c>
    </row>
    <row r="201" spans="1:9" x14ac:dyDescent="0.35">
      <c r="A201" s="6">
        <v>44761</v>
      </c>
      <c r="B201" s="7">
        <v>673</v>
      </c>
      <c r="C201">
        <f t="shared" si="21"/>
        <v>3</v>
      </c>
      <c r="D201">
        <f t="shared" si="25"/>
        <v>260</v>
      </c>
      <c r="E201">
        <f t="shared" si="26"/>
        <v>0</v>
      </c>
      <c r="F201">
        <f t="shared" si="22"/>
        <v>0</v>
      </c>
      <c r="G201">
        <f t="shared" si="27"/>
        <v>1602</v>
      </c>
      <c r="H201">
        <f t="shared" si="23"/>
        <v>1342</v>
      </c>
      <c r="I201">
        <f t="shared" si="24"/>
        <v>0</v>
      </c>
    </row>
    <row r="202" spans="1:9" x14ac:dyDescent="0.35">
      <c r="A202" s="4">
        <v>44762</v>
      </c>
      <c r="B202" s="5">
        <v>601</v>
      </c>
      <c r="C202">
        <f t="shared" si="21"/>
        <v>4</v>
      </c>
      <c r="D202">
        <f t="shared" si="25"/>
        <v>190</v>
      </c>
      <c r="E202">
        <f t="shared" si="26"/>
        <v>0</v>
      </c>
      <c r="F202">
        <f t="shared" si="22"/>
        <v>0</v>
      </c>
      <c r="G202">
        <f t="shared" si="27"/>
        <v>1943</v>
      </c>
      <c r="H202">
        <f t="shared" si="23"/>
        <v>1753</v>
      </c>
      <c r="I202">
        <f t="shared" si="24"/>
        <v>0</v>
      </c>
    </row>
    <row r="203" spans="1:9" x14ac:dyDescent="0.35">
      <c r="A203" s="6">
        <v>44763</v>
      </c>
      <c r="B203" s="7">
        <v>612</v>
      </c>
      <c r="C203">
        <f t="shared" si="21"/>
        <v>5</v>
      </c>
      <c r="D203">
        <f t="shared" si="25"/>
        <v>190</v>
      </c>
      <c r="E203">
        <f t="shared" si="26"/>
        <v>0</v>
      </c>
      <c r="F203">
        <f t="shared" si="22"/>
        <v>0</v>
      </c>
      <c r="G203">
        <f t="shared" si="27"/>
        <v>2365</v>
      </c>
      <c r="H203">
        <f t="shared" si="23"/>
        <v>2175</v>
      </c>
      <c r="I203">
        <f t="shared" si="24"/>
        <v>0</v>
      </c>
    </row>
    <row r="204" spans="1:9" x14ac:dyDescent="0.35">
      <c r="A204" s="4">
        <v>44764</v>
      </c>
      <c r="B204" s="5">
        <v>705</v>
      </c>
      <c r="C204">
        <f t="shared" si="21"/>
        <v>6</v>
      </c>
      <c r="D204">
        <f t="shared" si="25"/>
        <v>190</v>
      </c>
      <c r="E204">
        <f t="shared" si="26"/>
        <v>0</v>
      </c>
      <c r="F204">
        <f t="shared" si="22"/>
        <v>0</v>
      </c>
      <c r="G204">
        <f t="shared" si="27"/>
        <v>2880</v>
      </c>
      <c r="H204">
        <f t="shared" si="23"/>
        <v>2690</v>
      </c>
      <c r="I204">
        <f t="shared" si="24"/>
        <v>0</v>
      </c>
    </row>
    <row r="205" spans="1:9" x14ac:dyDescent="0.35">
      <c r="A205" s="6">
        <v>44765</v>
      </c>
      <c r="B205" s="7">
        <v>0</v>
      </c>
      <c r="C205">
        <f t="shared" si="21"/>
        <v>7</v>
      </c>
      <c r="D205">
        <f t="shared" si="25"/>
        <v>190</v>
      </c>
      <c r="E205">
        <f t="shared" si="26"/>
        <v>1</v>
      </c>
      <c r="F205">
        <f t="shared" si="22"/>
        <v>0</v>
      </c>
      <c r="G205">
        <f t="shared" si="27"/>
        <v>2690</v>
      </c>
      <c r="H205">
        <f t="shared" si="23"/>
        <v>2500</v>
      </c>
      <c r="I205">
        <f t="shared" si="24"/>
        <v>0</v>
      </c>
    </row>
    <row r="206" spans="1:9" x14ac:dyDescent="0.35">
      <c r="A206" s="4">
        <v>44766</v>
      </c>
      <c r="B206" s="5">
        <v>0</v>
      </c>
      <c r="C206">
        <f t="shared" si="21"/>
        <v>1</v>
      </c>
      <c r="D206">
        <f t="shared" si="25"/>
        <v>190</v>
      </c>
      <c r="E206">
        <f t="shared" si="26"/>
        <v>2</v>
      </c>
      <c r="F206">
        <f t="shared" si="22"/>
        <v>0</v>
      </c>
      <c r="G206">
        <f t="shared" si="27"/>
        <v>2500</v>
      </c>
      <c r="H206">
        <f t="shared" si="23"/>
        <v>2310</v>
      </c>
      <c r="I206">
        <f t="shared" si="24"/>
        <v>0</v>
      </c>
    </row>
    <row r="207" spans="1:9" x14ac:dyDescent="0.35">
      <c r="A207" s="6">
        <v>44767</v>
      </c>
      <c r="B207" s="7">
        <v>1100</v>
      </c>
      <c r="C207">
        <f t="shared" si="21"/>
        <v>2</v>
      </c>
      <c r="D207">
        <f t="shared" si="25"/>
        <v>190</v>
      </c>
      <c r="E207">
        <f t="shared" si="26"/>
        <v>0</v>
      </c>
      <c r="F207">
        <f t="shared" si="22"/>
        <v>0</v>
      </c>
      <c r="G207">
        <f t="shared" si="27"/>
        <v>3410</v>
      </c>
      <c r="H207">
        <f t="shared" si="23"/>
        <v>3220</v>
      </c>
      <c r="I207">
        <f t="shared" si="24"/>
        <v>0</v>
      </c>
    </row>
    <row r="208" spans="1:9" x14ac:dyDescent="0.35">
      <c r="A208" s="4">
        <v>44768</v>
      </c>
      <c r="B208" s="5">
        <v>118</v>
      </c>
      <c r="C208">
        <f t="shared" si="21"/>
        <v>3</v>
      </c>
      <c r="D208">
        <f t="shared" si="25"/>
        <v>260</v>
      </c>
      <c r="E208">
        <f t="shared" si="26"/>
        <v>0</v>
      </c>
      <c r="F208">
        <f t="shared" si="22"/>
        <v>0</v>
      </c>
      <c r="G208">
        <f t="shared" si="27"/>
        <v>3338</v>
      </c>
      <c r="H208">
        <f t="shared" si="23"/>
        <v>3078</v>
      </c>
      <c r="I208">
        <f t="shared" si="24"/>
        <v>0</v>
      </c>
    </row>
    <row r="209" spans="1:9" x14ac:dyDescent="0.35">
      <c r="A209" s="6">
        <v>44769</v>
      </c>
      <c r="B209" s="7">
        <v>69</v>
      </c>
      <c r="C209">
        <f t="shared" si="21"/>
        <v>4</v>
      </c>
      <c r="D209">
        <f t="shared" si="25"/>
        <v>190</v>
      </c>
      <c r="E209">
        <f t="shared" si="26"/>
        <v>0</v>
      </c>
      <c r="F209">
        <f t="shared" si="22"/>
        <v>0</v>
      </c>
      <c r="G209">
        <f t="shared" si="27"/>
        <v>3147</v>
      </c>
      <c r="H209">
        <f t="shared" si="23"/>
        <v>2957</v>
      </c>
      <c r="I209">
        <f t="shared" si="24"/>
        <v>0</v>
      </c>
    </row>
    <row r="210" spans="1:9" x14ac:dyDescent="0.35">
      <c r="A210" s="4">
        <v>44770</v>
      </c>
      <c r="B210" s="5">
        <v>0</v>
      </c>
      <c r="C210">
        <f t="shared" si="21"/>
        <v>5</v>
      </c>
      <c r="D210">
        <f t="shared" si="25"/>
        <v>190</v>
      </c>
      <c r="E210">
        <f t="shared" si="26"/>
        <v>1</v>
      </c>
      <c r="F210">
        <f t="shared" si="22"/>
        <v>0</v>
      </c>
      <c r="G210">
        <f t="shared" si="27"/>
        <v>2957</v>
      </c>
      <c r="H210">
        <f t="shared" si="23"/>
        <v>2767</v>
      </c>
      <c r="I210">
        <f t="shared" si="24"/>
        <v>0</v>
      </c>
    </row>
    <row r="211" spans="1:9" x14ac:dyDescent="0.35">
      <c r="A211" s="6">
        <v>44771</v>
      </c>
      <c r="B211" s="7">
        <v>0</v>
      </c>
      <c r="C211">
        <f t="shared" si="21"/>
        <v>6</v>
      </c>
      <c r="D211">
        <f t="shared" si="25"/>
        <v>190</v>
      </c>
      <c r="E211">
        <f t="shared" si="26"/>
        <v>2</v>
      </c>
      <c r="F211">
        <f t="shared" si="22"/>
        <v>0</v>
      </c>
      <c r="G211">
        <f t="shared" si="27"/>
        <v>2767</v>
      </c>
      <c r="H211">
        <f t="shared" si="23"/>
        <v>2577</v>
      </c>
      <c r="I211">
        <f t="shared" si="24"/>
        <v>0</v>
      </c>
    </row>
    <row r="212" spans="1:9" x14ac:dyDescent="0.35">
      <c r="A212" s="4">
        <v>44772</v>
      </c>
      <c r="B212" s="5">
        <v>0</v>
      </c>
      <c r="C212">
        <f t="shared" si="21"/>
        <v>7</v>
      </c>
      <c r="D212">
        <f t="shared" si="25"/>
        <v>190</v>
      </c>
      <c r="E212">
        <f t="shared" si="26"/>
        <v>3</v>
      </c>
      <c r="F212">
        <f t="shared" si="22"/>
        <v>0</v>
      </c>
      <c r="G212">
        <f t="shared" si="27"/>
        <v>2577</v>
      </c>
      <c r="H212">
        <f t="shared" si="23"/>
        <v>2387</v>
      </c>
      <c r="I212">
        <f t="shared" si="24"/>
        <v>0</v>
      </c>
    </row>
    <row r="213" spans="1:9" x14ac:dyDescent="0.35">
      <c r="A213" s="6">
        <v>44773</v>
      </c>
      <c r="B213" s="7">
        <v>0</v>
      </c>
      <c r="C213">
        <f t="shared" si="21"/>
        <v>1</v>
      </c>
      <c r="D213">
        <f t="shared" si="25"/>
        <v>190</v>
      </c>
      <c r="E213">
        <f t="shared" si="26"/>
        <v>4</v>
      </c>
      <c r="F213">
        <f t="shared" si="22"/>
        <v>0</v>
      </c>
      <c r="G213">
        <f t="shared" si="27"/>
        <v>2387</v>
      </c>
      <c r="H213">
        <f t="shared" si="23"/>
        <v>2197</v>
      </c>
      <c r="I213">
        <f t="shared" si="24"/>
        <v>0</v>
      </c>
    </row>
    <row r="214" spans="1:9" x14ac:dyDescent="0.35">
      <c r="A214" s="4">
        <v>44774</v>
      </c>
      <c r="B214" s="5">
        <v>0</v>
      </c>
      <c r="C214">
        <f t="shared" si="21"/>
        <v>2</v>
      </c>
      <c r="D214">
        <f t="shared" si="25"/>
        <v>490</v>
      </c>
      <c r="E214">
        <f t="shared" si="26"/>
        <v>5</v>
      </c>
      <c r="F214">
        <f t="shared" si="22"/>
        <v>300</v>
      </c>
      <c r="G214">
        <f t="shared" si="27"/>
        <v>2197</v>
      </c>
      <c r="H214">
        <f t="shared" si="23"/>
        <v>1707</v>
      </c>
      <c r="I214">
        <f t="shared" si="24"/>
        <v>0</v>
      </c>
    </row>
    <row r="215" spans="1:9" x14ac:dyDescent="0.35">
      <c r="A215" s="6">
        <v>44775</v>
      </c>
      <c r="B215" s="7">
        <v>0</v>
      </c>
      <c r="C215">
        <f t="shared" si="21"/>
        <v>3</v>
      </c>
      <c r="D215">
        <f t="shared" si="25"/>
        <v>260</v>
      </c>
      <c r="E215">
        <f t="shared" si="26"/>
        <v>6</v>
      </c>
      <c r="F215">
        <f t="shared" si="22"/>
        <v>0</v>
      </c>
      <c r="G215">
        <f t="shared" si="27"/>
        <v>1707</v>
      </c>
      <c r="H215">
        <f t="shared" si="23"/>
        <v>1447</v>
      </c>
      <c r="I215">
        <f t="shared" si="24"/>
        <v>0</v>
      </c>
    </row>
    <row r="216" spans="1:9" x14ac:dyDescent="0.35">
      <c r="A216" s="4">
        <v>44776</v>
      </c>
      <c r="B216" s="5">
        <v>0</v>
      </c>
      <c r="C216">
        <f t="shared" si="21"/>
        <v>4</v>
      </c>
      <c r="D216">
        <f t="shared" si="25"/>
        <v>190</v>
      </c>
      <c r="E216">
        <f t="shared" si="26"/>
        <v>7</v>
      </c>
      <c r="F216">
        <f t="shared" si="22"/>
        <v>0</v>
      </c>
      <c r="G216">
        <f t="shared" si="27"/>
        <v>1447</v>
      </c>
      <c r="H216">
        <f t="shared" si="23"/>
        <v>1257</v>
      </c>
      <c r="I216">
        <f t="shared" si="24"/>
        <v>0</v>
      </c>
    </row>
    <row r="217" spans="1:9" x14ac:dyDescent="0.35">
      <c r="A217" s="6">
        <v>44777</v>
      </c>
      <c r="B217" s="7">
        <v>0</v>
      </c>
      <c r="C217">
        <f t="shared" si="21"/>
        <v>5</v>
      </c>
      <c r="D217">
        <f t="shared" si="25"/>
        <v>190</v>
      </c>
      <c r="E217">
        <f t="shared" si="26"/>
        <v>8</v>
      </c>
      <c r="F217">
        <f t="shared" si="22"/>
        <v>0</v>
      </c>
      <c r="G217">
        <f t="shared" si="27"/>
        <v>1257</v>
      </c>
      <c r="H217">
        <f t="shared" si="23"/>
        <v>1067</v>
      </c>
      <c r="I217">
        <f t="shared" si="24"/>
        <v>0</v>
      </c>
    </row>
    <row r="218" spans="1:9" x14ac:dyDescent="0.35">
      <c r="A218" s="4">
        <v>44778</v>
      </c>
      <c r="B218" s="5">
        <v>0</v>
      </c>
      <c r="C218">
        <f t="shared" si="21"/>
        <v>6</v>
      </c>
      <c r="D218">
        <f t="shared" si="25"/>
        <v>190</v>
      </c>
      <c r="E218">
        <f t="shared" si="26"/>
        <v>9</v>
      </c>
      <c r="F218">
        <f t="shared" si="22"/>
        <v>0</v>
      </c>
      <c r="G218">
        <f t="shared" si="27"/>
        <v>1067</v>
      </c>
      <c r="H218">
        <f t="shared" si="23"/>
        <v>877</v>
      </c>
      <c r="I218">
        <f t="shared" si="24"/>
        <v>0</v>
      </c>
    </row>
    <row r="219" spans="1:9" x14ac:dyDescent="0.35">
      <c r="A219" s="6">
        <v>44779</v>
      </c>
      <c r="B219" s="7">
        <v>0</v>
      </c>
      <c r="C219">
        <f t="shared" si="21"/>
        <v>7</v>
      </c>
      <c r="D219">
        <f t="shared" si="25"/>
        <v>490</v>
      </c>
      <c r="E219">
        <f t="shared" si="26"/>
        <v>10</v>
      </c>
      <c r="F219">
        <f t="shared" si="22"/>
        <v>300</v>
      </c>
      <c r="G219">
        <f t="shared" si="27"/>
        <v>877</v>
      </c>
      <c r="H219">
        <f t="shared" si="23"/>
        <v>387</v>
      </c>
      <c r="I219">
        <f t="shared" si="24"/>
        <v>0</v>
      </c>
    </row>
    <row r="220" spans="1:9" x14ac:dyDescent="0.35">
      <c r="A220" s="4">
        <v>44780</v>
      </c>
      <c r="B220" s="5">
        <v>0</v>
      </c>
      <c r="C220">
        <f t="shared" si="21"/>
        <v>1</v>
      </c>
      <c r="D220">
        <f t="shared" si="25"/>
        <v>190</v>
      </c>
      <c r="E220">
        <f t="shared" si="26"/>
        <v>11</v>
      </c>
      <c r="F220">
        <f t="shared" si="22"/>
        <v>0</v>
      </c>
      <c r="G220">
        <f t="shared" si="27"/>
        <v>387</v>
      </c>
      <c r="H220">
        <f t="shared" si="23"/>
        <v>197</v>
      </c>
      <c r="I220">
        <f t="shared" si="24"/>
        <v>0</v>
      </c>
    </row>
    <row r="221" spans="1:9" x14ac:dyDescent="0.35">
      <c r="A221" s="6">
        <v>44781</v>
      </c>
      <c r="B221" s="7">
        <v>660</v>
      </c>
      <c r="C221">
        <f t="shared" si="21"/>
        <v>2</v>
      </c>
      <c r="D221">
        <f t="shared" si="25"/>
        <v>190</v>
      </c>
      <c r="E221">
        <f t="shared" si="26"/>
        <v>0</v>
      </c>
      <c r="F221">
        <f t="shared" si="22"/>
        <v>0</v>
      </c>
      <c r="G221">
        <f t="shared" si="27"/>
        <v>857</v>
      </c>
      <c r="H221">
        <f t="shared" si="23"/>
        <v>667</v>
      </c>
      <c r="I221">
        <f t="shared" si="24"/>
        <v>0</v>
      </c>
    </row>
    <row r="222" spans="1:9" x14ac:dyDescent="0.35">
      <c r="A222" s="4">
        <v>44782</v>
      </c>
      <c r="B222" s="5">
        <v>1245</v>
      </c>
      <c r="C222">
        <f t="shared" si="21"/>
        <v>3</v>
      </c>
      <c r="D222">
        <f t="shared" si="25"/>
        <v>260</v>
      </c>
      <c r="E222">
        <f t="shared" si="26"/>
        <v>0</v>
      </c>
      <c r="F222">
        <f t="shared" si="22"/>
        <v>0</v>
      </c>
      <c r="G222">
        <f t="shared" si="27"/>
        <v>1912</v>
      </c>
      <c r="H222">
        <f t="shared" si="23"/>
        <v>1652</v>
      </c>
      <c r="I222">
        <f t="shared" si="24"/>
        <v>0</v>
      </c>
    </row>
    <row r="223" spans="1:9" x14ac:dyDescent="0.35">
      <c r="A223" s="6">
        <v>44783</v>
      </c>
      <c r="B223" s="7">
        <v>745</v>
      </c>
      <c r="C223">
        <f t="shared" si="21"/>
        <v>4</v>
      </c>
      <c r="D223">
        <f t="shared" si="25"/>
        <v>190</v>
      </c>
      <c r="E223">
        <f t="shared" si="26"/>
        <v>0</v>
      </c>
      <c r="F223">
        <f t="shared" si="22"/>
        <v>0</v>
      </c>
      <c r="G223">
        <f t="shared" si="27"/>
        <v>2397</v>
      </c>
      <c r="H223">
        <f t="shared" si="23"/>
        <v>2207</v>
      </c>
      <c r="I223">
        <f t="shared" si="24"/>
        <v>0</v>
      </c>
    </row>
    <row r="224" spans="1:9" x14ac:dyDescent="0.35">
      <c r="A224" s="4">
        <v>44784</v>
      </c>
      <c r="B224" s="5">
        <v>48</v>
      </c>
      <c r="C224">
        <f t="shared" si="21"/>
        <v>5</v>
      </c>
      <c r="D224">
        <f t="shared" si="25"/>
        <v>190</v>
      </c>
      <c r="E224">
        <f t="shared" si="26"/>
        <v>0</v>
      </c>
      <c r="F224">
        <f t="shared" si="22"/>
        <v>0</v>
      </c>
      <c r="G224">
        <f t="shared" si="27"/>
        <v>2255</v>
      </c>
      <c r="H224">
        <f t="shared" si="23"/>
        <v>2065</v>
      </c>
      <c r="I224">
        <f t="shared" si="24"/>
        <v>0</v>
      </c>
    </row>
    <row r="225" spans="1:9" x14ac:dyDescent="0.35">
      <c r="A225" s="6">
        <v>44785</v>
      </c>
      <c r="B225" s="7">
        <v>0</v>
      </c>
      <c r="C225">
        <f t="shared" si="21"/>
        <v>6</v>
      </c>
      <c r="D225">
        <f t="shared" si="25"/>
        <v>190</v>
      </c>
      <c r="E225">
        <f t="shared" si="26"/>
        <v>1</v>
      </c>
      <c r="F225">
        <f t="shared" si="22"/>
        <v>0</v>
      </c>
      <c r="G225">
        <f t="shared" si="27"/>
        <v>2065</v>
      </c>
      <c r="H225">
        <f t="shared" si="23"/>
        <v>1875</v>
      </c>
      <c r="I225">
        <f t="shared" si="24"/>
        <v>0</v>
      </c>
    </row>
    <row r="226" spans="1:9" x14ac:dyDescent="0.35">
      <c r="A226" s="4">
        <v>44786</v>
      </c>
      <c r="B226" s="5">
        <v>0</v>
      </c>
      <c r="C226">
        <f t="shared" si="21"/>
        <v>7</v>
      </c>
      <c r="D226">
        <f t="shared" si="25"/>
        <v>190</v>
      </c>
      <c r="E226">
        <f t="shared" si="26"/>
        <v>2</v>
      </c>
      <c r="F226">
        <f t="shared" si="22"/>
        <v>0</v>
      </c>
      <c r="G226">
        <f t="shared" si="27"/>
        <v>1875</v>
      </c>
      <c r="H226">
        <f t="shared" si="23"/>
        <v>1685</v>
      </c>
      <c r="I226">
        <f t="shared" si="24"/>
        <v>0</v>
      </c>
    </row>
    <row r="227" spans="1:9" x14ac:dyDescent="0.35">
      <c r="A227" s="6">
        <v>44787</v>
      </c>
      <c r="B227" s="7">
        <v>0</v>
      </c>
      <c r="C227">
        <f t="shared" si="21"/>
        <v>1</v>
      </c>
      <c r="D227">
        <f t="shared" si="25"/>
        <v>190</v>
      </c>
      <c r="E227">
        <f t="shared" si="26"/>
        <v>3</v>
      </c>
      <c r="F227">
        <f t="shared" si="22"/>
        <v>0</v>
      </c>
      <c r="G227">
        <f t="shared" si="27"/>
        <v>1685</v>
      </c>
      <c r="H227">
        <f t="shared" si="23"/>
        <v>1495</v>
      </c>
      <c r="I227">
        <f t="shared" si="24"/>
        <v>0</v>
      </c>
    </row>
    <row r="228" spans="1:9" x14ac:dyDescent="0.35">
      <c r="A228" s="4">
        <v>44788</v>
      </c>
      <c r="B228" s="5">
        <v>0</v>
      </c>
      <c r="C228">
        <f t="shared" si="21"/>
        <v>2</v>
      </c>
      <c r="D228">
        <f t="shared" si="25"/>
        <v>190</v>
      </c>
      <c r="E228">
        <f t="shared" si="26"/>
        <v>4</v>
      </c>
      <c r="F228">
        <f t="shared" si="22"/>
        <v>0</v>
      </c>
      <c r="G228">
        <f t="shared" si="27"/>
        <v>1495</v>
      </c>
      <c r="H228">
        <f t="shared" si="23"/>
        <v>1305</v>
      </c>
      <c r="I228">
        <f t="shared" si="24"/>
        <v>0</v>
      </c>
    </row>
    <row r="229" spans="1:9" x14ac:dyDescent="0.35">
      <c r="A229" s="6">
        <v>44789</v>
      </c>
      <c r="B229" s="7">
        <v>0</v>
      </c>
      <c r="C229">
        <f t="shared" si="21"/>
        <v>3</v>
      </c>
      <c r="D229">
        <f t="shared" si="25"/>
        <v>560</v>
      </c>
      <c r="E229">
        <f t="shared" si="26"/>
        <v>5</v>
      </c>
      <c r="F229">
        <f t="shared" si="22"/>
        <v>300</v>
      </c>
      <c r="G229">
        <f t="shared" si="27"/>
        <v>1305</v>
      </c>
      <c r="H229">
        <f t="shared" si="23"/>
        <v>745</v>
      </c>
      <c r="I229">
        <f t="shared" si="24"/>
        <v>0</v>
      </c>
    </row>
    <row r="230" spans="1:9" x14ac:dyDescent="0.35">
      <c r="A230" s="4">
        <v>44790</v>
      </c>
      <c r="B230" s="5">
        <v>0</v>
      </c>
      <c r="C230">
        <f t="shared" si="21"/>
        <v>4</v>
      </c>
      <c r="D230">
        <f t="shared" si="25"/>
        <v>190</v>
      </c>
      <c r="E230">
        <f t="shared" si="26"/>
        <v>6</v>
      </c>
      <c r="F230">
        <f t="shared" si="22"/>
        <v>0</v>
      </c>
      <c r="G230">
        <f t="shared" si="27"/>
        <v>745</v>
      </c>
      <c r="H230">
        <f t="shared" si="23"/>
        <v>555</v>
      </c>
      <c r="I230">
        <f t="shared" si="24"/>
        <v>0</v>
      </c>
    </row>
    <row r="231" spans="1:9" x14ac:dyDescent="0.35">
      <c r="A231" s="6">
        <v>44791</v>
      </c>
      <c r="B231" s="7">
        <v>0</v>
      </c>
      <c r="C231">
        <f t="shared" si="21"/>
        <v>5</v>
      </c>
      <c r="D231">
        <f t="shared" si="25"/>
        <v>190</v>
      </c>
      <c r="E231">
        <f t="shared" si="26"/>
        <v>7</v>
      </c>
      <c r="F231">
        <f t="shared" si="22"/>
        <v>0</v>
      </c>
      <c r="G231">
        <f t="shared" si="27"/>
        <v>555</v>
      </c>
      <c r="H231">
        <f t="shared" si="23"/>
        <v>365</v>
      </c>
      <c r="I231">
        <f t="shared" si="24"/>
        <v>0</v>
      </c>
    </row>
    <row r="232" spans="1:9" x14ac:dyDescent="0.35">
      <c r="A232" s="4">
        <v>44792</v>
      </c>
      <c r="B232" s="5">
        <v>0</v>
      </c>
      <c r="C232">
        <f t="shared" si="21"/>
        <v>6</v>
      </c>
      <c r="D232">
        <f t="shared" si="25"/>
        <v>190</v>
      </c>
      <c r="E232">
        <f t="shared" si="26"/>
        <v>8</v>
      </c>
      <c r="F232">
        <f t="shared" si="22"/>
        <v>0</v>
      </c>
      <c r="G232">
        <f t="shared" si="27"/>
        <v>365</v>
      </c>
      <c r="H232">
        <f t="shared" si="23"/>
        <v>175</v>
      </c>
      <c r="I232">
        <f t="shared" si="24"/>
        <v>0</v>
      </c>
    </row>
    <row r="233" spans="1:9" x14ac:dyDescent="0.35">
      <c r="A233" s="6">
        <v>44793</v>
      </c>
      <c r="B233" s="7">
        <v>0</v>
      </c>
      <c r="C233">
        <f t="shared" si="21"/>
        <v>7</v>
      </c>
      <c r="D233">
        <f t="shared" si="25"/>
        <v>190</v>
      </c>
      <c r="E233">
        <f t="shared" si="26"/>
        <v>9</v>
      </c>
      <c r="F233">
        <f t="shared" si="22"/>
        <v>0</v>
      </c>
      <c r="G233">
        <f t="shared" si="27"/>
        <v>175</v>
      </c>
      <c r="H233">
        <f t="shared" si="23"/>
        <v>0</v>
      </c>
      <c r="I233">
        <f t="shared" si="24"/>
        <v>15</v>
      </c>
    </row>
    <row r="234" spans="1:9" x14ac:dyDescent="0.35">
      <c r="A234" s="4">
        <v>44794</v>
      </c>
      <c r="B234" s="5">
        <v>0</v>
      </c>
      <c r="C234">
        <f t="shared" si="21"/>
        <v>1</v>
      </c>
      <c r="D234">
        <f t="shared" si="25"/>
        <v>490</v>
      </c>
      <c r="E234">
        <f t="shared" si="26"/>
        <v>10</v>
      </c>
      <c r="F234">
        <f t="shared" si="22"/>
        <v>300</v>
      </c>
      <c r="G234">
        <f t="shared" si="27"/>
        <v>0</v>
      </c>
      <c r="H234">
        <f t="shared" si="23"/>
        <v>0</v>
      </c>
      <c r="I234">
        <f t="shared" si="24"/>
        <v>490</v>
      </c>
    </row>
    <row r="235" spans="1:9" x14ac:dyDescent="0.35">
      <c r="A235" s="6">
        <v>44795</v>
      </c>
      <c r="B235" s="7">
        <v>0</v>
      </c>
      <c r="C235">
        <f t="shared" si="21"/>
        <v>2</v>
      </c>
      <c r="D235">
        <f t="shared" si="25"/>
        <v>190</v>
      </c>
      <c r="E235">
        <f t="shared" si="26"/>
        <v>11</v>
      </c>
      <c r="F235">
        <f t="shared" si="22"/>
        <v>0</v>
      </c>
      <c r="G235">
        <f t="shared" si="27"/>
        <v>0</v>
      </c>
      <c r="H235">
        <f t="shared" si="23"/>
        <v>0</v>
      </c>
      <c r="I235">
        <f t="shared" si="24"/>
        <v>190</v>
      </c>
    </row>
    <row r="236" spans="1:9" x14ac:dyDescent="0.35">
      <c r="A236" s="4">
        <v>44796</v>
      </c>
      <c r="B236" s="5">
        <v>0</v>
      </c>
      <c r="C236">
        <f t="shared" si="21"/>
        <v>3</v>
      </c>
      <c r="D236">
        <f t="shared" si="25"/>
        <v>260</v>
      </c>
      <c r="E236">
        <f t="shared" si="26"/>
        <v>12</v>
      </c>
      <c r="F236">
        <f t="shared" si="22"/>
        <v>0</v>
      </c>
      <c r="G236">
        <f t="shared" si="27"/>
        <v>0</v>
      </c>
      <c r="H236">
        <f t="shared" si="23"/>
        <v>0</v>
      </c>
      <c r="I236">
        <f t="shared" si="24"/>
        <v>260</v>
      </c>
    </row>
    <row r="237" spans="1:9" x14ac:dyDescent="0.35">
      <c r="A237" s="6">
        <v>44797</v>
      </c>
      <c r="B237" s="7">
        <v>0</v>
      </c>
      <c r="C237">
        <f t="shared" si="21"/>
        <v>4</v>
      </c>
      <c r="D237">
        <f t="shared" si="25"/>
        <v>190</v>
      </c>
      <c r="E237">
        <f t="shared" si="26"/>
        <v>13</v>
      </c>
      <c r="F237">
        <f t="shared" si="22"/>
        <v>0</v>
      </c>
      <c r="G237">
        <f t="shared" si="27"/>
        <v>0</v>
      </c>
      <c r="H237">
        <f t="shared" si="23"/>
        <v>0</v>
      </c>
      <c r="I237">
        <f t="shared" si="24"/>
        <v>190</v>
      </c>
    </row>
    <row r="238" spans="1:9" x14ac:dyDescent="0.35">
      <c r="A238" s="4">
        <v>44798</v>
      </c>
      <c r="B238" s="5">
        <v>0</v>
      </c>
      <c r="C238">
        <f t="shared" si="21"/>
        <v>5</v>
      </c>
      <c r="D238">
        <f t="shared" si="25"/>
        <v>190</v>
      </c>
      <c r="E238">
        <f t="shared" si="26"/>
        <v>14</v>
      </c>
      <c r="F238">
        <f t="shared" si="22"/>
        <v>0</v>
      </c>
      <c r="G238">
        <f t="shared" si="27"/>
        <v>0</v>
      </c>
      <c r="H238">
        <f t="shared" si="23"/>
        <v>0</v>
      </c>
      <c r="I238">
        <f t="shared" si="24"/>
        <v>190</v>
      </c>
    </row>
    <row r="239" spans="1:9" x14ac:dyDescent="0.35">
      <c r="A239" s="6">
        <v>44799</v>
      </c>
      <c r="B239" s="7">
        <v>0</v>
      </c>
      <c r="C239">
        <f t="shared" si="21"/>
        <v>6</v>
      </c>
      <c r="D239">
        <f t="shared" si="25"/>
        <v>490</v>
      </c>
      <c r="E239">
        <f t="shared" si="26"/>
        <v>15</v>
      </c>
      <c r="F239">
        <f t="shared" si="22"/>
        <v>300</v>
      </c>
      <c r="G239">
        <f t="shared" si="27"/>
        <v>0</v>
      </c>
      <c r="H239">
        <f t="shared" si="23"/>
        <v>0</v>
      </c>
      <c r="I239">
        <f t="shared" si="24"/>
        <v>490</v>
      </c>
    </row>
    <row r="240" spans="1:9" x14ac:dyDescent="0.35">
      <c r="A240" s="4">
        <v>44800</v>
      </c>
      <c r="B240" s="5">
        <v>0</v>
      </c>
      <c r="C240">
        <f t="shared" si="21"/>
        <v>7</v>
      </c>
      <c r="D240">
        <f t="shared" si="25"/>
        <v>190</v>
      </c>
      <c r="E240">
        <f t="shared" si="26"/>
        <v>16</v>
      </c>
      <c r="F240">
        <f t="shared" si="22"/>
        <v>0</v>
      </c>
      <c r="G240">
        <f t="shared" si="27"/>
        <v>0</v>
      </c>
      <c r="H240">
        <f t="shared" si="23"/>
        <v>0</v>
      </c>
      <c r="I240">
        <f t="shared" si="24"/>
        <v>190</v>
      </c>
    </row>
    <row r="241" spans="1:9" x14ac:dyDescent="0.35">
      <c r="A241" s="6">
        <v>44801</v>
      </c>
      <c r="B241" s="7">
        <v>0</v>
      </c>
      <c r="C241">
        <f t="shared" si="21"/>
        <v>1</v>
      </c>
      <c r="D241">
        <f t="shared" si="25"/>
        <v>190</v>
      </c>
      <c r="E241">
        <f t="shared" si="26"/>
        <v>17</v>
      </c>
      <c r="F241">
        <f t="shared" si="22"/>
        <v>0</v>
      </c>
      <c r="G241">
        <f t="shared" si="27"/>
        <v>0</v>
      </c>
      <c r="H241">
        <f t="shared" si="23"/>
        <v>0</v>
      </c>
      <c r="I241">
        <f t="shared" si="24"/>
        <v>190</v>
      </c>
    </row>
    <row r="242" spans="1:9" x14ac:dyDescent="0.35">
      <c r="A242" s="4">
        <v>44802</v>
      </c>
      <c r="B242" s="5">
        <v>0</v>
      </c>
      <c r="C242">
        <f t="shared" si="21"/>
        <v>2</v>
      </c>
      <c r="D242">
        <f t="shared" si="25"/>
        <v>190</v>
      </c>
      <c r="E242">
        <f t="shared" si="26"/>
        <v>18</v>
      </c>
      <c r="F242">
        <f t="shared" si="22"/>
        <v>0</v>
      </c>
      <c r="G242">
        <f t="shared" si="27"/>
        <v>0</v>
      </c>
      <c r="H242">
        <f t="shared" si="23"/>
        <v>0</v>
      </c>
      <c r="I242">
        <f t="shared" si="24"/>
        <v>190</v>
      </c>
    </row>
    <row r="243" spans="1:9" x14ac:dyDescent="0.35">
      <c r="A243" s="6">
        <v>44803</v>
      </c>
      <c r="B243" s="7">
        <v>0</v>
      </c>
      <c r="C243">
        <f t="shared" si="21"/>
        <v>3</v>
      </c>
      <c r="D243">
        <f t="shared" si="25"/>
        <v>260</v>
      </c>
      <c r="E243">
        <f t="shared" si="26"/>
        <v>19</v>
      </c>
      <c r="F243">
        <f t="shared" si="22"/>
        <v>0</v>
      </c>
      <c r="G243">
        <f t="shared" si="27"/>
        <v>0</v>
      </c>
      <c r="H243">
        <f t="shared" si="23"/>
        <v>0</v>
      </c>
      <c r="I243">
        <f t="shared" si="24"/>
        <v>260</v>
      </c>
    </row>
    <row r="244" spans="1:9" x14ac:dyDescent="0.35">
      <c r="A244" s="4">
        <v>44804</v>
      </c>
      <c r="B244" s="5">
        <v>0</v>
      </c>
      <c r="C244">
        <f t="shared" si="21"/>
        <v>4</v>
      </c>
      <c r="D244">
        <f t="shared" si="25"/>
        <v>490</v>
      </c>
      <c r="E244">
        <f t="shared" si="26"/>
        <v>20</v>
      </c>
      <c r="F244">
        <f t="shared" si="22"/>
        <v>300</v>
      </c>
      <c r="G244">
        <f t="shared" si="27"/>
        <v>0</v>
      </c>
      <c r="H244">
        <f t="shared" si="23"/>
        <v>0</v>
      </c>
      <c r="I244">
        <f t="shared" si="24"/>
        <v>490</v>
      </c>
    </row>
    <row r="245" spans="1:9" x14ac:dyDescent="0.35">
      <c r="A245" s="6">
        <v>44805</v>
      </c>
      <c r="B245" s="7">
        <v>0</v>
      </c>
      <c r="C245">
        <f t="shared" si="21"/>
        <v>5</v>
      </c>
      <c r="D245">
        <f t="shared" si="25"/>
        <v>190</v>
      </c>
      <c r="E245">
        <f t="shared" si="26"/>
        <v>21</v>
      </c>
      <c r="F245">
        <f t="shared" si="22"/>
        <v>0</v>
      </c>
      <c r="G245">
        <f t="shared" si="27"/>
        <v>0</v>
      </c>
      <c r="H245">
        <f t="shared" si="23"/>
        <v>0</v>
      </c>
      <c r="I245">
        <f t="shared" si="24"/>
        <v>190</v>
      </c>
    </row>
    <row r="246" spans="1:9" x14ac:dyDescent="0.35">
      <c r="A246" s="4">
        <v>44806</v>
      </c>
      <c r="B246" s="5">
        <v>388</v>
      </c>
      <c r="C246">
        <f t="shared" si="21"/>
        <v>6</v>
      </c>
      <c r="D246">
        <f t="shared" si="25"/>
        <v>190</v>
      </c>
      <c r="E246">
        <f t="shared" si="26"/>
        <v>0</v>
      </c>
      <c r="F246">
        <f t="shared" si="22"/>
        <v>0</v>
      </c>
      <c r="G246">
        <f t="shared" si="27"/>
        <v>388</v>
      </c>
      <c r="H246">
        <f t="shared" si="23"/>
        <v>198</v>
      </c>
      <c r="I246">
        <f t="shared" si="24"/>
        <v>0</v>
      </c>
    </row>
    <row r="247" spans="1:9" x14ac:dyDescent="0.35">
      <c r="A247" s="6">
        <v>44807</v>
      </c>
      <c r="B247" s="7">
        <v>415</v>
      </c>
      <c r="C247">
        <f t="shared" si="21"/>
        <v>7</v>
      </c>
      <c r="D247">
        <f t="shared" si="25"/>
        <v>190</v>
      </c>
      <c r="E247">
        <f t="shared" si="26"/>
        <v>0</v>
      </c>
      <c r="F247">
        <f t="shared" si="22"/>
        <v>0</v>
      </c>
      <c r="G247">
        <f t="shared" si="27"/>
        <v>613</v>
      </c>
      <c r="H247">
        <f t="shared" si="23"/>
        <v>423</v>
      </c>
      <c r="I247">
        <f t="shared" si="24"/>
        <v>0</v>
      </c>
    </row>
    <row r="248" spans="1:9" x14ac:dyDescent="0.35">
      <c r="A248" s="4">
        <v>44808</v>
      </c>
      <c r="B248" s="5">
        <v>560</v>
      </c>
      <c r="C248">
        <f t="shared" si="21"/>
        <v>1</v>
      </c>
      <c r="D248">
        <f t="shared" si="25"/>
        <v>190</v>
      </c>
      <c r="E248">
        <f t="shared" si="26"/>
        <v>0</v>
      </c>
      <c r="F248">
        <f t="shared" si="22"/>
        <v>0</v>
      </c>
      <c r="G248">
        <f t="shared" si="27"/>
        <v>983</v>
      </c>
      <c r="H248">
        <f t="shared" si="23"/>
        <v>793</v>
      </c>
      <c r="I248">
        <f t="shared" si="24"/>
        <v>0</v>
      </c>
    </row>
    <row r="249" spans="1:9" x14ac:dyDescent="0.35">
      <c r="A249" s="6">
        <v>44809</v>
      </c>
      <c r="B249" s="7">
        <v>467</v>
      </c>
      <c r="C249">
        <f t="shared" si="21"/>
        <v>2</v>
      </c>
      <c r="D249">
        <f t="shared" si="25"/>
        <v>190</v>
      </c>
      <c r="E249">
        <f t="shared" si="26"/>
        <v>0</v>
      </c>
      <c r="F249">
        <f t="shared" si="22"/>
        <v>0</v>
      </c>
      <c r="G249">
        <f t="shared" si="27"/>
        <v>1260</v>
      </c>
      <c r="H249">
        <f t="shared" si="23"/>
        <v>1070</v>
      </c>
      <c r="I249">
        <f t="shared" si="24"/>
        <v>0</v>
      </c>
    </row>
    <row r="250" spans="1:9" x14ac:dyDescent="0.35">
      <c r="A250" s="4">
        <v>44810</v>
      </c>
      <c r="B250" s="5">
        <v>517</v>
      </c>
      <c r="C250">
        <f t="shared" si="21"/>
        <v>3</v>
      </c>
      <c r="D250">
        <f t="shared" si="25"/>
        <v>260</v>
      </c>
      <c r="E250">
        <f t="shared" si="26"/>
        <v>0</v>
      </c>
      <c r="F250">
        <f t="shared" si="22"/>
        <v>0</v>
      </c>
      <c r="G250">
        <f t="shared" si="27"/>
        <v>1587</v>
      </c>
      <c r="H250">
        <f t="shared" si="23"/>
        <v>1327</v>
      </c>
      <c r="I250">
        <f t="shared" si="24"/>
        <v>0</v>
      </c>
    </row>
    <row r="251" spans="1:9" x14ac:dyDescent="0.35">
      <c r="A251" s="6">
        <v>44811</v>
      </c>
      <c r="B251" s="7">
        <v>552</v>
      </c>
      <c r="C251">
        <f t="shared" si="21"/>
        <v>4</v>
      </c>
      <c r="D251">
        <f t="shared" si="25"/>
        <v>190</v>
      </c>
      <c r="E251">
        <f t="shared" si="26"/>
        <v>0</v>
      </c>
      <c r="F251">
        <f t="shared" si="22"/>
        <v>0</v>
      </c>
      <c r="G251">
        <f t="shared" si="27"/>
        <v>1879</v>
      </c>
      <c r="H251">
        <f t="shared" si="23"/>
        <v>1689</v>
      </c>
      <c r="I251">
        <f t="shared" si="24"/>
        <v>0</v>
      </c>
    </row>
    <row r="252" spans="1:9" x14ac:dyDescent="0.35">
      <c r="A252" s="4">
        <v>44812</v>
      </c>
      <c r="B252" s="5">
        <v>0</v>
      </c>
      <c r="C252">
        <f t="shared" si="21"/>
        <v>5</v>
      </c>
      <c r="D252">
        <f t="shared" si="25"/>
        <v>190</v>
      </c>
      <c r="E252">
        <f t="shared" si="26"/>
        <v>1</v>
      </c>
      <c r="F252">
        <f t="shared" si="22"/>
        <v>0</v>
      </c>
      <c r="G252">
        <f t="shared" si="27"/>
        <v>1689</v>
      </c>
      <c r="H252">
        <f t="shared" si="23"/>
        <v>1499</v>
      </c>
      <c r="I252">
        <f t="shared" si="24"/>
        <v>0</v>
      </c>
    </row>
    <row r="253" spans="1:9" x14ac:dyDescent="0.35">
      <c r="A253" s="6">
        <v>44813</v>
      </c>
      <c r="B253" s="7">
        <v>0</v>
      </c>
      <c r="C253">
        <f t="shared" si="21"/>
        <v>6</v>
      </c>
      <c r="D253">
        <f t="shared" si="25"/>
        <v>190</v>
      </c>
      <c r="E253">
        <f t="shared" si="26"/>
        <v>2</v>
      </c>
      <c r="F253">
        <f t="shared" si="22"/>
        <v>0</v>
      </c>
      <c r="G253">
        <f t="shared" si="27"/>
        <v>1499</v>
      </c>
      <c r="H253">
        <f t="shared" si="23"/>
        <v>1309</v>
      </c>
      <c r="I253">
        <f t="shared" si="24"/>
        <v>0</v>
      </c>
    </row>
    <row r="254" spans="1:9" x14ac:dyDescent="0.35">
      <c r="A254" s="4">
        <v>44814</v>
      </c>
      <c r="B254" s="5">
        <v>0</v>
      </c>
      <c r="C254">
        <f t="shared" si="21"/>
        <v>7</v>
      </c>
      <c r="D254">
        <f t="shared" si="25"/>
        <v>190</v>
      </c>
      <c r="E254">
        <f t="shared" si="26"/>
        <v>3</v>
      </c>
      <c r="F254">
        <f t="shared" si="22"/>
        <v>0</v>
      </c>
      <c r="G254">
        <f t="shared" si="27"/>
        <v>1309</v>
      </c>
      <c r="H254">
        <f t="shared" si="23"/>
        <v>1119</v>
      </c>
      <c r="I254">
        <f t="shared" si="24"/>
        <v>0</v>
      </c>
    </row>
    <row r="255" spans="1:9" x14ac:dyDescent="0.35">
      <c r="A255" s="6">
        <v>44815</v>
      </c>
      <c r="B255" s="7">
        <v>0</v>
      </c>
      <c r="C255">
        <f t="shared" si="21"/>
        <v>1</v>
      </c>
      <c r="D255">
        <f t="shared" si="25"/>
        <v>190</v>
      </c>
      <c r="E255">
        <f t="shared" si="26"/>
        <v>4</v>
      </c>
      <c r="F255">
        <f t="shared" si="22"/>
        <v>0</v>
      </c>
      <c r="G255">
        <f t="shared" si="27"/>
        <v>1119</v>
      </c>
      <c r="H255">
        <f t="shared" si="23"/>
        <v>929</v>
      </c>
      <c r="I255">
        <f t="shared" si="24"/>
        <v>0</v>
      </c>
    </row>
    <row r="256" spans="1:9" x14ac:dyDescent="0.35">
      <c r="A256" s="4">
        <v>44816</v>
      </c>
      <c r="B256" s="5">
        <v>435</v>
      </c>
      <c r="C256">
        <f t="shared" si="21"/>
        <v>2</v>
      </c>
      <c r="D256">
        <f t="shared" si="25"/>
        <v>190</v>
      </c>
      <c r="E256">
        <f t="shared" si="26"/>
        <v>0</v>
      </c>
      <c r="F256">
        <f t="shared" si="22"/>
        <v>0</v>
      </c>
      <c r="G256">
        <f t="shared" si="27"/>
        <v>1364</v>
      </c>
      <c r="H256">
        <f t="shared" si="23"/>
        <v>1174</v>
      </c>
      <c r="I256">
        <f t="shared" si="24"/>
        <v>0</v>
      </c>
    </row>
    <row r="257" spans="1:9" x14ac:dyDescent="0.35">
      <c r="A257" s="6">
        <v>44817</v>
      </c>
      <c r="B257" s="7">
        <v>406</v>
      </c>
      <c r="C257">
        <f t="shared" si="21"/>
        <v>3</v>
      </c>
      <c r="D257">
        <f t="shared" si="25"/>
        <v>260</v>
      </c>
      <c r="E257">
        <f t="shared" si="26"/>
        <v>0</v>
      </c>
      <c r="F257">
        <f t="shared" si="22"/>
        <v>0</v>
      </c>
      <c r="G257">
        <f t="shared" si="27"/>
        <v>1580</v>
      </c>
      <c r="H257">
        <f t="shared" si="23"/>
        <v>1320</v>
      </c>
      <c r="I257">
        <f t="shared" si="24"/>
        <v>0</v>
      </c>
    </row>
    <row r="258" spans="1:9" x14ac:dyDescent="0.35">
      <c r="A258" s="4">
        <v>44818</v>
      </c>
      <c r="B258" s="5">
        <v>0</v>
      </c>
      <c r="C258">
        <f t="shared" si="21"/>
        <v>4</v>
      </c>
      <c r="D258">
        <f t="shared" si="25"/>
        <v>190</v>
      </c>
      <c r="E258">
        <f t="shared" si="26"/>
        <v>1</v>
      </c>
      <c r="F258">
        <f t="shared" si="22"/>
        <v>0</v>
      </c>
      <c r="G258">
        <f t="shared" si="27"/>
        <v>1320</v>
      </c>
      <c r="H258">
        <f t="shared" si="23"/>
        <v>1130</v>
      </c>
      <c r="I258">
        <f t="shared" si="24"/>
        <v>0</v>
      </c>
    </row>
    <row r="259" spans="1:9" x14ac:dyDescent="0.35">
      <c r="A259" s="6">
        <v>44819</v>
      </c>
      <c r="B259" s="7">
        <v>0</v>
      </c>
      <c r="C259">
        <f t="shared" ref="C259:C322" si="28">WEEKDAY(A259)</f>
        <v>5</v>
      </c>
      <c r="D259">
        <f t="shared" si="25"/>
        <v>190</v>
      </c>
      <c r="E259">
        <f t="shared" si="26"/>
        <v>2</v>
      </c>
      <c r="F259">
        <f t="shared" ref="F259:F322" si="29">IF(AND(MONTH(A259)&gt;=4,MONTH(A259)&lt;=9,OR(E259=5,E259=10,E259=15,E259=20)),300,0)</f>
        <v>0</v>
      </c>
      <c r="G259">
        <f t="shared" si="27"/>
        <v>1130</v>
      </c>
      <c r="H259">
        <f t="shared" ref="H259:H322" si="30">IF(G259-D259&lt;0,0,G259-D259)</f>
        <v>940</v>
      </c>
      <c r="I259">
        <f t="shared" ref="I259:I322" si="31">IF(H259=0,ABS(G259-D259),0)</f>
        <v>0</v>
      </c>
    </row>
    <row r="260" spans="1:9" x14ac:dyDescent="0.35">
      <c r="A260" s="4">
        <v>44820</v>
      </c>
      <c r="B260" s="5">
        <v>0</v>
      </c>
      <c r="C260">
        <f t="shared" si="28"/>
        <v>6</v>
      </c>
      <c r="D260">
        <f t="shared" ref="D260:D323" si="32">IF(C260=3,260,190)+F260</f>
        <v>190</v>
      </c>
      <c r="E260">
        <f t="shared" ref="E260:E323" si="33">IF(B260=0,E259+1,0)</f>
        <v>3</v>
      </c>
      <c r="F260">
        <f t="shared" si="29"/>
        <v>0</v>
      </c>
      <c r="G260">
        <f t="shared" ref="G260:G323" si="34">H259+B260</f>
        <v>940</v>
      </c>
      <c r="H260">
        <f t="shared" si="30"/>
        <v>750</v>
      </c>
      <c r="I260">
        <f t="shared" si="31"/>
        <v>0</v>
      </c>
    </row>
    <row r="261" spans="1:9" x14ac:dyDescent="0.35">
      <c r="A261" s="6">
        <v>44821</v>
      </c>
      <c r="B261" s="7">
        <v>0</v>
      </c>
      <c r="C261">
        <f t="shared" si="28"/>
        <v>7</v>
      </c>
      <c r="D261">
        <f t="shared" si="32"/>
        <v>190</v>
      </c>
      <c r="E261">
        <f t="shared" si="33"/>
        <v>4</v>
      </c>
      <c r="F261">
        <f t="shared" si="29"/>
        <v>0</v>
      </c>
      <c r="G261">
        <f t="shared" si="34"/>
        <v>750</v>
      </c>
      <c r="H261">
        <f t="shared" si="30"/>
        <v>560</v>
      </c>
      <c r="I261">
        <f t="shared" si="31"/>
        <v>0</v>
      </c>
    </row>
    <row r="262" spans="1:9" x14ac:dyDescent="0.35">
      <c r="A262" s="4">
        <v>44822</v>
      </c>
      <c r="B262" s="5">
        <v>0</v>
      </c>
      <c r="C262">
        <f t="shared" si="28"/>
        <v>1</v>
      </c>
      <c r="D262">
        <f t="shared" si="32"/>
        <v>490</v>
      </c>
      <c r="E262">
        <f t="shared" si="33"/>
        <v>5</v>
      </c>
      <c r="F262">
        <f t="shared" si="29"/>
        <v>300</v>
      </c>
      <c r="G262">
        <f t="shared" si="34"/>
        <v>560</v>
      </c>
      <c r="H262">
        <f t="shared" si="30"/>
        <v>70</v>
      </c>
      <c r="I262">
        <f t="shared" si="31"/>
        <v>0</v>
      </c>
    </row>
    <row r="263" spans="1:9" x14ac:dyDescent="0.35">
      <c r="A263" s="6">
        <v>44823</v>
      </c>
      <c r="B263" s="7">
        <v>353</v>
      </c>
      <c r="C263">
        <f t="shared" si="28"/>
        <v>2</v>
      </c>
      <c r="D263">
        <f t="shared" si="32"/>
        <v>190</v>
      </c>
      <c r="E263">
        <f t="shared" si="33"/>
        <v>0</v>
      </c>
      <c r="F263">
        <f t="shared" si="29"/>
        <v>0</v>
      </c>
      <c r="G263">
        <f t="shared" si="34"/>
        <v>423</v>
      </c>
      <c r="H263">
        <f t="shared" si="30"/>
        <v>233</v>
      </c>
      <c r="I263">
        <f t="shared" si="31"/>
        <v>0</v>
      </c>
    </row>
    <row r="264" spans="1:9" x14ac:dyDescent="0.35">
      <c r="A264" s="4">
        <v>44824</v>
      </c>
      <c r="B264" s="5">
        <v>476</v>
      </c>
      <c r="C264">
        <f t="shared" si="28"/>
        <v>3</v>
      </c>
      <c r="D264">
        <f t="shared" si="32"/>
        <v>260</v>
      </c>
      <c r="E264">
        <f t="shared" si="33"/>
        <v>0</v>
      </c>
      <c r="F264">
        <f t="shared" si="29"/>
        <v>0</v>
      </c>
      <c r="G264">
        <f t="shared" si="34"/>
        <v>709</v>
      </c>
      <c r="H264">
        <f t="shared" si="30"/>
        <v>449</v>
      </c>
      <c r="I264">
        <f t="shared" si="31"/>
        <v>0</v>
      </c>
    </row>
    <row r="265" spans="1:9" x14ac:dyDescent="0.35">
      <c r="A265" s="6">
        <v>44825</v>
      </c>
      <c r="B265" s="7">
        <v>383</v>
      </c>
      <c r="C265">
        <f t="shared" si="28"/>
        <v>4</v>
      </c>
      <c r="D265">
        <f t="shared" si="32"/>
        <v>190</v>
      </c>
      <c r="E265">
        <f t="shared" si="33"/>
        <v>0</v>
      </c>
      <c r="F265">
        <f t="shared" si="29"/>
        <v>0</v>
      </c>
      <c r="G265">
        <f t="shared" si="34"/>
        <v>832</v>
      </c>
      <c r="H265">
        <f t="shared" si="30"/>
        <v>642</v>
      </c>
      <c r="I265">
        <f t="shared" si="31"/>
        <v>0</v>
      </c>
    </row>
    <row r="266" spans="1:9" x14ac:dyDescent="0.35">
      <c r="A266" s="4">
        <v>44826</v>
      </c>
      <c r="B266" s="5">
        <v>0</v>
      </c>
      <c r="C266">
        <f t="shared" si="28"/>
        <v>5</v>
      </c>
      <c r="D266">
        <f t="shared" si="32"/>
        <v>190</v>
      </c>
      <c r="E266">
        <f t="shared" si="33"/>
        <v>1</v>
      </c>
      <c r="F266">
        <f t="shared" si="29"/>
        <v>0</v>
      </c>
      <c r="G266">
        <f t="shared" si="34"/>
        <v>642</v>
      </c>
      <c r="H266">
        <f t="shared" si="30"/>
        <v>452</v>
      </c>
      <c r="I266">
        <f t="shared" si="31"/>
        <v>0</v>
      </c>
    </row>
    <row r="267" spans="1:9" x14ac:dyDescent="0.35">
      <c r="A267" s="6">
        <v>44827</v>
      </c>
      <c r="B267" s="7">
        <v>0</v>
      </c>
      <c r="C267">
        <f t="shared" si="28"/>
        <v>6</v>
      </c>
      <c r="D267">
        <f t="shared" si="32"/>
        <v>190</v>
      </c>
      <c r="E267">
        <f t="shared" si="33"/>
        <v>2</v>
      </c>
      <c r="F267">
        <f t="shared" si="29"/>
        <v>0</v>
      </c>
      <c r="G267">
        <f t="shared" si="34"/>
        <v>452</v>
      </c>
      <c r="H267">
        <f t="shared" si="30"/>
        <v>262</v>
      </c>
      <c r="I267">
        <f t="shared" si="31"/>
        <v>0</v>
      </c>
    </row>
    <row r="268" spans="1:9" x14ac:dyDescent="0.35">
      <c r="A268" s="4">
        <v>44828</v>
      </c>
      <c r="B268" s="5">
        <v>0</v>
      </c>
      <c r="C268">
        <f t="shared" si="28"/>
        <v>7</v>
      </c>
      <c r="D268">
        <f t="shared" si="32"/>
        <v>190</v>
      </c>
      <c r="E268">
        <f t="shared" si="33"/>
        <v>3</v>
      </c>
      <c r="F268">
        <f t="shared" si="29"/>
        <v>0</v>
      </c>
      <c r="G268">
        <f t="shared" si="34"/>
        <v>262</v>
      </c>
      <c r="H268">
        <f t="shared" si="30"/>
        <v>72</v>
      </c>
      <c r="I268">
        <f t="shared" si="31"/>
        <v>0</v>
      </c>
    </row>
    <row r="269" spans="1:9" x14ac:dyDescent="0.35">
      <c r="A269" s="6">
        <v>44829</v>
      </c>
      <c r="B269" s="7">
        <v>0</v>
      </c>
      <c r="C269">
        <f t="shared" si="28"/>
        <v>1</v>
      </c>
      <c r="D269">
        <f t="shared" si="32"/>
        <v>190</v>
      </c>
      <c r="E269">
        <f t="shared" si="33"/>
        <v>4</v>
      </c>
      <c r="F269">
        <f t="shared" si="29"/>
        <v>0</v>
      </c>
      <c r="G269">
        <f t="shared" si="34"/>
        <v>72</v>
      </c>
      <c r="H269">
        <f t="shared" si="30"/>
        <v>0</v>
      </c>
      <c r="I269">
        <f t="shared" si="31"/>
        <v>118</v>
      </c>
    </row>
    <row r="270" spans="1:9" x14ac:dyDescent="0.35">
      <c r="A270" s="4">
        <v>44830</v>
      </c>
      <c r="B270" s="5">
        <v>0</v>
      </c>
      <c r="C270">
        <f t="shared" si="28"/>
        <v>2</v>
      </c>
      <c r="D270">
        <f t="shared" si="32"/>
        <v>490</v>
      </c>
      <c r="E270">
        <f t="shared" si="33"/>
        <v>5</v>
      </c>
      <c r="F270">
        <f t="shared" si="29"/>
        <v>300</v>
      </c>
      <c r="G270">
        <f t="shared" si="34"/>
        <v>0</v>
      </c>
      <c r="H270">
        <f t="shared" si="30"/>
        <v>0</v>
      </c>
      <c r="I270">
        <f t="shared" si="31"/>
        <v>490</v>
      </c>
    </row>
    <row r="271" spans="1:9" x14ac:dyDescent="0.35">
      <c r="A271" s="6">
        <v>44831</v>
      </c>
      <c r="B271" s="7">
        <v>0</v>
      </c>
      <c r="C271">
        <f t="shared" si="28"/>
        <v>3</v>
      </c>
      <c r="D271">
        <f t="shared" si="32"/>
        <v>260</v>
      </c>
      <c r="E271">
        <f t="shared" si="33"/>
        <v>6</v>
      </c>
      <c r="F271">
        <f t="shared" si="29"/>
        <v>0</v>
      </c>
      <c r="G271">
        <f t="shared" si="34"/>
        <v>0</v>
      </c>
      <c r="H271">
        <f t="shared" si="30"/>
        <v>0</v>
      </c>
      <c r="I271">
        <f t="shared" si="31"/>
        <v>260</v>
      </c>
    </row>
    <row r="272" spans="1:9" x14ac:dyDescent="0.35">
      <c r="A272" s="4">
        <v>44832</v>
      </c>
      <c r="B272" s="5">
        <v>0</v>
      </c>
      <c r="C272">
        <f t="shared" si="28"/>
        <v>4</v>
      </c>
      <c r="D272">
        <f t="shared" si="32"/>
        <v>190</v>
      </c>
      <c r="E272">
        <f t="shared" si="33"/>
        <v>7</v>
      </c>
      <c r="F272">
        <f t="shared" si="29"/>
        <v>0</v>
      </c>
      <c r="G272">
        <f t="shared" si="34"/>
        <v>0</v>
      </c>
      <c r="H272">
        <f t="shared" si="30"/>
        <v>0</v>
      </c>
      <c r="I272">
        <f t="shared" si="31"/>
        <v>190</v>
      </c>
    </row>
    <row r="273" spans="1:9" x14ac:dyDescent="0.35">
      <c r="A273" s="6">
        <v>44833</v>
      </c>
      <c r="B273" s="7">
        <v>302</v>
      </c>
      <c r="C273">
        <f t="shared" si="28"/>
        <v>5</v>
      </c>
      <c r="D273">
        <f t="shared" si="32"/>
        <v>190</v>
      </c>
      <c r="E273">
        <f t="shared" si="33"/>
        <v>0</v>
      </c>
      <c r="F273">
        <f t="shared" si="29"/>
        <v>0</v>
      </c>
      <c r="G273">
        <f t="shared" si="34"/>
        <v>302</v>
      </c>
      <c r="H273">
        <f t="shared" si="30"/>
        <v>112</v>
      </c>
      <c r="I273">
        <f t="shared" si="31"/>
        <v>0</v>
      </c>
    </row>
    <row r="274" spans="1:9" x14ac:dyDescent="0.35">
      <c r="A274" s="4">
        <v>44834</v>
      </c>
      <c r="B274" s="5">
        <v>426</v>
      </c>
      <c r="C274">
        <f t="shared" si="28"/>
        <v>6</v>
      </c>
      <c r="D274">
        <f t="shared" si="32"/>
        <v>190</v>
      </c>
      <c r="E274">
        <f t="shared" si="33"/>
        <v>0</v>
      </c>
      <c r="F274">
        <f t="shared" si="29"/>
        <v>0</v>
      </c>
      <c r="G274">
        <f t="shared" si="34"/>
        <v>538</v>
      </c>
      <c r="H274">
        <f t="shared" si="30"/>
        <v>348</v>
      </c>
      <c r="I274">
        <f t="shared" si="31"/>
        <v>0</v>
      </c>
    </row>
    <row r="275" spans="1:9" x14ac:dyDescent="0.35">
      <c r="A275" s="6">
        <v>44835</v>
      </c>
      <c r="B275" s="7">
        <v>456</v>
      </c>
      <c r="C275">
        <f t="shared" si="28"/>
        <v>7</v>
      </c>
      <c r="D275">
        <f t="shared" si="32"/>
        <v>190</v>
      </c>
      <c r="E275">
        <f t="shared" si="33"/>
        <v>0</v>
      </c>
      <c r="F275">
        <f t="shared" si="29"/>
        <v>0</v>
      </c>
      <c r="G275">
        <f t="shared" si="34"/>
        <v>804</v>
      </c>
      <c r="H275">
        <f t="shared" si="30"/>
        <v>614</v>
      </c>
      <c r="I275">
        <f t="shared" si="31"/>
        <v>0</v>
      </c>
    </row>
    <row r="276" spans="1:9" x14ac:dyDescent="0.35">
      <c r="A276" s="4">
        <v>44836</v>
      </c>
      <c r="B276" s="5">
        <v>568</v>
      </c>
      <c r="C276">
        <f t="shared" si="28"/>
        <v>1</v>
      </c>
      <c r="D276">
        <f t="shared" si="32"/>
        <v>190</v>
      </c>
      <c r="E276">
        <f t="shared" si="33"/>
        <v>0</v>
      </c>
      <c r="F276">
        <f t="shared" si="29"/>
        <v>0</v>
      </c>
      <c r="G276">
        <f t="shared" si="34"/>
        <v>1182</v>
      </c>
      <c r="H276">
        <f t="shared" si="30"/>
        <v>992</v>
      </c>
      <c r="I276">
        <f t="shared" si="31"/>
        <v>0</v>
      </c>
    </row>
    <row r="277" spans="1:9" x14ac:dyDescent="0.35">
      <c r="A277" s="6">
        <v>44837</v>
      </c>
      <c r="B277" s="7">
        <v>1182</v>
      </c>
      <c r="C277">
        <f t="shared" si="28"/>
        <v>2</v>
      </c>
      <c r="D277">
        <f t="shared" si="32"/>
        <v>190</v>
      </c>
      <c r="E277">
        <f t="shared" si="33"/>
        <v>0</v>
      </c>
      <c r="F277">
        <f t="shared" si="29"/>
        <v>0</v>
      </c>
      <c r="G277">
        <f t="shared" si="34"/>
        <v>2174</v>
      </c>
      <c r="H277">
        <f t="shared" si="30"/>
        <v>1984</v>
      </c>
      <c r="I277">
        <f t="shared" si="31"/>
        <v>0</v>
      </c>
    </row>
    <row r="278" spans="1:9" x14ac:dyDescent="0.35">
      <c r="A278" s="4">
        <v>44838</v>
      </c>
      <c r="B278" s="5">
        <v>0</v>
      </c>
      <c r="C278">
        <f t="shared" si="28"/>
        <v>3</v>
      </c>
      <c r="D278">
        <f t="shared" si="32"/>
        <v>260</v>
      </c>
      <c r="E278">
        <f t="shared" si="33"/>
        <v>1</v>
      </c>
      <c r="F278">
        <f t="shared" si="29"/>
        <v>0</v>
      </c>
      <c r="G278">
        <f t="shared" si="34"/>
        <v>1984</v>
      </c>
      <c r="H278">
        <f t="shared" si="30"/>
        <v>1724</v>
      </c>
      <c r="I278">
        <f t="shared" si="31"/>
        <v>0</v>
      </c>
    </row>
    <row r="279" spans="1:9" x14ac:dyDescent="0.35">
      <c r="A279" s="6">
        <v>44839</v>
      </c>
      <c r="B279" s="7">
        <v>0</v>
      </c>
      <c r="C279">
        <f t="shared" si="28"/>
        <v>4</v>
      </c>
      <c r="D279">
        <f t="shared" si="32"/>
        <v>190</v>
      </c>
      <c r="E279">
        <f t="shared" si="33"/>
        <v>2</v>
      </c>
      <c r="F279">
        <f t="shared" si="29"/>
        <v>0</v>
      </c>
      <c r="G279">
        <f t="shared" si="34"/>
        <v>1724</v>
      </c>
      <c r="H279">
        <f t="shared" si="30"/>
        <v>1534</v>
      </c>
      <c r="I279">
        <f t="shared" si="31"/>
        <v>0</v>
      </c>
    </row>
    <row r="280" spans="1:9" x14ac:dyDescent="0.35">
      <c r="A280" s="4">
        <v>44840</v>
      </c>
      <c r="B280" s="5">
        <v>0</v>
      </c>
      <c r="C280">
        <f t="shared" si="28"/>
        <v>5</v>
      </c>
      <c r="D280">
        <f t="shared" si="32"/>
        <v>190</v>
      </c>
      <c r="E280">
        <f t="shared" si="33"/>
        <v>3</v>
      </c>
      <c r="F280">
        <f t="shared" si="29"/>
        <v>0</v>
      </c>
      <c r="G280">
        <f t="shared" si="34"/>
        <v>1534</v>
      </c>
      <c r="H280">
        <f t="shared" si="30"/>
        <v>1344</v>
      </c>
      <c r="I280">
        <f t="shared" si="31"/>
        <v>0</v>
      </c>
    </row>
    <row r="281" spans="1:9" x14ac:dyDescent="0.35">
      <c r="A281" s="6">
        <v>44841</v>
      </c>
      <c r="B281" s="7">
        <v>0</v>
      </c>
      <c r="C281">
        <f t="shared" si="28"/>
        <v>6</v>
      </c>
      <c r="D281">
        <f t="shared" si="32"/>
        <v>190</v>
      </c>
      <c r="E281">
        <f t="shared" si="33"/>
        <v>4</v>
      </c>
      <c r="F281">
        <f t="shared" si="29"/>
        <v>0</v>
      </c>
      <c r="G281">
        <f t="shared" si="34"/>
        <v>1344</v>
      </c>
      <c r="H281">
        <f t="shared" si="30"/>
        <v>1154</v>
      </c>
      <c r="I281">
        <f t="shared" si="31"/>
        <v>0</v>
      </c>
    </row>
    <row r="282" spans="1:9" x14ac:dyDescent="0.35">
      <c r="A282" s="4">
        <v>44842</v>
      </c>
      <c r="B282" s="5">
        <v>0</v>
      </c>
      <c r="C282">
        <f t="shared" si="28"/>
        <v>7</v>
      </c>
      <c r="D282">
        <f t="shared" si="32"/>
        <v>190</v>
      </c>
      <c r="E282">
        <f t="shared" si="33"/>
        <v>5</v>
      </c>
      <c r="F282">
        <f t="shared" si="29"/>
        <v>0</v>
      </c>
      <c r="G282">
        <f t="shared" si="34"/>
        <v>1154</v>
      </c>
      <c r="H282">
        <f t="shared" si="30"/>
        <v>964</v>
      </c>
      <c r="I282">
        <f t="shared" si="31"/>
        <v>0</v>
      </c>
    </row>
    <row r="283" spans="1:9" x14ac:dyDescent="0.35">
      <c r="A283" s="6">
        <v>44843</v>
      </c>
      <c r="B283" s="7">
        <v>0</v>
      </c>
      <c r="C283">
        <f t="shared" si="28"/>
        <v>1</v>
      </c>
      <c r="D283">
        <f t="shared" si="32"/>
        <v>190</v>
      </c>
      <c r="E283">
        <f t="shared" si="33"/>
        <v>6</v>
      </c>
      <c r="F283">
        <f t="shared" si="29"/>
        <v>0</v>
      </c>
      <c r="G283">
        <f t="shared" si="34"/>
        <v>964</v>
      </c>
      <c r="H283">
        <f t="shared" si="30"/>
        <v>774</v>
      </c>
      <c r="I283">
        <f t="shared" si="31"/>
        <v>0</v>
      </c>
    </row>
    <row r="284" spans="1:9" x14ac:dyDescent="0.35">
      <c r="A284" s="4">
        <v>44844</v>
      </c>
      <c r="B284" s="5">
        <v>1170</v>
      </c>
      <c r="C284">
        <f t="shared" si="28"/>
        <v>2</v>
      </c>
      <c r="D284">
        <f t="shared" si="32"/>
        <v>190</v>
      </c>
      <c r="E284">
        <f t="shared" si="33"/>
        <v>0</v>
      </c>
      <c r="F284">
        <f t="shared" si="29"/>
        <v>0</v>
      </c>
      <c r="G284">
        <f t="shared" si="34"/>
        <v>1944</v>
      </c>
      <c r="H284">
        <f t="shared" si="30"/>
        <v>1754</v>
      </c>
      <c r="I284">
        <f t="shared" si="31"/>
        <v>0</v>
      </c>
    </row>
    <row r="285" spans="1:9" x14ac:dyDescent="0.35">
      <c r="A285" s="6">
        <v>44845</v>
      </c>
      <c r="B285" s="7">
        <v>695</v>
      </c>
      <c r="C285">
        <f t="shared" si="28"/>
        <v>3</v>
      </c>
      <c r="D285">
        <f t="shared" si="32"/>
        <v>260</v>
      </c>
      <c r="E285">
        <f t="shared" si="33"/>
        <v>0</v>
      </c>
      <c r="F285">
        <f t="shared" si="29"/>
        <v>0</v>
      </c>
      <c r="G285">
        <f t="shared" si="34"/>
        <v>2449</v>
      </c>
      <c r="H285">
        <f t="shared" si="30"/>
        <v>2189</v>
      </c>
      <c r="I285">
        <f t="shared" si="31"/>
        <v>0</v>
      </c>
    </row>
    <row r="286" spans="1:9" x14ac:dyDescent="0.35">
      <c r="A286" s="4">
        <v>44846</v>
      </c>
      <c r="B286" s="5">
        <v>644</v>
      </c>
      <c r="C286">
        <f t="shared" si="28"/>
        <v>4</v>
      </c>
      <c r="D286">
        <f t="shared" si="32"/>
        <v>190</v>
      </c>
      <c r="E286">
        <f t="shared" si="33"/>
        <v>0</v>
      </c>
      <c r="F286">
        <f t="shared" si="29"/>
        <v>0</v>
      </c>
      <c r="G286">
        <f t="shared" si="34"/>
        <v>2833</v>
      </c>
      <c r="H286">
        <f t="shared" si="30"/>
        <v>2643</v>
      </c>
      <c r="I286">
        <f t="shared" si="31"/>
        <v>0</v>
      </c>
    </row>
    <row r="287" spans="1:9" x14ac:dyDescent="0.35">
      <c r="A287" s="6">
        <v>44847</v>
      </c>
      <c r="B287" s="7">
        <v>0</v>
      </c>
      <c r="C287">
        <f t="shared" si="28"/>
        <v>5</v>
      </c>
      <c r="D287">
        <f t="shared" si="32"/>
        <v>190</v>
      </c>
      <c r="E287">
        <f t="shared" si="33"/>
        <v>1</v>
      </c>
      <c r="F287">
        <f t="shared" si="29"/>
        <v>0</v>
      </c>
      <c r="G287">
        <f t="shared" si="34"/>
        <v>2643</v>
      </c>
      <c r="H287">
        <f t="shared" si="30"/>
        <v>2453</v>
      </c>
      <c r="I287">
        <f t="shared" si="31"/>
        <v>0</v>
      </c>
    </row>
    <row r="288" spans="1:9" x14ac:dyDescent="0.35">
      <c r="A288" s="4">
        <v>44848</v>
      </c>
      <c r="B288" s="5">
        <v>0</v>
      </c>
      <c r="C288">
        <f t="shared" si="28"/>
        <v>6</v>
      </c>
      <c r="D288">
        <f t="shared" si="32"/>
        <v>190</v>
      </c>
      <c r="E288">
        <f t="shared" si="33"/>
        <v>2</v>
      </c>
      <c r="F288">
        <f t="shared" si="29"/>
        <v>0</v>
      </c>
      <c r="G288">
        <f t="shared" si="34"/>
        <v>2453</v>
      </c>
      <c r="H288">
        <f t="shared" si="30"/>
        <v>2263</v>
      </c>
      <c r="I288">
        <f t="shared" si="31"/>
        <v>0</v>
      </c>
    </row>
    <row r="289" spans="1:9" x14ac:dyDescent="0.35">
      <c r="A289" s="6">
        <v>44849</v>
      </c>
      <c r="B289" s="7">
        <v>0</v>
      </c>
      <c r="C289">
        <f t="shared" si="28"/>
        <v>7</v>
      </c>
      <c r="D289">
        <f t="shared" si="32"/>
        <v>190</v>
      </c>
      <c r="E289">
        <f t="shared" si="33"/>
        <v>3</v>
      </c>
      <c r="F289">
        <f t="shared" si="29"/>
        <v>0</v>
      </c>
      <c r="G289">
        <f t="shared" si="34"/>
        <v>2263</v>
      </c>
      <c r="H289">
        <f t="shared" si="30"/>
        <v>2073</v>
      </c>
      <c r="I289">
        <f t="shared" si="31"/>
        <v>0</v>
      </c>
    </row>
    <row r="290" spans="1:9" x14ac:dyDescent="0.35">
      <c r="A290" s="4">
        <v>44850</v>
      </c>
      <c r="B290" s="5">
        <v>0</v>
      </c>
      <c r="C290">
        <f t="shared" si="28"/>
        <v>1</v>
      </c>
      <c r="D290">
        <f t="shared" si="32"/>
        <v>190</v>
      </c>
      <c r="E290">
        <f t="shared" si="33"/>
        <v>4</v>
      </c>
      <c r="F290">
        <f t="shared" si="29"/>
        <v>0</v>
      </c>
      <c r="G290">
        <f t="shared" si="34"/>
        <v>2073</v>
      </c>
      <c r="H290">
        <f t="shared" si="30"/>
        <v>1883</v>
      </c>
      <c r="I290">
        <f t="shared" si="31"/>
        <v>0</v>
      </c>
    </row>
    <row r="291" spans="1:9" x14ac:dyDescent="0.35">
      <c r="A291" s="6">
        <v>44851</v>
      </c>
      <c r="B291" s="7">
        <v>0</v>
      </c>
      <c r="C291">
        <f t="shared" si="28"/>
        <v>2</v>
      </c>
      <c r="D291">
        <f t="shared" si="32"/>
        <v>190</v>
      </c>
      <c r="E291">
        <f t="shared" si="33"/>
        <v>5</v>
      </c>
      <c r="F291">
        <f t="shared" si="29"/>
        <v>0</v>
      </c>
      <c r="G291">
        <f t="shared" si="34"/>
        <v>1883</v>
      </c>
      <c r="H291">
        <f t="shared" si="30"/>
        <v>1693</v>
      </c>
      <c r="I291">
        <f t="shared" si="31"/>
        <v>0</v>
      </c>
    </row>
    <row r="292" spans="1:9" x14ac:dyDescent="0.35">
      <c r="A292" s="4">
        <v>44852</v>
      </c>
      <c r="B292" s="5">
        <v>0</v>
      </c>
      <c r="C292">
        <f t="shared" si="28"/>
        <v>3</v>
      </c>
      <c r="D292">
        <f t="shared" si="32"/>
        <v>260</v>
      </c>
      <c r="E292">
        <f t="shared" si="33"/>
        <v>6</v>
      </c>
      <c r="F292">
        <f t="shared" si="29"/>
        <v>0</v>
      </c>
      <c r="G292">
        <f t="shared" si="34"/>
        <v>1693</v>
      </c>
      <c r="H292">
        <f t="shared" si="30"/>
        <v>1433</v>
      </c>
      <c r="I292">
        <f t="shared" si="31"/>
        <v>0</v>
      </c>
    </row>
    <row r="293" spans="1:9" x14ac:dyDescent="0.35">
      <c r="A293" s="6">
        <v>44853</v>
      </c>
      <c r="B293" s="7">
        <v>0</v>
      </c>
      <c r="C293">
        <f t="shared" si="28"/>
        <v>4</v>
      </c>
      <c r="D293">
        <f t="shared" si="32"/>
        <v>190</v>
      </c>
      <c r="E293">
        <f t="shared" si="33"/>
        <v>7</v>
      </c>
      <c r="F293">
        <f t="shared" si="29"/>
        <v>0</v>
      </c>
      <c r="G293">
        <f t="shared" si="34"/>
        <v>1433</v>
      </c>
      <c r="H293">
        <f t="shared" si="30"/>
        <v>1243</v>
      </c>
      <c r="I293">
        <f t="shared" si="31"/>
        <v>0</v>
      </c>
    </row>
    <row r="294" spans="1:9" x14ac:dyDescent="0.35">
      <c r="A294" s="4">
        <v>44854</v>
      </c>
      <c r="B294" s="5">
        <v>0</v>
      </c>
      <c r="C294">
        <f t="shared" si="28"/>
        <v>5</v>
      </c>
      <c r="D294">
        <f t="shared" si="32"/>
        <v>190</v>
      </c>
      <c r="E294">
        <f t="shared" si="33"/>
        <v>8</v>
      </c>
      <c r="F294">
        <f t="shared" si="29"/>
        <v>0</v>
      </c>
      <c r="G294">
        <f t="shared" si="34"/>
        <v>1243</v>
      </c>
      <c r="H294">
        <f t="shared" si="30"/>
        <v>1053</v>
      </c>
      <c r="I294">
        <f t="shared" si="31"/>
        <v>0</v>
      </c>
    </row>
    <row r="295" spans="1:9" x14ac:dyDescent="0.35">
      <c r="A295" s="6">
        <v>44855</v>
      </c>
      <c r="B295" s="7">
        <v>0</v>
      </c>
      <c r="C295">
        <f t="shared" si="28"/>
        <v>6</v>
      </c>
      <c r="D295">
        <f t="shared" si="32"/>
        <v>190</v>
      </c>
      <c r="E295">
        <f t="shared" si="33"/>
        <v>9</v>
      </c>
      <c r="F295">
        <f t="shared" si="29"/>
        <v>0</v>
      </c>
      <c r="G295">
        <f t="shared" si="34"/>
        <v>1053</v>
      </c>
      <c r="H295">
        <f t="shared" si="30"/>
        <v>863</v>
      </c>
      <c r="I295">
        <f t="shared" si="31"/>
        <v>0</v>
      </c>
    </row>
    <row r="296" spans="1:9" x14ac:dyDescent="0.35">
      <c r="A296" s="4">
        <v>44856</v>
      </c>
      <c r="B296" s="5">
        <v>1084</v>
      </c>
      <c r="C296">
        <f t="shared" si="28"/>
        <v>7</v>
      </c>
      <c r="D296">
        <f t="shared" si="32"/>
        <v>190</v>
      </c>
      <c r="E296">
        <f t="shared" si="33"/>
        <v>0</v>
      </c>
      <c r="F296">
        <f t="shared" si="29"/>
        <v>0</v>
      </c>
      <c r="G296">
        <f t="shared" si="34"/>
        <v>1947</v>
      </c>
      <c r="H296">
        <f t="shared" si="30"/>
        <v>1757</v>
      </c>
      <c r="I296">
        <f t="shared" si="31"/>
        <v>0</v>
      </c>
    </row>
    <row r="297" spans="1:9" x14ac:dyDescent="0.35">
      <c r="A297" s="6">
        <v>44857</v>
      </c>
      <c r="B297" s="7">
        <v>1423</v>
      </c>
      <c r="C297">
        <f t="shared" si="28"/>
        <v>1</v>
      </c>
      <c r="D297">
        <f t="shared" si="32"/>
        <v>190</v>
      </c>
      <c r="E297">
        <f t="shared" si="33"/>
        <v>0</v>
      </c>
      <c r="F297">
        <f t="shared" si="29"/>
        <v>0</v>
      </c>
      <c r="G297">
        <f t="shared" si="34"/>
        <v>3180</v>
      </c>
      <c r="H297">
        <f t="shared" si="30"/>
        <v>2990</v>
      </c>
      <c r="I297">
        <f t="shared" si="31"/>
        <v>0</v>
      </c>
    </row>
    <row r="298" spans="1:9" x14ac:dyDescent="0.35">
      <c r="A298" s="4">
        <v>44858</v>
      </c>
      <c r="B298" s="5">
        <v>1315</v>
      </c>
      <c r="C298">
        <f t="shared" si="28"/>
        <v>2</v>
      </c>
      <c r="D298">
        <f t="shared" si="32"/>
        <v>190</v>
      </c>
      <c r="E298">
        <f t="shared" si="33"/>
        <v>0</v>
      </c>
      <c r="F298">
        <f t="shared" si="29"/>
        <v>0</v>
      </c>
      <c r="G298">
        <f t="shared" si="34"/>
        <v>4305</v>
      </c>
      <c r="H298">
        <f t="shared" si="30"/>
        <v>4115</v>
      </c>
      <c r="I298">
        <f t="shared" si="31"/>
        <v>0</v>
      </c>
    </row>
    <row r="299" spans="1:9" x14ac:dyDescent="0.35">
      <c r="A299" s="6">
        <v>44859</v>
      </c>
      <c r="B299" s="7">
        <v>717</v>
      </c>
      <c r="C299">
        <f t="shared" si="28"/>
        <v>3</v>
      </c>
      <c r="D299">
        <f t="shared" si="32"/>
        <v>260</v>
      </c>
      <c r="E299">
        <f t="shared" si="33"/>
        <v>0</v>
      </c>
      <c r="F299">
        <f t="shared" si="29"/>
        <v>0</v>
      </c>
      <c r="G299">
        <f t="shared" si="34"/>
        <v>4832</v>
      </c>
      <c r="H299">
        <f t="shared" si="30"/>
        <v>4572</v>
      </c>
      <c r="I299">
        <f t="shared" si="31"/>
        <v>0</v>
      </c>
    </row>
    <row r="300" spans="1:9" x14ac:dyDescent="0.35">
      <c r="A300" s="4">
        <v>44860</v>
      </c>
      <c r="B300" s="5">
        <v>1398</v>
      </c>
      <c r="C300">
        <f t="shared" si="28"/>
        <v>4</v>
      </c>
      <c r="D300">
        <f t="shared" si="32"/>
        <v>190</v>
      </c>
      <c r="E300">
        <f t="shared" si="33"/>
        <v>0</v>
      </c>
      <c r="F300">
        <f t="shared" si="29"/>
        <v>0</v>
      </c>
      <c r="G300">
        <f t="shared" si="34"/>
        <v>5970</v>
      </c>
      <c r="H300">
        <f t="shared" si="30"/>
        <v>5780</v>
      </c>
      <c r="I300">
        <f t="shared" si="31"/>
        <v>0</v>
      </c>
    </row>
    <row r="301" spans="1:9" x14ac:dyDescent="0.35">
      <c r="A301" s="6">
        <v>44861</v>
      </c>
      <c r="B301" s="7">
        <v>913</v>
      </c>
      <c r="C301">
        <f t="shared" si="28"/>
        <v>5</v>
      </c>
      <c r="D301">
        <f t="shared" si="32"/>
        <v>190</v>
      </c>
      <c r="E301">
        <f t="shared" si="33"/>
        <v>0</v>
      </c>
      <c r="F301">
        <f t="shared" si="29"/>
        <v>0</v>
      </c>
      <c r="G301">
        <f t="shared" si="34"/>
        <v>6693</v>
      </c>
      <c r="H301">
        <f t="shared" si="30"/>
        <v>6503</v>
      </c>
      <c r="I301">
        <f t="shared" si="31"/>
        <v>0</v>
      </c>
    </row>
    <row r="302" spans="1:9" x14ac:dyDescent="0.35">
      <c r="A302" s="4">
        <v>44862</v>
      </c>
      <c r="B302" s="5">
        <v>660</v>
      </c>
      <c r="C302">
        <f t="shared" si="28"/>
        <v>6</v>
      </c>
      <c r="D302">
        <f t="shared" si="32"/>
        <v>190</v>
      </c>
      <c r="E302">
        <f t="shared" si="33"/>
        <v>0</v>
      </c>
      <c r="F302">
        <f t="shared" si="29"/>
        <v>0</v>
      </c>
      <c r="G302">
        <f t="shared" si="34"/>
        <v>7163</v>
      </c>
      <c r="H302">
        <f t="shared" si="30"/>
        <v>6973</v>
      </c>
      <c r="I302">
        <f t="shared" si="31"/>
        <v>0</v>
      </c>
    </row>
    <row r="303" spans="1:9" x14ac:dyDescent="0.35">
      <c r="A303" s="6">
        <v>44863</v>
      </c>
      <c r="B303" s="7">
        <v>0</v>
      </c>
      <c r="C303">
        <f t="shared" si="28"/>
        <v>7</v>
      </c>
      <c r="D303">
        <f t="shared" si="32"/>
        <v>190</v>
      </c>
      <c r="E303">
        <f t="shared" si="33"/>
        <v>1</v>
      </c>
      <c r="F303">
        <f t="shared" si="29"/>
        <v>0</v>
      </c>
      <c r="G303">
        <f t="shared" si="34"/>
        <v>6973</v>
      </c>
      <c r="H303">
        <f t="shared" si="30"/>
        <v>6783</v>
      </c>
      <c r="I303">
        <f t="shared" si="31"/>
        <v>0</v>
      </c>
    </row>
    <row r="304" spans="1:9" x14ac:dyDescent="0.35">
      <c r="A304" s="4">
        <v>44864</v>
      </c>
      <c r="B304" s="5">
        <v>0</v>
      </c>
      <c r="C304">
        <f t="shared" si="28"/>
        <v>1</v>
      </c>
      <c r="D304">
        <f t="shared" si="32"/>
        <v>190</v>
      </c>
      <c r="E304">
        <f t="shared" si="33"/>
        <v>2</v>
      </c>
      <c r="F304">
        <f t="shared" si="29"/>
        <v>0</v>
      </c>
      <c r="G304">
        <f t="shared" si="34"/>
        <v>6783</v>
      </c>
      <c r="H304">
        <f t="shared" si="30"/>
        <v>6593</v>
      </c>
      <c r="I304">
        <f t="shared" si="31"/>
        <v>0</v>
      </c>
    </row>
    <row r="305" spans="1:9" x14ac:dyDescent="0.35">
      <c r="A305" s="6">
        <v>44865</v>
      </c>
      <c r="B305" s="7">
        <v>0</v>
      </c>
      <c r="C305">
        <f t="shared" si="28"/>
        <v>2</v>
      </c>
      <c r="D305">
        <f t="shared" si="32"/>
        <v>190</v>
      </c>
      <c r="E305">
        <f t="shared" si="33"/>
        <v>3</v>
      </c>
      <c r="F305">
        <f t="shared" si="29"/>
        <v>0</v>
      </c>
      <c r="G305">
        <f t="shared" si="34"/>
        <v>6593</v>
      </c>
      <c r="H305">
        <f t="shared" si="30"/>
        <v>6403</v>
      </c>
      <c r="I305">
        <f t="shared" si="31"/>
        <v>0</v>
      </c>
    </row>
    <row r="306" spans="1:9" x14ac:dyDescent="0.35">
      <c r="A306" s="4">
        <v>44866</v>
      </c>
      <c r="B306" s="5">
        <v>0</v>
      </c>
      <c r="C306">
        <f t="shared" si="28"/>
        <v>3</v>
      </c>
      <c r="D306">
        <f t="shared" si="32"/>
        <v>260</v>
      </c>
      <c r="E306">
        <f t="shared" si="33"/>
        <v>4</v>
      </c>
      <c r="F306">
        <f t="shared" si="29"/>
        <v>0</v>
      </c>
      <c r="G306">
        <f t="shared" si="34"/>
        <v>6403</v>
      </c>
      <c r="H306">
        <f t="shared" si="30"/>
        <v>6143</v>
      </c>
      <c r="I306">
        <f t="shared" si="31"/>
        <v>0</v>
      </c>
    </row>
    <row r="307" spans="1:9" x14ac:dyDescent="0.35">
      <c r="A307" s="6">
        <v>44867</v>
      </c>
      <c r="B307" s="7">
        <v>0</v>
      </c>
      <c r="C307">
        <f t="shared" si="28"/>
        <v>4</v>
      </c>
      <c r="D307">
        <f t="shared" si="32"/>
        <v>190</v>
      </c>
      <c r="E307">
        <f t="shared" si="33"/>
        <v>5</v>
      </c>
      <c r="F307">
        <f t="shared" si="29"/>
        <v>0</v>
      </c>
      <c r="G307">
        <f t="shared" si="34"/>
        <v>6143</v>
      </c>
      <c r="H307">
        <f t="shared" si="30"/>
        <v>5953</v>
      </c>
      <c r="I307">
        <f t="shared" si="31"/>
        <v>0</v>
      </c>
    </row>
    <row r="308" spans="1:9" x14ac:dyDescent="0.35">
      <c r="A308" s="4">
        <v>44868</v>
      </c>
      <c r="B308" s="5">
        <v>935</v>
      </c>
      <c r="C308">
        <f t="shared" si="28"/>
        <v>5</v>
      </c>
      <c r="D308">
        <f t="shared" si="32"/>
        <v>190</v>
      </c>
      <c r="E308">
        <f t="shared" si="33"/>
        <v>0</v>
      </c>
      <c r="F308">
        <f t="shared" si="29"/>
        <v>0</v>
      </c>
      <c r="G308">
        <f t="shared" si="34"/>
        <v>6888</v>
      </c>
      <c r="H308">
        <f t="shared" si="30"/>
        <v>6698</v>
      </c>
      <c r="I308">
        <f t="shared" si="31"/>
        <v>0</v>
      </c>
    </row>
    <row r="309" spans="1:9" x14ac:dyDescent="0.35">
      <c r="A309" s="6">
        <v>44869</v>
      </c>
      <c r="B309" s="7">
        <v>648</v>
      </c>
      <c r="C309">
        <f t="shared" si="28"/>
        <v>6</v>
      </c>
      <c r="D309">
        <f t="shared" si="32"/>
        <v>190</v>
      </c>
      <c r="E309">
        <f t="shared" si="33"/>
        <v>0</v>
      </c>
      <c r="F309">
        <f t="shared" si="29"/>
        <v>0</v>
      </c>
      <c r="G309">
        <f t="shared" si="34"/>
        <v>7346</v>
      </c>
      <c r="H309">
        <f t="shared" si="30"/>
        <v>7156</v>
      </c>
      <c r="I309">
        <f t="shared" si="31"/>
        <v>0</v>
      </c>
    </row>
    <row r="310" spans="1:9" x14ac:dyDescent="0.35">
      <c r="A310" s="4">
        <v>44870</v>
      </c>
      <c r="B310" s="5">
        <v>793</v>
      </c>
      <c r="C310">
        <f t="shared" si="28"/>
        <v>7</v>
      </c>
      <c r="D310">
        <f t="shared" si="32"/>
        <v>190</v>
      </c>
      <c r="E310">
        <f t="shared" si="33"/>
        <v>0</v>
      </c>
      <c r="F310">
        <f t="shared" si="29"/>
        <v>0</v>
      </c>
      <c r="G310">
        <f t="shared" si="34"/>
        <v>7949</v>
      </c>
      <c r="H310">
        <f t="shared" si="30"/>
        <v>7759</v>
      </c>
      <c r="I310">
        <f t="shared" si="31"/>
        <v>0</v>
      </c>
    </row>
    <row r="311" spans="1:9" x14ac:dyDescent="0.35">
      <c r="A311" s="6">
        <v>44871</v>
      </c>
      <c r="B311" s="7">
        <v>1276</v>
      </c>
      <c r="C311">
        <f t="shared" si="28"/>
        <v>1</v>
      </c>
      <c r="D311">
        <f t="shared" si="32"/>
        <v>190</v>
      </c>
      <c r="E311">
        <f t="shared" si="33"/>
        <v>0</v>
      </c>
      <c r="F311">
        <f t="shared" si="29"/>
        <v>0</v>
      </c>
      <c r="G311">
        <f t="shared" si="34"/>
        <v>9035</v>
      </c>
      <c r="H311">
        <f t="shared" si="30"/>
        <v>8845</v>
      </c>
      <c r="I311">
        <f t="shared" si="31"/>
        <v>0</v>
      </c>
    </row>
    <row r="312" spans="1:9" x14ac:dyDescent="0.35">
      <c r="A312" s="4">
        <v>44872</v>
      </c>
      <c r="B312" s="5">
        <v>1234</v>
      </c>
      <c r="C312">
        <f t="shared" si="28"/>
        <v>2</v>
      </c>
      <c r="D312">
        <f t="shared" si="32"/>
        <v>190</v>
      </c>
      <c r="E312">
        <f t="shared" si="33"/>
        <v>0</v>
      </c>
      <c r="F312">
        <f t="shared" si="29"/>
        <v>0</v>
      </c>
      <c r="G312">
        <f t="shared" si="34"/>
        <v>10079</v>
      </c>
      <c r="H312">
        <f t="shared" si="30"/>
        <v>9889</v>
      </c>
      <c r="I312">
        <f t="shared" si="31"/>
        <v>0</v>
      </c>
    </row>
    <row r="313" spans="1:9" x14ac:dyDescent="0.35">
      <c r="A313" s="6">
        <v>44873</v>
      </c>
      <c r="B313" s="7">
        <v>1302</v>
      </c>
      <c r="C313">
        <f t="shared" si="28"/>
        <v>3</v>
      </c>
      <c r="D313">
        <f t="shared" si="32"/>
        <v>260</v>
      </c>
      <c r="E313">
        <f t="shared" si="33"/>
        <v>0</v>
      </c>
      <c r="F313">
        <f t="shared" si="29"/>
        <v>0</v>
      </c>
      <c r="G313">
        <f t="shared" si="34"/>
        <v>11191</v>
      </c>
      <c r="H313">
        <f t="shared" si="30"/>
        <v>10931</v>
      </c>
      <c r="I313">
        <f t="shared" si="31"/>
        <v>0</v>
      </c>
    </row>
    <row r="314" spans="1:9" x14ac:dyDescent="0.35">
      <c r="A314" s="4">
        <v>44874</v>
      </c>
      <c r="B314" s="5">
        <v>1316</v>
      </c>
      <c r="C314">
        <f t="shared" si="28"/>
        <v>4</v>
      </c>
      <c r="D314">
        <f t="shared" si="32"/>
        <v>190</v>
      </c>
      <c r="E314">
        <f t="shared" si="33"/>
        <v>0</v>
      </c>
      <c r="F314">
        <f t="shared" si="29"/>
        <v>0</v>
      </c>
      <c r="G314">
        <f t="shared" si="34"/>
        <v>12247</v>
      </c>
      <c r="H314">
        <f t="shared" si="30"/>
        <v>12057</v>
      </c>
      <c r="I314">
        <f t="shared" si="31"/>
        <v>0</v>
      </c>
    </row>
    <row r="315" spans="1:9" x14ac:dyDescent="0.35">
      <c r="A315" s="6">
        <v>44875</v>
      </c>
      <c r="B315" s="7">
        <v>1463</v>
      </c>
      <c r="C315">
        <f t="shared" si="28"/>
        <v>5</v>
      </c>
      <c r="D315">
        <f t="shared" si="32"/>
        <v>190</v>
      </c>
      <c r="E315">
        <f t="shared" si="33"/>
        <v>0</v>
      </c>
      <c r="F315">
        <f t="shared" si="29"/>
        <v>0</v>
      </c>
      <c r="G315">
        <f t="shared" si="34"/>
        <v>13520</v>
      </c>
      <c r="H315">
        <f t="shared" si="30"/>
        <v>13330</v>
      </c>
      <c r="I315">
        <f t="shared" si="31"/>
        <v>0</v>
      </c>
    </row>
    <row r="316" spans="1:9" x14ac:dyDescent="0.35">
      <c r="A316" s="4">
        <v>44876</v>
      </c>
      <c r="B316" s="5">
        <v>771</v>
      </c>
      <c r="C316">
        <f t="shared" si="28"/>
        <v>6</v>
      </c>
      <c r="D316">
        <f t="shared" si="32"/>
        <v>190</v>
      </c>
      <c r="E316">
        <f t="shared" si="33"/>
        <v>0</v>
      </c>
      <c r="F316">
        <f t="shared" si="29"/>
        <v>0</v>
      </c>
      <c r="G316">
        <f t="shared" si="34"/>
        <v>14101</v>
      </c>
      <c r="H316">
        <f t="shared" si="30"/>
        <v>13911</v>
      </c>
      <c r="I316">
        <f t="shared" si="31"/>
        <v>0</v>
      </c>
    </row>
    <row r="317" spans="1:9" x14ac:dyDescent="0.35">
      <c r="A317" s="6">
        <v>44877</v>
      </c>
      <c r="B317" s="7">
        <v>0</v>
      </c>
      <c r="C317">
        <f t="shared" si="28"/>
        <v>7</v>
      </c>
      <c r="D317">
        <f t="shared" si="32"/>
        <v>190</v>
      </c>
      <c r="E317">
        <f t="shared" si="33"/>
        <v>1</v>
      </c>
      <c r="F317">
        <f t="shared" si="29"/>
        <v>0</v>
      </c>
      <c r="G317">
        <f t="shared" si="34"/>
        <v>13911</v>
      </c>
      <c r="H317">
        <f t="shared" si="30"/>
        <v>13721</v>
      </c>
      <c r="I317">
        <f t="shared" si="31"/>
        <v>0</v>
      </c>
    </row>
    <row r="318" spans="1:9" x14ac:dyDescent="0.35">
      <c r="A318" s="4">
        <v>44878</v>
      </c>
      <c r="B318" s="5">
        <v>0</v>
      </c>
      <c r="C318">
        <f t="shared" si="28"/>
        <v>1</v>
      </c>
      <c r="D318">
        <f t="shared" si="32"/>
        <v>190</v>
      </c>
      <c r="E318">
        <f t="shared" si="33"/>
        <v>2</v>
      </c>
      <c r="F318">
        <f t="shared" si="29"/>
        <v>0</v>
      </c>
      <c r="G318">
        <f t="shared" si="34"/>
        <v>13721</v>
      </c>
      <c r="H318">
        <f t="shared" si="30"/>
        <v>13531</v>
      </c>
      <c r="I318">
        <f t="shared" si="31"/>
        <v>0</v>
      </c>
    </row>
    <row r="319" spans="1:9" x14ac:dyDescent="0.35">
      <c r="A319" s="6">
        <v>44879</v>
      </c>
      <c r="B319" s="7">
        <v>0</v>
      </c>
      <c r="C319">
        <f t="shared" si="28"/>
        <v>2</v>
      </c>
      <c r="D319">
        <f t="shared" si="32"/>
        <v>190</v>
      </c>
      <c r="E319">
        <f t="shared" si="33"/>
        <v>3</v>
      </c>
      <c r="F319">
        <f t="shared" si="29"/>
        <v>0</v>
      </c>
      <c r="G319">
        <f t="shared" si="34"/>
        <v>13531</v>
      </c>
      <c r="H319">
        <f t="shared" si="30"/>
        <v>13341</v>
      </c>
      <c r="I319">
        <f t="shared" si="31"/>
        <v>0</v>
      </c>
    </row>
    <row r="320" spans="1:9" x14ac:dyDescent="0.35">
      <c r="A320" s="4">
        <v>44880</v>
      </c>
      <c r="B320" s="5">
        <v>0</v>
      </c>
      <c r="C320">
        <f t="shared" si="28"/>
        <v>3</v>
      </c>
      <c r="D320">
        <f t="shared" si="32"/>
        <v>260</v>
      </c>
      <c r="E320">
        <f t="shared" si="33"/>
        <v>4</v>
      </c>
      <c r="F320">
        <f t="shared" si="29"/>
        <v>0</v>
      </c>
      <c r="G320">
        <f t="shared" si="34"/>
        <v>13341</v>
      </c>
      <c r="H320">
        <f t="shared" si="30"/>
        <v>13081</v>
      </c>
      <c r="I320">
        <f t="shared" si="31"/>
        <v>0</v>
      </c>
    </row>
    <row r="321" spans="1:9" x14ac:dyDescent="0.35">
      <c r="A321" s="6">
        <v>44881</v>
      </c>
      <c r="B321" s="7">
        <v>0</v>
      </c>
      <c r="C321">
        <f t="shared" si="28"/>
        <v>4</v>
      </c>
      <c r="D321">
        <f t="shared" si="32"/>
        <v>190</v>
      </c>
      <c r="E321">
        <f t="shared" si="33"/>
        <v>5</v>
      </c>
      <c r="F321">
        <f t="shared" si="29"/>
        <v>0</v>
      </c>
      <c r="G321">
        <f t="shared" si="34"/>
        <v>13081</v>
      </c>
      <c r="H321">
        <f t="shared" si="30"/>
        <v>12891</v>
      </c>
      <c r="I321">
        <f t="shared" si="31"/>
        <v>0</v>
      </c>
    </row>
    <row r="322" spans="1:9" x14ac:dyDescent="0.35">
      <c r="A322" s="4">
        <v>44882</v>
      </c>
      <c r="B322" s="5">
        <v>0</v>
      </c>
      <c r="C322">
        <f t="shared" si="28"/>
        <v>5</v>
      </c>
      <c r="D322">
        <f t="shared" si="32"/>
        <v>190</v>
      </c>
      <c r="E322">
        <f t="shared" si="33"/>
        <v>6</v>
      </c>
      <c r="F322">
        <f t="shared" si="29"/>
        <v>0</v>
      </c>
      <c r="G322">
        <f t="shared" si="34"/>
        <v>12891</v>
      </c>
      <c r="H322">
        <f t="shared" si="30"/>
        <v>12701</v>
      </c>
      <c r="I322">
        <f t="shared" si="31"/>
        <v>0</v>
      </c>
    </row>
    <row r="323" spans="1:9" x14ac:dyDescent="0.35">
      <c r="A323" s="6">
        <v>44883</v>
      </c>
      <c r="B323" s="7">
        <v>0</v>
      </c>
      <c r="C323">
        <f t="shared" ref="C323:C366" si="35">WEEKDAY(A323)</f>
        <v>6</v>
      </c>
      <c r="D323">
        <f t="shared" si="32"/>
        <v>190</v>
      </c>
      <c r="E323">
        <f t="shared" si="33"/>
        <v>7</v>
      </c>
      <c r="F323">
        <f t="shared" ref="F323:F366" si="36">IF(AND(MONTH(A323)&gt;=4,MONTH(A323)&lt;=9,OR(E323=5,E323=10,E323=15,E323=20)),300,0)</f>
        <v>0</v>
      </c>
      <c r="G323">
        <f t="shared" si="34"/>
        <v>12701</v>
      </c>
      <c r="H323">
        <f t="shared" ref="H323:H366" si="37">IF(G323-D323&lt;0,0,G323-D323)</f>
        <v>12511</v>
      </c>
      <c r="I323">
        <f t="shared" ref="I323:I366" si="38">IF(H323=0,ABS(G323-D323),0)</f>
        <v>0</v>
      </c>
    </row>
    <row r="324" spans="1:9" x14ac:dyDescent="0.35">
      <c r="A324" s="4">
        <v>44884</v>
      </c>
      <c r="B324" s="5">
        <v>816</v>
      </c>
      <c r="C324">
        <f t="shared" si="35"/>
        <v>7</v>
      </c>
      <c r="D324">
        <f t="shared" ref="D324:D366" si="39">IF(C324=3,260,190)+F324</f>
        <v>190</v>
      </c>
      <c r="E324">
        <f t="shared" ref="E324:E366" si="40">IF(B324=0,E323+1,0)</f>
        <v>0</v>
      </c>
      <c r="F324">
        <f t="shared" si="36"/>
        <v>0</v>
      </c>
      <c r="G324">
        <f t="shared" ref="G324:G366" si="41">H323+B324</f>
        <v>13327</v>
      </c>
      <c r="H324">
        <f t="shared" si="37"/>
        <v>13137</v>
      </c>
      <c r="I324">
        <f t="shared" si="38"/>
        <v>0</v>
      </c>
    </row>
    <row r="325" spans="1:9" x14ac:dyDescent="0.35">
      <c r="A325" s="6">
        <v>44885</v>
      </c>
      <c r="B325" s="7">
        <v>734</v>
      </c>
      <c r="C325">
        <f t="shared" si="35"/>
        <v>1</v>
      </c>
      <c r="D325">
        <f t="shared" si="39"/>
        <v>190</v>
      </c>
      <c r="E325">
        <f t="shared" si="40"/>
        <v>0</v>
      </c>
      <c r="F325">
        <f t="shared" si="36"/>
        <v>0</v>
      </c>
      <c r="G325">
        <f t="shared" si="41"/>
        <v>13871</v>
      </c>
      <c r="H325">
        <f t="shared" si="37"/>
        <v>13681</v>
      </c>
      <c r="I325">
        <f t="shared" si="38"/>
        <v>0</v>
      </c>
    </row>
    <row r="326" spans="1:9" x14ac:dyDescent="0.35">
      <c r="A326" s="4">
        <v>44886</v>
      </c>
      <c r="B326" s="5">
        <v>1097</v>
      </c>
      <c r="C326">
        <f t="shared" si="35"/>
        <v>2</v>
      </c>
      <c r="D326">
        <f t="shared" si="39"/>
        <v>190</v>
      </c>
      <c r="E326">
        <f t="shared" si="40"/>
        <v>0</v>
      </c>
      <c r="F326">
        <f t="shared" si="36"/>
        <v>0</v>
      </c>
      <c r="G326">
        <f t="shared" si="41"/>
        <v>14778</v>
      </c>
      <c r="H326">
        <f t="shared" si="37"/>
        <v>14588</v>
      </c>
      <c r="I326">
        <f t="shared" si="38"/>
        <v>0</v>
      </c>
    </row>
    <row r="327" spans="1:9" x14ac:dyDescent="0.35">
      <c r="A327" s="6">
        <v>44887</v>
      </c>
      <c r="B327" s="7">
        <v>640</v>
      </c>
      <c r="C327">
        <f t="shared" si="35"/>
        <v>3</v>
      </c>
      <c r="D327">
        <f t="shared" si="39"/>
        <v>260</v>
      </c>
      <c r="E327">
        <f t="shared" si="40"/>
        <v>0</v>
      </c>
      <c r="F327">
        <f t="shared" si="36"/>
        <v>0</v>
      </c>
      <c r="G327">
        <f t="shared" si="41"/>
        <v>15228</v>
      </c>
      <c r="H327">
        <f t="shared" si="37"/>
        <v>14968</v>
      </c>
      <c r="I327">
        <f t="shared" si="38"/>
        <v>0</v>
      </c>
    </row>
    <row r="328" spans="1:9" x14ac:dyDescent="0.35">
      <c r="A328" s="4">
        <v>44888</v>
      </c>
      <c r="B328" s="5">
        <v>0</v>
      </c>
      <c r="C328">
        <f t="shared" si="35"/>
        <v>4</v>
      </c>
      <c r="D328">
        <f t="shared" si="39"/>
        <v>190</v>
      </c>
      <c r="E328">
        <f t="shared" si="40"/>
        <v>1</v>
      </c>
      <c r="F328">
        <f t="shared" si="36"/>
        <v>0</v>
      </c>
      <c r="G328">
        <f t="shared" si="41"/>
        <v>14968</v>
      </c>
      <c r="H328">
        <f t="shared" si="37"/>
        <v>14778</v>
      </c>
      <c r="I328">
        <f t="shared" si="38"/>
        <v>0</v>
      </c>
    </row>
    <row r="329" spans="1:9" x14ac:dyDescent="0.35">
      <c r="A329" s="6">
        <v>44889</v>
      </c>
      <c r="B329" s="7">
        <v>0</v>
      </c>
      <c r="C329">
        <f t="shared" si="35"/>
        <v>5</v>
      </c>
      <c r="D329">
        <f t="shared" si="39"/>
        <v>190</v>
      </c>
      <c r="E329">
        <f t="shared" si="40"/>
        <v>2</v>
      </c>
      <c r="F329">
        <f t="shared" si="36"/>
        <v>0</v>
      </c>
      <c r="G329">
        <f t="shared" si="41"/>
        <v>14778</v>
      </c>
      <c r="H329">
        <f t="shared" si="37"/>
        <v>14588</v>
      </c>
      <c r="I329">
        <f t="shared" si="38"/>
        <v>0</v>
      </c>
    </row>
    <row r="330" spans="1:9" x14ac:dyDescent="0.35">
      <c r="A330" s="4">
        <v>44890</v>
      </c>
      <c r="B330" s="5">
        <v>1066</v>
      </c>
      <c r="C330">
        <f t="shared" si="35"/>
        <v>6</v>
      </c>
      <c r="D330">
        <f t="shared" si="39"/>
        <v>190</v>
      </c>
      <c r="E330">
        <f t="shared" si="40"/>
        <v>0</v>
      </c>
      <c r="F330">
        <f t="shared" si="36"/>
        <v>0</v>
      </c>
      <c r="G330">
        <f t="shared" si="41"/>
        <v>15654</v>
      </c>
      <c r="H330">
        <f t="shared" si="37"/>
        <v>15464</v>
      </c>
      <c r="I330">
        <f t="shared" si="38"/>
        <v>0</v>
      </c>
    </row>
    <row r="331" spans="1:9" x14ac:dyDescent="0.35">
      <c r="A331" s="6">
        <v>44891</v>
      </c>
      <c r="B331" s="7">
        <v>670</v>
      </c>
      <c r="C331">
        <f t="shared" si="35"/>
        <v>7</v>
      </c>
      <c r="D331">
        <f t="shared" si="39"/>
        <v>190</v>
      </c>
      <c r="E331">
        <f t="shared" si="40"/>
        <v>0</v>
      </c>
      <c r="F331">
        <f t="shared" si="36"/>
        <v>0</v>
      </c>
      <c r="G331">
        <f t="shared" si="41"/>
        <v>16134</v>
      </c>
      <c r="H331">
        <f t="shared" si="37"/>
        <v>15944</v>
      </c>
      <c r="I331">
        <f t="shared" si="38"/>
        <v>0</v>
      </c>
    </row>
    <row r="332" spans="1:9" x14ac:dyDescent="0.35">
      <c r="A332" s="4">
        <v>44892</v>
      </c>
      <c r="B332" s="5">
        <v>0</v>
      </c>
      <c r="C332">
        <f t="shared" si="35"/>
        <v>1</v>
      </c>
      <c r="D332">
        <f t="shared" si="39"/>
        <v>190</v>
      </c>
      <c r="E332">
        <f t="shared" si="40"/>
        <v>1</v>
      </c>
      <c r="F332">
        <f t="shared" si="36"/>
        <v>0</v>
      </c>
      <c r="G332">
        <f t="shared" si="41"/>
        <v>15944</v>
      </c>
      <c r="H332">
        <f t="shared" si="37"/>
        <v>15754</v>
      </c>
      <c r="I332">
        <f t="shared" si="38"/>
        <v>0</v>
      </c>
    </row>
    <row r="333" spans="1:9" x14ac:dyDescent="0.35">
      <c r="A333" s="6">
        <v>44893</v>
      </c>
      <c r="B333" s="7">
        <v>0</v>
      </c>
      <c r="C333">
        <f t="shared" si="35"/>
        <v>2</v>
      </c>
      <c r="D333">
        <f t="shared" si="39"/>
        <v>190</v>
      </c>
      <c r="E333">
        <f t="shared" si="40"/>
        <v>2</v>
      </c>
      <c r="F333">
        <f t="shared" si="36"/>
        <v>0</v>
      </c>
      <c r="G333">
        <f t="shared" si="41"/>
        <v>15754</v>
      </c>
      <c r="H333">
        <f t="shared" si="37"/>
        <v>15564</v>
      </c>
      <c r="I333">
        <f t="shared" si="38"/>
        <v>0</v>
      </c>
    </row>
    <row r="334" spans="1:9" x14ac:dyDescent="0.35">
      <c r="A334" s="4">
        <v>44894</v>
      </c>
      <c r="B334" s="5">
        <v>0</v>
      </c>
      <c r="C334">
        <f t="shared" si="35"/>
        <v>3</v>
      </c>
      <c r="D334">
        <f t="shared" si="39"/>
        <v>260</v>
      </c>
      <c r="E334">
        <f t="shared" si="40"/>
        <v>3</v>
      </c>
      <c r="F334">
        <f t="shared" si="36"/>
        <v>0</v>
      </c>
      <c r="G334">
        <f t="shared" si="41"/>
        <v>15564</v>
      </c>
      <c r="H334">
        <f t="shared" si="37"/>
        <v>15304</v>
      </c>
      <c r="I334">
        <f t="shared" si="38"/>
        <v>0</v>
      </c>
    </row>
    <row r="335" spans="1:9" x14ac:dyDescent="0.35">
      <c r="A335" s="6">
        <v>44895</v>
      </c>
      <c r="B335" s="7">
        <v>0</v>
      </c>
      <c r="C335">
        <f t="shared" si="35"/>
        <v>4</v>
      </c>
      <c r="D335">
        <f t="shared" si="39"/>
        <v>190</v>
      </c>
      <c r="E335">
        <f t="shared" si="40"/>
        <v>4</v>
      </c>
      <c r="F335">
        <f t="shared" si="36"/>
        <v>0</v>
      </c>
      <c r="G335">
        <f t="shared" si="41"/>
        <v>15304</v>
      </c>
      <c r="H335">
        <f t="shared" si="37"/>
        <v>15114</v>
      </c>
      <c r="I335">
        <f t="shared" si="38"/>
        <v>0</v>
      </c>
    </row>
    <row r="336" spans="1:9" x14ac:dyDescent="0.35">
      <c r="A336" s="4">
        <v>44896</v>
      </c>
      <c r="B336" s="5">
        <v>0</v>
      </c>
      <c r="C336">
        <f t="shared" si="35"/>
        <v>5</v>
      </c>
      <c r="D336">
        <f t="shared" si="39"/>
        <v>190</v>
      </c>
      <c r="E336">
        <f t="shared" si="40"/>
        <v>5</v>
      </c>
      <c r="F336">
        <f t="shared" si="36"/>
        <v>0</v>
      </c>
      <c r="G336">
        <f t="shared" si="41"/>
        <v>15114</v>
      </c>
      <c r="H336">
        <f t="shared" si="37"/>
        <v>14924</v>
      </c>
      <c r="I336">
        <f t="shared" si="38"/>
        <v>0</v>
      </c>
    </row>
    <row r="337" spans="1:9" x14ac:dyDescent="0.35">
      <c r="A337" s="6">
        <v>44897</v>
      </c>
      <c r="B337" s="7">
        <v>0</v>
      </c>
      <c r="C337">
        <f t="shared" si="35"/>
        <v>6</v>
      </c>
      <c r="D337">
        <f t="shared" si="39"/>
        <v>190</v>
      </c>
      <c r="E337">
        <f t="shared" si="40"/>
        <v>6</v>
      </c>
      <c r="F337">
        <f t="shared" si="36"/>
        <v>0</v>
      </c>
      <c r="G337">
        <f t="shared" si="41"/>
        <v>14924</v>
      </c>
      <c r="H337">
        <f t="shared" si="37"/>
        <v>14734</v>
      </c>
      <c r="I337">
        <f t="shared" si="38"/>
        <v>0</v>
      </c>
    </row>
    <row r="338" spans="1:9" x14ac:dyDescent="0.35">
      <c r="A338" s="4">
        <v>44898</v>
      </c>
      <c r="B338" s="5">
        <v>0</v>
      </c>
      <c r="C338">
        <f t="shared" si="35"/>
        <v>7</v>
      </c>
      <c r="D338">
        <f t="shared" si="39"/>
        <v>190</v>
      </c>
      <c r="E338">
        <f t="shared" si="40"/>
        <v>7</v>
      </c>
      <c r="F338">
        <f t="shared" si="36"/>
        <v>0</v>
      </c>
      <c r="G338">
        <f t="shared" si="41"/>
        <v>14734</v>
      </c>
      <c r="H338">
        <f t="shared" si="37"/>
        <v>14544</v>
      </c>
      <c r="I338">
        <f t="shared" si="38"/>
        <v>0</v>
      </c>
    </row>
    <row r="339" spans="1:9" x14ac:dyDescent="0.35">
      <c r="A339" s="6">
        <v>44899</v>
      </c>
      <c r="B339" s="7">
        <v>0</v>
      </c>
      <c r="C339">
        <f t="shared" si="35"/>
        <v>1</v>
      </c>
      <c r="D339">
        <f t="shared" si="39"/>
        <v>190</v>
      </c>
      <c r="E339">
        <f t="shared" si="40"/>
        <v>8</v>
      </c>
      <c r="F339">
        <f t="shared" si="36"/>
        <v>0</v>
      </c>
      <c r="G339">
        <f t="shared" si="41"/>
        <v>14544</v>
      </c>
      <c r="H339">
        <f t="shared" si="37"/>
        <v>14354</v>
      </c>
      <c r="I339">
        <f t="shared" si="38"/>
        <v>0</v>
      </c>
    </row>
    <row r="340" spans="1:9" x14ac:dyDescent="0.35">
      <c r="A340" s="4">
        <v>44900</v>
      </c>
      <c r="B340" s="5">
        <v>29</v>
      </c>
      <c r="C340">
        <f t="shared" si="35"/>
        <v>2</v>
      </c>
      <c r="D340">
        <f t="shared" si="39"/>
        <v>190</v>
      </c>
      <c r="E340">
        <f t="shared" si="40"/>
        <v>0</v>
      </c>
      <c r="F340">
        <f t="shared" si="36"/>
        <v>0</v>
      </c>
      <c r="G340">
        <f t="shared" si="41"/>
        <v>14383</v>
      </c>
      <c r="H340">
        <f t="shared" si="37"/>
        <v>14193</v>
      </c>
      <c r="I340">
        <f t="shared" si="38"/>
        <v>0</v>
      </c>
    </row>
    <row r="341" spans="1:9" x14ac:dyDescent="0.35">
      <c r="A341" s="6">
        <v>44901</v>
      </c>
      <c r="B341" s="7">
        <v>46</v>
      </c>
      <c r="C341">
        <f t="shared" si="35"/>
        <v>3</v>
      </c>
      <c r="D341">
        <f t="shared" si="39"/>
        <v>260</v>
      </c>
      <c r="E341">
        <f t="shared" si="40"/>
        <v>0</v>
      </c>
      <c r="F341">
        <f t="shared" si="36"/>
        <v>0</v>
      </c>
      <c r="G341">
        <f t="shared" si="41"/>
        <v>14239</v>
      </c>
      <c r="H341">
        <f t="shared" si="37"/>
        <v>13979</v>
      </c>
      <c r="I341">
        <f t="shared" si="38"/>
        <v>0</v>
      </c>
    </row>
    <row r="342" spans="1:9" x14ac:dyDescent="0.35">
      <c r="A342" s="4">
        <v>44902</v>
      </c>
      <c r="B342" s="5">
        <v>0</v>
      </c>
      <c r="C342">
        <f t="shared" si="35"/>
        <v>4</v>
      </c>
      <c r="D342">
        <f t="shared" si="39"/>
        <v>190</v>
      </c>
      <c r="E342">
        <f t="shared" si="40"/>
        <v>1</v>
      </c>
      <c r="F342">
        <f t="shared" si="36"/>
        <v>0</v>
      </c>
      <c r="G342">
        <f t="shared" si="41"/>
        <v>13979</v>
      </c>
      <c r="H342">
        <f t="shared" si="37"/>
        <v>13789</v>
      </c>
      <c r="I342">
        <f t="shared" si="38"/>
        <v>0</v>
      </c>
    </row>
    <row r="343" spans="1:9" x14ac:dyDescent="0.35">
      <c r="A343" s="6">
        <v>44903</v>
      </c>
      <c r="B343" s="7">
        <v>0</v>
      </c>
      <c r="C343">
        <f t="shared" si="35"/>
        <v>5</v>
      </c>
      <c r="D343">
        <f t="shared" si="39"/>
        <v>190</v>
      </c>
      <c r="E343">
        <f t="shared" si="40"/>
        <v>2</v>
      </c>
      <c r="F343">
        <f t="shared" si="36"/>
        <v>0</v>
      </c>
      <c r="G343">
        <f t="shared" si="41"/>
        <v>13789</v>
      </c>
      <c r="H343">
        <f t="shared" si="37"/>
        <v>13599</v>
      </c>
      <c r="I343">
        <f t="shared" si="38"/>
        <v>0</v>
      </c>
    </row>
    <row r="344" spans="1:9" x14ac:dyDescent="0.35">
      <c r="A344" s="4">
        <v>44904</v>
      </c>
      <c r="B344" s="5">
        <v>0</v>
      </c>
      <c r="C344">
        <f t="shared" si="35"/>
        <v>6</v>
      </c>
      <c r="D344">
        <f t="shared" si="39"/>
        <v>190</v>
      </c>
      <c r="E344">
        <f t="shared" si="40"/>
        <v>3</v>
      </c>
      <c r="F344">
        <f t="shared" si="36"/>
        <v>0</v>
      </c>
      <c r="G344">
        <f t="shared" si="41"/>
        <v>13599</v>
      </c>
      <c r="H344">
        <f t="shared" si="37"/>
        <v>13409</v>
      </c>
      <c r="I344">
        <f t="shared" si="38"/>
        <v>0</v>
      </c>
    </row>
    <row r="345" spans="1:9" x14ac:dyDescent="0.35">
      <c r="A345" s="6">
        <v>44905</v>
      </c>
      <c r="B345" s="7">
        <v>0</v>
      </c>
      <c r="C345">
        <f t="shared" si="35"/>
        <v>7</v>
      </c>
      <c r="D345">
        <f t="shared" si="39"/>
        <v>190</v>
      </c>
      <c r="E345">
        <f t="shared" si="40"/>
        <v>4</v>
      </c>
      <c r="F345">
        <f t="shared" si="36"/>
        <v>0</v>
      </c>
      <c r="G345">
        <f t="shared" si="41"/>
        <v>13409</v>
      </c>
      <c r="H345">
        <f t="shared" si="37"/>
        <v>13219</v>
      </c>
      <c r="I345">
        <f t="shared" si="38"/>
        <v>0</v>
      </c>
    </row>
    <row r="346" spans="1:9" x14ac:dyDescent="0.35">
      <c r="A346" s="4">
        <v>44906</v>
      </c>
      <c r="B346" s="5">
        <v>0</v>
      </c>
      <c r="C346">
        <f t="shared" si="35"/>
        <v>1</v>
      </c>
      <c r="D346">
        <f t="shared" si="39"/>
        <v>190</v>
      </c>
      <c r="E346">
        <f t="shared" si="40"/>
        <v>5</v>
      </c>
      <c r="F346">
        <f t="shared" si="36"/>
        <v>0</v>
      </c>
      <c r="G346">
        <f t="shared" si="41"/>
        <v>13219</v>
      </c>
      <c r="H346">
        <f t="shared" si="37"/>
        <v>13029</v>
      </c>
      <c r="I346">
        <f t="shared" si="38"/>
        <v>0</v>
      </c>
    </row>
    <row r="347" spans="1:9" x14ac:dyDescent="0.35">
      <c r="A347" s="6">
        <v>44907</v>
      </c>
      <c r="B347" s="7">
        <v>0</v>
      </c>
      <c r="C347">
        <f t="shared" si="35"/>
        <v>2</v>
      </c>
      <c r="D347">
        <f t="shared" si="39"/>
        <v>190</v>
      </c>
      <c r="E347">
        <f t="shared" si="40"/>
        <v>6</v>
      </c>
      <c r="F347">
        <f t="shared" si="36"/>
        <v>0</v>
      </c>
      <c r="G347">
        <f t="shared" si="41"/>
        <v>13029</v>
      </c>
      <c r="H347">
        <f t="shared" si="37"/>
        <v>12839</v>
      </c>
      <c r="I347">
        <f t="shared" si="38"/>
        <v>0</v>
      </c>
    </row>
    <row r="348" spans="1:9" x14ac:dyDescent="0.35">
      <c r="A348" s="4">
        <v>44908</v>
      </c>
      <c r="B348" s="5">
        <v>145</v>
      </c>
      <c r="C348">
        <f t="shared" si="35"/>
        <v>3</v>
      </c>
      <c r="D348">
        <f t="shared" si="39"/>
        <v>260</v>
      </c>
      <c r="E348">
        <f t="shared" si="40"/>
        <v>0</v>
      </c>
      <c r="F348">
        <f t="shared" si="36"/>
        <v>0</v>
      </c>
      <c r="G348">
        <f t="shared" si="41"/>
        <v>12984</v>
      </c>
      <c r="H348">
        <f t="shared" si="37"/>
        <v>12724</v>
      </c>
      <c r="I348">
        <f t="shared" si="38"/>
        <v>0</v>
      </c>
    </row>
    <row r="349" spans="1:9" x14ac:dyDescent="0.35">
      <c r="A349" s="6">
        <v>44909</v>
      </c>
      <c r="B349" s="7">
        <v>0</v>
      </c>
      <c r="C349">
        <f t="shared" si="35"/>
        <v>4</v>
      </c>
      <c r="D349">
        <f t="shared" si="39"/>
        <v>190</v>
      </c>
      <c r="E349">
        <f t="shared" si="40"/>
        <v>1</v>
      </c>
      <c r="F349">
        <f t="shared" si="36"/>
        <v>0</v>
      </c>
      <c r="G349">
        <f t="shared" si="41"/>
        <v>12724</v>
      </c>
      <c r="H349">
        <f t="shared" si="37"/>
        <v>12534</v>
      </c>
      <c r="I349">
        <f t="shared" si="38"/>
        <v>0</v>
      </c>
    </row>
    <row r="350" spans="1:9" x14ac:dyDescent="0.35">
      <c r="A350" s="4">
        <v>44910</v>
      </c>
      <c r="B350" s="5">
        <v>0</v>
      </c>
      <c r="C350">
        <f t="shared" si="35"/>
        <v>5</v>
      </c>
      <c r="D350">
        <f t="shared" si="39"/>
        <v>190</v>
      </c>
      <c r="E350">
        <f t="shared" si="40"/>
        <v>2</v>
      </c>
      <c r="F350">
        <f t="shared" si="36"/>
        <v>0</v>
      </c>
      <c r="G350">
        <f t="shared" si="41"/>
        <v>12534</v>
      </c>
      <c r="H350">
        <f t="shared" si="37"/>
        <v>12344</v>
      </c>
      <c r="I350">
        <f t="shared" si="38"/>
        <v>0</v>
      </c>
    </row>
    <row r="351" spans="1:9" x14ac:dyDescent="0.35">
      <c r="A351" s="6">
        <v>44911</v>
      </c>
      <c r="B351" s="7">
        <v>24</v>
      </c>
      <c r="C351">
        <f t="shared" si="35"/>
        <v>6</v>
      </c>
      <c r="D351">
        <f t="shared" si="39"/>
        <v>190</v>
      </c>
      <c r="E351">
        <f t="shared" si="40"/>
        <v>0</v>
      </c>
      <c r="F351">
        <f t="shared" si="36"/>
        <v>0</v>
      </c>
      <c r="G351">
        <f t="shared" si="41"/>
        <v>12368</v>
      </c>
      <c r="H351">
        <f t="shared" si="37"/>
        <v>12178</v>
      </c>
      <c r="I351">
        <f t="shared" si="38"/>
        <v>0</v>
      </c>
    </row>
    <row r="352" spans="1:9" x14ac:dyDescent="0.35">
      <c r="A352" s="4">
        <v>44912</v>
      </c>
      <c r="B352" s="5">
        <v>0</v>
      </c>
      <c r="C352">
        <f t="shared" si="35"/>
        <v>7</v>
      </c>
      <c r="D352">
        <f t="shared" si="39"/>
        <v>190</v>
      </c>
      <c r="E352">
        <f t="shared" si="40"/>
        <v>1</v>
      </c>
      <c r="F352">
        <f t="shared" si="36"/>
        <v>0</v>
      </c>
      <c r="G352">
        <f t="shared" si="41"/>
        <v>12178</v>
      </c>
      <c r="H352">
        <f t="shared" si="37"/>
        <v>11988</v>
      </c>
      <c r="I352">
        <f t="shared" si="38"/>
        <v>0</v>
      </c>
    </row>
    <row r="353" spans="1:9" x14ac:dyDescent="0.35">
      <c r="A353" s="6">
        <v>44913</v>
      </c>
      <c r="B353" s="7">
        <v>0</v>
      </c>
      <c r="C353">
        <f t="shared" si="35"/>
        <v>1</v>
      </c>
      <c r="D353">
        <f t="shared" si="39"/>
        <v>190</v>
      </c>
      <c r="E353">
        <f t="shared" si="40"/>
        <v>2</v>
      </c>
      <c r="F353">
        <f t="shared" si="36"/>
        <v>0</v>
      </c>
      <c r="G353">
        <f t="shared" si="41"/>
        <v>11988</v>
      </c>
      <c r="H353">
        <f t="shared" si="37"/>
        <v>11798</v>
      </c>
      <c r="I353">
        <f t="shared" si="38"/>
        <v>0</v>
      </c>
    </row>
    <row r="354" spans="1:9" x14ac:dyDescent="0.35">
      <c r="A354" s="4">
        <v>44914</v>
      </c>
      <c r="B354" s="5">
        <v>45</v>
      </c>
      <c r="C354">
        <f t="shared" si="35"/>
        <v>2</v>
      </c>
      <c r="D354">
        <f t="shared" si="39"/>
        <v>190</v>
      </c>
      <c r="E354">
        <f t="shared" si="40"/>
        <v>0</v>
      </c>
      <c r="F354">
        <f t="shared" si="36"/>
        <v>0</v>
      </c>
      <c r="G354">
        <f t="shared" si="41"/>
        <v>11843</v>
      </c>
      <c r="H354">
        <f t="shared" si="37"/>
        <v>11653</v>
      </c>
      <c r="I354">
        <f t="shared" si="38"/>
        <v>0</v>
      </c>
    </row>
    <row r="355" spans="1:9" x14ac:dyDescent="0.35">
      <c r="A355" s="6">
        <v>44915</v>
      </c>
      <c r="B355" s="7">
        <v>97</v>
      </c>
      <c r="C355">
        <f t="shared" si="35"/>
        <v>3</v>
      </c>
      <c r="D355">
        <f t="shared" si="39"/>
        <v>260</v>
      </c>
      <c r="E355">
        <f t="shared" si="40"/>
        <v>0</v>
      </c>
      <c r="F355">
        <f t="shared" si="36"/>
        <v>0</v>
      </c>
      <c r="G355">
        <f t="shared" si="41"/>
        <v>11750</v>
      </c>
      <c r="H355">
        <f t="shared" si="37"/>
        <v>11490</v>
      </c>
      <c r="I355">
        <f t="shared" si="38"/>
        <v>0</v>
      </c>
    </row>
    <row r="356" spans="1:9" x14ac:dyDescent="0.35">
      <c r="A356" s="4">
        <v>44916</v>
      </c>
      <c r="B356" s="5">
        <v>0</v>
      </c>
      <c r="C356">
        <f t="shared" si="35"/>
        <v>4</v>
      </c>
      <c r="D356">
        <f t="shared" si="39"/>
        <v>190</v>
      </c>
      <c r="E356">
        <f t="shared" si="40"/>
        <v>1</v>
      </c>
      <c r="F356">
        <f t="shared" si="36"/>
        <v>0</v>
      </c>
      <c r="G356">
        <f t="shared" si="41"/>
        <v>11490</v>
      </c>
      <c r="H356">
        <f t="shared" si="37"/>
        <v>11300</v>
      </c>
      <c r="I356">
        <f t="shared" si="38"/>
        <v>0</v>
      </c>
    </row>
    <row r="357" spans="1:9" x14ac:dyDescent="0.35">
      <c r="A357" s="6">
        <v>44917</v>
      </c>
      <c r="B357" s="7">
        <v>22</v>
      </c>
      <c r="C357">
        <f t="shared" si="35"/>
        <v>5</v>
      </c>
      <c r="D357">
        <f t="shared" si="39"/>
        <v>190</v>
      </c>
      <c r="E357">
        <f t="shared" si="40"/>
        <v>0</v>
      </c>
      <c r="F357">
        <f t="shared" si="36"/>
        <v>0</v>
      </c>
      <c r="G357">
        <f t="shared" si="41"/>
        <v>11322</v>
      </c>
      <c r="H357">
        <f t="shared" si="37"/>
        <v>11132</v>
      </c>
      <c r="I357">
        <f t="shared" si="38"/>
        <v>0</v>
      </c>
    </row>
    <row r="358" spans="1:9" x14ac:dyDescent="0.35">
      <c r="A358" s="4">
        <v>44918</v>
      </c>
      <c r="B358" s="5">
        <v>0</v>
      </c>
      <c r="C358">
        <f t="shared" si="35"/>
        <v>6</v>
      </c>
      <c r="D358">
        <f t="shared" si="39"/>
        <v>190</v>
      </c>
      <c r="E358">
        <f t="shared" si="40"/>
        <v>1</v>
      </c>
      <c r="F358">
        <f t="shared" si="36"/>
        <v>0</v>
      </c>
      <c r="G358">
        <f t="shared" si="41"/>
        <v>11132</v>
      </c>
      <c r="H358">
        <f t="shared" si="37"/>
        <v>10942</v>
      </c>
      <c r="I358">
        <f t="shared" si="38"/>
        <v>0</v>
      </c>
    </row>
    <row r="359" spans="1:9" x14ac:dyDescent="0.35">
      <c r="A359" s="6">
        <v>44919</v>
      </c>
      <c r="B359" s="7">
        <v>0</v>
      </c>
      <c r="C359">
        <f t="shared" si="35"/>
        <v>7</v>
      </c>
      <c r="D359">
        <f t="shared" si="39"/>
        <v>190</v>
      </c>
      <c r="E359">
        <f t="shared" si="40"/>
        <v>2</v>
      </c>
      <c r="F359">
        <f t="shared" si="36"/>
        <v>0</v>
      </c>
      <c r="G359">
        <f t="shared" si="41"/>
        <v>10942</v>
      </c>
      <c r="H359">
        <f t="shared" si="37"/>
        <v>10752</v>
      </c>
      <c r="I359">
        <f t="shared" si="38"/>
        <v>0</v>
      </c>
    </row>
    <row r="360" spans="1:9" x14ac:dyDescent="0.35">
      <c r="A360" s="4">
        <v>44920</v>
      </c>
      <c r="B360" s="5">
        <v>0</v>
      </c>
      <c r="C360">
        <f t="shared" si="35"/>
        <v>1</v>
      </c>
      <c r="D360">
        <f t="shared" si="39"/>
        <v>190</v>
      </c>
      <c r="E360">
        <f t="shared" si="40"/>
        <v>3</v>
      </c>
      <c r="F360">
        <f t="shared" si="36"/>
        <v>0</v>
      </c>
      <c r="G360">
        <f t="shared" si="41"/>
        <v>10752</v>
      </c>
      <c r="H360">
        <f t="shared" si="37"/>
        <v>10562</v>
      </c>
      <c r="I360">
        <f t="shared" si="38"/>
        <v>0</v>
      </c>
    </row>
    <row r="361" spans="1:9" x14ac:dyDescent="0.35">
      <c r="A361" s="6">
        <v>44921</v>
      </c>
      <c r="B361" s="7">
        <v>135</v>
      </c>
      <c r="C361">
        <f t="shared" si="35"/>
        <v>2</v>
      </c>
      <c r="D361">
        <f t="shared" si="39"/>
        <v>190</v>
      </c>
      <c r="E361">
        <f t="shared" si="40"/>
        <v>0</v>
      </c>
      <c r="F361">
        <f t="shared" si="36"/>
        <v>0</v>
      </c>
      <c r="G361">
        <f t="shared" si="41"/>
        <v>10697</v>
      </c>
      <c r="H361">
        <f t="shared" si="37"/>
        <v>10507</v>
      </c>
      <c r="I361">
        <f t="shared" si="38"/>
        <v>0</v>
      </c>
    </row>
    <row r="362" spans="1:9" x14ac:dyDescent="0.35">
      <c r="A362" s="4">
        <v>44922</v>
      </c>
      <c r="B362" s="5">
        <v>0</v>
      </c>
      <c r="C362">
        <f t="shared" si="35"/>
        <v>3</v>
      </c>
      <c r="D362">
        <f t="shared" si="39"/>
        <v>260</v>
      </c>
      <c r="E362">
        <f t="shared" si="40"/>
        <v>1</v>
      </c>
      <c r="F362">
        <f t="shared" si="36"/>
        <v>0</v>
      </c>
      <c r="G362">
        <f t="shared" si="41"/>
        <v>10507</v>
      </c>
      <c r="H362">
        <f t="shared" si="37"/>
        <v>10247</v>
      </c>
      <c r="I362">
        <f t="shared" si="38"/>
        <v>0</v>
      </c>
    </row>
    <row r="363" spans="1:9" x14ac:dyDescent="0.35">
      <c r="A363" s="6">
        <v>44923</v>
      </c>
      <c r="B363" s="7">
        <v>153</v>
      </c>
      <c r="C363">
        <f t="shared" si="35"/>
        <v>4</v>
      </c>
      <c r="D363">
        <f t="shared" si="39"/>
        <v>190</v>
      </c>
      <c r="E363">
        <f t="shared" si="40"/>
        <v>0</v>
      </c>
      <c r="F363">
        <f t="shared" si="36"/>
        <v>0</v>
      </c>
      <c r="G363">
        <f t="shared" si="41"/>
        <v>10400</v>
      </c>
      <c r="H363">
        <f t="shared" si="37"/>
        <v>10210</v>
      </c>
      <c r="I363">
        <f t="shared" si="38"/>
        <v>0</v>
      </c>
    </row>
    <row r="364" spans="1:9" x14ac:dyDescent="0.35">
      <c r="A364" s="4">
        <v>44924</v>
      </c>
      <c r="B364" s="5">
        <v>0</v>
      </c>
      <c r="C364">
        <f t="shared" si="35"/>
        <v>5</v>
      </c>
      <c r="D364">
        <f t="shared" si="39"/>
        <v>190</v>
      </c>
      <c r="E364">
        <f t="shared" si="40"/>
        <v>1</v>
      </c>
      <c r="F364">
        <f t="shared" si="36"/>
        <v>0</v>
      </c>
      <c r="G364">
        <f t="shared" si="41"/>
        <v>10210</v>
      </c>
      <c r="H364">
        <f t="shared" si="37"/>
        <v>10020</v>
      </c>
      <c r="I364">
        <f t="shared" si="38"/>
        <v>0</v>
      </c>
    </row>
    <row r="365" spans="1:9" x14ac:dyDescent="0.35">
      <c r="A365" s="6">
        <v>44925</v>
      </c>
      <c r="B365" s="7">
        <v>0</v>
      </c>
      <c r="C365">
        <f t="shared" si="35"/>
        <v>6</v>
      </c>
      <c r="D365">
        <f t="shared" si="39"/>
        <v>190</v>
      </c>
      <c r="E365">
        <f t="shared" si="40"/>
        <v>2</v>
      </c>
      <c r="F365">
        <f t="shared" si="36"/>
        <v>0</v>
      </c>
      <c r="G365">
        <f t="shared" si="41"/>
        <v>10020</v>
      </c>
      <c r="H365">
        <f t="shared" si="37"/>
        <v>9830</v>
      </c>
      <c r="I365">
        <f t="shared" si="38"/>
        <v>0</v>
      </c>
    </row>
    <row r="366" spans="1:9" x14ac:dyDescent="0.35">
      <c r="A366" s="8">
        <v>44926</v>
      </c>
      <c r="B366" s="1">
        <v>144</v>
      </c>
      <c r="C366">
        <f t="shared" si="35"/>
        <v>7</v>
      </c>
      <c r="D366">
        <f t="shared" si="39"/>
        <v>190</v>
      </c>
      <c r="E366">
        <f t="shared" si="40"/>
        <v>0</v>
      </c>
      <c r="F366">
        <f t="shared" si="36"/>
        <v>0</v>
      </c>
      <c r="G366">
        <f t="shared" si="41"/>
        <v>9974</v>
      </c>
      <c r="H366">
        <f t="shared" si="37"/>
        <v>9784</v>
      </c>
      <c r="I366">
        <f t="shared" si="38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5FEE8-E12B-47E7-8BCD-AE1AC3A0A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4.1</vt:lpstr>
      <vt:lpstr>4.2</vt:lpstr>
      <vt:lpstr>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2025-10-12T17:17:36Z</dcterms:created>
  <dcterms:modified xsi:type="dcterms:W3CDTF">2025-10-13T09:10:07Z</dcterms:modified>
</cp:coreProperties>
</file>