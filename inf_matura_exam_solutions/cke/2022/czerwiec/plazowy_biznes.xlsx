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2\czerwiec\"/>
    </mc:Choice>
  </mc:AlternateContent>
  <xr:revisionPtr revIDLastSave="0" documentId="13_ncr:1_{C2184784-73B4-4E1C-A81A-F3015443BD9E}" xr6:coauthVersionLast="47" xr6:coauthVersionMax="47" xr10:uidLastSave="{00000000-0000-0000-0000-000000000000}"/>
  <bookViews>
    <workbookView xWindow="-110" yWindow="-110" windowWidth="19420" windowHeight="10300" activeTab="3" xr2:uid="{FF567B99-8E4D-4CCE-986A-8BD849EA791C}"/>
  </bookViews>
  <sheets>
    <sheet name="dane" sheetId="2" r:id="rId1"/>
    <sheet name="5.1" sheetId="3" r:id="rId2"/>
    <sheet name="5.2" sheetId="4" r:id="rId3"/>
    <sheet name="5.3" sheetId="6" r:id="rId4"/>
  </sheets>
  <definedNames>
    <definedName name="_xlnm._FilterDatabase" localSheetId="1" hidden="1">'5.1'!$A$1:$D$93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8" i="6" l="1"/>
  <c r="G119" i="6"/>
  <c r="G120" i="6"/>
  <c r="G121" i="6"/>
  <c r="G122" i="6"/>
  <c r="G123" i="6"/>
  <c r="G117" i="6"/>
  <c r="H118" i="6"/>
  <c r="H119" i="6"/>
  <c r="H120" i="6"/>
  <c r="H121" i="6"/>
  <c r="H122" i="6"/>
  <c r="H123" i="6"/>
  <c r="H117" i="6"/>
  <c r="H116" i="6"/>
  <c r="I117" i="6"/>
  <c r="I118" i="6"/>
  <c r="I119" i="6"/>
  <c r="I120" i="6"/>
  <c r="I121" i="6"/>
  <c r="I122" i="6"/>
  <c r="I123" i="6"/>
  <c r="I116" i="6"/>
  <c r="J117" i="6"/>
  <c r="G116" i="6"/>
  <c r="K94" i="6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B97" i="6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96" i="6"/>
  <c r="C95" i="6"/>
  <c r="G95" i="6"/>
  <c r="D95" i="6"/>
  <c r="H95" i="6" s="1"/>
  <c r="E95" i="6"/>
  <c r="I95" i="6"/>
  <c r="C94" i="6"/>
  <c r="G94" i="6"/>
  <c r="J94" i="6" s="1"/>
  <c r="D94" i="6"/>
  <c r="H94" i="6"/>
  <c r="E94" i="6"/>
  <c r="I94" i="6" s="1"/>
  <c r="K4" i="6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3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I2" i="6"/>
  <c r="H2" i="6"/>
  <c r="G2" i="6"/>
  <c r="F93" i="6"/>
  <c r="E93" i="6"/>
  <c r="D93" i="6"/>
  <c r="C93" i="6"/>
  <c r="F92" i="6"/>
  <c r="E92" i="6"/>
  <c r="D92" i="6"/>
  <c r="C92" i="6"/>
  <c r="F91" i="6"/>
  <c r="E91" i="6"/>
  <c r="D91" i="6"/>
  <c r="C91" i="6"/>
  <c r="F90" i="6"/>
  <c r="E90" i="6"/>
  <c r="D90" i="6"/>
  <c r="C90" i="6"/>
  <c r="F89" i="6"/>
  <c r="E89" i="6"/>
  <c r="D89" i="6"/>
  <c r="C89" i="6"/>
  <c r="F88" i="6"/>
  <c r="E88" i="6"/>
  <c r="D88" i="6"/>
  <c r="C88" i="6"/>
  <c r="F87" i="6"/>
  <c r="E87" i="6"/>
  <c r="D87" i="6"/>
  <c r="C87" i="6"/>
  <c r="F86" i="6"/>
  <c r="E86" i="6"/>
  <c r="D86" i="6"/>
  <c r="C86" i="6"/>
  <c r="F85" i="6"/>
  <c r="E85" i="6"/>
  <c r="D85" i="6"/>
  <c r="C85" i="6"/>
  <c r="F84" i="6"/>
  <c r="E84" i="6"/>
  <c r="D84" i="6"/>
  <c r="C84" i="6"/>
  <c r="F83" i="6"/>
  <c r="E83" i="6"/>
  <c r="D83" i="6"/>
  <c r="C83" i="6"/>
  <c r="F82" i="6"/>
  <c r="E82" i="6"/>
  <c r="D82" i="6"/>
  <c r="C82" i="6"/>
  <c r="F81" i="6"/>
  <c r="E81" i="6"/>
  <c r="D81" i="6"/>
  <c r="C81" i="6"/>
  <c r="F80" i="6"/>
  <c r="E80" i="6"/>
  <c r="D80" i="6"/>
  <c r="C80" i="6"/>
  <c r="F79" i="6"/>
  <c r="E79" i="6"/>
  <c r="D79" i="6"/>
  <c r="C79" i="6"/>
  <c r="F78" i="6"/>
  <c r="E78" i="6"/>
  <c r="D78" i="6"/>
  <c r="C78" i="6"/>
  <c r="F77" i="6"/>
  <c r="E77" i="6"/>
  <c r="D77" i="6"/>
  <c r="C77" i="6"/>
  <c r="F76" i="6"/>
  <c r="E76" i="6"/>
  <c r="D76" i="6"/>
  <c r="C76" i="6"/>
  <c r="F75" i="6"/>
  <c r="E75" i="6"/>
  <c r="D75" i="6"/>
  <c r="C75" i="6"/>
  <c r="F74" i="6"/>
  <c r="E74" i="6"/>
  <c r="D74" i="6"/>
  <c r="C74" i="6"/>
  <c r="F73" i="6"/>
  <c r="E73" i="6"/>
  <c r="D73" i="6"/>
  <c r="C73" i="6"/>
  <c r="F72" i="6"/>
  <c r="E72" i="6"/>
  <c r="D72" i="6"/>
  <c r="C72" i="6"/>
  <c r="F71" i="6"/>
  <c r="E71" i="6"/>
  <c r="D71" i="6"/>
  <c r="C71" i="6"/>
  <c r="F70" i="6"/>
  <c r="E70" i="6"/>
  <c r="D70" i="6"/>
  <c r="C70" i="6"/>
  <c r="F69" i="6"/>
  <c r="E69" i="6"/>
  <c r="D69" i="6"/>
  <c r="C69" i="6"/>
  <c r="F68" i="6"/>
  <c r="E68" i="6"/>
  <c r="D68" i="6"/>
  <c r="C68" i="6"/>
  <c r="F67" i="6"/>
  <c r="E67" i="6"/>
  <c r="D67" i="6"/>
  <c r="C67" i="6"/>
  <c r="F66" i="6"/>
  <c r="E66" i="6"/>
  <c r="D66" i="6"/>
  <c r="C66" i="6"/>
  <c r="F65" i="6"/>
  <c r="E65" i="6"/>
  <c r="D65" i="6"/>
  <c r="C65" i="6"/>
  <c r="F64" i="6"/>
  <c r="E64" i="6"/>
  <c r="D64" i="6"/>
  <c r="C64" i="6"/>
  <c r="F63" i="6"/>
  <c r="E63" i="6"/>
  <c r="D63" i="6"/>
  <c r="C63" i="6"/>
  <c r="F62" i="6"/>
  <c r="E62" i="6"/>
  <c r="D62" i="6"/>
  <c r="C62" i="6"/>
  <c r="F61" i="6"/>
  <c r="E61" i="6"/>
  <c r="D61" i="6"/>
  <c r="C61" i="6"/>
  <c r="F60" i="6"/>
  <c r="E60" i="6"/>
  <c r="D60" i="6"/>
  <c r="C60" i="6"/>
  <c r="F59" i="6"/>
  <c r="E59" i="6"/>
  <c r="D59" i="6"/>
  <c r="C59" i="6"/>
  <c r="F58" i="6"/>
  <c r="E58" i="6"/>
  <c r="D58" i="6"/>
  <c r="C58" i="6"/>
  <c r="F57" i="6"/>
  <c r="E57" i="6"/>
  <c r="D57" i="6"/>
  <c r="C57" i="6"/>
  <c r="F56" i="6"/>
  <c r="E56" i="6"/>
  <c r="D56" i="6"/>
  <c r="C56" i="6"/>
  <c r="F55" i="6"/>
  <c r="E55" i="6"/>
  <c r="D55" i="6"/>
  <c r="C55" i="6"/>
  <c r="F54" i="6"/>
  <c r="E54" i="6"/>
  <c r="D54" i="6"/>
  <c r="C54" i="6"/>
  <c r="F53" i="6"/>
  <c r="E53" i="6"/>
  <c r="D53" i="6"/>
  <c r="C53" i="6"/>
  <c r="F52" i="6"/>
  <c r="E52" i="6"/>
  <c r="D52" i="6"/>
  <c r="C52" i="6"/>
  <c r="F51" i="6"/>
  <c r="E51" i="6"/>
  <c r="D51" i="6"/>
  <c r="C51" i="6"/>
  <c r="F50" i="6"/>
  <c r="E50" i="6"/>
  <c r="D50" i="6"/>
  <c r="C50" i="6"/>
  <c r="F49" i="6"/>
  <c r="E49" i="6"/>
  <c r="D49" i="6"/>
  <c r="C49" i="6"/>
  <c r="F48" i="6"/>
  <c r="E48" i="6"/>
  <c r="D48" i="6"/>
  <c r="C48" i="6"/>
  <c r="F47" i="6"/>
  <c r="E47" i="6"/>
  <c r="D47" i="6"/>
  <c r="C47" i="6"/>
  <c r="F46" i="6"/>
  <c r="E46" i="6"/>
  <c r="D46" i="6"/>
  <c r="C46" i="6"/>
  <c r="F45" i="6"/>
  <c r="E45" i="6"/>
  <c r="D45" i="6"/>
  <c r="C45" i="6"/>
  <c r="F44" i="6"/>
  <c r="E44" i="6"/>
  <c r="D44" i="6"/>
  <c r="C44" i="6"/>
  <c r="F43" i="6"/>
  <c r="E43" i="6"/>
  <c r="D43" i="6"/>
  <c r="C43" i="6"/>
  <c r="F42" i="6"/>
  <c r="E42" i="6"/>
  <c r="D42" i="6"/>
  <c r="C42" i="6"/>
  <c r="F41" i="6"/>
  <c r="E41" i="6"/>
  <c r="D41" i="6"/>
  <c r="C41" i="6"/>
  <c r="F40" i="6"/>
  <c r="E40" i="6"/>
  <c r="D40" i="6"/>
  <c r="C40" i="6"/>
  <c r="F39" i="6"/>
  <c r="E39" i="6"/>
  <c r="D39" i="6"/>
  <c r="C39" i="6"/>
  <c r="F38" i="6"/>
  <c r="E38" i="6"/>
  <c r="D38" i="6"/>
  <c r="C38" i="6"/>
  <c r="F37" i="6"/>
  <c r="E37" i="6"/>
  <c r="D37" i="6"/>
  <c r="C37" i="6"/>
  <c r="F36" i="6"/>
  <c r="E36" i="6"/>
  <c r="D36" i="6"/>
  <c r="C36" i="6"/>
  <c r="F35" i="6"/>
  <c r="E35" i="6"/>
  <c r="D35" i="6"/>
  <c r="C35" i="6"/>
  <c r="F34" i="6"/>
  <c r="E34" i="6"/>
  <c r="D34" i="6"/>
  <c r="C34" i="6"/>
  <c r="F33" i="6"/>
  <c r="E33" i="6"/>
  <c r="D33" i="6"/>
  <c r="C33" i="6"/>
  <c r="F32" i="6"/>
  <c r="E32" i="6"/>
  <c r="D32" i="6"/>
  <c r="C32" i="6"/>
  <c r="F31" i="6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7" i="6"/>
  <c r="E27" i="6"/>
  <c r="D27" i="6"/>
  <c r="C27" i="6"/>
  <c r="F26" i="6"/>
  <c r="E26" i="6"/>
  <c r="D26" i="6"/>
  <c r="C26" i="6"/>
  <c r="F25" i="6"/>
  <c r="E25" i="6"/>
  <c r="D25" i="6"/>
  <c r="C25" i="6"/>
  <c r="F24" i="6"/>
  <c r="E24" i="6"/>
  <c r="D24" i="6"/>
  <c r="C24" i="6"/>
  <c r="F23" i="6"/>
  <c r="E23" i="6"/>
  <c r="D23" i="6"/>
  <c r="C23" i="6"/>
  <c r="F22" i="6"/>
  <c r="E22" i="6"/>
  <c r="D22" i="6"/>
  <c r="C22" i="6"/>
  <c r="F21" i="6"/>
  <c r="E21" i="6"/>
  <c r="D21" i="6"/>
  <c r="C21" i="6"/>
  <c r="F20" i="6"/>
  <c r="E20" i="6"/>
  <c r="D20" i="6"/>
  <c r="C20" i="6"/>
  <c r="F19" i="6"/>
  <c r="E19" i="6"/>
  <c r="D19" i="6"/>
  <c r="C19" i="6"/>
  <c r="F18" i="6"/>
  <c r="E18" i="6"/>
  <c r="D18" i="6"/>
  <c r="C18" i="6"/>
  <c r="F17" i="6"/>
  <c r="E17" i="6"/>
  <c r="D17" i="6"/>
  <c r="C17" i="6"/>
  <c r="F16" i="6"/>
  <c r="E16" i="6"/>
  <c r="D16" i="6"/>
  <c r="C16" i="6"/>
  <c r="F15" i="6"/>
  <c r="E15" i="6"/>
  <c r="D15" i="6"/>
  <c r="C15" i="6"/>
  <c r="F14" i="6"/>
  <c r="E14" i="6"/>
  <c r="D14" i="6"/>
  <c r="C14" i="6"/>
  <c r="F13" i="6"/>
  <c r="E13" i="6"/>
  <c r="D13" i="6"/>
  <c r="C13" i="6"/>
  <c r="F12" i="6"/>
  <c r="E12" i="6"/>
  <c r="D12" i="6"/>
  <c r="C12" i="6"/>
  <c r="F11" i="6"/>
  <c r="E11" i="6"/>
  <c r="D11" i="6"/>
  <c r="C11" i="6"/>
  <c r="F10" i="6"/>
  <c r="E10" i="6"/>
  <c r="D10" i="6"/>
  <c r="C10" i="6"/>
  <c r="F9" i="6"/>
  <c r="E9" i="6"/>
  <c r="D9" i="6"/>
  <c r="C9" i="6"/>
  <c r="F8" i="6"/>
  <c r="E8" i="6"/>
  <c r="D8" i="6"/>
  <c r="C8" i="6"/>
  <c r="F7" i="6"/>
  <c r="E7" i="6"/>
  <c r="D7" i="6"/>
  <c r="C7" i="6"/>
  <c r="F6" i="6"/>
  <c r="E6" i="6"/>
  <c r="D6" i="6"/>
  <c r="C6" i="6"/>
  <c r="F5" i="6"/>
  <c r="E5" i="6"/>
  <c r="D5" i="6"/>
  <c r="C5" i="6"/>
  <c r="F4" i="6"/>
  <c r="E4" i="6"/>
  <c r="D4" i="6"/>
  <c r="C4" i="6"/>
  <c r="F3" i="6"/>
  <c r="E3" i="6"/>
  <c r="D3" i="6"/>
  <c r="C3" i="6"/>
  <c r="F2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D45" i="3"/>
  <c r="D67" i="3"/>
  <c r="C3" i="3"/>
  <c r="D3" i="3" s="1"/>
  <c r="D4" i="3" s="1"/>
  <c r="D5" i="3" s="1"/>
  <c r="D6" i="3" s="1"/>
  <c r="D7" i="3" s="1"/>
  <c r="C4" i="3"/>
  <c r="C5" i="3"/>
  <c r="C6" i="3"/>
  <c r="C7" i="3"/>
  <c r="C8" i="3"/>
  <c r="C9" i="3"/>
  <c r="C10" i="3"/>
  <c r="C11" i="3"/>
  <c r="C12" i="3"/>
  <c r="D12" i="3" s="1"/>
  <c r="C13" i="3"/>
  <c r="D13" i="3" s="1"/>
  <c r="C14" i="3"/>
  <c r="D14" i="3" s="1"/>
  <c r="D15" i="3" s="1"/>
  <c r="C15" i="3"/>
  <c r="C16" i="3"/>
  <c r="C17" i="3"/>
  <c r="C18" i="3"/>
  <c r="D18" i="3" s="1"/>
  <c r="C19" i="3"/>
  <c r="D19" i="3" s="1"/>
  <c r="C20" i="3"/>
  <c r="C21" i="3"/>
  <c r="C22" i="3"/>
  <c r="C23" i="3"/>
  <c r="C24" i="3"/>
  <c r="C25" i="3"/>
  <c r="C26" i="3"/>
  <c r="C27" i="3"/>
  <c r="C28" i="3"/>
  <c r="C29" i="3"/>
  <c r="D29" i="3" s="1"/>
  <c r="C30" i="3"/>
  <c r="C31" i="3"/>
  <c r="C32" i="3"/>
  <c r="C33" i="3"/>
  <c r="C34" i="3"/>
  <c r="C35" i="3"/>
  <c r="C36" i="3"/>
  <c r="C37" i="3"/>
  <c r="D37" i="3" s="1"/>
  <c r="C38" i="3"/>
  <c r="D38" i="3" s="1"/>
  <c r="D39" i="3" s="1"/>
  <c r="C39" i="3"/>
  <c r="C40" i="3"/>
  <c r="D40" i="3" s="1"/>
  <c r="C41" i="3"/>
  <c r="C42" i="3"/>
  <c r="C43" i="3"/>
  <c r="C44" i="3"/>
  <c r="C45" i="3"/>
  <c r="C46" i="3"/>
  <c r="D46" i="3" s="1"/>
  <c r="C47" i="3"/>
  <c r="C48" i="3"/>
  <c r="C49" i="3"/>
  <c r="D49" i="3" s="1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D64" i="3" s="1"/>
  <c r="D65" i="3" s="1"/>
  <c r="D66" i="3" s="1"/>
  <c r="C65" i="3"/>
  <c r="C66" i="3"/>
  <c r="C67" i="3"/>
  <c r="C68" i="3"/>
  <c r="C69" i="3"/>
  <c r="C70" i="3"/>
  <c r="C71" i="3"/>
  <c r="D71" i="3" s="1"/>
  <c r="C72" i="3"/>
  <c r="D72" i="3" s="1"/>
  <c r="C73" i="3"/>
  <c r="D73" i="3" s="1"/>
  <c r="C74" i="3"/>
  <c r="D74" i="3" s="1"/>
  <c r="C75" i="3"/>
  <c r="C76" i="3"/>
  <c r="C77" i="3"/>
  <c r="D77" i="3" s="1"/>
  <c r="C78" i="3"/>
  <c r="D78" i="3" s="1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2" i="3"/>
  <c r="J123" i="6" l="1"/>
  <c r="J119" i="6"/>
  <c r="J121" i="6"/>
  <c r="J116" i="6"/>
  <c r="K116" i="6" s="1"/>
  <c r="K117" i="6" s="1"/>
  <c r="J120" i="6"/>
  <c r="J118" i="6"/>
  <c r="J122" i="6"/>
  <c r="J95" i="6"/>
  <c r="D16" i="3"/>
  <c r="D17" i="3" s="1"/>
  <c r="D79" i="3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68" i="3"/>
  <c r="D69" i="3" s="1"/>
  <c r="D70" i="3" s="1"/>
  <c r="D8" i="3"/>
  <c r="D9" i="3" s="1"/>
  <c r="D10" i="3" s="1"/>
  <c r="D11" i="3" s="1"/>
  <c r="D50" i="3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41" i="3"/>
  <c r="D42" i="3" s="1"/>
  <c r="D43" i="3" s="1"/>
  <c r="D44" i="3" s="1"/>
  <c r="D30" i="3"/>
  <c r="D31" i="3" s="1"/>
  <c r="D32" i="3" s="1"/>
  <c r="D33" i="3" s="1"/>
  <c r="D34" i="3" s="1"/>
  <c r="D35" i="3" s="1"/>
  <c r="D36" i="3" s="1"/>
  <c r="D75" i="3"/>
  <c r="D76" i="3" s="1"/>
  <c r="D47" i="3"/>
  <c r="D48" i="3" s="1"/>
  <c r="D20" i="3"/>
  <c r="D21" i="3" s="1"/>
  <c r="D22" i="3" s="1"/>
  <c r="D23" i="3" s="1"/>
  <c r="D24" i="3" s="1"/>
  <c r="D25" i="3" s="1"/>
  <c r="D26" i="3" s="1"/>
  <c r="D27" i="3" s="1"/>
  <c r="D28" i="3" s="1"/>
  <c r="K118" i="6" l="1"/>
  <c r="K119" i="6" s="1"/>
  <c r="K120" i="6" s="1"/>
  <c r="K121" i="6" s="1"/>
  <c r="K122" i="6" s="1"/>
  <c r="K123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65B120-0B69-44C5-BC0B-D3C9D5D8B942}" keepAlive="1" name="Zapytanie — temperatury" description="Połączenie z zapytaniem „temperatury” w skoroszycie." type="5" refreshedVersion="0" background="1">
    <dbPr connection="Provider=Microsoft.Mashup.OleDb.1;Data Source=$Workbook$;Location=temperatury;Extended Properties=&quot;&quot;" command="SELECT * FROM [temperatury]"/>
  </connection>
</connections>
</file>

<file path=xl/sharedStrings.xml><?xml version="1.0" encoding="utf-8"?>
<sst xmlns="http://schemas.openxmlformats.org/spreadsheetml/2006/main" count="37" uniqueCount="21">
  <si>
    <t>data</t>
  </si>
  <si>
    <t>temperatura</t>
  </si>
  <si>
    <t>czy dzien cieply</t>
  </si>
  <si>
    <t>ile pod rzad</t>
  </si>
  <si>
    <t>lody</t>
  </si>
  <si>
    <t>kukurydza</t>
  </si>
  <si>
    <t>hotdogi</t>
  </si>
  <si>
    <t>miesiac</t>
  </si>
  <si>
    <t>Etykiety wierszy</t>
  </si>
  <si>
    <t>Suma końcowa</t>
  </si>
  <si>
    <t>Suma z hotdogi</t>
  </si>
  <si>
    <t>Suma z lody</t>
  </si>
  <si>
    <t>Suma z kukurydza</t>
  </si>
  <si>
    <t>czerwiec</t>
  </si>
  <si>
    <t>lipiec</t>
  </si>
  <si>
    <t>sierpień</t>
  </si>
  <si>
    <t>utarg lody</t>
  </si>
  <si>
    <t>utarg kukurydza</t>
  </si>
  <si>
    <t>utarg hotdogi</t>
  </si>
  <si>
    <t>utarg laczny</t>
  </si>
  <si>
    <t xml:space="preserve">utarg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</si>
</sst>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14" fontId="0" fillId="3" borderId="3" xfId="0" applyNumberFormat="1" applyFill="1" applyBorder="1"/>
    <xf numFmtId="0" fontId="0" fillId="3" borderId="4" xfId="0" applyFill="1" applyBorder="1"/>
    <xf numFmtId="14" fontId="0" fillId="0" borderId="3" xfId="0" applyNumberFormat="1" applyBorder="1"/>
    <xf numFmtId="0" fontId="0" fillId="0" borderId="4" xfId="0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5" xfId="0" applyFill="1" applyBorder="1"/>
    <xf numFmtId="0" fontId="0" fillId="0" borderId="5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liczby sprzedanych</a:t>
            </a:r>
            <a:r>
              <a:rPr lang="pl-PL" baseline="0"/>
              <a:t> produktów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'5.2'!$M$4</c:f>
              <c:strCache>
                <c:ptCount val="1"/>
                <c:pt idx="0">
                  <c:v>lody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'5.2'!$L$5:$L$7</c:f>
              <c:strCache>
                <c:ptCount val="3"/>
                <c:pt idx="0">
                  <c:v>czerwiec</c:v>
                </c:pt>
                <c:pt idx="1">
                  <c:v>lipiec</c:v>
                </c:pt>
                <c:pt idx="2">
                  <c:v>sierpień</c:v>
                </c:pt>
              </c:strCache>
            </c:strRef>
          </c:cat>
          <c:val>
            <c:numRef>
              <c:f>'5.2'!$M$5:$M$7</c:f>
              <c:numCache>
                <c:formatCode>General</c:formatCode>
                <c:ptCount val="3"/>
                <c:pt idx="0">
                  <c:v>3527</c:v>
                </c:pt>
                <c:pt idx="1">
                  <c:v>3675</c:v>
                </c:pt>
                <c:pt idx="2">
                  <c:v>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D-4966-96BA-90E2D4852B64}"/>
            </c:ext>
          </c:extLst>
        </c:ser>
        <c:ser>
          <c:idx val="1"/>
          <c:order val="1"/>
          <c:tx>
            <c:strRef>
              <c:f>'5.2'!$N$4</c:f>
              <c:strCache>
                <c:ptCount val="1"/>
                <c:pt idx="0">
                  <c:v>kukurydza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'5.2'!$L$5:$L$7</c:f>
              <c:strCache>
                <c:ptCount val="3"/>
                <c:pt idx="0">
                  <c:v>czerwiec</c:v>
                </c:pt>
                <c:pt idx="1">
                  <c:v>lipiec</c:v>
                </c:pt>
                <c:pt idx="2">
                  <c:v>sierpień</c:v>
                </c:pt>
              </c:strCache>
            </c:strRef>
          </c:cat>
          <c:val>
            <c:numRef>
              <c:f>'5.2'!$N$5:$N$7</c:f>
              <c:numCache>
                <c:formatCode>General</c:formatCode>
                <c:ptCount val="3"/>
                <c:pt idx="0">
                  <c:v>2355</c:v>
                </c:pt>
                <c:pt idx="1">
                  <c:v>2448</c:v>
                </c:pt>
                <c:pt idx="2">
                  <c:v>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D-4966-96BA-90E2D4852B64}"/>
            </c:ext>
          </c:extLst>
        </c:ser>
        <c:ser>
          <c:idx val="2"/>
          <c:order val="2"/>
          <c:tx>
            <c:strRef>
              <c:f>'5.2'!$O$4</c:f>
              <c:strCache>
                <c:ptCount val="1"/>
                <c:pt idx="0">
                  <c:v>hotdogi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'5.2'!$L$5:$L$7</c:f>
              <c:strCache>
                <c:ptCount val="3"/>
                <c:pt idx="0">
                  <c:v>czerwiec</c:v>
                </c:pt>
                <c:pt idx="1">
                  <c:v>lipiec</c:v>
                </c:pt>
                <c:pt idx="2">
                  <c:v>sierpień</c:v>
                </c:pt>
              </c:strCache>
            </c:strRef>
          </c:cat>
          <c:val>
            <c:numRef>
              <c:f>'5.2'!$O$5:$O$7</c:f>
              <c:numCache>
                <c:formatCode>General</c:formatCode>
                <c:ptCount val="3"/>
                <c:pt idx="0">
                  <c:v>2639</c:v>
                </c:pt>
                <c:pt idx="1">
                  <c:v>2747</c:v>
                </c:pt>
                <c:pt idx="2">
                  <c:v>2665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2D-4966-96BA-90E2D4852B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0194624"/>
        <c:axId val="570196784"/>
      </c:barChart>
      <c:catAx>
        <c:axId val="570194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0196784"/>
        <c:crosses val="autoZero"/>
        <c:auto val="1"/>
        <c:lblAlgn val="ctr"/>
        <c:lblOffset val="100"/>
        <c:noMultiLvlLbl val="0"/>
      </c:catAx>
      <c:valAx>
        <c:axId val="5701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produktu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019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1</xdr:row>
      <xdr:rowOff>155575</xdr:rowOff>
    </xdr:from>
    <xdr:to>
      <xdr:col>12</xdr:col>
      <xdr:colOff>466725</xdr:colOff>
      <xdr:row>16</xdr:row>
      <xdr:rowOff>136525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D0B94FD-1F2A-A2B6-FCA3-0C8ECFB51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7.608800810187" createdVersion="8" refreshedVersion="8" minRefreshableVersion="3" recordCount="92" xr:uid="{22F74726-CA41-4AB1-BFFA-EE088CAC8E21}">
  <cacheSource type="worksheet">
    <worksheetSource ref="A1:F93" sheet="5.2"/>
  </cacheSource>
  <cacheFields count="6">
    <cacheField name="data" numFmtId="14">
      <sharedItems containsSemiMixedTypes="0" containsNonDate="0" containsDate="1" containsString="0" minDate="2022-06-01T00:00:00" maxDate="2022-09-01T00:00:00"/>
    </cacheField>
    <cacheField name="temperatura" numFmtId="0">
      <sharedItems containsSemiMixedTypes="0" containsString="0" containsNumber="1" containsInteger="1" minValue="15" maxValue="33"/>
    </cacheField>
    <cacheField name="lody" numFmtId="0">
      <sharedItems containsSemiMixedTypes="0" containsString="0" containsNumber="1" containsInteger="1" minValue="82" maxValue="157"/>
    </cacheField>
    <cacheField name="kukurydza" numFmtId="0">
      <sharedItems containsSemiMixedTypes="0" containsString="0" containsNumber="1" containsInteger="1" minValue="58" maxValue="101"/>
    </cacheField>
    <cacheField name="hotdogi" numFmtId="0">
      <sharedItems containsSemiMixedTypes="0" containsString="0" containsNumber="1" containsInteger="1" minValue="58" maxValue="121"/>
    </cacheField>
    <cacheField name="miesiac" numFmtId="0">
      <sharedItems containsSemiMixedTypes="0" containsString="0" containsNumber="1" containsInteger="1" minValue="6" maxValue="8" count="3">
        <n v="6"/>
        <n v="7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d v="2022-06-01T00:00:00"/>
    <n v="24"/>
    <n v="120"/>
    <n v="80"/>
    <n v="90"/>
    <x v="0"/>
  </r>
  <r>
    <d v="2022-06-02T00:00:00"/>
    <n v="25"/>
    <n v="124"/>
    <n v="82"/>
    <n v="93"/>
    <x v="0"/>
  </r>
  <r>
    <d v="2022-06-03T00:00:00"/>
    <n v="27"/>
    <n v="132"/>
    <n v="87"/>
    <n v="100"/>
    <x v="0"/>
  </r>
  <r>
    <d v="2022-06-04T00:00:00"/>
    <n v="27"/>
    <n v="132"/>
    <n v="87"/>
    <n v="100"/>
    <x v="0"/>
  </r>
  <r>
    <d v="2022-06-05T00:00:00"/>
    <n v="27"/>
    <n v="132"/>
    <n v="87"/>
    <n v="100"/>
    <x v="0"/>
  </r>
  <r>
    <d v="2022-06-06T00:00:00"/>
    <n v="22"/>
    <n v="111"/>
    <n v="75"/>
    <n v="83"/>
    <x v="0"/>
  </r>
  <r>
    <d v="2022-06-07T00:00:00"/>
    <n v="25"/>
    <n v="124"/>
    <n v="82"/>
    <n v="93"/>
    <x v="0"/>
  </r>
  <r>
    <d v="2022-06-08T00:00:00"/>
    <n v="25"/>
    <n v="124"/>
    <n v="82"/>
    <n v="93"/>
    <x v="0"/>
  </r>
  <r>
    <d v="2022-06-09T00:00:00"/>
    <n v="21"/>
    <n v="107"/>
    <n v="72"/>
    <n v="79"/>
    <x v="0"/>
  </r>
  <r>
    <d v="2022-06-10T00:00:00"/>
    <n v="21"/>
    <n v="107"/>
    <n v="72"/>
    <n v="79"/>
    <x v="0"/>
  </r>
  <r>
    <d v="2022-06-11T00:00:00"/>
    <n v="19"/>
    <n v="99"/>
    <n v="68"/>
    <n v="72"/>
    <x v="0"/>
  </r>
  <r>
    <d v="2022-06-12T00:00:00"/>
    <n v="19"/>
    <n v="99"/>
    <n v="68"/>
    <n v="72"/>
    <x v="0"/>
  </r>
  <r>
    <d v="2022-06-13T00:00:00"/>
    <n v="15"/>
    <n v="82"/>
    <n v="58"/>
    <n v="58"/>
    <x v="0"/>
  </r>
  <r>
    <d v="2022-06-14T00:00:00"/>
    <n v="21"/>
    <n v="107"/>
    <n v="72"/>
    <n v="79"/>
    <x v="0"/>
  </r>
  <r>
    <d v="2022-06-15T00:00:00"/>
    <n v="23"/>
    <n v="115"/>
    <n v="77"/>
    <n v="86"/>
    <x v="0"/>
  </r>
  <r>
    <d v="2022-06-16T00:00:00"/>
    <n v="23"/>
    <n v="115"/>
    <n v="77"/>
    <n v="86"/>
    <x v="0"/>
  </r>
  <r>
    <d v="2022-06-17T00:00:00"/>
    <n v="16"/>
    <n v="86"/>
    <n v="61"/>
    <n v="62"/>
    <x v="0"/>
  </r>
  <r>
    <d v="2022-06-18T00:00:00"/>
    <n v="21"/>
    <n v="107"/>
    <n v="72"/>
    <n v="79"/>
    <x v="0"/>
  </r>
  <r>
    <d v="2022-06-19T00:00:00"/>
    <n v="22"/>
    <n v="111"/>
    <n v="75"/>
    <n v="83"/>
    <x v="0"/>
  </r>
  <r>
    <d v="2022-06-20T00:00:00"/>
    <n v="22"/>
    <n v="111"/>
    <n v="75"/>
    <n v="83"/>
    <x v="0"/>
  </r>
  <r>
    <d v="2022-06-21T00:00:00"/>
    <n v="22"/>
    <n v="111"/>
    <n v="75"/>
    <n v="83"/>
    <x v="0"/>
  </r>
  <r>
    <d v="2022-06-22T00:00:00"/>
    <n v="28"/>
    <n v="136"/>
    <n v="89"/>
    <n v="103"/>
    <x v="0"/>
  </r>
  <r>
    <d v="2022-06-23T00:00:00"/>
    <n v="31"/>
    <n v="148"/>
    <n v="96"/>
    <n v="114"/>
    <x v="0"/>
  </r>
  <r>
    <d v="2022-06-24T00:00:00"/>
    <n v="33"/>
    <n v="157"/>
    <n v="101"/>
    <n v="121"/>
    <x v="0"/>
  </r>
  <r>
    <d v="2022-06-25T00:00:00"/>
    <n v="33"/>
    <n v="157"/>
    <n v="101"/>
    <n v="121"/>
    <x v="0"/>
  </r>
  <r>
    <d v="2022-06-26T00:00:00"/>
    <n v="23"/>
    <n v="115"/>
    <n v="77"/>
    <n v="86"/>
    <x v="0"/>
  </r>
  <r>
    <d v="2022-06-27T00:00:00"/>
    <n v="23"/>
    <n v="115"/>
    <n v="77"/>
    <n v="86"/>
    <x v="0"/>
  </r>
  <r>
    <d v="2022-06-28T00:00:00"/>
    <n v="19"/>
    <n v="99"/>
    <n v="68"/>
    <n v="72"/>
    <x v="0"/>
  </r>
  <r>
    <d v="2022-06-29T00:00:00"/>
    <n v="24"/>
    <n v="120"/>
    <n v="80"/>
    <n v="90"/>
    <x v="0"/>
  </r>
  <r>
    <d v="2022-06-30T00:00:00"/>
    <n v="25"/>
    <n v="124"/>
    <n v="82"/>
    <n v="93"/>
    <x v="0"/>
  </r>
  <r>
    <d v="2022-07-01T00:00:00"/>
    <n v="27"/>
    <n v="132"/>
    <n v="87"/>
    <n v="100"/>
    <x v="1"/>
  </r>
  <r>
    <d v="2022-07-02T00:00:00"/>
    <n v="27"/>
    <n v="132"/>
    <n v="87"/>
    <n v="100"/>
    <x v="1"/>
  </r>
  <r>
    <d v="2022-07-03T00:00:00"/>
    <n v="21"/>
    <n v="107"/>
    <n v="72"/>
    <n v="79"/>
    <x v="1"/>
  </r>
  <r>
    <d v="2022-07-04T00:00:00"/>
    <n v="21"/>
    <n v="107"/>
    <n v="72"/>
    <n v="79"/>
    <x v="1"/>
  </r>
  <r>
    <d v="2022-07-05T00:00:00"/>
    <n v="25"/>
    <n v="124"/>
    <n v="82"/>
    <n v="93"/>
    <x v="1"/>
  </r>
  <r>
    <d v="2022-07-06T00:00:00"/>
    <n v="19"/>
    <n v="99"/>
    <n v="68"/>
    <n v="72"/>
    <x v="1"/>
  </r>
  <r>
    <d v="2022-07-07T00:00:00"/>
    <n v="21"/>
    <n v="107"/>
    <n v="72"/>
    <n v="79"/>
    <x v="1"/>
  </r>
  <r>
    <d v="2022-07-08T00:00:00"/>
    <n v="24"/>
    <n v="120"/>
    <n v="80"/>
    <n v="90"/>
    <x v="1"/>
  </r>
  <r>
    <d v="2022-07-09T00:00:00"/>
    <n v="19"/>
    <n v="99"/>
    <n v="68"/>
    <n v="72"/>
    <x v="1"/>
  </r>
  <r>
    <d v="2022-07-10T00:00:00"/>
    <n v="28"/>
    <n v="136"/>
    <n v="89"/>
    <n v="103"/>
    <x v="1"/>
  </r>
  <r>
    <d v="2022-07-11T00:00:00"/>
    <n v="27"/>
    <n v="132"/>
    <n v="87"/>
    <n v="100"/>
    <x v="1"/>
  </r>
  <r>
    <d v="2022-07-12T00:00:00"/>
    <n v="24"/>
    <n v="120"/>
    <n v="80"/>
    <n v="90"/>
    <x v="1"/>
  </r>
  <r>
    <d v="2022-07-13T00:00:00"/>
    <n v="22"/>
    <n v="111"/>
    <n v="75"/>
    <n v="83"/>
    <x v="1"/>
  </r>
  <r>
    <d v="2022-07-14T00:00:00"/>
    <n v="17"/>
    <n v="91"/>
    <n v="63"/>
    <n v="65"/>
    <x v="1"/>
  </r>
  <r>
    <d v="2022-07-15T00:00:00"/>
    <n v="18"/>
    <n v="95"/>
    <n v="65"/>
    <n v="69"/>
    <x v="1"/>
  </r>
  <r>
    <d v="2022-07-16T00:00:00"/>
    <n v="23"/>
    <n v="115"/>
    <n v="77"/>
    <n v="86"/>
    <x v="1"/>
  </r>
  <r>
    <d v="2022-07-17T00:00:00"/>
    <n v="23"/>
    <n v="115"/>
    <n v="77"/>
    <n v="86"/>
    <x v="1"/>
  </r>
  <r>
    <d v="2022-07-18T00:00:00"/>
    <n v="19"/>
    <n v="99"/>
    <n v="68"/>
    <n v="72"/>
    <x v="1"/>
  </r>
  <r>
    <d v="2022-07-19T00:00:00"/>
    <n v="21"/>
    <n v="107"/>
    <n v="72"/>
    <n v="79"/>
    <x v="1"/>
  </r>
  <r>
    <d v="2022-07-20T00:00:00"/>
    <n v="25"/>
    <n v="124"/>
    <n v="82"/>
    <n v="93"/>
    <x v="1"/>
  </r>
  <r>
    <d v="2022-07-21T00:00:00"/>
    <n v="28"/>
    <n v="136"/>
    <n v="89"/>
    <n v="103"/>
    <x v="1"/>
  </r>
  <r>
    <d v="2022-07-22T00:00:00"/>
    <n v="27"/>
    <n v="132"/>
    <n v="87"/>
    <n v="100"/>
    <x v="1"/>
  </r>
  <r>
    <d v="2022-07-23T00:00:00"/>
    <n v="23"/>
    <n v="115"/>
    <n v="77"/>
    <n v="86"/>
    <x v="1"/>
  </r>
  <r>
    <d v="2022-07-24T00:00:00"/>
    <n v="26"/>
    <n v="128"/>
    <n v="84"/>
    <n v="96"/>
    <x v="1"/>
  </r>
  <r>
    <d v="2022-07-25T00:00:00"/>
    <n v="29"/>
    <n v="140"/>
    <n v="91"/>
    <n v="107"/>
    <x v="1"/>
  </r>
  <r>
    <d v="2022-07-26T00:00:00"/>
    <n v="26"/>
    <n v="128"/>
    <n v="84"/>
    <n v="96"/>
    <x v="1"/>
  </r>
  <r>
    <d v="2022-07-27T00:00:00"/>
    <n v="27"/>
    <n v="132"/>
    <n v="87"/>
    <n v="100"/>
    <x v="1"/>
  </r>
  <r>
    <d v="2022-07-28T00:00:00"/>
    <n v="24"/>
    <n v="120"/>
    <n v="80"/>
    <n v="90"/>
    <x v="1"/>
  </r>
  <r>
    <d v="2022-07-29T00:00:00"/>
    <n v="26"/>
    <n v="128"/>
    <n v="84"/>
    <n v="96"/>
    <x v="1"/>
  </r>
  <r>
    <d v="2022-07-30T00:00:00"/>
    <n v="25"/>
    <n v="124"/>
    <n v="82"/>
    <n v="93"/>
    <x v="1"/>
  </r>
  <r>
    <d v="2022-07-31T00:00:00"/>
    <n v="24"/>
    <n v="120"/>
    <n v="80"/>
    <n v="90"/>
    <x v="1"/>
  </r>
  <r>
    <d v="2022-08-01T00:00:00"/>
    <n v="22"/>
    <n v="111"/>
    <n v="75"/>
    <n v="83"/>
    <x v="2"/>
  </r>
  <r>
    <d v="2022-08-02T00:00:00"/>
    <n v="19"/>
    <n v="99"/>
    <n v="68"/>
    <n v="72"/>
    <x v="2"/>
  </r>
  <r>
    <d v="2022-08-03T00:00:00"/>
    <n v="21"/>
    <n v="107"/>
    <n v="72"/>
    <n v="79"/>
    <x v="2"/>
  </r>
  <r>
    <d v="2022-08-04T00:00:00"/>
    <n v="26"/>
    <n v="128"/>
    <n v="84"/>
    <n v="96"/>
    <x v="2"/>
  </r>
  <r>
    <d v="2022-08-05T00:00:00"/>
    <n v="19"/>
    <n v="99"/>
    <n v="68"/>
    <n v="72"/>
    <x v="2"/>
  </r>
  <r>
    <d v="2022-08-06T00:00:00"/>
    <n v="21"/>
    <n v="107"/>
    <n v="72"/>
    <n v="79"/>
    <x v="2"/>
  </r>
  <r>
    <d v="2022-08-07T00:00:00"/>
    <n v="23"/>
    <n v="115"/>
    <n v="77"/>
    <n v="86"/>
    <x v="2"/>
  </r>
  <r>
    <d v="2022-08-08T00:00:00"/>
    <n v="27"/>
    <n v="132"/>
    <n v="87"/>
    <n v="100"/>
    <x v="2"/>
  </r>
  <r>
    <d v="2022-08-09T00:00:00"/>
    <n v="20"/>
    <n v="103"/>
    <n v="70"/>
    <n v="76"/>
    <x v="2"/>
  </r>
  <r>
    <d v="2022-08-10T00:00:00"/>
    <n v="18"/>
    <n v="95"/>
    <n v="65"/>
    <n v="69"/>
    <x v="2"/>
  </r>
  <r>
    <d v="2022-08-11T00:00:00"/>
    <n v="17"/>
    <n v="91"/>
    <n v="63"/>
    <n v="65"/>
    <x v="2"/>
  </r>
  <r>
    <d v="2022-08-12T00:00:00"/>
    <n v="19"/>
    <n v="99"/>
    <n v="68"/>
    <n v="72"/>
    <x v="2"/>
  </r>
  <r>
    <d v="2022-08-13T00:00:00"/>
    <n v="26"/>
    <n v="128"/>
    <n v="84"/>
    <n v="96"/>
    <x v="2"/>
  </r>
  <r>
    <d v="2022-08-14T00:00:00"/>
    <n v="21"/>
    <n v="107"/>
    <n v="72"/>
    <n v="79"/>
    <x v="2"/>
  </r>
  <r>
    <d v="2022-08-15T00:00:00"/>
    <n v="19"/>
    <n v="99"/>
    <n v="68"/>
    <n v="72"/>
    <x v="2"/>
  </r>
  <r>
    <d v="2022-08-16T00:00:00"/>
    <n v="19"/>
    <n v="99"/>
    <n v="68"/>
    <n v="72"/>
    <x v="2"/>
  </r>
  <r>
    <d v="2022-08-17T00:00:00"/>
    <n v="21"/>
    <n v="107"/>
    <n v="72"/>
    <n v="79"/>
    <x v="2"/>
  </r>
  <r>
    <d v="2022-08-18T00:00:00"/>
    <n v="21"/>
    <n v="107"/>
    <n v="72"/>
    <n v="79"/>
    <x v="2"/>
  </r>
  <r>
    <d v="2022-08-19T00:00:00"/>
    <n v="24"/>
    <n v="120"/>
    <n v="80"/>
    <n v="90"/>
    <x v="2"/>
  </r>
  <r>
    <d v="2022-08-20T00:00:00"/>
    <n v="26"/>
    <n v="128"/>
    <n v="84"/>
    <n v="96"/>
    <x v="2"/>
  </r>
  <r>
    <d v="2022-08-21T00:00:00"/>
    <n v="23"/>
    <n v="115"/>
    <n v="77"/>
    <n v="86"/>
    <x v="2"/>
  </r>
  <r>
    <d v="2022-08-22T00:00:00"/>
    <n v="23"/>
    <n v="115"/>
    <n v="77"/>
    <n v="86"/>
    <x v="2"/>
  </r>
  <r>
    <d v="2022-08-23T00:00:00"/>
    <n v="24"/>
    <n v="120"/>
    <n v="80"/>
    <n v="90"/>
    <x v="2"/>
  </r>
  <r>
    <d v="2022-08-24T00:00:00"/>
    <n v="26"/>
    <n v="128"/>
    <n v="84"/>
    <n v="96"/>
    <x v="2"/>
  </r>
  <r>
    <d v="2022-08-25T00:00:00"/>
    <n v="28"/>
    <n v="136"/>
    <n v="89"/>
    <n v="103"/>
    <x v="2"/>
  </r>
  <r>
    <d v="2022-08-26T00:00:00"/>
    <n v="32"/>
    <n v="153"/>
    <n v="98"/>
    <n v="117"/>
    <x v="2"/>
  </r>
  <r>
    <d v="2022-08-27T00:00:00"/>
    <n v="26"/>
    <n v="128"/>
    <n v="84"/>
    <n v="96"/>
    <x v="2"/>
  </r>
  <r>
    <d v="2022-08-28T00:00:00"/>
    <n v="32"/>
    <n v="153"/>
    <n v="98"/>
    <n v="117"/>
    <x v="2"/>
  </r>
  <r>
    <d v="2022-08-29T00:00:00"/>
    <n v="23"/>
    <n v="115"/>
    <n v="77"/>
    <n v="86"/>
    <x v="2"/>
  </r>
  <r>
    <d v="2022-08-30T00:00:00"/>
    <n v="22"/>
    <n v="111"/>
    <n v="75"/>
    <n v="83"/>
    <x v="2"/>
  </r>
  <r>
    <d v="2022-08-31T00:00:00"/>
    <n v="25"/>
    <n v="124"/>
    <n v="82"/>
    <n v="9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96000-E3BD-45D6-A096-58D35EDFB059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H4:K8" firstHeaderRow="0" firstDataRow="1" firstDataCol="1"/>
  <pivotFields count="6">
    <pivotField numFmtId="14" showAll="0"/>
    <pivotField showAll="0"/>
    <pivotField dataField="1" showAll="0"/>
    <pivotField dataField="1" showAll="0"/>
    <pivotField dataField="1" showAll="0"/>
    <pivotField axis="axisRow" showAll="0">
      <items count="4">
        <item n="czerwiec" x="0"/>
        <item n="lipiec" x="1"/>
        <item n="sierpień"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lody" fld="2" baseField="0" baseItem="0"/>
    <dataField name="Suma z kukurydza" fld="3" baseField="0" baseItem="0"/>
    <dataField name="Suma z hotdogi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22AC-1355-4990-9025-AA2685112FED}">
  <dimension ref="A1:B93"/>
  <sheetViews>
    <sheetView workbookViewId="0">
      <selection activeCell="B2" sqref="B2"/>
    </sheetView>
  </sheetViews>
  <sheetFormatPr defaultRowHeight="14.5" x14ac:dyDescent="0.35"/>
  <cols>
    <col min="1" max="1" width="10.54296875" bestFit="1" customWidth="1"/>
    <col min="2" max="2" width="11.54296875" bestFit="1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s="4">
        <v>44713</v>
      </c>
      <c r="B2" s="5">
        <v>24</v>
      </c>
    </row>
    <row r="3" spans="1:2" x14ac:dyDescent="0.35">
      <c r="A3" s="6">
        <v>44714</v>
      </c>
      <c r="B3" s="7">
        <v>25</v>
      </c>
    </row>
    <row r="4" spans="1:2" x14ac:dyDescent="0.35">
      <c r="A4" s="4">
        <v>44715</v>
      </c>
      <c r="B4" s="5">
        <v>27</v>
      </c>
    </row>
    <row r="5" spans="1:2" x14ac:dyDescent="0.35">
      <c r="A5" s="6">
        <v>44716</v>
      </c>
      <c r="B5" s="7">
        <v>27</v>
      </c>
    </row>
    <row r="6" spans="1:2" x14ac:dyDescent="0.35">
      <c r="A6" s="4">
        <v>44717</v>
      </c>
      <c r="B6" s="5">
        <v>27</v>
      </c>
    </row>
    <row r="7" spans="1:2" x14ac:dyDescent="0.35">
      <c r="A7" s="6">
        <v>44718</v>
      </c>
      <c r="B7" s="7">
        <v>22</v>
      </c>
    </row>
    <row r="8" spans="1:2" x14ac:dyDescent="0.35">
      <c r="A8" s="4">
        <v>44719</v>
      </c>
      <c r="B8" s="5">
        <v>25</v>
      </c>
    </row>
    <row r="9" spans="1:2" x14ac:dyDescent="0.35">
      <c r="A9" s="6">
        <v>44720</v>
      </c>
      <c r="B9" s="7">
        <v>25</v>
      </c>
    </row>
    <row r="10" spans="1:2" x14ac:dyDescent="0.35">
      <c r="A10" s="4">
        <v>44721</v>
      </c>
      <c r="B10" s="5">
        <v>21</v>
      </c>
    </row>
    <row r="11" spans="1:2" x14ac:dyDescent="0.35">
      <c r="A11" s="6">
        <v>44722</v>
      </c>
      <c r="B11" s="7">
        <v>21</v>
      </c>
    </row>
    <row r="12" spans="1:2" x14ac:dyDescent="0.35">
      <c r="A12" s="4">
        <v>44723</v>
      </c>
      <c r="B12" s="5">
        <v>19</v>
      </c>
    </row>
    <row r="13" spans="1:2" x14ac:dyDescent="0.35">
      <c r="A13" s="6">
        <v>44724</v>
      </c>
      <c r="B13" s="7">
        <v>19</v>
      </c>
    </row>
    <row r="14" spans="1:2" x14ac:dyDescent="0.35">
      <c r="A14" s="4">
        <v>44725</v>
      </c>
      <c r="B14" s="5">
        <v>15</v>
      </c>
    </row>
    <row r="15" spans="1:2" x14ac:dyDescent="0.35">
      <c r="A15" s="6">
        <v>44726</v>
      </c>
      <c r="B15" s="7">
        <v>21</v>
      </c>
    </row>
    <row r="16" spans="1:2" x14ac:dyDescent="0.35">
      <c r="A16" s="4">
        <v>44727</v>
      </c>
      <c r="B16" s="5">
        <v>23</v>
      </c>
    </row>
    <row r="17" spans="1:2" x14ac:dyDescent="0.35">
      <c r="A17" s="6">
        <v>44728</v>
      </c>
      <c r="B17" s="7">
        <v>23</v>
      </c>
    </row>
    <row r="18" spans="1:2" x14ac:dyDescent="0.35">
      <c r="A18" s="4">
        <v>44729</v>
      </c>
      <c r="B18" s="5">
        <v>16</v>
      </c>
    </row>
    <row r="19" spans="1:2" x14ac:dyDescent="0.35">
      <c r="A19" s="6">
        <v>44730</v>
      </c>
      <c r="B19" s="7">
        <v>21</v>
      </c>
    </row>
    <row r="20" spans="1:2" x14ac:dyDescent="0.35">
      <c r="A20" s="4">
        <v>44731</v>
      </c>
      <c r="B20" s="5">
        <v>22</v>
      </c>
    </row>
    <row r="21" spans="1:2" x14ac:dyDescent="0.35">
      <c r="A21" s="6">
        <v>44732</v>
      </c>
      <c r="B21" s="7">
        <v>22</v>
      </c>
    </row>
    <row r="22" spans="1:2" x14ac:dyDescent="0.35">
      <c r="A22" s="4">
        <v>44733</v>
      </c>
      <c r="B22" s="5">
        <v>22</v>
      </c>
    </row>
    <row r="23" spans="1:2" x14ac:dyDescent="0.35">
      <c r="A23" s="6">
        <v>44734</v>
      </c>
      <c r="B23" s="7">
        <v>28</v>
      </c>
    </row>
    <row r="24" spans="1:2" x14ac:dyDescent="0.35">
      <c r="A24" s="4">
        <v>44735</v>
      </c>
      <c r="B24" s="5">
        <v>31</v>
      </c>
    </row>
    <row r="25" spans="1:2" x14ac:dyDescent="0.35">
      <c r="A25" s="6">
        <v>44736</v>
      </c>
      <c r="B25" s="7">
        <v>33</v>
      </c>
    </row>
    <row r="26" spans="1:2" x14ac:dyDescent="0.35">
      <c r="A26" s="4">
        <v>44737</v>
      </c>
      <c r="B26" s="5">
        <v>33</v>
      </c>
    </row>
    <row r="27" spans="1:2" x14ac:dyDescent="0.35">
      <c r="A27" s="6">
        <v>44738</v>
      </c>
      <c r="B27" s="7">
        <v>23</v>
      </c>
    </row>
    <row r="28" spans="1:2" x14ac:dyDescent="0.35">
      <c r="A28" s="4">
        <v>44739</v>
      </c>
      <c r="B28" s="5">
        <v>23</v>
      </c>
    </row>
    <row r="29" spans="1:2" x14ac:dyDescent="0.35">
      <c r="A29" s="6">
        <v>44740</v>
      </c>
      <c r="B29" s="7">
        <v>19</v>
      </c>
    </row>
    <row r="30" spans="1:2" x14ac:dyDescent="0.35">
      <c r="A30" s="4">
        <v>44741</v>
      </c>
      <c r="B30" s="5">
        <v>24</v>
      </c>
    </row>
    <row r="31" spans="1:2" x14ac:dyDescent="0.35">
      <c r="A31" s="6">
        <v>44742</v>
      </c>
      <c r="B31" s="7">
        <v>25</v>
      </c>
    </row>
    <row r="32" spans="1:2" x14ac:dyDescent="0.35">
      <c r="A32" s="4">
        <v>44743</v>
      </c>
      <c r="B32" s="5">
        <v>27</v>
      </c>
    </row>
    <row r="33" spans="1:2" x14ac:dyDescent="0.35">
      <c r="A33" s="6">
        <v>44744</v>
      </c>
      <c r="B33" s="7">
        <v>27</v>
      </c>
    </row>
    <row r="34" spans="1:2" x14ac:dyDescent="0.35">
      <c r="A34" s="4">
        <v>44745</v>
      </c>
      <c r="B34" s="5">
        <v>21</v>
      </c>
    </row>
    <row r="35" spans="1:2" x14ac:dyDescent="0.35">
      <c r="A35" s="6">
        <v>44746</v>
      </c>
      <c r="B35" s="7">
        <v>21</v>
      </c>
    </row>
    <row r="36" spans="1:2" x14ac:dyDescent="0.35">
      <c r="A36" s="4">
        <v>44747</v>
      </c>
      <c r="B36" s="5">
        <v>25</v>
      </c>
    </row>
    <row r="37" spans="1:2" x14ac:dyDescent="0.35">
      <c r="A37" s="6">
        <v>44748</v>
      </c>
      <c r="B37" s="7">
        <v>19</v>
      </c>
    </row>
    <row r="38" spans="1:2" x14ac:dyDescent="0.35">
      <c r="A38" s="4">
        <v>44749</v>
      </c>
      <c r="B38" s="5">
        <v>21</v>
      </c>
    </row>
    <row r="39" spans="1:2" x14ac:dyDescent="0.35">
      <c r="A39" s="6">
        <v>44750</v>
      </c>
      <c r="B39" s="7">
        <v>24</v>
      </c>
    </row>
    <row r="40" spans="1:2" x14ac:dyDescent="0.35">
      <c r="A40" s="4">
        <v>44751</v>
      </c>
      <c r="B40" s="5">
        <v>19</v>
      </c>
    </row>
    <row r="41" spans="1:2" x14ac:dyDescent="0.35">
      <c r="A41" s="6">
        <v>44752</v>
      </c>
      <c r="B41" s="7">
        <v>28</v>
      </c>
    </row>
    <row r="42" spans="1:2" x14ac:dyDescent="0.35">
      <c r="A42" s="4">
        <v>44753</v>
      </c>
      <c r="B42" s="5">
        <v>27</v>
      </c>
    </row>
    <row r="43" spans="1:2" x14ac:dyDescent="0.35">
      <c r="A43" s="6">
        <v>44754</v>
      </c>
      <c r="B43" s="7">
        <v>24</v>
      </c>
    </row>
    <row r="44" spans="1:2" x14ac:dyDescent="0.35">
      <c r="A44" s="4">
        <v>44755</v>
      </c>
      <c r="B44" s="5">
        <v>22</v>
      </c>
    </row>
    <row r="45" spans="1:2" x14ac:dyDescent="0.35">
      <c r="A45" s="6">
        <v>44756</v>
      </c>
      <c r="B45" s="7">
        <v>17</v>
      </c>
    </row>
    <row r="46" spans="1:2" x14ac:dyDescent="0.35">
      <c r="A46" s="4">
        <v>44757</v>
      </c>
      <c r="B46" s="5">
        <v>18</v>
      </c>
    </row>
    <row r="47" spans="1:2" x14ac:dyDescent="0.35">
      <c r="A47" s="6">
        <v>44758</v>
      </c>
      <c r="B47" s="7">
        <v>23</v>
      </c>
    </row>
    <row r="48" spans="1:2" x14ac:dyDescent="0.35">
      <c r="A48" s="4">
        <v>44759</v>
      </c>
      <c r="B48" s="5">
        <v>23</v>
      </c>
    </row>
    <row r="49" spans="1:2" x14ac:dyDescent="0.35">
      <c r="A49" s="6">
        <v>44760</v>
      </c>
      <c r="B49" s="7">
        <v>19</v>
      </c>
    </row>
    <row r="50" spans="1:2" x14ac:dyDescent="0.35">
      <c r="A50" s="4">
        <v>44761</v>
      </c>
      <c r="B50" s="5">
        <v>21</v>
      </c>
    </row>
    <row r="51" spans="1:2" x14ac:dyDescent="0.35">
      <c r="A51" s="6">
        <v>44762</v>
      </c>
      <c r="B51" s="7">
        <v>25</v>
      </c>
    </row>
    <row r="52" spans="1:2" x14ac:dyDescent="0.35">
      <c r="A52" s="4">
        <v>44763</v>
      </c>
      <c r="B52" s="5">
        <v>28</v>
      </c>
    </row>
    <row r="53" spans="1:2" x14ac:dyDescent="0.35">
      <c r="A53" s="6">
        <v>44764</v>
      </c>
      <c r="B53" s="7">
        <v>27</v>
      </c>
    </row>
    <row r="54" spans="1:2" x14ac:dyDescent="0.35">
      <c r="A54" s="4">
        <v>44765</v>
      </c>
      <c r="B54" s="5">
        <v>23</v>
      </c>
    </row>
    <row r="55" spans="1:2" x14ac:dyDescent="0.35">
      <c r="A55" s="6">
        <v>44766</v>
      </c>
      <c r="B55" s="7">
        <v>26</v>
      </c>
    </row>
    <row r="56" spans="1:2" x14ac:dyDescent="0.35">
      <c r="A56" s="4">
        <v>44767</v>
      </c>
      <c r="B56" s="5">
        <v>29</v>
      </c>
    </row>
    <row r="57" spans="1:2" x14ac:dyDescent="0.35">
      <c r="A57" s="6">
        <v>44768</v>
      </c>
      <c r="B57" s="7">
        <v>26</v>
      </c>
    </row>
    <row r="58" spans="1:2" x14ac:dyDescent="0.35">
      <c r="A58" s="4">
        <v>44769</v>
      </c>
      <c r="B58" s="5">
        <v>27</v>
      </c>
    </row>
    <row r="59" spans="1:2" x14ac:dyDescent="0.35">
      <c r="A59" s="6">
        <v>44770</v>
      </c>
      <c r="B59" s="7">
        <v>24</v>
      </c>
    </row>
    <row r="60" spans="1:2" x14ac:dyDescent="0.35">
      <c r="A60" s="4">
        <v>44771</v>
      </c>
      <c r="B60" s="5">
        <v>26</v>
      </c>
    </row>
    <row r="61" spans="1:2" x14ac:dyDescent="0.35">
      <c r="A61" s="6">
        <v>44772</v>
      </c>
      <c r="B61" s="7">
        <v>25</v>
      </c>
    </row>
    <row r="62" spans="1:2" x14ac:dyDescent="0.35">
      <c r="A62" s="4">
        <v>44773</v>
      </c>
      <c r="B62" s="5">
        <v>24</v>
      </c>
    </row>
    <row r="63" spans="1:2" x14ac:dyDescent="0.35">
      <c r="A63" s="6">
        <v>44774</v>
      </c>
      <c r="B63" s="7">
        <v>22</v>
      </c>
    </row>
    <row r="64" spans="1:2" x14ac:dyDescent="0.35">
      <c r="A64" s="4">
        <v>44775</v>
      </c>
      <c r="B64" s="5">
        <v>19</v>
      </c>
    </row>
    <row r="65" spans="1:2" x14ac:dyDescent="0.35">
      <c r="A65" s="6">
        <v>44776</v>
      </c>
      <c r="B65" s="7">
        <v>21</v>
      </c>
    </row>
    <row r="66" spans="1:2" x14ac:dyDescent="0.35">
      <c r="A66" s="4">
        <v>44777</v>
      </c>
      <c r="B66" s="5">
        <v>26</v>
      </c>
    </row>
    <row r="67" spans="1:2" x14ac:dyDescent="0.35">
      <c r="A67" s="6">
        <v>44778</v>
      </c>
      <c r="B67" s="7">
        <v>19</v>
      </c>
    </row>
    <row r="68" spans="1:2" x14ac:dyDescent="0.35">
      <c r="A68" s="4">
        <v>44779</v>
      </c>
      <c r="B68" s="5">
        <v>21</v>
      </c>
    </row>
    <row r="69" spans="1:2" x14ac:dyDescent="0.35">
      <c r="A69" s="6">
        <v>44780</v>
      </c>
      <c r="B69" s="7">
        <v>23</v>
      </c>
    </row>
    <row r="70" spans="1:2" x14ac:dyDescent="0.35">
      <c r="A70" s="4">
        <v>44781</v>
      </c>
      <c r="B70" s="5">
        <v>27</v>
      </c>
    </row>
    <row r="71" spans="1:2" x14ac:dyDescent="0.35">
      <c r="A71" s="6">
        <v>44782</v>
      </c>
      <c r="B71" s="7">
        <v>20</v>
      </c>
    </row>
    <row r="72" spans="1:2" x14ac:dyDescent="0.35">
      <c r="A72" s="4">
        <v>44783</v>
      </c>
      <c r="B72" s="5">
        <v>18</v>
      </c>
    </row>
    <row r="73" spans="1:2" x14ac:dyDescent="0.35">
      <c r="A73" s="6">
        <v>44784</v>
      </c>
      <c r="B73" s="7">
        <v>17</v>
      </c>
    </row>
    <row r="74" spans="1:2" x14ac:dyDescent="0.35">
      <c r="A74" s="4">
        <v>44785</v>
      </c>
      <c r="B74" s="5">
        <v>19</v>
      </c>
    </row>
    <row r="75" spans="1:2" x14ac:dyDescent="0.35">
      <c r="A75" s="6">
        <v>44786</v>
      </c>
      <c r="B75" s="7">
        <v>26</v>
      </c>
    </row>
    <row r="76" spans="1:2" x14ac:dyDescent="0.35">
      <c r="A76" s="4">
        <v>44787</v>
      </c>
      <c r="B76" s="5">
        <v>21</v>
      </c>
    </row>
    <row r="77" spans="1:2" x14ac:dyDescent="0.35">
      <c r="A77" s="6">
        <v>44788</v>
      </c>
      <c r="B77" s="7">
        <v>19</v>
      </c>
    </row>
    <row r="78" spans="1:2" x14ac:dyDescent="0.35">
      <c r="A78" s="4">
        <v>44789</v>
      </c>
      <c r="B78" s="5">
        <v>19</v>
      </c>
    </row>
    <row r="79" spans="1:2" x14ac:dyDescent="0.35">
      <c r="A79" s="6">
        <v>44790</v>
      </c>
      <c r="B79" s="7">
        <v>21</v>
      </c>
    </row>
    <row r="80" spans="1:2" x14ac:dyDescent="0.35">
      <c r="A80" s="4">
        <v>44791</v>
      </c>
      <c r="B80" s="5">
        <v>21</v>
      </c>
    </row>
    <row r="81" spans="1:2" x14ac:dyDescent="0.35">
      <c r="A81" s="6">
        <v>44792</v>
      </c>
      <c r="B81" s="7">
        <v>24</v>
      </c>
    </row>
    <row r="82" spans="1:2" x14ac:dyDescent="0.35">
      <c r="A82" s="4">
        <v>44793</v>
      </c>
      <c r="B82" s="5">
        <v>26</v>
      </c>
    </row>
    <row r="83" spans="1:2" x14ac:dyDescent="0.35">
      <c r="A83" s="6">
        <v>44794</v>
      </c>
      <c r="B83" s="7">
        <v>23</v>
      </c>
    </row>
    <row r="84" spans="1:2" x14ac:dyDescent="0.35">
      <c r="A84" s="4">
        <v>44795</v>
      </c>
      <c r="B84" s="5">
        <v>23</v>
      </c>
    </row>
    <row r="85" spans="1:2" x14ac:dyDescent="0.35">
      <c r="A85" s="6">
        <v>44796</v>
      </c>
      <c r="B85" s="7">
        <v>24</v>
      </c>
    </row>
    <row r="86" spans="1:2" x14ac:dyDescent="0.35">
      <c r="A86" s="4">
        <v>44797</v>
      </c>
      <c r="B86" s="5">
        <v>26</v>
      </c>
    </row>
    <row r="87" spans="1:2" x14ac:dyDescent="0.35">
      <c r="A87" s="6">
        <v>44798</v>
      </c>
      <c r="B87" s="7">
        <v>28</v>
      </c>
    </row>
    <row r="88" spans="1:2" x14ac:dyDescent="0.35">
      <c r="A88" s="4">
        <v>44799</v>
      </c>
      <c r="B88" s="5">
        <v>32</v>
      </c>
    </row>
    <row r="89" spans="1:2" x14ac:dyDescent="0.35">
      <c r="A89" s="6">
        <v>44800</v>
      </c>
      <c r="B89" s="7">
        <v>26</v>
      </c>
    </row>
    <row r="90" spans="1:2" x14ac:dyDescent="0.35">
      <c r="A90" s="4">
        <v>44801</v>
      </c>
      <c r="B90" s="5">
        <v>32</v>
      </c>
    </row>
    <row r="91" spans="1:2" x14ac:dyDescent="0.35">
      <c r="A91" s="6">
        <v>44802</v>
      </c>
      <c r="B91" s="7">
        <v>23</v>
      </c>
    </row>
    <row r="92" spans="1:2" x14ac:dyDescent="0.35">
      <c r="A92" s="4">
        <v>44803</v>
      </c>
      <c r="B92" s="5">
        <v>22</v>
      </c>
    </row>
    <row r="93" spans="1:2" x14ac:dyDescent="0.35">
      <c r="A93" s="8">
        <v>44804</v>
      </c>
      <c r="B93" s="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EBE4-7AD9-450B-B30F-240A3F9A000A}">
  <dimension ref="A1:D93"/>
  <sheetViews>
    <sheetView topLeftCell="A79" workbookViewId="0">
      <selection activeCell="A93" sqref="A93"/>
    </sheetView>
  </sheetViews>
  <sheetFormatPr defaultRowHeight="14.5" x14ac:dyDescent="0.35"/>
  <cols>
    <col min="1" max="1" width="10.54296875" bestFit="1" customWidth="1"/>
    <col min="2" max="2" width="11.54296875" bestFit="1" customWidth="1"/>
    <col min="3" max="3" width="13.54296875" bestFit="1" customWidth="1"/>
    <col min="4" max="4" width="10.54296875" bestFit="1" customWidth="1"/>
  </cols>
  <sheetData>
    <row r="1" spans="1:4" x14ac:dyDescent="0.35">
      <c r="A1" s="2" t="s">
        <v>0</v>
      </c>
      <c r="B1" s="3" t="s">
        <v>1</v>
      </c>
      <c r="C1" t="s">
        <v>2</v>
      </c>
      <c r="D1" t="s">
        <v>3</v>
      </c>
    </row>
    <row r="2" spans="1:4" x14ac:dyDescent="0.35">
      <c r="A2" s="4">
        <v>44713</v>
      </c>
      <c r="B2" s="5">
        <v>24</v>
      </c>
      <c r="C2">
        <f>IF(B2&gt;20,1,0)</f>
        <v>1</v>
      </c>
      <c r="D2">
        <v>1</v>
      </c>
    </row>
    <row r="3" spans="1:4" x14ac:dyDescent="0.35">
      <c r="A3" s="6">
        <v>44714</v>
      </c>
      <c r="B3" s="7">
        <v>25</v>
      </c>
      <c r="C3">
        <f t="shared" ref="C3:C66" si="0">IF(B3&gt;20,1,0)</f>
        <v>1</v>
      </c>
      <c r="D3">
        <f>IF(C3=1,D2+1,0)</f>
        <v>2</v>
      </c>
    </row>
    <row r="4" spans="1:4" x14ac:dyDescent="0.35">
      <c r="A4" s="4">
        <v>44715</v>
      </c>
      <c r="B4" s="5">
        <v>27</v>
      </c>
      <c r="C4">
        <f t="shared" si="0"/>
        <v>1</v>
      </c>
      <c r="D4">
        <f t="shared" ref="D4:D67" si="1">IF(C4=1,D3+1,0)</f>
        <v>3</v>
      </c>
    </row>
    <row r="5" spans="1:4" x14ac:dyDescent="0.35">
      <c r="A5" s="6">
        <v>44716</v>
      </c>
      <c r="B5" s="7">
        <v>27</v>
      </c>
      <c r="C5">
        <f t="shared" si="0"/>
        <v>1</v>
      </c>
      <c r="D5">
        <f t="shared" si="1"/>
        <v>4</v>
      </c>
    </row>
    <row r="6" spans="1:4" x14ac:dyDescent="0.35">
      <c r="A6" s="4">
        <v>44717</v>
      </c>
      <c r="B6" s="5">
        <v>27</v>
      </c>
      <c r="C6">
        <f t="shared" si="0"/>
        <v>1</v>
      </c>
      <c r="D6">
        <f t="shared" si="1"/>
        <v>5</v>
      </c>
    </row>
    <row r="7" spans="1:4" x14ac:dyDescent="0.35">
      <c r="A7" s="6">
        <v>44718</v>
      </c>
      <c r="B7" s="7">
        <v>22</v>
      </c>
      <c r="C7">
        <f t="shared" si="0"/>
        <v>1</v>
      </c>
      <c r="D7">
        <f t="shared" si="1"/>
        <v>6</v>
      </c>
    </row>
    <row r="8" spans="1:4" x14ac:dyDescent="0.35">
      <c r="A8" s="4">
        <v>44719</v>
      </c>
      <c r="B8" s="5">
        <v>25</v>
      </c>
      <c r="C8">
        <f t="shared" si="0"/>
        <v>1</v>
      </c>
      <c r="D8">
        <f t="shared" si="1"/>
        <v>7</v>
      </c>
    </row>
    <row r="9" spans="1:4" x14ac:dyDescent="0.35">
      <c r="A9" s="6">
        <v>44720</v>
      </c>
      <c r="B9" s="7">
        <v>25</v>
      </c>
      <c r="C9">
        <f t="shared" si="0"/>
        <v>1</v>
      </c>
      <c r="D9">
        <f t="shared" si="1"/>
        <v>8</v>
      </c>
    </row>
    <row r="10" spans="1:4" x14ac:dyDescent="0.35">
      <c r="A10" s="4">
        <v>44721</v>
      </c>
      <c r="B10" s="5">
        <v>21</v>
      </c>
      <c r="C10">
        <f t="shared" si="0"/>
        <v>1</v>
      </c>
      <c r="D10">
        <f t="shared" si="1"/>
        <v>9</v>
      </c>
    </row>
    <row r="11" spans="1:4" x14ac:dyDescent="0.35">
      <c r="A11" s="6">
        <v>44722</v>
      </c>
      <c r="B11" s="7">
        <v>21</v>
      </c>
      <c r="C11">
        <f t="shared" si="0"/>
        <v>1</v>
      </c>
      <c r="D11">
        <f t="shared" si="1"/>
        <v>10</v>
      </c>
    </row>
    <row r="12" spans="1:4" x14ac:dyDescent="0.35">
      <c r="A12" s="4">
        <v>44723</v>
      </c>
      <c r="B12" s="5">
        <v>19</v>
      </c>
      <c r="C12">
        <f t="shared" si="0"/>
        <v>0</v>
      </c>
      <c r="D12">
        <f t="shared" si="1"/>
        <v>0</v>
      </c>
    </row>
    <row r="13" spans="1:4" x14ac:dyDescent="0.35">
      <c r="A13" s="6">
        <v>44724</v>
      </c>
      <c r="B13" s="7">
        <v>19</v>
      </c>
      <c r="C13">
        <f t="shared" si="0"/>
        <v>0</v>
      </c>
      <c r="D13">
        <f t="shared" si="1"/>
        <v>0</v>
      </c>
    </row>
    <row r="14" spans="1:4" x14ac:dyDescent="0.35">
      <c r="A14" s="4">
        <v>44725</v>
      </c>
      <c r="B14" s="5">
        <v>15</v>
      </c>
      <c r="C14">
        <f t="shared" si="0"/>
        <v>0</v>
      </c>
      <c r="D14">
        <f t="shared" si="1"/>
        <v>0</v>
      </c>
    </row>
    <row r="15" spans="1:4" x14ac:dyDescent="0.35">
      <c r="A15" s="6">
        <v>44726</v>
      </c>
      <c r="B15" s="7">
        <v>21</v>
      </c>
      <c r="C15">
        <f t="shared" si="0"/>
        <v>1</v>
      </c>
      <c r="D15">
        <f t="shared" si="1"/>
        <v>1</v>
      </c>
    </row>
    <row r="16" spans="1:4" x14ac:dyDescent="0.35">
      <c r="A16" s="4">
        <v>44727</v>
      </c>
      <c r="B16" s="5">
        <v>23</v>
      </c>
      <c r="C16">
        <f t="shared" si="0"/>
        <v>1</v>
      </c>
      <c r="D16">
        <f t="shared" si="1"/>
        <v>2</v>
      </c>
    </row>
    <row r="17" spans="1:4" x14ac:dyDescent="0.35">
      <c r="A17" s="6">
        <v>44728</v>
      </c>
      <c r="B17" s="7">
        <v>23</v>
      </c>
      <c r="C17">
        <f t="shared" si="0"/>
        <v>1</v>
      </c>
      <c r="D17">
        <f t="shared" si="1"/>
        <v>3</v>
      </c>
    </row>
    <row r="18" spans="1:4" x14ac:dyDescent="0.35">
      <c r="A18" s="4">
        <v>44729</v>
      </c>
      <c r="B18" s="5">
        <v>16</v>
      </c>
      <c r="C18">
        <f t="shared" si="0"/>
        <v>0</v>
      </c>
      <c r="D18">
        <f t="shared" si="1"/>
        <v>0</v>
      </c>
    </row>
    <row r="19" spans="1:4" x14ac:dyDescent="0.35">
      <c r="A19" s="6">
        <v>44730</v>
      </c>
      <c r="B19" s="7">
        <v>21</v>
      </c>
      <c r="C19">
        <f t="shared" si="0"/>
        <v>1</v>
      </c>
      <c r="D19">
        <f t="shared" si="1"/>
        <v>1</v>
      </c>
    </row>
    <row r="20" spans="1:4" x14ac:dyDescent="0.35">
      <c r="A20" s="4">
        <v>44731</v>
      </c>
      <c r="B20" s="5">
        <v>22</v>
      </c>
      <c r="C20">
        <f t="shared" si="0"/>
        <v>1</v>
      </c>
      <c r="D20">
        <f t="shared" si="1"/>
        <v>2</v>
      </c>
    </row>
    <row r="21" spans="1:4" x14ac:dyDescent="0.35">
      <c r="A21" s="6">
        <v>44732</v>
      </c>
      <c r="B21" s="7">
        <v>22</v>
      </c>
      <c r="C21">
        <f t="shared" si="0"/>
        <v>1</v>
      </c>
      <c r="D21">
        <f t="shared" si="1"/>
        <v>3</v>
      </c>
    </row>
    <row r="22" spans="1:4" x14ac:dyDescent="0.35">
      <c r="A22" s="4">
        <v>44733</v>
      </c>
      <c r="B22" s="5">
        <v>22</v>
      </c>
      <c r="C22">
        <f t="shared" si="0"/>
        <v>1</v>
      </c>
      <c r="D22">
        <f t="shared" si="1"/>
        <v>4</v>
      </c>
    </row>
    <row r="23" spans="1:4" x14ac:dyDescent="0.35">
      <c r="A23" s="6">
        <v>44734</v>
      </c>
      <c r="B23" s="7">
        <v>28</v>
      </c>
      <c r="C23">
        <f t="shared" si="0"/>
        <v>1</v>
      </c>
      <c r="D23">
        <f t="shared" si="1"/>
        <v>5</v>
      </c>
    </row>
    <row r="24" spans="1:4" x14ac:dyDescent="0.35">
      <c r="A24" s="4">
        <v>44735</v>
      </c>
      <c r="B24" s="5">
        <v>31</v>
      </c>
      <c r="C24">
        <f t="shared" si="0"/>
        <v>1</v>
      </c>
      <c r="D24">
        <f t="shared" si="1"/>
        <v>6</v>
      </c>
    </row>
    <row r="25" spans="1:4" x14ac:dyDescent="0.35">
      <c r="A25" s="6">
        <v>44736</v>
      </c>
      <c r="B25" s="7">
        <v>33</v>
      </c>
      <c r="C25">
        <f t="shared" si="0"/>
        <v>1</v>
      </c>
      <c r="D25">
        <f t="shared" si="1"/>
        <v>7</v>
      </c>
    </row>
    <row r="26" spans="1:4" x14ac:dyDescent="0.35">
      <c r="A26" s="4">
        <v>44737</v>
      </c>
      <c r="B26" s="5">
        <v>33</v>
      </c>
      <c r="C26">
        <f t="shared" si="0"/>
        <v>1</v>
      </c>
      <c r="D26">
        <f t="shared" si="1"/>
        <v>8</v>
      </c>
    </row>
    <row r="27" spans="1:4" x14ac:dyDescent="0.35">
      <c r="A27" s="6">
        <v>44738</v>
      </c>
      <c r="B27" s="7">
        <v>23</v>
      </c>
      <c r="C27">
        <f t="shared" si="0"/>
        <v>1</v>
      </c>
      <c r="D27">
        <f t="shared" si="1"/>
        <v>9</v>
      </c>
    </row>
    <row r="28" spans="1:4" x14ac:dyDescent="0.35">
      <c r="A28" s="4">
        <v>44739</v>
      </c>
      <c r="B28" s="5">
        <v>23</v>
      </c>
      <c r="C28">
        <f t="shared" si="0"/>
        <v>1</v>
      </c>
      <c r="D28">
        <f t="shared" si="1"/>
        <v>10</v>
      </c>
    </row>
    <row r="29" spans="1:4" x14ac:dyDescent="0.35">
      <c r="A29" s="6">
        <v>44740</v>
      </c>
      <c r="B29" s="7">
        <v>19</v>
      </c>
      <c r="C29">
        <f t="shared" si="0"/>
        <v>0</v>
      </c>
      <c r="D29">
        <f t="shared" si="1"/>
        <v>0</v>
      </c>
    </row>
    <row r="30" spans="1:4" x14ac:dyDescent="0.35">
      <c r="A30" s="4">
        <v>44741</v>
      </c>
      <c r="B30" s="5">
        <v>24</v>
      </c>
      <c r="C30">
        <f t="shared" si="0"/>
        <v>1</v>
      </c>
      <c r="D30">
        <f t="shared" si="1"/>
        <v>1</v>
      </c>
    </row>
    <row r="31" spans="1:4" x14ac:dyDescent="0.35">
      <c r="A31" s="6">
        <v>44742</v>
      </c>
      <c r="B31" s="7">
        <v>25</v>
      </c>
      <c r="C31">
        <f t="shared" si="0"/>
        <v>1</v>
      </c>
      <c r="D31">
        <f t="shared" si="1"/>
        <v>2</v>
      </c>
    </row>
    <row r="32" spans="1:4" x14ac:dyDescent="0.35">
      <c r="A32" s="4">
        <v>44743</v>
      </c>
      <c r="B32" s="5">
        <v>27</v>
      </c>
      <c r="C32">
        <f t="shared" si="0"/>
        <v>1</v>
      </c>
      <c r="D32">
        <f t="shared" si="1"/>
        <v>3</v>
      </c>
    </row>
    <row r="33" spans="1:4" x14ac:dyDescent="0.35">
      <c r="A33" s="6">
        <v>44744</v>
      </c>
      <c r="B33" s="7">
        <v>27</v>
      </c>
      <c r="C33">
        <f t="shared" si="0"/>
        <v>1</v>
      </c>
      <c r="D33">
        <f t="shared" si="1"/>
        <v>4</v>
      </c>
    </row>
    <row r="34" spans="1:4" x14ac:dyDescent="0.35">
      <c r="A34" s="4">
        <v>44745</v>
      </c>
      <c r="B34" s="5">
        <v>21</v>
      </c>
      <c r="C34">
        <f t="shared" si="0"/>
        <v>1</v>
      </c>
      <c r="D34">
        <f t="shared" si="1"/>
        <v>5</v>
      </c>
    </row>
    <row r="35" spans="1:4" x14ac:dyDescent="0.35">
      <c r="A35" s="6">
        <v>44746</v>
      </c>
      <c r="B35" s="7">
        <v>21</v>
      </c>
      <c r="C35">
        <f t="shared" si="0"/>
        <v>1</v>
      </c>
      <c r="D35">
        <f t="shared" si="1"/>
        <v>6</v>
      </c>
    </row>
    <row r="36" spans="1:4" x14ac:dyDescent="0.35">
      <c r="A36" s="4">
        <v>44747</v>
      </c>
      <c r="B36" s="5">
        <v>25</v>
      </c>
      <c r="C36">
        <f t="shared" si="0"/>
        <v>1</v>
      </c>
      <c r="D36">
        <f t="shared" si="1"/>
        <v>7</v>
      </c>
    </row>
    <row r="37" spans="1:4" x14ac:dyDescent="0.35">
      <c r="A37" s="6">
        <v>44748</v>
      </c>
      <c r="B37" s="7">
        <v>19</v>
      </c>
      <c r="C37">
        <f t="shared" si="0"/>
        <v>0</v>
      </c>
      <c r="D37">
        <f t="shared" si="1"/>
        <v>0</v>
      </c>
    </row>
    <row r="38" spans="1:4" x14ac:dyDescent="0.35">
      <c r="A38" s="4">
        <v>44749</v>
      </c>
      <c r="B38" s="5">
        <v>21</v>
      </c>
      <c r="C38">
        <f t="shared" si="0"/>
        <v>1</v>
      </c>
      <c r="D38">
        <f t="shared" si="1"/>
        <v>1</v>
      </c>
    </row>
    <row r="39" spans="1:4" x14ac:dyDescent="0.35">
      <c r="A39" s="6">
        <v>44750</v>
      </c>
      <c r="B39" s="7">
        <v>24</v>
      </c>
      <c r="C39">
        <f t="shared" si="0"/>
        <v>1</v>
      </c>
      <c r="D39">
        <f t="shared" si="1"/>
        <v>2</v>
      </c>
    </row>
    <row r="40" spans="1:4" x14ac:dyDescent="0.35">
      <c r="A40" s="4">
        <v>44751</v>
      </c>
      <c r="B40" s="5">
        <v>19</v>
      </c>
      <c r="C40">
        <f t="shared" si="0"/>
        <v>0</v>
      </c>
      <c r="D40">
        <f t="shared" si="1"/>
        <v>0</v>
      </c>
    </row>
    <row r="41" spans="1:4" x14ac:dyDescent="0.35">
      <c r="A41" s="6">
        <v>44752</v>
      </c>
      <c r="B41" s="7">
        <v>28</v>
      </c>
      <c r="C41">
        <f t="shared" si="0"/>
        <v>1</v>
      </c>
      <c r="D41">
        <f t="shared" si="1"/>
        <v>1</v>
      </c>
    </row>
    <row r="42" spans="1:4" x14ac:dyDescent="0.35">
      <c r="A42" s="4">
        <v>44753</v>
      </c>
      <c r="B42" s="5">
        <v>27</v>
      </c>
      <c r="C42">
        <f t="shared" si="0"/>
        <v>1</v>
      </c>
      <c r="D42">
        <f t="shared" si="1"/>
        <v>2</v>
      </c>
    </row>
    <row r="43" spans="1:4" x14ac:dyDescent="0.35">
      <c r="A43" s="6">
        <v>44754</v>
      </c>
      <c r="B43" s="7">
        <v>24</v>
      </c>
      <c r="C43">
        <f t="shared" si="0"/>
        <v>1</v>
      </c>
      <c r="D43">
        <f t="shared" si="1"/>
        <v>3</v>
      </c>
    </row>
    <row r="44" spans="1:4" x14ac:dyDescent="0.35">
      <c r="A44" s="4">
        <v>44755</v>
      </c>
      <c r="B44" s="5">
        <v>22</v>
      </c>
      <c r="C44">
        <f t="shared" si="0"/>
        <v>1</v>
      </c>
      <c r="D44">
        <f t="shared" si="1"/>
        <v>4</v>
      </c>
    </row>
    <row r="45" spans="1:4" x14ac:dyDescent="0.35">
      <c r="A45" s="6">
        <v>44756</v>
      </c>
      <c r="B45" s="7">
        <v>17</v>
      </c>
      <c r="C45">
        <f t="shared" si="0"/>
        <v>0</v>
      </c>
      <c r="D45">
        <f t="shared" si="1"/>
        <v>0</v>
      </c>
    </row>
    <row r="46" spans="1:4" x14ac:dyDescent="0.35">
      <c r="A46" s="4">
        <v>44757</v>
      </c>
      <c r="B46" s="5">
        <v>18</v>
      </c>
      <c r="C46">
        <f t="shared" si="0"/>
        <v>0</v>
      </c>
      <c r="D46">
        <f t="shared" si="1"/>
        <v>0</v>
      </c>
    </row>
    <row r="47" spans="1:4" x14ac:dyDescent="0.35">
      <c r="A47" s="6">
        <v>44758</v>
      </c>
      <c r="B47" s="7">
        <v>23</v>
      </c>
      <c r="C47">
        <f t="shared" si="0"/>
        <v>1</v>
      </c>
      <c r="D47">
        <f t="shared" si="1"/>
        <v>1</v>
      </c>
    </row>
    <row r="48" spans="1:4" x14ac:dyDescent="0.35">
      <c r="A48" s="4">
        <v>44759</v>
      </c>
      <c r="B48" s="5">
        <v>23</v>
      </c>
      <c r="C48">
        <f t="shared" si="0"/>
        <v>1</v>
      </c>
      <c r="D48">
        <f t="shared" si="1"/>
        <v>2</v>
      </c>
    </row>
    <row r="49" spans="1:4" x14ac:dyDescent="0.35">
      <c r="A49" s="6">
        <v>44760</v>
      </c>
      <c r="B49" s="7">
        <v>19</v>
      </c>
      <c r="C49">
        <f t="shared" si="0"/>
        <v>0</v>
      </c>
      <c r="D49">
        <f t="shared" si="1"/>
        <v>0</v>
      </c>
    </row>
    <row r="50" spans="1:4" x14ac:dyDescent="0.35">
      <c r="A50" s="4">
        <v>44761</v>
      </c>
      <c r="B50" s="5">
        <v>21</v>
      </c>
      <c r="C50">
        <f t="shared" si="0"/>
        <v>1</v>
      </c>
      <c r="D50">
        <f t="shared" si="1"/>
        <v>1</v>
      </c>
    </row>
    <row r="51" spans="1:4" x14ac:dyDescent="0.35">
      <c r="A51" s="6">
        <v>44762</v>
      </c>
      <c r="B51" s="7">
        <v>25</v>
      </c>
      <c r="C51">
        <f t="shared" si="0"/>
        <v>1</v>
      </c>
      <c r="D51">
        <f t="shared" si="1"/>
        <v>2</v>
      </c>
    </row>
    <row r="52" spans="1:4" x14ac:dyDescent="0.35">
      <c r="A52" s="4">
        <v>44763</v>
      </c>
      <c r="B52" s="5">
        <v>28</v>
      </c>
      <c r="C52">
        <f t="shared" si="0"/>
        <v>1</v>
      </c>
      <c r="D52">
        <f t="shared" si="1"/>
        <v>3</v>
      </c>
    </row>
    <row r="53" spans="1:4" x14ac:dyDescent="0.35">
      <c r="A53" s="6">
        <v>44764</v>
      </c>
      <c r="B53" s="7">
        <v>27</v>
      </c>
      <c r="C53">
        <f t="shared" si="0"/>
        <v>1</v>
      </c>
      <c r="D53">
        <f t="shared" si="1"/>
        <v>4</v>
      </c>
    </row>
    <row r="54" spans="1:4" x14ac:dyDescent="0.35">
      <c r="A54" s="4">
        <v>44765</v>
      </c>
      <c r="B54" s="5">
        <v>23</v>
      </c>
      <c r="C54">
        <f t="shared" si="0"/>
        <v>1</v>
      </c>
      <c r="D54">
        <f t="shared" si="1"/>
        <v>5</v>
      </c>
    </row>
    <row r="55" spans="1:4" x14ac:dyDescent="0.35">
      <c r="A55" s="6">
        <v>44766</v>
      </c>
      <c r="B55" s="7">
        <v>26</v>
      </c>
      <c r="C55">
        <f t="shared" si="0"/>
        <v>1</v>
      </c>
      <c r="D55">
        <f t="shared" si="1"/>
        <v>6</v>
      </c>
    </row>
    <row r="56" spans="1:4" x14ac:dyDescent="0.35">
      <c r="A56" s="4">
        <v>44767</v>
      </c>
      <c r="B56" s="5">
        <v>29</v>
      </c>
      <c r="C56">
        <f t="shared" si="0"/>
        <v>1</v>
      </c>
      <c r="D56">
        <f t="shared" si="1"/>
        <v>7</v>
      </c>
    </row>
    <row r="57" spans="1:4" x14ac:dyDescent="0.35">
      <c r="A57" s="6">
        <v>44768</v>
      </c>
      <c r="B57" s="7">
        <v>26</v>
      </c>
      <c r="C57">
        <f t="shared" si="0"/>
        <v>1</v>
      </c>
      <c r="D57">
        <f t="shared" si="1"/>
        <v>8</v>
      </c>
    </row>
    <row r="58" spans="1:4" x14ac:dyDescent="0.35">
      <c r="A58" s="4">
        <v>44769</v>
      </c>
      <c r="B58" s="5">
        <v>27</v>
      </c>
      <c r="C58">
        <f t="shared" si="0"/>
        <v>1</v>
      </c>
      <c r="D58">
        <f t="shared" si="1"/>
        <v>9</v>
      </c>
    </row>
    <row r="59" spans="1:4" x14ac:dyDescent="0.35">
      <c r="A59" s="6">
        <v>44770</v>
      </c>
      <c r="B59" s="7">
        <v>24</v>
      </c>
      <c r="C59">
        <f t="shared" si="0"/>
        <v>1</v>
      </c>
      <c r="D59">
        <f t="shared" si="1"/>
        <v>10</v>
      </c>
    </row>
    <row r="60" spans="1:4" x14ac:dyDescent="0.35">
      <c r="A60" s="4">
        <v>44771</v>
      </c>
      <c r="B60" s="5">
        <v>26</v>
      </c>
      <c r="C60">
        <f t="shared" si="0"/>
        <v>1</v>
      </c>
      <c r="D60">
        <f t="shared" si="1"/>
        <v>11</v>
      </c>
    </row>
    <row r="61" spans="1:4" x14ac:dyDescent="0.35">
      <c r="A61" s="6">
        <v>44772</v>
      </c>
      <c r="B61" s="7">
        <v>25</v>
      </c>
      <c r="C61">
        <f t="shared" si="0"/>
        <v>1</v>
      </c>
      <c r="D61">
        <f t="shared" si="1"/>
        <v>12</v>
      </c>
    </row>
    <row r="62" spans="1:4" x14ac:dyDescent="0.35">
      <c r="A62" s="4">
        <v>44773</v>
      </c>
      <c r="B62" s="5">
        <v>24</v>
      </c>
      <c r="C62">
        <f t="shared" si="0"/>
        <v>1</v>
      </c>
      <c r="D62">
        <f t="shared" si="1"/>
        <v>13</v>
      </c>
    </row>
    <row r="63" spans="1:4" x14ac:dyDescent="0.35">
      <c r="A63" s="6">
        <v>44774</v>
      </c>
      <c r="B63" s="7">
        <v>22</v>
      </c>
      <c r="C63">
        <f t="shared" si="0"/>
        <v>1</v>
      </c>
      <c r="D63">
        <f t="shared" si="1"/>
        <v>14</v>
      </c>
    </row>
    <row r="64" spans="1:4" x14ac:dyDescent="0.35">
      <c r="A64" s="4">
        <v>44775</v>
      </c>
      <c r="B64" s="5">
        <v>19</v>
      </c>
      <c r="C64">
        <f t="shared" si="0"/>
        <v>0</v>
      </c>
      <c r="D64">
        <f t="shared" si="1"/>
        <v>0</v>
      </c>
    </row>
    <row r="65" spans="1:4" x14ac:dyDescent="0.35">
      <c r="A65" s="6">
        <v>44776</v>
      </c>
      <c r="B65" s="7">
        <v>21</v>
      </c>
      <c r="C65">
        <f t="shared" si="0"/>
        <v>1</v>
      </c>
      <c r="D65">
        <f t="shared" si="1"/>
        <v>1</v>
      </c>
    </row>
    <row r="66" spans="1:4" x14ac:dyDescent="0.35">
      <c r="A66" s="4">
        <v>44777</v>
      </c>
      <c r="B66" s="5">
        <v>26</v>
      </c>
      <c r="C66">
        <f t="shared" si="0"/>
        <v>1</v>
      </c>
      <c r="D66">
        <f t="shared" si="1"/>
        <v>2</v>
      </c>
    </row>
    <row r="67" spans="1:4" x14ac:dyDescent="0.35">
      <c r="A67" s="6">
        <v>44778</v>
      </c>
      <c r="B67" s="7">
        <v>19</v>
      </c>
      <c r="C67">
        <f t="shared" ref="C67:C93" si="2">IF(B67&gt;20,1,0)</f>
        <v>0</v>
      </c>
      <c r="D67">
        <f t="shared" si="1"/>
        <v>0</v>
      </c>
    </row>
    <row r="68" spans="1:4" x14ac:dyDescent="0.35">
      <c r="A68" s="4">
        <v>44779</v>
      </c>
      <c r="B68" s="5">
        <v>21</v>
      </c>
      <c r="C68">
        <f t="shared" si="2"/>
        <v>1</v>
      </c>
      <c r="D68">
        <f t="shared" ref="D68:D93" si="3">IF(C68=1,D67+1,0)</f>
        <v>1</v>
      </c>
    </row>
    <row r="69" spans="1:4" x14ac:dyDescent="0.35">
      <c r="A69" s="6">
        <v>44780</v>
      </c>
      <c r="B69" s="7">
        <v>23</v>
      </c>
      <c r="C69">
        <f t="shared" si="2"/>
        <v>1</v>
      </c>
      <c r="D69">
        <f t="shared" si="3"/>
        <v>2</v>
      </c>
    </row>
    <row r="70" spans="1:4" x14ac:dyDescent="0.35">
      <c r="A70" s="4">
        <v>44781</v>
      </c>
      <c r="B70" s="5">
        <v>27</v>
      </c>
      <c r="C70">
        <f t="shared" si="2"/>
        <v>1</v>
      </c>
      <c r="D70">
        <f t="shared" si="3"/>
        <v>3</v>
      </c>
    </row>
    <row r="71" spans="1:4" x14ac:dyDescent="0.35">
      <c r="A71" s="6">
        <v>44782</v>
      </c>
      <c r="B71" s="7">
        <v>20</v>
      </c>
      <c r="C71">
        <f t="shared" si="2"/>
        <v>0</v>
      </c>
      <c r="D71">
        <f t="shared" si="3"/>
        <v>0</v>
      </c>
    </row>
    <row r="72" spans="1:4" x14ac:dyDescent="0.35">
      <c r="A72" s="4">
        <v>44783</v>
      </c>
      <c r="B72" s="5">
        <v>18</v>
      </c>
      <c r="C72">
        <f t="shared" si="2"/>
        <v>0</v>
      </c>
      <c r="D72">
        <f t="shared" si="3"/>
        <v>0</v>
      </c>
    </row>
    <row r="73" spans="1:4" x14ac:dyDescent="0.35">
      <c r="A73" s="6">
        <v>44784</v>
      </c>
      <c r="B73" s="7">
        <v>17</v>
      </c>
      <c r="C73">
        <f t="shared" si="2"/>
        <v>0</v>
      </c>
      <c r="D73">
        <f t="shared" si="3"/>
        <v>0</v>
      </c>
    </row>
    <row r="74" spans="1:4" x14ac:dyDescent="0.35">
      <c r="A74" s="4">
        <v>44785</v>
      </c>
      <c r="B74" s="5">
        <v>19</v>
      </c>
      <c r="C74">
        <f t="shared" si="2"/>
        <v>0</v>
      </c>
      <c r="D74">
        <f t="shared" si="3"/>
        <v>0</v>
      </c>
    </row>
    <row r="75" spans="1:4" x14ac:dyDescent="0.35">
      <c r="A75" s="6">
        <v>44786</v>
      </c>
      <c r="B75" s="7">
        <v>26</v>
      </c>
      <c r="C75">
        <f t="shared" si="2"/>
        <v>1</v>
      </c>
      <c r="D75">
        <f t="shared" si="3"/>
        <v>1</v>
      </c>
    </row>
    <row r="76" spans="1:4" x14ac:dyDescent="0.35">
      <c r="A76" s="4">
        <v>44787</v>
      </c>
      <c r="B76" s="5">
        <v>21</v>
      </c>
      <c r="C76">
        <f t="shared" si="2"/>
        <v>1</v>
      </c>
      <c r="D76">
        <f t="shared" si="3"/>
        <v>2</v>
      </c>
    </row>
    <row r="77" spans="1:4" x14ac:dyDescent="0.35">
      <c r="A77" s="6">
        <v>44788</v>
      </c>
      <c r="B77" s="7">
        <v>19</v>
      </c>
      <c r="C77">
        <f t="shared" si="2"/>
        <v>0</v>
      </c>
      <c r="D77">
        <f t="shared" si="3"/>
        <v>0</v>
      </c>
    </row>
    <row r="78" spans="1:4" x14ac:dyDescent="0.35">
      <c r="A78" s="4">
        <v>44789</v>
      </c>
      <c r="B78" s="5">
        <v>19</v>
      </c>
      <c r="C78">
        <f t="shared" si="2"/>
        <v>0</v>
      </c>
      <c r="D78">
        <f t="shared" si="3"/>
        <v>0</v>
      </c>
    </row>
    <row r="79" spans="1:4" x14ac:dyDescent="0.35">
      <c r="A79" s="6">
        <v>44790</v>
      </c>
      <c r="B79" s="7">
        <v>21</v>
      </c>
      <c r="C79">
        <f t="shared" si="2"/>
        <v>1</v>
      </c>
      <c r="D79">
        <f t="shared" si="3"/>
        <v>1</v>
      </c>
    </row>
    <row r="80" spans="1:4" x14ac:dyDescent="0.35">
      <c r="A80" s="4">
        <v>44791</v>
      </c>
      <c r="B80" s="5">
        <v>21</v>
      </c>
      <c r="C80">
        <f t="shared" si="2"/>
        <v>1</v>
      </c>
      <c r="D80">
        <f t="shared" si="3"/>
        <v>2</v>
      </c>
    </row>
    <row r="81" spans="1:4" x14ac:dyDescent="0.35">
      <c r="A81" s="6">
        <v>44792</v>
      </c>
      <c r="B81" s="7">
        <v>24</v>
      </c>
      <c r="C81">
        <f t="shared" si="2"/>
        <v>1</v>
      </c>
      <c r="D81">
        <f t="shared" si="3"/>
        <v>3</v>
      </c>
    </row>
    <row r="82" spans="1:4" x14ac:dyDescent="0.35">
      <c r="A82" s="4">
        <v>44793</v>
      </c>
      <c r="B82" s="5">
        <v>26</v>
      </c>
      <c r="C82">
        <f t="shared" si="2"/>
        <v>1</v>
      </c>
      <c r="D82">
        <f t="shared" si="3"/>
        <v>4</v>
      </c>
    </row>
    <row r="83" spans="1:4" x14ac:dyDescent="0.35">
      <c r="A83" s="6">
        <v>44794</v>
      </c>
      <c r="B83" s="7">
        <v>23</v>
      </c>
      <c r="C83">
        <f t="shared" si="2"/>
        <v>1</v>
      </c>
      <c r="D83">
        <f t="shared" si="3"/>
        <v>5</v>
      </c>
    </row>
    <row r="84" spans="1:4" x14ac:dyDescent="0.35">
      <c r="A84" s="4">
        <v>44795</v>
      </c>
      <c r="B84" s="5">
        <v>23</v>
      </c>
      <c r="C84">
        <f t="shared" si="2"/>
        <v>1</v>
      </c>
      <c r="D84">
        <f t="shared" si="3"/>
        <v>6</v>
      </c>
    </row>
    <row r="85" spans="1:4" x14ac:dyDescent="0.35">
      <c r="A85" s="6">
        <v>44796</v>
      </c>
      <c r="B85" s="7">
        <v>24</v>
      </c>
      <c r="C85">
        <f t="shared" si="2"/>
        <v>1</v>
      </c>
      <c r="D85">
        <f t="shared" si="3"/>
        <v>7</v>
      </c>
    </row>
    <row r="86" spans="1:4" x14ac:dyDescent="0.35">
      <c r="A86" s="4">
        <v>44797</v>
      </c>
      <c r="B86" s="5">
        <v>26</v>
      </c>
      <c r="C86">
        <f t="shared" si="2"/>
        <v>1</v>
      </c>
      <c r="D86">
        <f t="shared" si="3"/>
        <v>8</v>
      </c>
    </row>
    <row r="87" spans="1:4" x14ac:dyDescent="0.35">
      <c r="A87" s="6">
        <v>44798</v>
      </c>
      <c r="B87" s="7">
        <v>28</v>
      </c>
      <c r="C87">
        <f t="shared" si="2"/>
        <v>1</v>
      </c>
      <c r="D87">
        <f t="shared" si="3"/>
        <v>9</v>
      </c>
    </row>
    <row r="88" spans="1:4" x14ac:dyDescent="0.35">
      <c r="A88" s="4">
        <v>44799</v>
      </c>
      <c r="B88" s="5">
        <v>32</v>
      </c>
      <c r="C88">
        <f t="shared" si="2"/>
        <v>1</v>
      </c>
      <c r="D88">
        <f t="shared" si="3"/>
        <v>10</v>
      </c>
    </row>
    <row r="89" spans="1:4" x14ac:dyDescent="0.35">
      <c r="A89" s="6">
        <v>44800</v>
      </c>
      <c r="B89" s="7">
        <v>26</v>
      </c>
      <c r="C89">
        <f t="shared" si="2"/>
        <v>1</v>
      </c>
      <c r="D89">
        <f t="shared" si="3"/>
        <v>11</v>
      </c>
    </row>
    <row r="90" spans="1:4" x14ac:dyDescent="0.35">
      <c r="A90" s="4">
        <v>44801</v>
      </c>
      <c r="B90" s="5">
        <v>32</v>
      </c>
      <c r="C90">
        <f t="shared" si="2"/>
        <v>1</v>
      </c>
      <c r="D90">
        <f t="shared" si="3"/>
        <v>12</v>
      </c>
    </row>
    <row r="91" spans="1:4" x14ac:dyDescent="0.35">
      <c r="A91" s="6">
        <v>44802</v>
      </c>
      <c r="B91" s="7">
        <v>23</v>
      </c>
      <c r="C91">
        <f t="shared" si="2"/>
        <v>1</v>
      </c>
      <c r="D91">
        <f t="shared" si="3"/>
        <v>13</v>
      </c>
    </row>
    <row r="92" spans="1:4" x14ac:dyDescent="0.35">
      <c r="A92" s="4">
        <v>44803</v>
      </c>
      <c r="B92" s="5">
        <v>22</v>
      </c>
      <c r="C92">
        <f t="shared" si="2"/>
        <v>1</v>
      </c>
      <c r="D92">
        <f t="shared" si="3"/>
        <v>14</v>
      </c>
    </row>
    <row r="93" spans="1:4" x14ac:dyDescent="0.35">
      <c r="A93" s="8">
        <v>44804</v>
      </c>
      <c r="B93" s="1">
        <v>25</v>
      </c>
      <c r="C93">
        <f t="shared" si="2"/>
        <v>1</v>
      </c>
      <c r="D93">
        <f t="shared" si="3"/>
        <v>15</v>
      </c>
    </row>
  </sheetData>
  <autoFilter ref="A1:D93" xr:uid="{0A8FEBE4-7AD9-450B-B30F-240A3F9A000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DB80-F1CE-415B-AEEF-F2EB2FD775EA}">
  <dimension ref="A1:O93"/>
  <sheetViews>
    <sheetView topLeftCell="E1" workbookViewId="0">
      <selection activeCell="O16" sqref="O16"/>
    </sheetView>
  </sheetViews>
  <sheetFormatPr defaultRowHeight="14.5" x14ac:dyDescent="0.35"/>
  <cols>
    <col min="1" max="1" width="10.54296875" bestFit="1" customWidth="1"/>
    <col min="2" max="2" width="11.54296875" bestFit="1" customWidth="1"/>
    <col min="4" max="4" width="9.36328125" bestFit="1" customWidth="1"/>
    <col min="8" max="8" width="16.54296875" bestFit="1" customWidth="1"/>
    <col min="9" max="9" width="10.7265625" bestFit="1" customWidth="1"/>
    <col min="10" max="10" width="16" bestFit="1" customWidth="1"/>
    <col min="11" max="11" width="13.7265625" bestFit="1" customWidth="1"/>
    <col min="14" max="14" width="9.36328125" bestFit="1" customWidth="1"/>
  </cols>
  <sheetData>
    <row r="1" spans="1:15" x14ac:dyDescent="0.35">
      <c r="A1" s="2" t="s">
        <v>0</v>
      </c>
      <c r="B1" s="3" t="s">
        <v>1</v>
      </c>
      <c r="C1" t="s">
        <v>4</v>
      </c>
      <c r="D1" t="s">
        <v>5</v>
      </c>
      <c r="E1" t="s">
        <v>6</v>
      </c>
      <c r="F1" t="s">
        <v>7</v>
      </c>
    </row>
    <row r="2" spans="1:15" x14ac:dyDescent="0.35">
      <c r="A2" s="4">
        <v>44713</v>
      </c>
      <c r="B2" s="5">
        <v>24</v>
      </c>
      <c r="C2">
        <v>120</v>
      </c>
      <c r="D2">
        <v>80</v>
      </c>
      <c r="E2">
        <v>90</v>
      </c>
      <c r="F2">
        <f>MONTH(A2)</f>
        <v>6</v>
      </c>
    </row>
    <row r="3" spans="1:15" x14ac:dyDescent="0.35">
      <c r="A3" s="6">
        <v>44714</v>
      </c>
      <c r="B3" s="7">
        <v>25</v>
      </c>
      <c r="C3">
        <f>INT($C$2*(1+(2/29*((B3-24)/2))))</f>
        <v>124</v>
      </c>
      <c r="D3">
        <f>INT($D$2*(1+(1/17*((B3-24)/2))))</f>
        <v>82</v>
      </c>
      <c r="E3">
        <f>INT($E$2*(1+(1/13*((B3-24)/2))))</f>
        <v>93</v>
      </c>
      <c r="F3">
        <f t="shared" ref="F3:F66" si="0">MONTH(A3)</f>
        <v>6</v>
      </c>
    </row>
    <row r="4" spans="1:15" x14ac:dyDescent="0.35">
      <c r="A4" s="4">
        <v>44715</v>
      </c>
      <c r="B4" s="5">
        <v>27</v>
      </c>
      <c r="C4">
        <f t="shared" ref="C4:C67" si="1">INT($C$2*(1+(2/29*((B4-24)/2))))</f>
        <v>132</v>
      </c>
      <c r="D4">
        <f t="shared" ref="D4:D67" si="2">INT($D$2*(1+(1/17*((B4-24)/2))))</f>
        <v>87</v>
      </c>
      <c r="E4">
        <f t="shared" ref="E4:E67" si="3">INT($E$2*(1+(1/13*((B4-24)/2))))</f>
        <v>100</v>
      </c>
      <c r="F4">
        <f t="shared" si="0"/>
        <v>6</v>
      </c>
      <c r="H4" s="9" t="s">
        <v>8</v>
      </c>
      <c r="I4" t="s">
        <v>11</v>
      </c>
      <c r="J4" t="s">
        <v>12</v>
      </c>
      <c r="K4" t="s">
        <v>10</v>
      </c>
      <c r="M4" t="s">
        <v>4</v>
      </c>
      <c r="N4" t="s">
        <v>5</v>
      </c>
      <c r="O4" t="s">
        <v>6</v>
      </c>
    </row>
    <row r="5" spans="1:15" x14ac:dyDescent="0.35">
      <c r="A5" s="6">
        <v>44716</v>
      </c>
      <c r="B5" s="7">
        <v>27</v>
      </c>
      <c r="C5">
        <f t="shared" si="1"/>
        <v>132</v>
      </c>
      <c r="D5">
        <f t="shared" si="2"/>
        <v>87</v>
      </c>
      <c r="E5">
        <f t="shared" si="3"/>
        <v>100</v>
      </c>
      <c r="F5">
        <f t="shared" si="0"/>
        <v>6</v>
      </c>
      <c r="H5" s="10" t="s">
        <v>13</v>
      </c>
      <c r="I5" s="11">
        <v>3527</v>
      </c>
      <c r="J5" s="11">
        <v>2355</v>
      </c>
      <c r="K5" s="11">
        <v>2639</v>
      </c>
      <c r="L5" s="10" t="s">
        <v>13</v>
      </c>
      <c r="M5" s="11">
        <v>3527</v>
      </c>
      <c r="N5" s="11">
        <v>2355</v>
      </c>
      <c r="O5" s="11">
        <v>2639</v>
      </c>
    </row>
    <row r="6" spans="1:15" x14ac:dyDescent="0.35">
      <c r="A6" s="4">
        <v>44717</v>
      </c>
      <c r="B6" s="5">
        <v>27</v>
      </c>
      <c r="C6">
        <f t="shared" si="1"/>
        <v>132</v>
      </c>
      <c r="D6">
        <f t="shared" si="2"/>
        <v>87</v>
      </c>
      <c r="E6">
        <f t="shared" si="3"/>
        <v>100</v>
      </c>
      <c r="F6">
        <f t="shared" si="0"/>
        <v>6</v>
      </c>
      <c r="H6" s="10" t="s">
        <v>14</v>
      </c>
      <c r="I6" s="11">
        <v>3675</v>
      </c>
      <c r="J6" s="11">
        <v>2448</v>
      </c>
      <c r="K6" s="11">
        <v>2747</v>
      </c>
      <c r="L6" s="10" t="s">
        <v>14</v>
      </c>
      <c r="M6" s="11">
        <v>3675</v>
      </c>
      <c r="N6" s="11">
        <v>2448</v>
      </c>
      <c r="O6" s="11">
        <v>2747</v>
      </c>
    </row>
    <row r="7" spans="1:15" x14ac:dyDescent="0.35">
      <c r="A7" s="6">
        <v>44718</v>
      </c>
      <c r="B7" s="7">
        <v>22</v>
      </c>
      <c r="C7">
        <f t="shared" si="1"/>
        <v>111</v>
      </c>
      <c r="D7">
        <f t="shared" si="2"/>
        <v>75</v>
      </c>
      <c r="E7">
        <f t="shared" si="3"/>
        <v>83</v>
      </c>
      <c r="F7">
        <f t="shared" si="0"/>
        <v>6</v>
      </c>
      <c r="H7" s="10" t="s">
        <v>15</v>
      </c>
      <c r="I7" s="11">
        <v>3579</v>
      </c>
      <c r="J7" s="11">
        <v>2390</v>
      </c>
      <c r="K7" s="11">
        <v>2665</v>
      </c>
      <c r="L7" s="10" t="s">
        <v>15</v>
      </c>
      <c r="M7" s="11">
        <v>3579</v>
      </c>
      <c r="N7" s="11">
        <v>2390</v>
      </c>
      <c r="O7" s="11">
        <v>2665</v>
      </c>
    </row>
    <row r="8" spans="1:15" x14ac:dyDescent="0.35">
      <c r="A8" s="4">
        <v>44719</v>
      </c>
      <c r="B8" s="5">
        <v>25</v>
      </c>
      <c r="C8">
        <f t="shared" si="1"/>
        <v>124</v>
      </c>
      <c r="D8">
        <f t="shared" si="2"/>
        <v>82</v>
      </c>
      <c r="E8">
        <f t="shared" si="3"/>
        <v>93</v>
      </c>
      <c r="F8">
        <f t="shared" si="0"/>
        <v>6</v>
      </c>
      <c r="H8" s="10" t="s">
        <v>9</v>
      </c>
      <c r="I8" s="11">
        <v>10781</v>
      </c>
      <c r="J8" s="11">
        <v>7193</v>
      </c>
      <c r="K8" s="11">
        <v>8051</v>
      </c>
    </row>
    <row r="9" spans="1:15" x14ac:dyDescent="0.35">
      <c r="A9" s="6">
        <v>44720</v>
      </c>
      <c r="B9" s="7">
        <v>25</v>
      </c>
      <c r="C9">
        <f t="shared" si="1"/>
        <v>124</v>
      </c>
      <c r="D9">
        <f t="shared" si="2"/>
        <v>82</v>
      </c>
      <c r="E9">
        <f t="shared" si="3"/>
        <v>93</v>
      </c>
      <c r="F9">
        <f t="shared" si="0"/>
        <v>6</v>
      </c>
    </row>
    <row r="10" spans="1:15" x14ac:dyDescent="0.35">
      <c r="A10" s="4">
        <v>44721</v>
      </c>
      <c r="B10" s="5">
        <v>21</v>
      </c>
      <c r="C10">
        <f t="shared" si="1"/>
        <v>107</v>
      </c>
      <c r="D10">
        <f t="shared" si="2"/>
        <v>72</v>
      </c>
      <c r="E10">
        <f t="shared" si="3"/>
        <v>79</v>
      </c>
      <c r="F10">
        <f t="shared" si="0"/>
        <v>6</v>
      </c>
    </row>
    <row r="11" spans="1:15" x14ac:dyDescent="0.35">
      <c r="A11" s="6">
        <v>44722</v>
      </c>
      <c r="B11" s="7">
        <v>21</v>
      </c>
      <c r="C11">
        <f t="shared" si="1"/>
        <v>107</v>
      </c>
      <c r="D11">
        <f t="shared" si="2"/>
        <v>72</v>
      </c>
      <c r="E11">
        <f t="shared" si="3"/>
        <v>79</v>
      </c>
      <c r="F11">
        <f t="shared" si="0"/>
        <v>6</v>
      </c>
    </row>
    <row r="12" spans="1:15" x14ac:dyDescent="0.35">
      <c r="A12" s="4">
        <v>44723</v>
      </c>
      <c r="B12" s="5">
        <v>19</v>
      </c>
      <c r="C12">
        <f t="shared" si="1"/>
        <v>99</v>
      </c>
      <c r="D12">
        <f t="shared" si="2"/>
        <v>68</v>
      </c>
      <c r="E12">
        <f t="shared" si="3"/>
        <v>72</v>
      </c>
      <c r="F12">
        <f t="shared" si="0"/>
        <v>6</v>
      </c>
    </row>
    <row r="13" spans="1:15" x14ac:dyDescent="0.35">
      <c r="A13" s="6">
        <v>44724</v>
      </c>
      <c r="B13" s="7">
        <v>19</v>
      </c>
      <c r="C13">
        <f t="shared" si="1"/>
        <v>99</v>
      </c>
      <c r="D13">
        <f t="shared" si="2"/>
        <v>68</v>
      </c>
      <c r="E13">
        <f t="shared" si="3"/>
        <v>72</v>
      </c>
      <c r="F13">
        <f t="shared" si="0"/>
        <v>6</v>
      </c>
    </row>
    <row r="14" spans="1:15" x14ac:dyDescent="0.35">
      <c r="A14" s="4">
        <v>44725</v>
      </c>
      <c r="B14" s="5">
        <v>15</v>
      </c>
      <c r="C14">
        <f t="shared" si="1"/>
        <v>82</v>
      </c>
      <c r="D14">
        <f t="shared" si="2"/>
        <v>58</v>
      </c>
      <c r="E14">
        <f t="shared" si="3"/>
        <v>58</v>
      </c>
      <c r="F14">
        <f t="shared" si="0"/>
        <v>6</v>
      </c>
    </row>
    <row r="15" spans="1:15" x14ac:dyDescent="0.35">
      <c r="A15" s="6">
        <v>44726</v>
      </c>
      <c r="B15" s="7">
        <v>21</v>
      </c>
      <c r="C15">
        <f t="shared" si="1"/>
        <v>107</v>
      </c>
      <c r="D15">
        <f t="shared" si="2"/>
        <v>72</v>
      </c>
      <c r="E15">
        <f t="shared" si="3"/>
        <v>79</v>
      </c>
      <c r="F15">
        <f t="shared" si="0"/>
        <v>6</v>
      </c>
    </row>
    <row r="16" spans="1:15" x14ac:dyDescent="0.35">
      <c r="A16" s="4">
        <v>44727</v>
      </c>
      <c r="B16" s="5">
        <v>23</v>
      </c>
      <c r="C16">
        <f t="shared" si="1"/>
        <v>115</v>
      </c>
      <c r="D16">
        <f t="shared" si="2"/>
        <v>77</v>
      </c>
      <c r="E16">
        <f t="shared" si="3"/>
        <v>86</v>
      </c>
      <c r="F16">
        <f t="shared" si="0"/>
        <v>6</v>
      </c>
    </row>
    <row r="17" spans="1:6" x14ac:dyDescent="0.35">
      <c r="A17" s="6">
        <v>44728</v>
      </c>
      <c r="B17" s="7">
        <v>23</v>
      </c>
      <c r="C17">
        <f t="shared" si="1"/>
        <v>115</v>
      </c>
      <c r="D17">
        <f t="shared" si="2"/>
        <v>77</v>
      </c>
      <c r="E17">
        <f t="shared" si="3"/>
        <v>86</v>
      </c>
      <c r="F17">
        <f t="shared" si="0"/>
        <v>6</v>
      </c>
    </row>
    <row r="18" spans="1:6" x14ac:dyDescent="0.35">
      <c r="A18" s="4">
        <v>44729</v>
      </c>
      <c r="B18" s="5">
        <v>16</v>
      </c>
      <c r="C18">
        <f t="shared" si="1"/>
        <v>86</v>
      </c>
      <c r="D18">
        <f t="shared" si="2"/>
        <v>61</v>
      </c>
      <c r="E18">
        <f t="shared" si="3"/>
        <v>62</v>
      </c>
      <c r="F18">
        <f t="shared" si="0"/>
        <v>6</v>
      </c>
    </row>
    <row r="19" spans="1:6" x14ac:dyDescent="0.35">
      <c r="A19" s="6">
        <v>44730</v>
      </c>
      <c r="B19" s="7">
        <v>21</v>
      </c>
      <c r="C19">
        <f t="shared" si="1"/>
        <v>107</v>
      </c>
      <c r="D19">
        <f t="shared" si="2"/>
        <v>72</v>
      </c>
      <c r="E19">
        <f t="shared" si="3"/>
        <v>79</v>
      </c>
      <c r="F19">
        <f t="shared" si="0"/>
        <v>6</v>
      </c>
    </row>
    <row r="20" spans="1:6" x14ac:dyDescent="0.35">
      <c r="A20" s="4">
        <v>44731</v>
      </c>
      <c r="B20" s="5">
        <v>22</v>
      </c>
      <c r="C20">
        <f t="shared" si="1"/>
        <v>111</v>
      </c>
      <c r="D20">
        <f t="shared" si="2"/>
        <v>75</v>
      </c>
      <c r="E20">
        <f t="shared" si="3"/>
        <v>83</v>
      </c>
      <c r="F20">
        <f t="shared" si="0"/>
        <v>6</v>
      </c>
    </row>
    <row r="21" spans="1:6" x14ac:dyDescent="0.35">
      <c r="A21" s="6">
        <v>44732</v>
      </c>
      <c r="B21" s="7">
        <v>22</v>
      </c>
      <c r="C21">
        <f t="shared" si="1"/>
        <v>111</v>
      </c>
      <c r="D21">
        <f t="shared" si="2"/>
        <v>75</v>
      </c>
      <c r="E21">
        <f t="shared" si="3"/>
        <v>83</v>
      </c>
      <c r="F21">
        <f t="shared" si="0"/>
        <v>6</v>
      </c>
    </row>
    <row r="22" spans="1:6" x14ac:dyDescent="0.35">
      <c r="A22" s="4">
        <v>44733</v>
      </c>
      <c r="B22" s="5">
        <v>22</v>
      </c>
      <c r="C22">
        <f t="shared" si="1"/>
        <v>111</v>
      </c>
      <c r="D22">
        <f t="shared" si="2"/>
        <v>75</v>
      </c>
      <c r="E22">
        <f t="shared" si="3"/>
        <v>83</v>
      </c>
      <c r="F22">
        <f t="shared" si="0"/>
        <v>6</v>
      </c>
    </row>
    <row r="23" spans="1:6" x14ac:dyDescent="0.35">
      <c r="A23" s="6">
        <v>44734</v>
      </c>
      <c r="B23" s="7">
        <v>28</v>
      </c>
      <c r="C23">
        <f t="shared" si="1"/>
        <v>136</v>
      </c>
      <c r="D23">
        <f t="shared" si="2"/>
        <v>89</v>
      </c>
      <c r="E23">
        <f t="shared" si="3"/>
        <v>103</v>
      </c>
      <c r="F23">
        <f t="shared" si="0"/>
        <v>6</v>
      </c>
    </row>
    <row r="24" spans="1:6" x14ac:dyDescent="0.35">
      <c r="A24" s="4">
        <v>44735</v>
      </c>
      <c r="B24" s="5">
        <v>31</v>
      </c>
      <c r="C24">
        <f t="shared" si="1"/>
        <v>148</v>
      </c>
      <c r="D24">
        <f t="shared" si="2"/>
        <v>96</v>
      </c>
      <c r="E24">
        <f t="shared" si="3"/>
        <v>114</v>
      </c>
      <c r="F24">
        <f t="shared" si="0"/>
        <v>6</v>
      </c>
    </row>
    <row r="25" spans="1:6" x14ac:dyDescent="0.35">
      <c r="A25" s="6">
        <v>44736</v>
      </c>
      <c r="B25" s="7">
        <v>33</v>
      </c>
      <c r="C25">
        <f t="shared" si="1"/>
        <v>157</v>
      </c>
      <c r="D25">
        <f t="shared" si="2"/>
        <v>101</v>
      </c>
      <c r="E25">
        <f t="shared" si="3"/>
        <v>121</v>
      </c>
      <c r="F25">
        <f t="shared" si="0"/>
        <v>6</v>
      </c>
    </row>
    <row r="26" spans="1:6" x14ac:dyDescent="0.35">
      <c r="A26" s="4">
        <v>44737</v>
      </c>
      <c r="B26" s="5">
        <v>33</v>
      </c>
      <c r="C26">
        <f t="shared" si="1"/>
        <v>157</v>
      </c>
      <c r="D26">
        <f t="shared" si="2"/>
        <v>101</v>
      </c>
      <c r="E26">
        <f t="shared" si="3"/>
        <v>121</v>
      </c>
      <c r="F26">
        <f t="shared" si="0"/>
        <v>6</v>
      </c>
    </row>
    <row r="27" spans="1:6" x14ac:dyDescent="0.35">
      <c r="A27" s="6">
        <v>44738</v>
      </c>
      <c r="B27" s="7">
        <v>23</v>
      </c>
      <c r="C27">
        <f t="shared" si="1"/>
        <v>115</v>
      </c>
      <c r="D27">
        <f t="shared" si="2"/>
        <v>77</v>
      </c>
      <c r="E27">
        <f t="shared" si="3"/>
        <v>86</v>
      </c>
      <c r="F27">
        <f t="shared" si="0"/>
        <v>6</v>
      </c>
    </row>
    <row r="28" spans="1:6" x14ac:dyDescent="0.35">
      <c r="A28" s="4">
        <v>44739</v>
      </c>
      <c r="B28" s="5">
        <v>23</v>
      </c>
      <c r="C28">
        <f t="shared" si="1"/>
        <v>115</v>
      </c>
      <c r="D28">
        <f t="shared" si="2"/>
        <v>77</v>
      </c>
      <c r="E28">
        <f t="shared" si="3"/>
        <v>86</v>
      </c>
      <c r="F28">
        <f t="shared" si="0"/>
        <v>6</v>
      </c>
    </row>
    <row r="29" spans="1:6" x14ac:dyDescent="0.35">
      <c r="A29" s="6">
        <v>44740</v>
      </c>
      <c r="B29" s="7">
        <v>19</v>
      </c>
      <c r="C29">
        <f t="shared" si="1"/>
        <v>99</v>
      </c>
      <c r="D29">
        <f t="shared" si="2"/>
        <v>68</v>
      </c>
      <c r="E29">
        <f t="shared" si="3"/>
        <v>72</v>
      </c>
      <c r="F29">
        <f t="shared" si="0"/>
        <v>6</v>
      </c>
    </row>
    <row r="30" spans="1:6" x14ac:dyDescent="0.35">
      <c r="A30" s="4">
        <v>44741</v>
      </c>
      <c r="B30" s="5">
        <v>24</v>
      </c>
      <c r="C30">
        <f t="shared" si="1"/>
        <v>120</v>
      </c>
      <c r="D30">
        <f t="shared" si="2"/>
        <v>80</v>
      </c>
      <c r="E30">
        <f t="shared" si="3"/>
        <v>90</v>
      </c>
      <c r="F30">
        <f t="shared" si="0"/>
        <v>6</v>
      </c>
    </row>
    <row r="31" spans="1:6" x14ac:dyDescent="0.35">
      <c r="A31" s="6">
        <v>44742</v>
      </c>
      <c r="B31" s="7">
        <v>25</v>
      </c>
      <c r="C31">
        <f t="shared" si="1"/>
        <v>124</v>
      </c>
      <c r="D31">
        <f t="shared" si="2"/>
        <v>82</v>
      </c>
      <c r="E31">
        <f t="shared" si="3"/>
        <v>93</v>
      </c>
      <c r="F31">
        <f t="shared" si="0"/>
        <v>6</v>
      </c>
    </row>
    <row r="32" spans="1:6" x14ac:dyDescent="0.35">
      <c r="A32" s="4">
        <v>44743</v>
      </c>
      <c r="B32" s="5">
        <v>27</v>
      </c>
      <c r="C32">
        <f t="shared" si="1"/>
        <v>132</v>
      </c>
      <c r="D32">
        <f t="shared" si="2"/>
        <v>87</v>
      </c>
      <c r="E32">
        <f t="shared" si="3"/>
        <v>100</v>
      </c>
      <c r="F32">
        <f t="shared" si="0"/>
        <v>7</v>
      </c>
    </row>
    <row r="33" spans="1:6" x14ac:dyDescent="0.35">
      <c r="A33" s="6">
        <v>44744</v>
      </c>
      <c r="B33" s="7">
        <v>27</v>
      </c>
      <c r="C33">
        <f t="shared" si="1"/>
        <v>132</v>
      </c>
      <c r="D33">
        <f t="shared" si="2"/>
        <v>87</v>
      </c>
      <c r="E33">
        <f t="shared" si="3"/>
        <v>100</v>
      </c>
      <c r="F33">
        <f t="shared" si="0"/>
        <v>7</v>
      </c>
    </row>
    <row r="34" spans="1:6" x14ac:dyDescent="0.35">
      <c r="A34" s="4">
        <v>44745</v>
      </c>
      <c r="B34" s="5">
        <v>21</v>
      </c>
      <c r="C34">
        <f t="shared" si="1"/>
        <v>107</v>
      </c>
      <c r="D34">
        <f t="shared" si="2"/>
        <v>72</v>
      </c>
      <c r="E34">
        <f t="shared" si="3"/>
        <v>79</v>
      </c>
      <c r="F34">
        <f t="shared" si="0"/>
        <v>7</v>
      </c>
    </row>
    <row r="35" spans="1:6" x14ac:dyDescent="0.35">
      <c r="A35" s="6">
        <v>44746</v>
      </c>
      <c r="B35" s="7">
        <v>21</v>
      </c>
      <c r="C35">
        <f t="shared" si="1"/>
        <v>107</v>
      </c>
      <c r="D35">
        <f t="shared" si="2"/>
        <v>72</v>
      </c>
      <c r="E35">
        <f t="shared" si="3"/>
        <v>79</v>
      </c>
      <c r="F35">
        <f t="shared" si="0"/>
        <v>7</v>
      </c>
    </row>
    <row r="36" spans="1:6" x14ac:dyDescent="0.35">
      <c r="A36" s="4">
        <v>44747</v>
      </c>
      <c r="B36" s="5">
        <v>25</v>
      </c>
      <c r="C36">
        <f t="shared" si="1"/>
        <v>124</v>
      </c>
      <c r="D36">
        <f t="shared" si="2"/>
        <v>82</v>
      </c>
      <c r="E36">
        <f t="shared" si="3"/>
        <v>93</v>
      </c>
      <c r="F36">
        <f t="shared" si="0"/>
        <v>7</v>
      </c>
    </row>
    <row r="37" spans="1:6" x14ac:dyDescent="0.35">
      <c r="A37" s="6">
        <v>44748</v>
      </c>
      <c r="B37" s="7">
        <v>19</v>
      </c>
      <c r="C37">
        <f t="shared" si="1"/>
        <v>99</v>
      </c>
      <c r="D37">
        <f t="shared" si="2"/>
        <v>68</v>
      </c>
      <c r="E37">
        <f t="shared" si="3"/>
        <v>72</v>
      </c>
      <c r="F37">
        <f t="shared" si="0"/>
        <v>7</v>
      </c>
    </row>
    <row r="38" spans="1:6" x14ac:dyDescent="0.35">
      <c r="A38" s="4">
        <v>44749</v>
      </c>
      <c r="B38" s="5">
        <v>21</v>
      </c>
      <c r="C38">
        <f t="shared" si="1"/>
        <v>107</v>
      </c>
      <c r="D38">
        <f t="shared" si="2"/>
        <v>72</v>
      </c>
      <c r="E38">
        <f t="shared" si="3"/>
        <v>79</v>
      </c>
      <c r="F38">
        <f t="shared" si="0"/>
        <v>7</v>
      </c>
    </row>
    <row r="39" spans="1:6" x14ac:dyDescent="0.35">
      <c r="A39" s="6">
        <v>44750</v>
      </c>
      <c r="B39" s="7">
        <v>24</v>
      </c>
      <c r="C39">
        <f t="shared" si="1"/>
        <v>120</v>
      </c>
      <c r="D39">
        <f t="shared" si="2"/>
        <v>80</v>
      </c>
      <c r="E39">
        <f t="shared" si="3"/>
        <v>90</v>
      </c>
      <c r="F39">
        <f t="shared" si="0"/>
        <v>7</v>
      </c>
    </row>
    <row r="40" spans="1:6" x14ac:dyDescent="0.35">
      <c r="A40" s="4">
        <v>44751</v>
      </c>
      <c r="B40" s="5">
        <v>19</v>
      </c>
      <c r="C40">
        <f t="shared" si="1"/>
        <v>99</v>
      </c>
      <c r="D40">
        <f t="shared" si="2"/>
        <v>68</v>
      </c>
      <c r="E40">
        <f t="shared" si="3"/>
        <v>72</v>
      </c>
      <c r="F40">
        <f t="shared" si="0"/>
        <v>7</v>
      </c>
    </row>
    <row r="41" spans="1:6" x14ac:dyDescent="0.35">
      <c r="A41" s="6">
        <v>44752</v>
      </c>
      <c r="B41" s="7">
        <v>28</v>
      </c>
      <c r="C41">
        <f t="shared" si="1"/>
        <v>136</v>
      </c>
      <c r="D41">
        <f t="shared" si="2"/>
        <v>89</v>
      </c>
      <c r="E41">
        <f t="shared" si="3"/>
        <v>103</v>
      </c>
      <c r="F41">
        <f t="shared" si="0"/>
        <v>7</v>
      </c>
    </row>
    <row r="42" spans="1:6" x14ac:dyDescent="0.35">
      <c r="A42" s="4">
        <v>44753</v>
      </c>
      <c r="B42" s="5">
        <v>27</v>
      </c>
      <c r="C42">
        <f t="shared" si="1"/>
        <v>132</v>
      </c>
      <c r="D42">
        <f t="shared" si="2"/>
        <v>87</v>
      </c>
      <c r="E42">
        <f t="shared" si="3"/>
        <v>100</v>
      </c>
      <c r="F42">
        <f t="shared" si="0"/>
        <v>7</v>
      </c>
    </row>
    <row r="43" spans="1:6" x14ac:dyDescent="0.35">
      <c r="A43" s="6">
        <v>44754</v>
      </c>
      <c r="B43" s="7">
        <v>24</v>
      </c>
      <c r="C43">
        <f t="shared" si="1"/>
        <v>120</v>
      </c>
      <c r="D43">
        <f t="shared" si="2"/>
        <v>80</v>
      </c>
      <c r="E43">
        <f t="shared" si="3"/>
        <v>90</v>
      </c>
      <c r="F43">
        <f t="shared" si="0"/>
        <v>7</v>
      </c>
    </row>
    <row r="44" spans="1:6" x14ac:dyDescent="0.35">
      <c r="A44" s="4">
        <v>44755</v>
      </c>
      <c r="B44" s="5">
        <v>22</v>
      </c>
      <c r="C44">
        <f t="shared" si="1"/>
        <v>111</v>
      </c>
      <c r="D44">
        <f t="shared" si="2"/>
        <v>75</v>
      </c>
      <c r="E44">
        <f t="shared" si="3"/>
        <v>83</v>
      </c>
      <c r="F44">
        <f t="shared" si="0"/>
        <v>7</v>
      </c>
    </row>
    <row r="45" spans="1:6" x14ac:dyDescent="0.35">
      <c r="A45" s="6">
        <v>44756</v>
      </c>
      <c r="B45" s="7">
        <v>17</v>
      </c>
      <c r="C45">
        <f t="shared" si="1"/>
        <v>91</v>
      </c>
      <c r="D45">
        <f t="shared" si="2"/>
        <v>63</v>
      </c>
      <c r="E45">
        <f t="shared" si="3"/>
        <v>65</v>
      </c>
      <c r="F45">
        <f t="shared" si="0"/>
        <v>7</v>
      </c>
    </row>
    <row r="46" spans="1:6" x14ac:dyDescent="0.35">
      <c r="A46" s="4">
        <v>44757</v>
      </c>
      <c r="B46" s="5">
        <v>18</v>
      </c>
      <c r="C46">
        <f t="shared" si="1"/>
        <v>95</v>
      </c>
      <c r="D46">
        <f t="shared" si="2"/>
        <v>65</v>
      </c>
      <c r="E46">
        <f t="shared" si="3"/>
        <v>69</v>
      </c>
      <c r="F46">
        <f t="shared" si="0"/>
        <v>7</v>
      </c>
    </row>
    <row r="47" spans="1:6" x14ac:dyDescent="0.35">
      <c r="A47" s="6">
        <v>44758</v>
      </c>
      <c r="B47" s="7">
        <v>23</v>
      </c>
      <c r="C47">
        <f t="shared" si="1"/>
        <v>115</v>
      </c>
      <c r="D47">
        <f t="shared" si="2"/>
        <v>77</v>
      </c>
      <c r="E47">
        <f t="shared" si="3"/>
        <v>86</v>
      </c>
      <c r="F47">
        <f t="shared" si="0"/>
        <v>7</v>
      </c>
    </row>
    <row r="48" spans="1:6" x14ac:dyDescent="0.35">
      <c r="A48" s="4">
        <v>44759</v>
      </c>
      <c r="B48" s="5">
        <v>23</v>
      </c>
      <c r="C48">
        <f t="shared" si="1"/>
        <v>115</v>
      </c>
      <c r="D48">
        <f t="shared" si="2"/>
        <v>77</v>
      </c>
      <c r="E48">
        <f t="shared" si="3"/>
        <v>86</v>
      </c>
      <c r="F48">
        <f t="shared" si="0"/>
        <v>7</v>
      </c>
    </row>
    <row r="49" spans="1:6" x14ac:dyDescent="0.35">
      <c r="A49" s="6">
        <v>44760</v>
      </c>
      <c r="B49" s="7">
        <v>19</v>
      </c>
      <c r="C49">
        <f t="shared" si="1"/>
        <v>99</v>
      </c>
      <c r="D49">
        <f t="shared" si="2"/>
        <v>68</v>
      </c>
      <c r="E49">
        <f t="shared" si="3"/>
        <v>72</v>
      </c>
      <c r="F49">
        <f t="shared" si="0"/>
        <v>7</v>
      </c>
    </row>
    <row r="50" spans="1:6" x14ac:dyDescent="0.35">
      <c r="A50" s="4">
        <v>44761</v>
      </c>
      <c r="B50" s="5">
        <v>21</v>
      </c>
      <c r="C50">
        <f t="shared" si="1"/>
        <v>107</v>
      </c>
      <c r="D50">
        <f t="shared" si="2"/>
        <v>72</v>
      </c>
      <c r="E50">
        <f t="shared" si="3"/>
        <v>79</v>
      </c>
      <c r="F50">
        <f t="shared" si="0"/>
        <v>7</v>
      </c>
    </row>
    <row r="51" spans="1:6" x14ac:dyDescent="0.35">
      <c r="A51" s="6">
        <v>44762</v>
      </c>
      <c r="B51" s="7">
        <v>25</v>
      </c>
      <c r="C51">
        <f t="shared" si="1"/>
        <v>124</v>
      </c>
      <c r="D51">
        <f t="shared" si="2"/>
        <v>82</v>
      </c>
      <c r="E51">
        <f t="shared" si="3"/>
        <v>93</v>
      </c>
      <c r="F51">
        <f t="shared" si="0"/>
        <v>7</v>
      </c>
    </row>
    <row r="52" spans="1:6" x14ac:dyDescent="0.35">
      <c r="A52" s="4">
        <v>44763</v>
      </c>
      <c r="B52" s="5">
        <v>28</v>
      </c>
      <c r="C52">
        <f t="shared" si="1"/>
        <v>136</v>
      </c>
      <c r="D52">
        <f t="shared" si="2"/>
        <v>89</v>
      </c>
      <c r="E52">
        <f t="shared" si="3"/>
        <v>103</v>
      </c>
      <c r="F52">
        <f t="shared" si="0"/>
        <v>7</v>
      </c>
    </row>
    <row r="53" spans="1:6" x14ac:dyDescent="0.35">
      <c r="A53" s="6">
        <v>44764</v>
      </c>
      <c r="B53" s="7">
        <v>27</v>
      </c>
      <c r="C53">
        <f t="shared" si="1"/>
        <v>132</v>
      </c>
      <c r="D53">
        <f t="shared" si="2"/>
        <v>87</v>
      </c>
      <c r="E53">
        <f t="shared" si="3"/>
        <v>100</v>
      </c>
      <c r="F53">
        <f t="shared" si="0"/>
        <v>7</v>
      </c>
    </row>
    <row r="54" spans="1:6" x14ac:dyDescent="0.35">
      <c r="A54" s="4">
        <v>44765</v>
      </c>
      <c r="B54" s="5">
        <v>23</v>
      </c>
      <c r="C54">
        <f t="shared" si="1"/>
        <v>115</v>
      </c>
      <c r="D54">
        <f t="shared" si="2"/>
        <v>77</v>
      </c>
      <c r="E54">
        <f t="shared" si="3"/>
        <v>86</v>
      </c>
      <c r="F54">
        <f t="shared" si="0"/>
        <v>7</v>
      </c>
    </row>
    <row r="55" spans="1:6" x14ac:dyDescent="0.35">
      <c r="A55" s="6">
        <v>44766</v>
      </c>
      <c r="B55" s="7">
        <v>26</v>
      </c>
      <c r="C55">
        <f t="shared" si="1"/>
        <v>128</v>
      </c>
      <c r="D55">
        <f t="shared" si="2"/>
        <v>84</v>
      </c>
      <c r="E55">
        <f t="shared" si="3"/>
        <v>96</v>
      </c>
      <c r="F55">
        <f t="shared" si="0"/>
        <v>7</v>
      </c>
    </row>
    <row r="56" spans="1:6" x14ac:dyDescent="0.35">
      <c r="A56" s="4">
        <v>44767</v>
      </c>
      <c r="B56" s="5">
        <v>29</v>
      </c>
      <c r="C56">
        <f t="shared" si="1"/>
        <v>140</v>
      </c>
      <c r="D56">
        <f t="shared" si="2"/>
        <v>91</v>
      </c>
      <c r="E56">
        <f t="shared" si="3"/>
        <v>107</v>
      </c>
      <c r="F56">
        <f t="shared" si="0"/>
        <v>7</v>
      </c>
    </row>
    <row r="57" spans="1:6" x14ac:dyDescent="0.35">
      <c r="A57" s="6">
        <v>44768</v>
      </c>
      <c r="B57" s="7">
        <v>26</v>
      </c>
      <c r="C57">
        <f t="shared" si="1"/>
        <v>128</v>
      </c>
      <c r="D57">
        <f t="shared" si="2"/>
        <v>84</v>
      </c>
      <c r="E57">
        <f t="shared" si="3"/>
        <v>96</v>
      </c>
      <c r="F57">
        <f t="shared" si="0"/>
        <v>7</v>
      </c>
    </row>
    <row r="58" spans="1:6" x14ac:dyDescent="0.35">
      <c r="A58" s="4">
        <v>44769</v>
      </c>
      <c r="B58" s="5">
        <v>27</v>
      </c>
      <c r="C58">
        <f t="shared" si="1"/>
        <v>132</v>
      </c>
      <c r="D58">
        <f t="shared" si="2"/>
        <v>87</v>
      </c>
      <c r="E58">
        <f t="shared" si="3"/>
        <v>100</v>
      </c>
      <c r="F58">
        <f t="shared" si="0"/>
        <v>7</v>
      </c>
    </row>
    <row r="59" spans="1:6" x14ac:dyDescent="0.35">
      <c r="A59" s="6">
        <v>44770</v>
      </c>
      <c r="B59" s="7">
        <v>24</v>
      </c>
      <c r="C59">
        <f t="shared" si="1"/>
        <v>120</v>
      </c>
      <c r="D59">
        <f t="shared" si="2"/>
        <v>80</v>
      </c>
      <c r="E59">
        <f t="shared" si="3"/>
        <v>90</v>
      </c>
      <c r="F59">
        <f t="shared" si="0"/>
        <v>7</v>
      </c>
    </row>
    <row r="60" spans="1:6" x14ac:dyDescent="0.35">
      <c r="A60" s="4">
        <v>44771</v>
      </c>
      <c r="B60" s="5">
        <v>26</v>
      </c>
      <c r="C60">
        <f t="shared" si="1"/>
        <v>128</v>
      </c>
      <c r="D60">
        <f t="shared" si="2"/>
        <v>84</v>
      </c>
      <c r="E60">
        <f t="shared" si="3"/>
        <v>96</v>
      </c>
      <c r="F60">
        <f t="shared" si="0"/>
        <v>7</v>
      </c>
    </row>
    <row r="61" spans="1:6" x14ac:dyDescent="0.35">
      <c r="A61" s="6">
        <v>44772</v>
      </c>
      <c r="B61" s="7">
        <v>25</v>
      </c>
      <c r="C61">
        <f t="shared" si="1"/>
        <v>124</v>
      </c>
      <c r="D61">
        <f t="shared" si="2"/>
        <v>82</v>
      </c>
      <c r="E61">
        <f t="shared" si="3"/>
        <v>93</v>
      </c>
      <c r="F61">
        <f t="shared" si="0"/>
        <v>7</v>
      </c>
    </row>
    <row r="62" spans="1:6" x14ac:dyDescent="0.35">
      <c r="A62" s="4">
        <v>44773</v>
      </c>
      <c r="B62" s="5">
        <v>24</v>
      </c>
      <c r="C62">
        <f t="shared" si="1"/>
        <v>120</v>
      </c>
      <c r="D62">
        <f t="shared" si="2"/>
        <v>80</v>
      </c>
      <c r="E62">
        <f t="shared" si="3"/>
        <v>90</v>
      </c>
      <c r="F62">
        <f t="shared" si="0"/>
        <v>7</v>
      </c>
    </row>
    <row r="63" spans="1:6" x14ac:dyDescent="0.35">
      <c r="A63" s="6">
        <v>44774</v>
      </c>
      <c r="B63" s="7">
        <v>22</v>
      </c>
      <c r="C63">
        <f t="shared" si="1"/>
        <v>111</v>
      </c>
      <c r="D63">
        <f t="shared" si="2"/>
        <v>75</v>
      </c>
      <c r="E63">
        <f t="shared" si="3"/>
        <v>83</v>
      </c>
      <c r="F63">
        <f t="shared" si="0"/>
        <v>8</v>
      </c>
    </row>
    <row r="64" spans="1:6" x14ac:dyDescent="0.35">
      <c r="A64" s="4">
        <v>44775</v>
      </c>
      <c r="B64" s="5">
        <v>19</v>
      </c>
      <c r="C64">
        <f t="shared" si="1"/>
        <v>99</v>
      </c>
      <c r="D64">
        <f t="shared" si="2"/>
        <v>68</v>
      </c>
      <c r="E64">
        <f t="shared" si="3"/>
        <v>72</v>
      </c>
      <c r="F64">
        <f t="shared" si="0"/>
        <v>8</v>
      </c>
    </row>
    <row r="65" spans="1:6" x14ac:dyDescent="0.35">
      <c r="A65" s="6">
        <v>44776</v>
      </c>
      <c r="B65" s="7">
        <v>21</v>
      </c>
      <c r="C65">
        <f t="shared" si="1"/>
        <v>107</v>
      </c>
      <c r="D65">
        <f t="shared" si="2"/>
        <v>72</v>
      </c>
      <c r="E65">
        <f t="shared" si="3"/>
        <v>79</v>
      </c>
      <c r="F65">
        <f t="shared" si="0"/>
        <v>8</v>
      </c>
    </row>
    <row r="66" spans="1:6" x14ac:dyDescent="0.35">
      <c r="A66" s="4">
        <v>44777</v>
      </c>
      <c r="B66" s="5">
        <v>26</v>
      </c>
      <c r="C66">
        <f t="shared" si="1"/>
        <v>128</v>
      </c>
      <c r="D66">
        <f t="shared" si="2"/>
        <v>84</v>
      </c>
      <c r="E66">
        <f t="shared" si="3"/>
        <v>96</v>
      </c>
      <c r="F66">
        <f t="shared" si="0"/>
        <v>8</v>
      </c>
    </row>
    <row r="67" spans="1:6" x14ac:dyDescent="0.35">
      <c r="A67" s="6">
        <v>44778</v>
      </c>
      <c r="B67" s="7">
        <v>19</v>
      </c>
      <c r="C67">
        <f t="shared" si="1"/>
        <v>99</v>
      </c>
      <c r="D67">
        <f t="shared" si="2"/>
        <v>68</v>
      </c>
      <c r="E67">
        <f t="shared" si="3"/>
        <v>72</v>
      </c>
      <c r="F67">
        <f t="shared" ref="F67:F93" si="4">MONTH(A67)</f>
        <v>8</v>
      </c>
    </row>
    <row r="68" spans="1:6" x14ac:dyDescent="0.35">
      <c r="A68" s="4">
        <v>44779</v>
      </c>
      <c r="B68" s="5">
        <v>21</v>
      </c>
      <c r="C68">
        <f t="shared" ref="C68:C93" si="5">INT($C$2*(1+(2/29*((B68-24)/2))))</f>
        <v>107</v>
      </c>
      <c r="D68">
        <f t="shared" ref="D68:D93" si="6">INT($D$2*(1+(1/17*((B68-24)/2))))</f>
        <v>72</v>
      </c>
      <c r="E68">
        <f t="shared" ref="E68:E93" si="7">INT($E$2*(1+(1/13*((B68-24)/2))))</f>
        <v>79</v>
      </c>
      <c r="F68">
        <f t="shared" si="4"/>
        <v>8</v>
      </c>
    </row>
    <row r="69" spans="1:6" x14ac:dyDescent="0.35">
      <c r="A69" s="6">
        <v>44780</v>
      </c>
      <c r="B69" s="7">
        <v>23</v>
      </c>
      <c r="C69">
        <f t="shared" si="5"/>
        <v>115</v>
      </c>
      <c r="D69">
        <f t="shared" si="6"/>
        <v>77</v>
      </c>
      <c r="E69">
        <f t="shared" si="7"/>
        <v>86</v>
      </c>
      <c r="F69">
        <f t="shared" si="4"/>
        <v>8</v>
      </c>
    </row>
    <row r="70" spans="1:6" x14ac:dyDescent="0.35">
      <c r="A70" s="4">
        <v>44781</v>
      </c>
      <c r="B70" s="5">
        <v>27</v>
      </c>
      <c r="C70">
        <f t="shared" si="5"/>
        <v>132</v>
      </c>
      <c r="D70">
        <f t="shared" si="6"/>
        <v>87</v>
      </c>
      <c r="E70">
        <f t="shared" si="7"/>
        <v>100</v>
      </c>
      <c r="F70">
        <f t="shared" si="4"/>
        <v>8</v>
      </c>
    </row>
    <row r="71" spans="1:6" x14ac:dyDescent="0.35">
      <c r="A71" s="6">
        <v>44782</v>
      </c>
      <c r="B71" s="7">
        <v>20</v>
      </c>
      <c r="C71">
        <f t="shared" si="5"/>
        <v>103</v>
      </c>
      <c r="D71">
        <f t="shared" si="6"/>
        <v>70</v>
      </c>
      <c r="E71">
        <f t="shared" si="7"/>
        <v>76</v>
      </c>
      <c r="F71">
        <f t="shared" si="4"/>
        <v>8</v>
      </c>
    </row>
    <row r="72" spans="1:6" x14ac:dyDescent="0.35">
      <c r="A72" s="4">
        <v>44783</v>
      </c>
      <c r="B72" s="5">
        <v>18</v>
      </c>
      <c r="C72">
        <f t="shared" si="5"/>
        <v>95</v>
      </c>
      <c r="D72">
        <f t="shared" si="6"/>
        <v>65</v>
      </c>
      <c r="E72">
        <f t="shared" si="7"/>
        <v>69</v>
      </c>
      <c r="F72">
        <f t="shared" si="4"/>
        <v>8</v>
      </c>
    </row>
    <row r="73" spans="1:6" x14ac:dyDescent="0.35">
      <c r="A73" s="6">
        <v>44784</v>
      </c>
      <c r="B73" s="7">
        <v>17</v>
      </c>
      <c r="C73">
        <f t="shared" si="5"/>
        <v>91</v>
      </c>
      <c r="D73">
        <f t="shared" si="6"/>
        <v>63</v>
      </c>
      <c r="E73">
        <f t="shared" si="7"/>
        <v>65</v>
      </c>
      <c r="F73">
        <f t="shared" si="4"/>
        <v>8</v>
      </c>
    </row>
    <row r="74" spans="1:6" x14ac:dyDescent="0.35">
      <c r="A74" s="4">
        <v>44785</v>
      </c>
      <c r="B74" s="5">
        <v>19</v>
      </c>
      <c r="C74">
        <f t="shared" si="5"/>
        <v>99</v>
      </c>
      <c r="D74">
        <f t="shared" si="6"/>
        <v>68</v>
      </c>
      <c r="E74">
        <f t="shared" si="7"/>
        <v>72</v>
      </c>
      <c r="F74">
        <f t="shared" si="4"/>
        <v>8</v>
      </c>
    </row>
    <row r="75" spans="1:6" x14ac:dyDescent="0.35">
      <c r="A75" s="6">
        <v>44786</v>
      </c>
      <c r="B75" s="7">
        <v>26</v>
      </c>
      <c r="C75">
        <f t="shared" si="5"/>
        <v>128</v>
      </c>
      <c r="D75">
        <f t="shared" si="6"/>
        <v>84</v>
      </c>
      <c r="E75">
        <f t="shared" si="7"/>
        <v>96</v>
      </c>
      <c r="F75">
        <f t="shared" si="4"/>
        <v>8</v>
      </c>
    </row>
    <row r="76" spans="1:6" x14ac:dyDescent="0.35">
      <c r="A76" s="4">
        <v>44787</v>
      </c>
      <c r="B76" s="5">
        <v>21</v>
      </c>
      <c r="C76">
        <f t="shared" si="5"/>
        <v>107</v>
      </c>
      <c r="D76">
        <f t="shared" si="6"/>
        <v>72</v>
      </c>
      <c r="E76">
        <f t="shared" si="7"/>
        <v>79</v>
      </c>
      <c r="F76">
        <f t="shared" si="4"/>
        <v>8</v>
      </c>
    </row>
    <row r="77" spans="1:6" x14ac:dyDescent="0.35">
      <c r="A77" s="6">
        <v>44788</v>
      </c>
      <c r="B77" s="7">
        <v>19</v>
      </c>
      <c r="C77">
        <f t="shared" si="5"/>
        <v>99</v>
      </c>
      <c r="D77">
        <f t="shared" si="6"/>
        <v>68</v>
      </c>
      <c r="E77">
        <f t="shared" si="7"/>
        <v>72</v>
      </c>
      <c r="F77">
        <f t="shared" si="4"/>
        <v>8</v>
      </c>
    </row>
    <row r="78" spans="1:6" x14ac:dyDescent="0.35">
      <c r="A78" s="4">
        <v>44789</v>
      </c>
      <c r="B78" s="5">
        <v>19</v>
      </c>
      <c r="C78">
        <f t="shared" si="5"/>
        <v>99</v>
      </c>
      <c r="D78">
        <f t="shared" si="6"/>
        <v>68</v>
      </c>
      <c r="E78">
        <f t="shared" si="7"/>
        <v>72</v>
      </c>
      <c r="F78">
        <f t="shared" si="4"/>
        <v>8</v>
      </c>
    </row>
    <row r="79" spans="1:6" x14ac:dyDescent="0.35">
      <c r="A79" s="6">
        <v>44790</v>
      </c>
      <c r="B79" s="7">
        <v>21</v>
      </c>
      <c r="C79">
        <f t="shared" si="5"/>
        <v>107</v>
      </c>
      <c r="D79">
        <f t="shared" si="6"/>
        <v>72</v>
      </c>
      <c r="E79">
        <f t="shared" si="7"/>
        <v>79</v>
      </c>
      <c r="F79">
        <f t="shared" si="4"/>
        <v>8</v>
      </c>
    </row>
    <row r="80" spans="1:6" x14ac:dyDescent="0.35">
      <c r="A80" s="4">
        <v>44791</v>
      </c>
      <c r="B80" s="5">
        <v>21</v>
      </c>
      <c r="C80">
        <f t="shared" si="5"/>
        <v>107</v>
      </c>
      <c r="D80">
        <f t="shared" si="6"/>
        <v>72</v>
      </c>
      <c r="E80">
        <f t="shared" si="7"/>
        <v>79</v>
      </c>
      <c r="F80">
        <f t="shared" si="4"/>
        <v>8</v>
      </c>
    </row>
    <row r="81" spans="1:6" x14ac:dyDescent="0.35">
      <c r="A81" s="6">
        <v>44792</v>
      </c>
      <c r="B81" s="7">
        <v>24</v>
      </c>
      <c r="C81">
        <f t="shared" si="5"/>
        <v>120</v>
      </c>
      <c r="D81">
        <f t="shared" si="6"/>
        <v>80</v>
      </c>
      <c r="E81">
        <f t="shared" si="7"/>
        <v>90</v>
      </c>
      <c r="F81">
        <f t="shared" si="4"/>
        <v>8</v>
      </c>
    </row>
    <row r="82" spans="1:6" x14ac:dyDescent="0.35">
      <c r="A82" s="4">
        <v>44793</v>
      </c>
      <c r="B82" s="5">
        <v>26</v>
      </c>
      <c r="C82">
        <f t="shared" si="5"/>
        <v>128</v>
      </c>
      <c r="D82">
        <f t="shared" si="6"/>
        <v>84</v>
      </c>
      <c r="E82">
        <f t="shared" si="7"/>
        <v>96</v>
      </c>
      <c r="F82">
        <f t="shared" si="4"/>
        <v>8</v>
      </c>
    </row>
    <row r="83" spans="1:6" x14ac:dyDescent="0.35">
      <c r="A83" s="6">
        <v>44794</v>
      </c>
      <c r="B83" s="7">
        <v>23</v>
      </c>
      <c r="C83">
        <f t="shared" si="5"/>
        <v>115</v>
      </c>
      <c r="D83">
        <f t="shared" si="6"/>
        <v>77</v>
      </c>
      <c r="E83">
        <f t="shared" si="7"/>
        <v>86</v>
      </c>
      <c r="F83">
        <f t="shared" si="4"/>
        <v>8</v>
      </c>
    </row>
    <row r="84" spans="1:6" x14ac:dyDescent="0.35">
      <c r="A84" s="4">
        <v>44795</v>
      </c>
      <c r="B84" s="5">
        <v>23</v>
      </c>
      <c r="C84">
        <f t="shared" si="5"/>
        <v>115</v>
      </c>
      <c r="D84">
        <f t="shared" si="6"/>
        <v>77</v>
      </c>
      <c r="E84">
        <f t="shared" si="7"/>
        <v>86</v>
      </c>
      <c r="F84">
        <f t="shared" si="4"/>
        <v>8</v>
      </c>
    </row>
    <row r="85" spans="1:6" x14ac:dyDescent="0.35">
      <c r="A85" s="6">
        <v>44796</v>
      </c>
      <c r="B85" s="7">
        <v>24</v>
      </c>
      <c r="C85">
        <f t="shared" si="5"/>
        <v>120</v>
      </c>
      <c r="D85">
        <f t="shared" si="6"/>
        <v>80</v>
      </c>
      <c r="E85">
        <f t="shared" si="7"/>
        <v>90</v>
      </c>
      <c r="F85">
        <f t="shared" si="4"/>
        <v>8</v>
      </c>
    </row>
    <row r="86" spans="1:6" x14ac:dyDescent="0.35">
      <c r="A86" s="4">
        <v>44797</v>
      </c>
      <c r="B86" s="5">
        <v>26</v>
      </c>
      <c r="C86">
        <f t="shared" si="5"/>
        <v>128</v>
      </c>
      <c r="D86">
        <f t="shared" si="6"/>
        <v>84</v>
      </c>
      <c r="E86">
        <f t="shared" si="7"/>
        <v>96</v>
      </c>
      <c r="F86">
        <f t="shared" si="4"/>
        <v>8</v>
      </c>
    </row>
    <row r="87" spans="1:6" x14ac:dyDescent="0.35">
      <c r="A87" s="6">
        <v>44798</v>
      </c>
      <c r="B87" s="7">
        <v>28</v>
      </c>
      <c r="C87">
        <f t="shared" si="5"/>
        <v>136</v>
      </c>
      <c r="D87">
        <f t="shared" si="6"/>
        <v>89</v>
      </c>
      <c r="E87">
        <f t="shared" si="7"/>
        <v>103</v>
      </c>
      <c r="F87">
        <f t="shared" si="4"/>
        <v>8</v>
      </c>
    </row>
    <row r="88" spans="1:6" x14ac:dyDescent="0.35">
      <c r="A88" s="4">
        <v>44799</v>
      </c>
      <c r="B88" s="5">
        <v>32</v>
      </c>
      <c r="C88">
        <f t="shared" si="5"/>
        <v>153</v>
      </c>
      <c r="D88">
        <f t="shared" si="6"/>
        <v>98</v>
      </c>
      <c r="E88">
        <f t="shared" si="7"/>
        <v>117</v>
      </c>
      <c r="F88">
        <f t="shared" si="4"/>
        <v>8</v>
      </c>
    </row>
    <row r="89" spans="1:6" x14ac:dyDescent="0.35">
      <c r="A89" s="6">
        <v>44800</v>
      </c>
      <c r="B89" s="7">
        <v>26</v>
      </c>
      <c r="C89">
        <f t="shared" si="5"/>
        <v>128</v>
      </c>
      <c r="D89">
        <f t="shared" si="6"/>
        <v>84</v>
      </c>
      <c r="E89">
        <f t="shared" si="7"/>
        <v>96</v>
      </c>
      <c r="F89">
        <f t="shared" si="4"/>
        <v>8</v>
      </c>
    </row>
    <row r="90" spans="1:6" x14ac:dyDescent="0.35">
      <c r="A90" s="4">
        <v>44801</v>
      </c>
      <c r="B90" s="5">
        <v>32</v>
      </c>
      <c r="C90">
        <f t="shared" si="5"/>
        <v>153</v>
      </c>
      <c r="D90">
        <f t="shared" si="6"/>
        <v>98</v>
      </c>
      <c r="E90">
        <f t="shared" si="7"/>
        <v>117</v>
      </c>
      <c r="F90">
        <f t="shared" si="4"/>
        <v>8</v>
      </c>
    </row>
    <row r="91" spans="1:6" x14ac:dyDescent="0.35">
      <c r="A91" s="6">
        <v>44802</v>
      </c>
      <c r="B91" s="7">
        <v>23</v>
      </c>
      <c r="C91">
        <f t="shared" si="5"/>
        <v>115</v>
      </c>
      <c r="D91">
        <f t="shared" si="6"/>
        <v>77</v>
      </c>
      <c r="E91">
        <f t="shared" si="7"/>
        <v>86</v>
      </c>
      <c r="F91">
        <f t="shared" si="4"/>
        <v>8</v>
      </c>
    </row>
    <row r="92" spans="1:6" x14ac:dyDescent="0.35">
      <c r="A92" s="4">
        <v>44803</v>
      </c>
      <c r="B92" s="5">
        <v>22</v>
      </c>
      <c r="C92">
        <f t="shared" si="5"/>
        <v>111</v>
      </c>
      <c r="D92">
        <f t="shared" si="6"/>
        <v>75</v>
      </c>
      <c r="E92">
        <f t="shared" si="7"/>
        <v>83</v>
      </c>
      <c r="F92">
        <f t="shared" si="4"/>
        <v>8</v>
      </c>
    </row>
    <row r="93" spans="1:6" x14ac:dyDescent="0.35">
      <c r="A93" s="8">
        <v>44804</v>
      </c>
      <c r="B93" s="1">
        <v>25</v>
      </c>
      <c r="C93">
        <f t="shared" si="5"/>
        <v>124</v>
      </c>
      <c r="D93">
        <f t="shared" si="6"/>
        <v>82</v>
      </c>
      <c r="E93">
        <f t="shared" si="7"/>
        <v>93</v>
      </c>
      <c r="F93">
        <f t="shared" si="4"/>
        <v>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FCDB-E796-49FE-A9B0-B22F9BA05FAA}">
  <dimension ref="A1:O123"/>
  <sheetViews>
    <sheetView tabSelected="1" topLeftCell="A99" zoomScale="74" workbookViewId="0">
      <selection activeCell="G117" sqref="G117:G123"/>
    </sheetView>
  </sheetViews>
  <sheetFormatPr defaultRowHeight="14.5" x14ac:dyDescent="0.35"/>
  <cols>
    <col min="1" max="1" width="10.54296875" bestFit="1" customWidth="1"/>
    <col min="2" max="2" width="11.54296875" bestFit="1" customWidth="1"/>
    <col min="4" max="4" width="9.36328125" bestFit="1" customWidth="1"/>
    <col min="8" max="8" width="16.54296875" bestFit="1" customWidth="1"/>
    <col min="9" max="9" width="12" bestFit="1" customWidth="1"/>
    <col min="10" max="10" width="16" bestFit="1" customWidth="1"/>
    <col min="11" max="11" width="13.7265625" bestFit="1" customWidth="1"/>
    <col min="14" max="14" width="9.36328125" bestFit="1" customWidth="1"/>
  </cols>
  <sheetData>
    <row r="1" spans="1:15" x14ac:dyDescent="0.35">
      <c r="A1" s="2" t="s">
        <v>0</v>
      </c>
      <c r="B1" s="3" t="s">
        <v>1</v>
      </c>
      <c r="C1" t="s">
        <v>4</v>
      </c>
      <c r="D1" t="s">
        <v>5</v>
      </c>
      <c r="E1" t="s">
        <v>6</v>
      </c>
      <c r="F1" t="s">
        <v>7</v>
      </c>
      <c r="G1" t="s">
        <v>16</v>
      </c>
      <c r="H1" t="s">
        <v>17</v>
      </c>
      <c r="I1" t="s">
        <v>18</v>
      </c>
      <c r="J1" t="s">
        <v>20</v>
      </c>
      <c r="K1" t="s">
        <v>19</v>
      </c>
    </row>
    <row r="2" spans="1:15" x14ac:dyDescent="0.35">
      <c r="A2" s="4">
        <v>44713</v>
      </c>
      <c r="B2" s="5">
        <v>24</v>
      </c>
      <c r="C2">
        <v>120</v>
      </c>
      <c r="D2">
        <v>80</v>
      </c>
      <c r="E2">
        <v>90</v>
      </c>
      <c r="F2">
        <f>MONTH(A2)</f>
        <v>6</v>
      </c>
      <c r="G2">
        <f>C2*5</f>
        <v>600</v>
      </c>
      <c r="H2">
        <f>D2*6</f>
        <v>480</v>
      </c>
      <c r="I2">
        <f>E2*7</f>
        <v>630</v>
      </c>
      <c r="J2">
        <f>G2+H2+I2</f>
        <v>1710</v>
      </c>
      <c r="K2">
        <f>J2</f>
        <v>1710</v>
      </c>
    </row>
    <row r="3" spans="1:15" x14ac:dyDescent="0.35">
      <c r="A3" s="6">
        <v>44714</v>
      </c>
      <c r="B3" s="7">
        <v>25</v>
      </c>
      <c r="C3">
        <f>INT($C$2*(1+(2/29*((B3-24)/2))))</f>
        <v>124</v>
      </c>
      <c r="D3">
        <f>INT($D$2*(1+(1/17*((B3-24)/2))))</f>
        <v>82</v>
      </c>
      <c r="E3">
        <f>INT($E$2*(1+(1/13*((B3-24)/2))))</f>
        <v>93</v>
      </c>
      <c r="F3">
        <f t="shared" ref="F3:F66" si="0">MONTH(A3)</f>
        <v>6</v>
      </c>
      <c r="G3">
        <f t="shared" ref="G3:G66" si="1">C3*5</f>
        <v>620</v>
      </c>
      <c r="H3">
        <f t="shared" ref="H3:H66" si="2">D3*6</f>
        <v>492</v>
      </c>
      <c r="I3">
        <f t="shared" ref="I3:I66" si="3">E3*7</f>
        <v>651</v>
      </c>
      <c r="J3">
        <f t="shared" ref="J3:J66" si="4">G3+H3+I3</f>
        <v>1763</v>
      </c>
      <c r="K3">
        <f>J3+K2</f>
        <v>3473</v>
      </c>
    </row>
    <row r="4" spans="1:15" x14ac:dyDescent="0.35">
      <c r="A4" s="4">
        <v>44715</v>
      </c>
      <c r="B4" s="5">
        <v>27</v>
      </c>
      <c r="C4">
        <f t="shared" ref="C4:C67" si="5">INT($C$2*(1+(2/29*((B4-24)/2))))</f>
        <v>132</v>
      </c>
      <c r="D4">
        <f t="shared" ref="D4:D67" si="6">INT($D$2*(1+(1/17*((B4-24)/2))))</f>
        <v>87</v>
      </c>
      <c r="E4">
        <f t="shared" ref="E4:E67" si="7">INT($E$2*(1+(1/13*((B4-24)/2))))</f>
        <v>100</v>
      </c>
      <c r="F4">
        <f t="shared" si="0"/>
        <v>6</v>
      </c>
      <c r="G4">
        <f t="shared" si="1"/>
        <v>660</v>
      </c>
      <c r="H4">
        <f t="shared" si="2"/>
        <v>522</v>
      </c>
      <c r="I4">
        <f t="shared" si="3"/>
        <v>700</v>
      </c>
      <c r="J4">
        <f t="shared" si="4"/>
        <v>1882</v>
      </c>
      <c r="K4">
        <f t="shared" ref="K4:K67" si="8">J4+K3</f>
        <v>5355</v>
      </c>
    </row>
    <row r="5" spans="1:15" x14ac:dyDescent="0.35">
      <c r="A5" s="6">
        <v>44716</v>
      </c>
      <c r="B5" s="7">
        <v>27</v>
      </c>
      <c r="C5">
        <f t="shared" si="5"/>
        <v>132</v>
      </c>
      <c r="D5">
        <f t="shared" si="6"/>
        <v>87</v>
      </c>
      <c r="E5">
        <f t="shared" si="7"/>
        <v>100</v>
      </c>
      <c r="F5">
        <f t="shared" si="0"/>
        <v>6</v>
      </c>
      <c r="G5">
        <f t="shared" si="1"/>
        <v>660</v>
      </c>
      <c r="H5">
        <f t="shared" si="2"/>
        <v>522</v>
      </c>
      <c r="I5">
        <f t="shared" si="3"/>
        <v>700</v>
      </c>
      <c r="J5">
        <f t="shared" si="4"/>
        <v>1882</v>
      </c>
      <c r="K5">
        <f t="shared" si="8"/>
        <v>7237</v>
      </c>
      <c r="L5" s="10"/>
      <c r="M5" s="11"/>
      <c r="N5" s="11"/>
      <c r="O5" s="11"/>
    </row>
    <row r="6" spans="1:15" x14ac:dyDescent="0.35">
      <c r="A6" s="4">
        <v>44717</v>
      </c>
      <c r="B6" s="5">
        <v>27</v>
      </c>
      <c r="C6">
        <f t="shared" si="5"/>
        <v>132</v>
      </c>
      <c r="D6">
        <f t="shared" si="6"/>
        <v>87</v>
      </c>
      <c r="E6">
        <f t="shared" si="7"/>
        <v>100</v>
      </c>
      <c r="F6">
        <f t="shared" si="0"/>
        <v>6</v>
      </c>
      <c r="G6">
        <f t="shared" si="1"/>
        <v>660</v>
      </c>
      <c r="H6">
        <f t="shared" si="2"/>
        <v>522</v>
      </c>
      <c r="I6">
        <f t="shared" si="3"/>
        <v>700</v>
      </c>
      <c r="J6">
        <f t="shared" si="4"/>
        <v>1882</v>
      </c>
      <c r="K6">
        <f t="shared" si="8"/>
        <v>9119</v>
      </c>
      <c r="L6" s="10"/>
      <c r="M6" s="11"/>
      <c r="N6" s="11"/>
      <c r="O6" s="11"/>
    </row>
    <row r="7" spans="1:15" x14ac:dyDescent="0.35">
      <c r="A7" s="6">
        <v>44718</v>
      </c>
      <c r="B7" s="7">
        <v>22</v>
      </c>
      <c r="C7">
        <f t="shared" si="5"/>
        <v>111</v>
      </c>
      <c r="D7">
        <f t="shared" si="6"/>
        <v>75</v>
      </c>
      <c r="E7">
        <f t="shared" si="7"/>
        <v>83</v>
      </c>
      <c r="F7">
        <f t="shared" si="0"/>
        <v>6</v>
      </c>
      <c r="G7">
        <f t="shared" si="1"/>
        <v>555</v>
      </c>
      <c r="H7">
        <f t="shared" si="2"/>
        <v>450</v>
      </c>
      <c r="I7">
        <f t="shared" si="3"/>
        <v>581</v>
      </c>
      <c r="J7">
        <f t="shared" si="4"/>
        <v>1586</v>
      </c>
      <c r="K7">
        <f t="shared" si="8"/>
        <v>10705</v>
      </c>
      <c r="L7" s="10"/>
      <c r="M7" s="11"/>
      <c r="N7" s="11"/>
      <c r="O7" s="11"/>
    </row>
    <row r="8" spans="1:15" x14ac:dyDescent="0.35">
      <c r="A8" s="4">
        <v>44719</v>
      </c>
      <c r="B8" s="5">
        <v>25</v>
      </c>
      <c r="C8">
        <f t="shared" si="5"/>
        <v>124</v>
      </c>
      <c r="D8">
        <f t="shared" si="6"/>
        <v>82</v>
      </c>
      <c r="E8">
        <f t="shared" si="7"/>
        <v>93</v>
      </c>
      <c r="F8">
        <f t="shared" si="0"/>
        <v>6</v>
      </c>
      <c r="G8">
        <f t="shared" si="1"/>
        <v>620</v>
      </c>
      <c r="H8">
        <f t="shared" si="2"/>
        <v>492</v>
      </c>
      <c r="I8">
        <f t="shared" si="3"/>
        <v>651</v>
      </c>
      <c r="J8">
        <f t="shared" si="4"/>
        <v>1763</v>
      </c>
      <c r="K8">
        <f t="shared" si="8"/>
        <v>12468</v>
      </c>
    </row>
    <row r="9" spans="1:15" x14ac:dyDescent="0.35">
      <c r="A9" s="6">
        <v>44720</v>
      </c>
      <c r="B9" s="7">
        <v>25</v>
      </c>
      <c r="C9">
        <f t="shared" si="5"/>
        <v>124</v>
      </c>
      <c r="D9">
        <f t="shared" si="6"/>
        <v>82</v>
      </c>
      <c r="E9">
        <f t="shared" si="7"/>
        <v>93</v>
      </c>
      <c r="F9">
        <f t="shared" si="0"/>
        <v>6</v>
      </c>
      <c r="G9">
        <f t="shared" si="1"/>
        <v>620</v>
      </c>
      <c r="H9">
        <f t="shared" si="2"/>
        <v>492</v>
      </c>
      <c r="I9">
        <f t="shared" si="3"/>
        <v>651</v>
      </c>
      <c r="J9">
        <f t="shared" si="4"/>
        <v>1763</v>
      </c>
      <c r="K9">
        <f t="shared" si="8"/>
        <v>14231</v>
      </c>
    </row>
    <row r="10" spans="1:15" x14ac:dyDescent="0.35">
      <c r="A10" s="4">
        <v>44721</v>
      </c>
      <c r="B10" s="5">
        <v>21</v>
      </c>
      <c r="C10">
        <f t="shared" si="5"/>
        <v>107</v>
      </c>
      <c r="D10">
        <f t="shared" si="6"/>
        <v>72</v>
      </c>
      <c r="E10">
        <f t="shared" si="7"/>
        <v>79</v>
      </c>
      <c r="F10">
        <f t="shared" si="0"/>
        <v>6</v>
      </c>
      <c r="G10">
        <f t="shared" si="1"/>
        <v>535</v>
      </c>
      <c r="H10">
        <f t="shared" si="2"/>
        <v>432</v>
      </c>
      <c r="I10">
        <f t="shared" si="3"/>
        <v>553</v>
      </c>
      <c r="J10">
        <f t="shared" si="4"/>
        <v>1520</v>
      </c>
      <c r="K10">
        <f t="shared" si="8"/>
        <v>15751</v>
      </c>
    </row>
    <row r="11" spans="1:15" x14ac:dyDescent="0.35">
      <c r="A11" s="6">
        <v>44722</v>
      </c>
      <c r="B11" s="7">
        <v>21</v>
      </c>
      <c r="C11">
        <f t="shared" si="5"/>
        <v>107</v>
      </c>
      <c r="D11">
        <f t="shared" si="6"/>
        <v>72</v>
      </c>
      <c r="E11">
        <f t="shared" si="7"/>
        <v>79</v>
      </c>
      <c r="F11">
        <f t="shared" si="0"/>
        <v>6</v>
      </c>
      <c r="G11">
        <f t="shared" si="1"/>
        <v>535</v>
      </c>
      <c r="H11">
        <f t="shared" si="2"/>
        <v>432</v>
      </c>
      <c r="I11">
        <f t="shared" si="3"/>
        <v>553</v>
      </c>
      <c r="J11">
        <f t="shared" si="4"/>
        <v>1520</v>
      </c>
      <c r="K11">
        <f t="shared" si="8"/>
        <v>17271</v>
      </c>
    </row>
    <row r="12" spans="1:15" x14ac:dyDescent="0.35">
      <c r="A12" s="4">
        <v>44723</v>
      </c>
      <c r="B12" s="5">
        <v>19</v>
      </c>
      <c r="C12">
        <f t="shared" si="5"/>
        <v>99</v>
      </c>
      <c r="D12">
        <f t="shared" si="6"/>
        <v>68</v>
      </c>
      <c r="E12">
        <f t="shared" si="7"/>
        <v>72</v>
      </c>
      <c r="F12">
        <f t="shared" si="0"/>
        <v>6</v>
      </c>
      <c r="G12">
        <f t="shared" si="1"/>
        <v>495</v>
      </c>
      <c r="H12">
        <f t="shared" si="2"/>
        <v>408</v>
      </c>
      <c r="I12">
        <f t="shared" si="3"/>
        <v>504</v>
      </c>
      <c r="J12">
        <f t="shared" si="4"/>
        <v>1407</v>
      </c>
      <c r="K12">
        <f t="shared" si="8"/>
        <v>18678</v>
      </c>
    </row>
    <row r="13" spans="1:15" x14ac:dyDescent="0.35">
      <c r="A13" s="6">
        <v>44724</v>
      </c>
      <c r="B13" s="7">
        <v>19</v>
      </c>
      <c r="C13">
        <f t="shared" si="5"/>
        <v>99</v>
      </c>
      <c r="D13">
        <f t="shared" si="6"/>
        <v>68</v>
      </c>
      <c r="E13">
        <f t="shared" si="7"/>
        <v>72</v>
      </c>
      <c r="F13">
        <f t="shared" si="0"/>
        <v>6</v>
      </c>
      <c r="G13">
        <f t="shared" si="1"/>
        <v>495</v>
      </c>
      <c r="H13">
        <f t="shared" si="2"/>
        <v>408</v>
      </c>
      <c r="I13">
        <f t="shared" si="3"/>
        <v>504</v>
      </c>
      <c r="J13">
        <f t="shared" si="4"/>
        <v>1407</v>
      </c>
      <c r="K13">
        <f t="shared" si="8"/>
        <v>20085</v>
      </c>
    </row>
    <row r="14" spans="1:15" x14ac:dyDescent="0.35">
      <c r="A14" s="4">
        <v>44725</v>
      </c>
      <c r="B14" s="5">
        <v>15</v>
      </c>
      <c r="C14">
        <f t="shared" si="5"/>
        <v>82</v>
      </c>
      <c r="D14">
        <f t="shared" si="6"/>
        <v>58</v>
      </c>
      <c r="E14">
        <f t="shared" si="7"/>
        <v>58</v>
      </c>
      <c r="F14">
        <f t="shared" si="0"/>
        <v>6</v>
      </c>
      <c r="G14">
        <f t="shared" si="1"/>
        <v>410</v>
      </c>
      <c r="H14">
        <f t="shared" si="2"/>
        <v>348</v>
      </c>
      <c r="I14">
        <f t="shared" si="3"/>
        <v>406</v>
      </c>
      <c r="J14">
        <f t="shared" si="4"/>
        <v>1164</v>
      </c>
      <c r="K14">
        <f t="shared" si="8"/>
        <v>21249</v>
      </c>
    </row>
    <row r="15" spans="1:15" x14ac:dyDescent="0.35">
      <c r="A15" s="6">
        <v>44726</v>
      </c>
      <c r="B15" s="7">
        <v>21</v>
      </c>
      <c r="C15">
        <f t="shared" si="5"/>
        <v>107</v>
      </c>
      <c r="D15">
        <f t="shared" si="6"/>
        <v>72</v>
      </c>
      <c r="E15">
        <f t="shared" si="7"/>
        <v>79</v>
      </c>
      <c r="F15">
        <f t="shared" si="0"/>
        <v>6</v>
      </c>
      <c r="G15">
        <f t="shared" si="1"/>
        <v>535</v>
      </c>
      <c r="H15">
        <f t="shared" si="2"/>
        <v>432</v>
      </c>
      <c r="I15">
        <f t="shared" si="3"/>
        <v>553</v>
      </c>
      <c r="J15">
        <f t="shared" si="4"/>
        <v>1520</v>
      </c>
      <c r="K15">
        <f t="shared" si="8"/>
        <v>22769</v>
      </c>
    </row>
    <row r="16" spans="1:15" x14ac:dyDescent="0.35">
      <c r="A16" s="4">
        <v>44727</v>
      </c>
      <c r="B16" s="5">
        <v>23</v>
      </c>
      <c r="C16">
        <f t="shared" si="5"/>
        <v>115</v>
      </c>
      <c r="D16">
        <f t="shared" si="6"/>
        <v>77</v>
      </c>
      <c r="E16">
        <f t="shared" si="7"/>
        <v>86</v>
      </c>
      <c r="F16">
        <f t="shared" si="0"/>
        <v>6</v>
      </c>
      <c r="G16">
        <f t="shared" si="1"/>
        <v>575</v>
      </c>
      <c r="H16">
        <f t="shared" si="2"/>
        <v>462</v>
      </c>
      <c r="I16">
        <f t="shared" si="3"/>
        <v>602</v>
      </c>
      <c r="J16">
        <f t="shared" si="4"/>
        <v>1639</v>
      </c>
      <c r="K16">
        <f t="shared" si="8"/>
        <v>24408</v>
      </c>
    </row>
    <row r="17" spans="1:11" x14ac:dyDescent="0.35">
      <c r="A17" s="6">
        <v>44728</v>
      </c>
      <c r="B17" s="7">
        <v>23</v>
      </c>
      <c r="C17">
        <f t="shared" si="5"/>
        <v>115</v>
      </c>
      <c r="D17">
        <f t="shared" si="6"/>
        <v>77</v>
      </c>
      <c r="E17">
        <f t="shared" si="7"/>
        <v>86</v>
      </c>
      <c r="F17">
        <f t="shared" si="0"/>
        <v>6</v>
      </c>
      <c r="G17">
        <f t="shared" si="1"/>
        <v>575</v>
      </c>
      <c r="H17">
        <f t="shared" si="2"/>
        <v>462</v>
      </c>
      <c r="I17">
        <f t="shared" si="3"/>
        <v>602</v>
      </c>
      <c r="J17">
        <f t="shared" si="4"/>
        <v>1639</v>
      </c>
      <c r="K17">
        <f t="shared" si="8"/>
        <v>26047</v>
      </c>
    </row>
    <row r="18" spans="1:11" x14ac:dyDescent="0.35">
      <c r="A18" s="4">
        <v>44729</v>
      </c>
      <c r="B18" s="5">
        <v>16</v>
      </c>
      <c r="C18">
        <f t="shared" si="5"/>
        <v>86</v>
      </c>
      <c r="D18">
        <f t="shared" si="6"/>
        <v>61</v>
      </c>
      <c r="E18">
        <f t="shared" si="7"/>
        <v>62</v>
      </c>
      <c r="F18">
        <f t="shared" si="0"/>
        <v>6</v>
      </c>
      <c r="G18">
        <f t="shared" si="1"/>
        <v>430</v>
      </c>
      <c r="H18">
        <f t="shared" si="2"/>
        <v>366</v>
      </c>
      <c r="I18">
        <f t="shared" si="3"/>
        <v>434</v>
      </c>
      <c r="J18">
        <f t="shared" si="4"/>
        <v>1230</v>
      </c>
      <c r="K18">
        <f t="shared" si="8"/>
        <v>27277</v>
      </c>
    </row>
    <row r="19" spans="1:11" x14ac:dyDescent="0.35">
      <c r="A19" s="6">
        <v>44730</v>
      </c>
      <c r="B19" s="7">
        <v>21</v>
      </c>
      <c r="C19">
        <f t="shared" si="5"/>
        <v>107</v>
      </c>
      <c r="D19">
        <f t="shared" si="6"/>
        <v>72</v>
      </c>
      <c r="E19">
        <f t="shared" si="7"/>
        <v>79</v>
      </c>
      <c r="F19">
        <f t="shared" si="0"/>
        <v>6</v>
      </c>
      <c r="G19">
        <f t="shared" si="1"/>
        <v>535</v>
      </c>
      <c r="H19">
        <f t="shared" si="2"/>
        <v>432</v>
      </c>
      <c r="I19">
        <f t="shared" si="3"/>
        <v>553</v>
      </c>
      <c r="J19">
        <f t="shared" si="4"/>
        <v>1520</v>
      </c>
      <c r="K19">
        <f t="shared" si="8"/>
        <v>28797</v>
      </c>
    </row>
    <row r="20" spans="1:11" x14ac:dyDescent="0.35">
      <c r="A20" s="4">
        <v>44731</v>
      </c>
      <c r="B20" s="5">
        <v>22</v>
      </c>
      <c r="C20">
        <f t="shared" si="5"/>
        <v>111</v>
      </c>
      <c r="D20">
        <f t="shared" si="6"/>
        <v>75</v>
      </c>
      <c r="E20">
        <f t="shared" si="7"/>
        <v>83</v>
      </c>
      <c r="F20">
        <f t="shared" si="0"/>
        <v>6</v>
      </c>
      <c r="G20">
        <f t="shared" si="1"/>
        <v>555</v>
      </c>
      <c r="H20">
        <f t="shared" si="2"/>
        <v>450</v>
      </c>
      <c r="I20">
        <f t="shared" si="3"/>
        <v>581</v>
      </c>
      <c r="J20">
        <f t="shared" si="4"/>
        <v>1586</v>
      </c>
      <c r="K20">
        <f t="shared" si="8"/>
        <v>30383</v>
      </c>
    </row>
    <row r="21" spans="1:11" x14ac:dyDescent="0.35">
      <c r="A21" s="6">
        <v>44732</v>
      </c>
      <c r="B21" s="7">
        <v>22</v>
      </c>
      <c r="C21">
        <f t="shared" si="5"/>
        <v>111</v>
      </c>
      <c r="D21">
        <f t="shared" si="6"/>
        <v>75</v>
      </c>
      <c r="E21">
        <f t="shared" si="7"/>
        <v>83</v>
      </c>
      <c r="F21">
        <f t="shared" si="0"/>
        <v>6</v>
      </c>
      <c r="G21">
        <f t="shared" si="1"/>
        <v>555</v>
      </c>
      <c r="H21">
        <f t="shared" si="2"/>
        <v>450</v>
      </c>
      <c r="I21">
        <f t="shared" si="3"/>
        <v>581</v>
      </c>
      <c r="J21">
        <f t="shared" si="4"/>
        <v>1586</v>
      </c>
      <c r="K21">
        <f t="shared" si="8"/>
        <v>31969</v>
      </c>
    </row>
    <row r="22" spans="1:11" x14ac:dyDescent="0.35">
      <c r="A22" s="4">
        <v>44733</v>
      </c>
      <c r="B22" s="5">
        <v>22</v>
      </c>
      <c r="C22">
        <f t="shared" si="5"/>
        <v>111</v>
      </c>
      <c r="D22">
        <f t="shared" si="6"/>
        <v>75</v>
      </c>
      <c r="E22">
        <f t="shared" si="7"/>
        <v>83</v>
      </c>
      <c r="F22">
        <f t="shared" si="0"/>
        <v>6</v>
      </c>
      <c r="G22">
        <f t="shared" si="1"/>
        <v>555</v>
      </c>
      <c r="H22">
        <f t="shared" si="2"/>
        <v>450</v>
      </c>
      <c r="I22">
        <f t="shared" si="3"/>
        <v>581</v>
      </c>
      <c r="J22">
        <f t="shared" si="4"/>
        <v>1586</v>
      </c>
      <c r="K22">
        <f t="shared" si="8"/>
        <v>33555</v>
      </c>
    </row>
    <row r="23" spans="1:11" x14ac:dyDescent="0.35">
      <c r="A23" s="6">
        <v>44734</v>
      </c>
      <c r="B23" s="7">
        <v>28</v>
      </c>
      <c r="C23">
        <f t="shared" si="5"/>
        <v>136</v>
      </c>
      <c r="D23">
        <f t="shared" si="6"/>
        <v>89</v>
      </c>
      <c r="E23">
        <f t="shared" si="7"/>
        <v>103</v>
      </c>
      <c r="F23">
        <f t="shared" si="0"/>
        <v>6</v>
      </c>
      <c r="G23">
        <f t="shared" si="1"/>
        <v>680</v>
      </c>
      <c r="H23">
        <f t="shared" si="2"/>
        <v>534</v>
      </c>
      <c r="I23">
        <f t="shared" si="3"/>
        <v>721</v>
      </c>
      <c r="J23">
        <f t="shared" si="4"/>
        <v>1935</v>
      </c>
      <c r="K23">
        <f t="shared" si="8"/>
        <v>35490</v>
      </c>
    </row>
    <row r="24" spans="1:11" x14ac:dyDescent="0.35">
      <c r="A24" s="4">
        <v>44735</v>
      </c>
      <c r="B24" s="5">
        <v>31</v>
      </c>
      <c r="C24">
        <f t="shared" si="5"/>
        <v>148</v>
      </c>
      <c r="D24">
        <f t="shared" si="6"/>
        <v>96</v>
      </c>
      <c r="E24">
        <f t="shared" si="7"/>
        <v>114</v>
      </c>
      <c r="F24">
        <f t="shared" si="0"/>
        <v>6</v>
      </c>
      <c r="G24">
        <f t="shared" si="1"/>
        <v>740</v>
      </c>
      <c r="H24">
        <f t="shared" si="2"/>
        <v>576</v>
      </c>
      <c r="I24">
        <f t="shared" si="3"/>
        <v>798</v>
      </c>
      <c r="J24">
        <f t="shared" si="4"/>
        <v>2114</v>
      </c>
      <c r="K24">
        <f t="shared" si="8"/>
        <v>37604</v>
      </c>
    </row>
    <row r="25" spans="1:11" x14ac:dyDescent="0.35">
      <c r="A25" s="6">
        <v>44736</v>
      </c>
      <c r="B25" s="7">
        <v>33</v>
      </c>
      <c r="C25">
        <f t="shared" si="5"/>
        <v>157</v>
      </c>
      <c r="D25">
        <f t="shared" si="6"/>
        <v>101</v>
      </c>
      <c r="E25">
        <f t="shared" si="7"/>
        <v>121</v>
      </c>
      <c r="F25">
        <f t="shared" si="0"/>
        <v>6</v>
      </c>
      <c r="G25">
        <f t="shared" si="1"/>
        <v>785</v>
      </c>
      <c r="H25">
        <f t="shared" si="2"/>
        <v>606</v>
      </c>
      <c r="I25">
        <f t="shared" si="3"/>
        <v>847</v>
      </c>
      <c r="J25">
        <f t="shared" si="4"/>
        <v>2238</v>
      </c>
      <c r="K25">
        <f t="shared" si="8"/>
        <v>39842</v>
      </c>
    </row>
    <row r="26" spans="1:11" x14ac:dyDescent="0.35">
      <c r="A26" s="4">
        <v>44737</v>
      </c>
      <c r="B26" s="5">
        <v>33</v>
      </c>
      <c r="C26">
        <f t="shared" si="5"/>
        <v>157</v>
      </c>
      <c r="D26">
        <f t="shared" si="6"/>
        <v>101</v>
      </c>
      <c r="E26">
        <f t="shared" si="7"/>
        <v>121</v>
      </c>
      <c r="F26">
        <f t="shared" si="0"/>
        <v>6</v>
      </c>
      <c r="G26">
        <f t="shared" si="1"/>
        <v>785</v>
      </c>
      <c r="H26">
        <f t="shared" si="2"/>
        <v>606</v>
      </c>
      <c r="I26">
        <f t="shared" si="3"/>
        <v>847</v>
      </c>
      <c r="J26">
        <f t="shared" si="4"/>
        <v>2238</v>
      </c>
      <c r="K26">
        <f t="shared" si="8"/>
        <v>42080</v>
      </c>
    </row>
    <row r="27" spans="1:11" x14ac:dyDescent="0.35">
      <c r="A27" s="6">
        <v>44738</v>
      </c>
      <c r="B27" s="7">
        <v>23</v>
      </c>
      <c r="C27">
        <f t="shared" si="5"/>
        <v>115</v>
      </c>
      <c r="D27">
        <f t="shared" si="6"/>
        <v>77</v>
      </c>
      <c r="E27">
        <f t="shared" si="7"/>
        <v>86</v>
      </c>
      <c r="F27">
        <f t="shared" si="0"/>
        <v>6</v>
      </c>
      <c r="G27">
        <f t="shared" si="1"/>
        <v>575</v>
      </c>
      <c r="H27">
        <f t="shared" si="2"/>
        <v>462</v>
      </c>
      <c r="I27">
        <f t="shared" si="3"/>
        <v>602</v>
      </c>
      <c r="J27">
        <f t="shared" si="4"/>
        <v>1639</v>
      </c>
      <c r="K27">
        <f t="shared" si="8"/>
        <v>43719</v>
      </c>
    </row>
    <row r="28" spans="1:11" x14ac:dyDescent="0.35">
      <c r="A28" s="4">
        <v>44739</v>
      </c>
      <c r="B28" s="5">
        <v>23</v>
      </c>
      <c r="C28">
        <f t="shared" si="5"/>
        <v>115</v>
      </c>
      <c r="D28">
        <f t="shared" si="6"/>
        <v>77</v>
      </c>
      <c r="E28">
        <f t="shared" si="7"/>
        <v>86</v>
      </c>
      <c r="F28">
        <f t="shared" si="0"/>
        <v>6</v>
      </c>
      <c r="G28">
        <f t="shared" si="1"/>
        <v>575</v>
      </c>
      <c r="H28">
        <f t="shared" si="2"/>
        <v>462</v>
      </c>
      <c r="I28">
        <f t="shared" si="3"/>
        <v>602</v>
      </c>
      <c r="J28">
        <f t="shared" si="4"/>
        <v>1639</v>
      </c>
      <c r="K28">
        <f t="shared" si="8"/>
        <v>45358</v>
      </c>
    </row>
    <row r="29" spans="1:11" x14ac:dyDescent="0.35">
      <c r="A29" s="6">
        <v>44740</v>
      </c>
      <c r="B29" s="7">
        <v>19</v>
      </c>
      <c r="C29">
        <f t="shared" si="5"/>
        <v>99</v>
      </c>
      <c r="D29">
        <f t="shared" si="6"/>
        <v>68</v>
      </c>
      <c r="E29">
        <f t="shared" si="7"/>
        <v>72</v>
      </c>
      <c r="F29">
        <f t="shared" si="0"/>
        <v>6</v>
      </c>
      <c r="G29">
        <f t="shared" si="1"/>
        <v>495</v>
      </c>
      <c r="H29">
        <f t="shared" si="2"/>
        <v>408</v>
      </c>
      <c r="I29">
        <f t="shared" si="3"/>
        <v>504</v>
      </c>
      <c r="J29">
        <f t="shared" si="4"/>
        <v>1407</v>
      </c>
      <c r="K29">
        <f t="shared" si="8"/>
        <v>46765</v>
      </c>
    </row>
    <row r="30" spans="1:11" x14ac:dyDescent="0.35">
      <c r="A30" s="4">
        <v>44741</v>
      </c>
      <c r="B30" s="5">
        <v>24</v>
      </c>
      <c r="C30">
        <f t="shared" si="5"/>
        <v>120</v>
      </c>
      <c r="D30">
        <f t="shared" si="6"/>
        <v>80</v>
      </c>
      <c r="E30">
        <f t="shared" si="7"/>
        <v>90</v>
      </c>
      <c r="F30">
        <f t="shared" si="0"/>
        <v>6</v>
      </c>
      <c r="G30">
        <f t="shared" si="1"/>
        <v>600</v>
      </c>
      <c r="H30">
        <f t="shared" si="2"/>
        <v>480</v>
      </c>
      <c r="I30">
        <f t="shared" si="3"/>
        <v>630</v>
      </c>
      <c r="J30">
        <f t="shared" si="4"/>
        <v>1710</v>
      </c>
      <c r="K30">
        <f t="shared" si="8"/>
        <v>48475</v>
      </c>
    </row>
    <row r="31" spans="1:11" x14ac:dyDescent="0.35">
      <c r="A31" s="6">
        <v>44742</v>
      </c>
      <c r="B31" s="7">
        <v>25</v>
      </c>
      <c r="C31">
        <f t="shared" si="5"/>
        <v>124</v>
      </c>
      <c r="D31">
        <f t="shared" si="6"/>
        <v>82</v>
      </c>
      <c r="E31">
        <f t="shared" si="7"/>
        <v>93</v>
      </c>
      <c r="F31">
        <f t="shared" si="0"/>
        <v>6</v>
      </c>
      <c r="G31">
        <f t="shared" si="1"/>
        <v>620</v>
      </c>
      <c r="H31">
        <f t="shared" si="2"/>
        <v>492</v>
      </c>
      <c r="I31">
        <f t="shared" si="3"/>
        <v>651</v>
      </c>
      <c r="J31">
        <f t="shared" si="4"/>
        <v>1763</v>
      </c>
      <c r="K31">
        <f t="shared" si="8"/>
        <v>50238</v>
      </c>
    </row>
    <row r="32" spans="1:11" x14ac:dyDescent="0.35">
      <c r="A32" s="4">
        <v>44743</v>
      </c>
      <c r="B32" s="5">
        <v>27</v>
      </c>
      <c r="C32">
        <f t="shared" si="5"/>
        <v>132</v>
      </c>
      <c r="D32">
        <f t="shared" si="6"/>
        <v>87</v>
      </c>
      <c r="E32">
        <f t="shared" si="7"/>
        <v>100</v>
      </c>
      <c r="F32">
        <f t="shared" si="0"/>
        <v>7</v>
      </c>
      <c r="G32">
        <f t="shared" si="1"/>
        <v>660</v>
      </c>
      <c r="H32">
        <f t="shared" si="2"/>
        <v>522</v>
      </c>
      <c r="I32">
        <f t="shared" si="3"/>
        <v>700</v>
      </c>
      <c r="J32">
        <f t="shared" si="4"/>
        <v>1882</v>
      </c>
      <c r="K32">
        <f t="shared" si="8"/>
        <v>52120</v>
      </c>
    </row>
    <row r="33" spans="1:11" x14ac:dyDescent="0.35">
      <c r="A33" s="6">
        <v>44744</v>
      </c>
      <c r="B33" s="7">
        <v>27</v>
      </c>
      <c r="C33">
        <f t="shared" si="5"/>
        <v>132</v>
      </c>
      <c r="D33">
        <f t="shared" si="6"/>
        <v>87</v>
      </c>
      <c r="E33">
        <f t="shared" si="7"/>
        <v>100</v>
      </c>
      <c r="F33">
        <f t="shared" si="0"/>
        <v>7</v>
      </c>
      <c r="G33">
        <f t="shared" si="1"/>
        <v>660</v>
      </c>
      <c r="H33">
        <f t="shared" si="2"/>
        <v>522</v>
      </c>
      <c r="I33">
        <f t="shared" si="3"/>
        <v>700</v>
      </c>
      <c r="J33">
        <f t="shared" si="4"/>
        <v>1882</v>
      </c>
      <c r="K33">
        <f t="shared" si="8"/>
        <v>54002</v>
      </c>
    </row>
    <row r="34" spans="1:11" x14ac:dyDescent="0.35">
      <c r="A34" s="4">
        <v>44745</v>
      </c>
      <c r="B34" s="5">
        <v>21</v>
      </c>
      <c r="C34">
        <f t="shared" si="5"/>
        <v>107</v>
      </c>
      <c r="D34">
        <f t="shared" si="6"/>
        <v>72</v>
      </c>
      <c r="E34">
        <f t="shared" si="7"/>
        <v>79</v>
      </c>
      <c r="F34">
        <f t="shared" si="0"/>
        <v>7</v>
      </c>
      <c r="G34">
        <f t="shared" si="1"/>
        <v>535</v>
      </c>
      <c r="H34">
        <f t="shared" si="2"/>
        <v>432</v>
      </c>
      <c r="I34">
        <f t="shared" si="3"/>
        <v>553</v>
      </c>
      <c r="J34">
        <f t="shared" si="4"/>
        <v>1520</v>
      </c>
      <c r="K34">
        <f t="shared" si="8"/>
        <v>55522</v>
      </c>
    </row>
    <row r="35" spans="1:11" x14ac:dyDescent="0.35">
      <c r="A35" s="6">
        <v>44746</v>
      </c>
      <c r="B35" s="7">
        <v>21</v>
      </c>
      <c r="C35">
        <f t="shared" si="5"/>
        <v>107</v>
      </c>
      <c r="D35">
        <f t="shared" si="6"/>
        <v>72</v>
      </c>
      <c r="E35">
        <f t="shared" si="7"/>
        <v>79</v>
      </c>
      <c r="F35">
        <f t="shared" si="0"/>
        <v>7</v>
      </c>
      <c r="G35">
        <f t="shared" si="1"/>
        <v>535</v>
      </c>
      <c r="H35">
        <f t="shared" si="2"/>
        <v>432</v>
      </c>
      <c r="I35">
        <f t="shared" si="3"/>
        <v>553</v>
      </c>
      <c r="J35">
        <f t="shared" si="4"/>
        <v>1520</v>
      </c>
      <c r="K35">
        <f t="shared" si="8"/>
        <v>57042</v>
      </c>
    </row>
    <row r="36" spans="1:11" x14ac:dyDescent="0.35">
      <c r="A36" s="4">
        <v>44747</v>
      </c>
      <c r="B36" s="5">
        <v>25</v>
      </c>
      <c r="C36">
        <f t="shared" si="5"/>
        <v>124</v>
      </c>
      <c r="D36">
        <f t="shared" si="6"/>
        <v>82</v>
      </c>
      <c r="E36">
        <f t="shared" si="7"/>
        <v>93</v>
      </c>
      <c r="F36">
        <f t="shared" si="0"/>
        <v>7</v>
      </c>
      <c r="G36">
        <f t="shared" si="1"/>
        <v>620</v>
      </c>
      <c r="H36">
        <f t="shared" si="2"/>
        <v>492</v>
      </c>
      <c r="I36">
        <f t="shared" si="3"/>
        <v>651</v>
      </c>
      <c r="J36">
        <f t="shared" si="4"/>
        <v>1763</v>
      </c>
      <c r="K36">
        <f t="shared" si="8"/>
        <v>58805</v>
      </c>
    </row>
    <row r="37" spans="1:11" x14ac:dyDescent="0.35">
      <c r="A37" s="6">
        <v>44748</v>
      </c>
      <c r="B37" s="7">
        <v>19</v>
      </c>
      <c r="C37">
        <f t="shared" si="5"/>
        <v>99</v>
      </c>
      <c r="D37">
        <f t="shared" si="6"/>
        <v>68</v>
      </c>
      <c r="E37">
        <f t="shared" si="7"/>
        <v>72</v>
      </c>
      <c r="F37">
        <f t="shared" si="0"/>
        <v>7</v>
      </c>
      <c r="G37">
        <f t="shared" si="1"/>
        <v>495</v>
      </c>
      <c r="H37">
        <f t="shared" si="2"/>
        <v>408</v>
      </c>
      <c r="I37">
        <f t="shared" si="3"/>
        <v>504</v>
      </c>
      <c r="J37">
        <f t="shared" si="4"/>
        <v>1407</v>
      </c>
      <c r="K37">
        <f t="shared" si="8"/>
        <v>60212</v>
      </c>
    </row>
    <row r="38" spans="1:11" x14ac:dyDescent="0.35">
      <c r="A38" s="4">
        <v>44749</v>
      </c>
      <c r="B38" s="5">
        <v>21</v>
      </c>
      <c r="C38">
        <f t="shared" si="5"/>
        <v>107</v>
      </c>
      <c r="D38">
        <f t="shared" si="6"/>
        <v>72</v>
      </c>
      <c r="E38">
        <f t="shared" si="7"/>
        <v>79</v>
      </c>
      <c r="F38">
        <f t="shared" si="0"/>
        <v>7</v>
      </c>
      <c r="G38">
        <f t="shared" si="1"/>
        <v>535</v>
      </c>
      <c r="H38">
        <f t="shared" si="2"/>
        <v>432</v>
      </c>
      <c r="I38">
        <f t="shared" si="3"/>
        <v>553</v>
      </c>
      <c r="J38">
        <f t="shared" si="4"/>
        <v>1520</v>
      </c>
      <c r="K38">
        <f t="shared" si="8"/>
        <v>61732</v>
      </c>
    </row>
    <row r="39" spans="1:11" x14ac:dyDescent="0.35">
      <c r="A39" s="6">
        <v>44750</v>
      </c>
      <c r="B39" s="7">
        <v>24</v>
      </c>
      <c r="C39">
        <f t="shared" si="5"/>
        <v>120</v>
      </c>
      <c r="D39">
        <f t="shared" si="6"/>
        <v>80</v>
      </c>
      <c r="E39">
        <f t="shared" si="7"/>
        <v>90</v>
      </c>
      <c r="F39">
        <f t="shared" si="0"/>
        <v>7</v>
      </c>
      <c r="G39">
        <f t="shared" si="1"/>
        <v>600</v>
      </c>
      <c r="H39">
        <f t="shared" si="2"/>
        <v>480</v>
      </c>
      <c r="I39">
        <f t="shared" si="3"/>
        <v>630</v>
      </c>
      <c r="J39">
        <f t="shared" si="4"/>
        <v>1710</v>
      </c>
      <c r="K39">
        <f t="shared" si="8"/>
        <v>63442</v>
      </c>
    </row>
    <row r="40" spans="1:11" x14ac:dyDescent="0.35">
      <c r="A40" s="4">
        <v>44751</v>
      </c>
      <c r="B40" s="5">
        <v>19</v>
      </c>
      <c r="C40">
        <f t="shared" si="5"/>
        <v>99</v>
      </c>
      <c r="D40">
        <f t="shared" si="6"/>
        <v>68</v>
      </c>
      <c r="E40">
        <f t="shared" si="7"/>
        <v>72</v>
      </c>
      <c r="F40">
        <f t="shared" si="0"/>
        <v>7</v>
      </c>
      <c r="G40">
        <f t="shared" si="1"/>
        <v>495</v>
      </c>
      <c r="H40">
        <f t="shared" si="2"/>
        <v>408</v>
      </c>
      <c r="I40">
        <f t="shared" si="3"/>
        <v>504</v>
      </c>
      <c r="J40">
        <f t="shared" si="4"/>
        <v>1407</v>
      </c>
      <c r="K40">
        <f t="shared" si="8"/>
        <v>64849</v>
      </c>
    </row>
    <row r="41" spans="1:11" x14ac:dyDescent="0.35">
      <c r="A41" s="6">
        <v>44752</v>
      </c>
      <c r="B41" s="7">
        <v>28</v>
      </c>
      <c r="C41">
        <f t="shared" si="5"/>
        <v>136</v>
      </c>
      <c r="D41">
        <f t="shared" si="6"/>
        <v>89</v>
      </c>
      <c r="E41">
        <f t="shared" si="7"/>
        <v>103</v>
      </c>
      <c r="F41">
        <f t="shared" si="0"/>
        <v>7</v>
      </c>
      <c r="G41">
        <f t="shared" si="1"/>
        <v>680</v>
      </c>
      <c r="H41">
        <f t="shared" si="2"/>
        <v>534</v>
      </c>
      <c r="I41">
        <f t="shared" si="3"/>
        <v>721</v>
      </c>
      <c r="J41">
        <f t="shared" si="4"/>
        <v>1935</v>
      </c>
      <c r="K41">
        <f t="shared" si="8"/>
        <v>66784</v>
      </c>
    </row>
    <row r="42" spans="1:11" x14ac:dyDescent="0.35">
      <c r="A42" s="4">
        <v>44753</v>
      </c>
      <c r="B42" s="5">
        <v>27</v>
      </c>
      <c r="C42">
        <f t="shared" si="5"/>
        <v>132</v>
      </c>
      <c r="D42">
        <f t="shared" si="6"/>
        <v>87</v>
      </c>
      <c r="E42">
        <f t="shared" si="7"/>
        <v>100</v>
      </c>
      <c r="F42">
        <f t="shared" si="0"/>
        <v>7</v>
      </c>
      <c r="G42">
        <f t="shared" si="1"/>
        <v>660</v>
      </c>
      <c r="H42">
        <f t="shared" si="2"/>
        <v>522</v>
      </c>
      <c r="I42">
        <f t="shared" si="3"/>
        <v>700</v>
      </c>
      <c r="J42">
        <f t="shared" si="4"/>
        <v>1882</v>
      </c>
      <c r="K42">
        <f t="shared" si="8"/>
        <v>68666</v>
      </c>
    </row>
    <row r="43" spans="1:11" x14ac:dyDescent="0.35">
      <c r="A43" s="6">
        <v>44754</v>
      </c>
      <c r="B43" s="7">
        <v>24</v>
      </c>
      <c r="C43">
        <f t="shared" si="5"/>
        <v>120</v>
      </c>
      <c r="D43">
        <f t="shared" si="6"/>
        <v>80</v>
      </c>
      <c r="E43">
        <f t="shared" si="7"/>
        <v>90</v>
      </c>
      <c r="F43">
        <f t="shared" si="0"/>
        <v>7</v>
      </c>
      <c r="G43">
        <f t="shared" si="1"/>
        <v>600</v>
      </c>
      <c r="H43">
        <f t="shared" si="2"/>
        <v>480</v>
      </c>
      <c r="I43">
        <f t="shared" si="3"/>
        <v>630</v>
      </c>
      <c r="J43">
        <f t="shared" si="4"/>
        <v>1710</v>
      </c>
      <c r="K43">
        <f t="shared" si="8"/>
        <v>70376</v>
      </c>
    </row>
    <row r="44" spans="1:11" x14ac:dyDescent="0.35">
      <c r="A44" s="4">
        <v>44755</v>
      </c>
      <c r="B44" s="5">
        <v>22</v>
      </c>
      <c r="C44">
        <f t="shared" si="5"/>
        <v>111</v>
      </c>
      <c r="D44">
        <f t="shared" si="6"/>
        <v>75</v>
      </c>
      <c r="E44">
        <f t="shared" si="7"/>
        <v>83</v>
      </c>
      <c r="F44">
        <f t="shared" si="0"/>
        <v>7</v>
      </c>
      <c r="G44">
        <f t="shared" si="1"/>
        <v>555</v>
      </c>
      <c r="H44">
        <f t="shared" si="2"/>
        <v>450</v>
      </c>
      <c r="I44">
        <f t="shared" si="3"/>
        <v>581</v>
      </c>
      <c r="J44">
        <f t="shared" si="4"/>
        <v>1586</v>
      </c>
      <c r="K44">
        <f t="shared" si="8"/>
        <v>71962</v>
      </c>
    </row>
    <row r="45" spans="1:11" x14ac:dyDescent="0.35">
      <c r="A45" s="6">
        <v>44756</v>
      </c>
      <c r="B45" s="7">
        <v>17</v>
      </c>
      <c r="C45">
        <f t="shared" si="5"/>
        <v>91</v>
      </c>
      <c r="D45">
        <f t="shared" si="6"/>
        <v>63</v>
      </c>
      <c r="E45">
        <f t="shared" si="7"/>
        <v>65</v>
      </c>
      <c r="F45">
        <f t="shared" si="0"/>
        <v>7</v>
      </c>
      <c r="G45">
        <f t="shared" si="1"/>
        <v>455</v>
      </c>
      <c r="H45">
        <f t="shared" si="2"/>
        <v>378</v>
      </c>
      <c r="I45">
        <f t="shared" si="3"/>
        <v>455</v>
      </c>
      <c r="J45">
        <f t="shared" si="4"/>
        <v>1288</v>
      </c>
      <c r="K45">
        <f t="shared" si="8"/>
        <v>73250</v>
      </c>
    </row>
    <row r="46" spans="1:11" x14ac:dyDescent="0.35">
      <c r="A46" s="4">
        <v>44757</v>
      </c>
      <c r="B46" s="5">
        <v>18</v>
      </c>
      <c r="C46">
        <f t="shared" si="5"/>
        <v>95</v>
      </c>
      <c r="D46">
        <f t="shared" si="6"/>
        <v>65</v>
      </c>
      <c r="E46">
        <f t="shared" si="7"/>
        <v>69</v>
      </c>
      <c r="F46">
        <f t="shared" si="0"/>
        <v>7</v>
      </c>
      <c r="G46">
        <f t="shared" si="1"/>
        <v>475</v>
      </c>
      <c r="H46">
        <f t="shared" si="2"/>
        <v>390</v>
      </c>
      <c r="I46">
        <f t="shared" si="3"/>
        <v>483</v>
      </c>
      <c r="J46">
        <f t="shared" si="4"/>
        <v>1348</v>
      </c>
      <c r="K46">
        <f t="shared" si="8"/>
        <v>74598</v>
      </c>
    </row>
    <row r="47" spans="1:11" x14ac:dyDescent="0.35">
      <c r="A47" s="6">
        <v>44758</v>
      </c>
      <c r="B47" s="7">
        <v>23</v>
      </c>
      <c r="C47">
        <f t="shared" si="5"/>
        <v>115</v>
      </c>
      <c r="D47">
        <f t="shared" si="6"/>
        <v>77</v>
      </c>
      <c r="E47">
        <f t="shared" si="7"/>
        <v>86</v>
      </c>
      <c r="F47">
        <f t="shared" si="0"/>
        <v>7</v>
      </c>
      <c r="G47">
        <f t="shared" si="1"/>
        <v>575</v>
      </c>
      <c r="H47">
        <f t="shared" si="2"/>
        <v>462</v>
      </c>
      <c r="I47">
        <f t="shared" si="3"/>
        <v>602</v>
      </c>
      <c r="J47">
        <f t="shared" si="4"/>
        <v>1639</v>
      </c>
      <c r="K47">
        <f t="shared" si="8"/>
        <v>76237</v>
      </c>
    </row>
    <row r="48" spans="1:11" x14ac:dyDescent="0.35">
      <c r="A48" s="4">
        <v>44759</v>
      </c>
      <c r="B48" s="5">
        <v>23</v>
      </c>
      <c r="C48">
        <f t="shared" si="5"/>
        <v>115</v>
      </c>
      <c r="D48">
        <f t="shared" si="6"/>
        <v>77</v>
      </c>
      <c r="E48">
        <f t="shared" si="7"/>
        <v>86</v>
      </c>
      <c r="F48">
        <f t="shared" si="0"/>
        <v>7</v>
      </c>
      <c r="G48">
        <f t="shared" si="1"/>
        <v>575</v>
      </c>
      <c r="H48">
        <f t="shared" si="2"/>
        <v>462</v>
      </c>
      <c r="I48">
        <f t="shared" si="3"/>
        <v>602</v>
      </c>
      <c r="J48">
        <f t="shared" si="4"/>
        <v>1639</v>
      </c>
      <c r="K48">
        <f t="shared" si="8"/>
        <v>77876</v>
      </c>
    </row>
    <row r="49" spans="1:11" x14ac:dyDescent="0.35">
      <c r="A49" s="6">
        <v>44760</v>
      </c>
      <c r="B49" s="7">
        <v>19</v>
      </c>
      <c r="C49">
        <f t="shared" si="5"/>
        <v>99</v>
      </c>
      <c r="D49">
        <f t="shared" si="6"/>
        <v>68</v>
      </c>
      <c r="E49">
        <f t="shared" si="7"/>
        <v>72</v>
      </c>
      <c r="F49">
        <f t="shared" si="0"/>
        <v>7</v>
      </c>
      <c r="G49">
        <f t="shared" si="1"/>
        <v>495</v>
      </c>
      <c r="H49">
        <f t="shared" si="2"/>
        <v>408</v>
      </c>
      <c r="I49">
        <f t="shared" si="3"/>
        <v>504</v>
      </c>
      <c r="J49">
        <f t="shared" si="4"/>
        <v>1407</v>
      </c>
      <c r="K49">
        <f t="shared" si="8"/>
        <v>79283</v>
      </c>
    </row>
    <row r="50" spans="1:11" x14ac:dyDescent="0.35">
      <c r="A50" s="4">
        <v>44761</v>
      </c>
      <c r="B50" s="5">
        <v>21</v>
      </c>
      <c r="C50">
        <f t="shared" si="5"/>
        <v>107</v>
      </c>
      <c r="D50">
        <f t="shared" si="6"/>
        <v>72</v>
      </c>
      <c r="E50">
        <f t="shared" si="7"/>
        <v>79</v>
      </c>
      <c r="F50">
        <f t="shared" si="0"/>
        <v>7</v>
      </c>
      <c r="G50">
        <f t="shared" si="1"/>
        <v>535</v>
      </c>
      <c r="H50">
        <f t="shared" si="2"/>
        <v>432</v>
      </c>
      <c r="I50">
        <f t="shared" si="3"/>
        <v>553</v>
      </c>
      <c r="J50">
        <f t="shared" si="4"/>
        <v>1520</v>
      </c>
      <c r="K50">
        <f t="shared" si="8"/>
        <v>80803</v>
      </c>
    </row>
    <row r="51" spans="1:11" x14ac:dyDescent="0.35">
      <c r="A51" s="6">
        <v>44762</v>
      </c>
      <c r="B51" s="7">
        <v>25</v>
      </c>
      <c r="C51">
        <f t="shared" si="5"/>
        <v>124</v>
      </c>
      <c r="D51">
        <f t="shared" si="6"/>
        <v>82</v>
      </c>
      <c r="E51">
        <f t="shared" si="7"/>
        <v>93</v>
      </c>
      <c r="F51">
        <f t="shared" si="0"/>
        <v>7</v>
      </c>
      <c r="G51">
        <f t="shared" si="1"/>
        <v>620</v>
      </c>
      <c r="H51">
        <f t="shared" si="2"/>
        <v>492</v>
      </c>
      <c r="I51">
        <f t="shared" si="3"/>
        <v>651</v>
      </c>
      <c r="J51">
        <f t="shared" si="4"/>
        <v>1763</v>
      </c>
      <c r="K51">
        <f t="shared" si="8"/>
        <v>82566</v>
      </c>
    </row>
    <row r="52" spans="1:11" x14ac:dyDescent="0.35">
      <c r="A52" s="4">
        <v>44763</v>
      </c>
      <c r="B52" s="5">
        <v>28</v>
      </c>
      <c r="C52">
        <f t="shared" si="5"/>
        <v>136</v>
      </c>
      <c r="D52">
        <f t="shared" si="6"/>
        <v>89</v>
      </c>
      <c r="E52">
        <f t="shared" si="7"/>
        <v>103</v>
      </c>
      <c r="F52">
        <f t="shared" si="0"/>
        <v>7</v>
      </c>
      <c r="G52">
        <f t="shared" si="1"/>
        <v>680</v>
      </c>
      <c r="H52">
        <f t="shared" si="2"/>
        <v>534</v>
      </c>
      <c r="I52">
        <f t="shared" si="3"/>
        <v>721</v>
      </c>
      <c r="J52">
        <f t="shared" si="4"/>
        <v>1935</v>
      </c>
      <c r="K52">
        <f t="shared" si="8"/>
        <v>84501</v>
      </c>
    </row>
    <row r="53" spans="1:11" x14ac:dyDescent="0.35">
      <c r="A53" s="6">
        <v>44764</v>
      </c>
      <c r="B53" s="7">
        <v>27</v>
      </c>
      <c r="C53">
        <f t="shared" si="5"/>
        <v>132</v>
      </c>
      <c r="D53">
        <f t="shared" si="6"/>
        <v>87</v>
      </c>
      <c r="E53">
        <f t="shared" si="7"/>
        <v>100</v>
      </c>
      <c r="F53">
        <f t="shared" si="0"/>
        <v>7</v>
      </c>
      <c r="G53">
        <f t="shared" si="1"/>
        <v>660</v>
      </c>
      <c r="H53">
        <f t="shared" si="2"/>
        <v>522</v>
      </c>
      <c r="I53">
        <f t="shared" si="3"/>
        <v>700</v>
      </c>
      <c r="J53">
        <f t="shared" si="4"/>
        <v>1882</v>
      </c>
      <c r="K53">
        <f t="shared" si="8"/>
        <v>86383</v>
      </c>
    </row>
    <row r="54" spans="1:11" x14ac:dyDescent="0.35">
      <c r="A54" s="4">
        <v>44765</v>
      </c>
      <c r="B54" s="5">
        <v>23</v>
      </c>
      <c r="C54">
        <f t="shared" si="5"/>
        <v>115</v>
      </c>
      <c r="D54">
        <f t="shared" si="6"/>
        <v>77</v>
      </c>
      <c r="E54">
        <f t="shared" si="7"/>
        <v>86</v>
      </c>
      <c r="F54">
        <f t="shared" si="0"/>
        <v>7</v>
      </c>
      <c r="G54">
        <f t="shared" si="1"/>
        <v>575</v>
      </c>
      <c r="H54">
        <f t="shared" si="2"/>
        <v>462</v>
      </c>
      <c r="I54">
        <f t="shared" si="3"/>
        <v>602</v>
      </c>
      <c r="J54">
        <f t="shared" si="4"/>
        <v>1639</v>
      </c>
      <c r="K54">
        <f t="shared" si="8"/>
        <v>88022</v>
      </c>
    </row>
    <row r="55" spans="1:11" x14ac:dyDescent="0.35">
      <c r="A55" s="6">
        <v>44766</v>
      </c>
      <c r="B55" s="7">
        <v>26</v>
      </c>
      <c r="C55">
        <f t="shared" si="5"/>
        <v>128</v>
      </c>
      <c r="D55">
        <f t="shared" si="6"/>
        <v>84</v>
      </c>
      <c r="E55">
        <f t="shared" si="7"/>
        <v>96</v>
      </c>
      <c r="F55">
        <f t="shared" si="0"/>
        <v>7</v>
      </c>
      <c r="G55">
        <f t="shared" si="1"/>
        <v>640</v>
      </c>
      <c r="H55">
        <f t="shared" si="2"/>
        <v>504</v>
      </c>
      <c r="I55">
        <f t="shared" si="3"/>
        <v>672</v>
      </c>
      <c r="J55">
        <f t="shared" si="4"/>
        <v>1816</v>
      </c>
      <c r="K55">
        <f t="shared" si="8"/>
        <v>89838</v>
      </c>
    </row>
    <row r="56" spans="1:11" x14ac:dyDescent="0.35">
      <c r="A56" s="4">
        <v>44767</v>
      </c>
      <c r="B56" s="5">
        <v>29</v>
      </c>
      <c r="C56">
        <f t="shared" si="5"/>
        <v>140</v>
      </c>
      <c r="D56">
        <f t="shared" si="6"/>
        <v>91</v>
      </c>
      <c r="E56">
        <f t="shared" si="7"/>
        <v>107</v>
      </c>
      <c r="F56">
        <f t="shared" si="0"/>
        <v>7</v>
      </c>
      <c r="G56">
        <f t="shared" si="1"/>
        <v>700</v>
      </c>
      <c r="H56">
        <f t="shared" si="2"/>
        <v>546</v>
      </c>
      <c r="I56">
        <f t="shared" si="3"/>
        <v>749</v>
      </c>
      <c r="J56">
        <f t="shared" si="4"/>
        <v>1995</v>
      </c>
      <c r="K56">
        <f t="shared" si="8"/>
        <v>91833</v>
      </c>
    </row>
    <row r="57" spans="1:11" x14ac:dyDescent="0.35">
      <c r="A57" s="6">
        <v>44768</v>
      </c>
      <c r="B57" s="7">
        <v>26</v>
      </c>
      <c r="C57">
        <f t="shared" si="5"/>
        <v>128</v>
      </c>
      <c r="D57">
        <f t="shared" si="6"/>
        <v>84</v>
      </c>
      <c r="E57">
        <f t="shared" si="7"/>
        <v>96</v>
      </c>
      <c r="F57">
        <f t="shared" si="0"/>
        <v>7</v>
      </c>
      <c r="G57">
        <f t="shared" si="1"/>
        <v>640</v>
      </c>
      <c r="H57">
        <f t="shared" si="2"/>
        <v>504</v>
      </c>
      <c r="I57">
        <f t="shared" si="3"/>
        <v>672</v>
      </c>
      <c r="J57">
        <f t="shared" si="4"/>
        <v>1816</v>
      </c>
      <c r="K57">
        <f t="shared" si="8"/>
        <v>93649</v>
      </c>
    </row>
    <row r="58" spans="1:11" x14ac:dyDescent="0.35">
      <c r="A58" s="4">
        <v>44769</v>
      </c>
      <c r="B58" s="5">
        <v>27</v>
      </c>
      <c r="C58">
        <f t="shared" si="5"/>
        <v>132</v>
      </c>
      <c r="D58">
        <f t="shared" si="6"/>
        <v>87</v>
      </c>
      <c r="E58">
        <f t="shared" si="7"/>
        <v>100</v>
      </c>
      <c r="F58">
        <f t="shared" si="0"/>
        <v>7</v>
      </c>
      <c r="G58">
        <f t="shared" si="1"/>
        <v>660</v>
      </c>
      <c r="H58">
        <f t="shared" si="2"/>
        <v>522</v>
      </c>
      <c r="I58">
        <f t="shared" si="3"/>
        <v>700</v>
      </c>
      <c r="J58">
        <f t="shared" si="4"/>
        <v>1882</v>
      </c>
      <c r="K58">
        <f t="shared" si="8"/>
        <v>95531</v>
      </c>
    </row>
    <row r="59" spans="1:11" x14ac:dyDescent="0.35">
      <c r="A59" s="6">
        <v>44770</v>
      </c>
      <c r="B59" s="7">
        <v>24</v>
      </c>
      <c r="C59">
        <f t="shared" si="5"/>
        <v>120</v>
      </c>
      <c r="D59">
        <f t="shared" si="6"/>
        <v>80</v>
      </c>
      <c r="E59">
        <f t="shared" si="7"/>
        <v>90</v>
      </c>
      <c r="F59">
        <f t="shared" si="0"/>
        <v>7</v>
      </c>
      <c r="G59">
        <f t="shared" si="1"/>
        <v>600</v>
      </c>
      <c r="H59">
        <f t="shared" si="2"/>
        <v>480</v>
      </c>
      <c r="I59">
        <f t="shared" si="3"/>
        <v>630</v>
      </c>
      <c r="J59">
        <f t="shared" si="4"/>
        <v>1710</v>
      </c>
      <c r="K59">
        <f t="shared" si="8"/>
        <v>97241</v>
      </c>
    </row>
    <row r="60" spans="1:11" x14ac:dyDescent="0.35">
      <c r="A60" s="4">
        <v>44771</v>
      </c>
      <c r="B60" s="5">
        <v>26</v>
      </c>
      <c r="C60">
        <f t="shared" si="5"/>
        <v>128</v>
      </c>
      <c r="D60">
        <f t="shared" si="6"/>
        <v>84</v>
      </c>
      <c r="E60">
        <f t="shared" si="7"/>
        <v>96</v>
      </c>
      <c r="F60">
        <f t="shared" si="0"/>
        <v>7</v>
      </c>
      <c r="G60">
        <f t="shared" si="1"/>
        <v>640</v>
      </c>
      <c r="H60">
        <f t="shared" si="2"/>
        <v>504</v>
      </c>
      <c r="I60">
        <f t="shared" si="3"/>
        <v>672</v>
      </c>
      <c r="J60">
        <f t="shared" si="4"/>
        <v>1816</v>
      </c>
      <c r="K60">
        <f t="shared" si="8"/>
        <v>99057</v>
      </c>
    </row>
    <row r="61" spans="1:11" x14ac:dyDescent="0.35">
      <c r="A61" s="6">
        <v>44772</v>
      </c>
      <c r="B61" s="7">
        <v>25</v>
      </c>
      <c r="C61">
        <f t="shared" si="5"/>
        <v>124</v>
      </c>
      <c r="D61">
        <f t="shared" si="6"/>
        <v>82</v>
      </c>
      <c r="E61">
        <f t="shared" si="7"/>
        <v>93</v>
      </c>
      <c r="F61">
        <f t="shared" si="0"/>
        <v>7</v>
      </c>
      <c r="G61">
        <f t="shared" si="1"/>
        <v>620</v>
      </c>
      <c r="H61">
        <f t="shared" si="2"/>
        <v>492</v>
      </c>
      <c r="I61">
        <f t="shared" si="3"/>
        <v>651</v>
      </c>
      <c r="J61">
        <f t="shared" si="4"/>
        <v>1763</v>
      </c>
      <c r="K61">
        <f t="shared" si="8"/>
        <v>100820</v>
      </c>
    </row>
    <row r="62" spans="1:11" x14ac:dyDescent="0.35">
      <c r="A62" s="4">
        <v>44773</v>
      </c>
      <c r="B62" s="5">
        <v>24</v>
      </c>
      <c r="C62">
        <f t="shared" si="5"/>
        <v>120</v>
      </c>
      <c r="D62">
        <f t="shared" si="6"/>
        <v>80</v>
      </c>
      <c r="E62">
        <f t="shared" si="7"/>
        <v>90</v>
      </c>
      <c r="F62">
        <f t="shared" si="0"/>
        <v>7</v>
      </c>
      <c r="G62">
        <f t="shared" si="1"/>
        <v>600</v>
      </c>
      <c r="H62">
        <f t="shared" si="2"/>
        <v>480</v>
      </c>
      <c r="I62">
        <f t="shared" si="3"/>
        <v>630</v>
      </c>
      <c r="J62">
        <f t="shared" si="4"/>
        <v>1710</v>
      </c>
      <c r="K62">
        <f t="shared" si="8"/>
        <v>102530</v>
      </c>
    </row>
    <row r="63" spans="1:11" x14ac:dyDescent="0.35">
      <c r="A63" s="6">
        <v>44774</v>
      </c>
      <c r="B63" s="7">
        <v>22</v>
      </c>
      <c r="C63">
        <f t="shared" si="5"/>
        <v>111</v>
      </c>
      <c r="D63">
        <f t="shared" si="6"/>
        <v>75</v>
      </c>
      <c r="E63">
        <f t="shared" si="7"/>
        <v>83</v>
      </c>
      <c r="F63">
        <f t="shared" si="0"/>
        <v>8</v>
      </c>
      <c r="G63">
        <f t="shared" si="1"/>
        <v>555</v>
      </c>
      <c r="H63">
        <f t="shared" si="2"/>
        <v>450</v>
      </c>
      <c r="I63">
        <f t="shared" si="3"/>
        <v>581</v>
      </c>
      <c r="J63">
        <f t="shared" si="4"/>
        <v>1586</v>
      </c>
      <c r="K63">
        <f t="shared" si="8"/>
        <v>104116</v>
      </c>
    </row>
    <row r="64" spans="1:11" x14ac:dyDescent="0.35">
      <c r="A64" s="4">
        <v>44775</v>
      </c>
      <c r="B64" s="5">
        <v>19</v>
      </c>
      <c r="C64">
        <f t="shared" si="5"/>
        <v>99</v>
      </c>
      <c r="D64">
        <f t="shared" si="6"/>
        <v>68</v>
      </c>
      <c r="E64">
        <f t="shared" si="7"/>
        <v>72</v>
      </c>
      <c r="F64">
        <f t="shared" si="0"/>
        <v>8</v>
      </c>
      <c r="G64">
        <f t="shared" si="1"/>
        <v>495</v>
      </c>
      <c r="H64">
        <f t="shared" si="2"/>
        <v>408</v>
      </c>
      <c r="I64">
        <f t="shared" si="3"/>
        <v>504</v>
      </c>
      <c r="J64">
        <f t="shared" si="4"/>
        <v>1407</v>
      </c>
      <c r="K64">
        <f t="shared" si="8"/>
        <v>105523</v>
      </c>
    </row>
    <row r="65" spans="1:11" x14ac:dyDescent="0.35">
      <c r="A65" s="6">
        <v>44776</v>
      </c>
      <c r="B65" s="7">
        <v>21</v>
      </c>
      <c r="C65">
        <f t="shared" si="5"/>
        <v>107</v>
      </c>
      <c r="D65">
        <f t="shared" si="6"/>
        <v>72</v>
      </c>
      <c r="E65">
        <f t="shared" si="7"/>
        <v>79</v>
      </c>
      <c r="F65">
        <f t="shared" si="0"/>
        <v>8</v>
      </c>
      <c r="G65">
        <f t="shared" si="1"/>
        <v>535</v>
      </c>
      <c r="H65">
        <f t="shared" si="2"/>
        <v>432</v>
      </c>
      <c r="I65">
        <f t="shared" si="3"/>
        <v>553</v>
      </c>
      <c r="J65">
        <f t="shared" si="4"/>
        <v>1520</v>
      </c>
      <c r="K65">
        <f t="shared" si="8"/>
        <v>107043</v>
      </c>
    </row>
    <row r="66" spans="1:11" x14ac:dyDescent="0.35">
      <c r="A66" s="4">
        <v>44777</v>
      </c>
      <c r="B66" s="5">
        <v>26</v>
      </c>
      <c r="C66">
        <f t="shared" si="5"/>
        <v>128</v>
      </c>
      <c r="D66">
        <f t="shared" si="6"/>
        <v>84</v>
      </c>
      <c r="E66">
        <f t="shared" si="7"/>
        <v>96</v>
      </c>
      <c r="F66">
        <f t="shared" si="0"/>
        <v>8</v>
      </c>
      <c r="G66">
        <f t="shared" si="1"/>
        <v>640</v>
      </c>
      <c r="H66">
        <f t="shared" si="2"/>
        <v>504</v>
      </c>
      <c r="I66">
        <f t="shared" si="3"/>
        <v>672</v>
      </c>
      <c r="J66">
        <f t="shared" si="4"/>
        <v>1816</v>
      </c>
      <c r="K66">
        <f t="shared" si="8"/>
        <v>108859</v>
      </c>
    </row>
    <row r="67" spans="1:11" x14ac:dyDescent="0.35">
      <c r="A67" s="6">
        <v>44778</v>
      </c>
      <c r="B67" s="7">
        <v>19</v>
      </c>
      <c r="C67">
        <f t="shared" si="5"/>
        <v>99</v>
      </c>
      <c r="D67">
        <f t="shared" si="6"/>
        <v>68</v>
      </c>
      <c r="E67">
        <f t="shared" si="7"/>
        <v>72</v>
      </c>
      <c r="F67">
        <f t="shared" ref="F67:F123" si="9">MONTH(A67)</f>
        <v>8</v>
      </c>
      <c r="G67">
        <f t="shared" ref="G67:G123" si="10">C67*5</f>
        <v>495</v>
      </c>
      <c r="H67">
        <f t="shared" ref="H67:H123" si="11">D67*6</f>
        <v>408</v>
      </c>
      <c r="I67">
        <f t="shared" ref="I67:I123" si="12">E67*7</f>
        <v>504</v>
      </c>
      <c r="J67">
        <f t="shared" ref="J67:J123" si="13">G67+H67+I67</f>
        <v>1407</v>
      </c>
      <c r="K67">
        <f t="shared" si="8"/>
        <v>110266</v>
      </c>
    </row>
    <row r="68" spans="1:11" x14ac:dyDescent="0.35">
      <c r="A68" s="4">
        <v>44779</v>
      </c>
      <c r="B68" s="5">
        <v>21</v>
      </c>
      <c r="C68">
        <f t="shared" ref="C68:C123" si="14">INT($C$2*(1+(2/29*((B68-24)/2))))</f>
        <v>107</v>
      </c>
      <c r="D68">
        <f t="shared" ref="D68:D123" si="15">INT($D$2*(1+(1/17*((B68-24)/2))))</f>
        <v>72</v>
      </c>
      <c r="E68">
        <f t="shared" ref="E68:E123" si="16">INT($E$2*(1+(1/13*((B68-24)/2))))</f>
        <v>79</v>
      </c>
      <c r="F68">
        <f t="shared" si="9"/>
        <v>8</v>
      </c>
      <c r="G68">
        <f t="shared" si="10"/>
        <v>535</v>
      </c>
      <c r="H68">
        <f t="shared" si="11"/>
        <v>432</v>
      </c>
      <c r="I68">
        <f t="shared" si="12"/>
        <v>553</v>
      </c>
      <c r="J68">
        <f t="shared" si="13"/>
        <v>1520</v>
      </c>
      <c r="K68">
        <f t="shared" ref="K68:K123" si="17">J68+K67</f>
        <v>111786</v>
      </c>
    </row>
    <row r="69" spans="1:11" x14ac:dyDescent="0.35">
      <c r="A69" s="6">
        <v>44780</v>
      </c>
      <c r="B69" s="7">
        <v>23</v>
      </c>
      <c r="C69">
        <f t="shared" si="14"/>
        <v>115</v>
      </c>
      <c r="D69">
        <f t="shared" si="15"/>
        <v>77</v>
      </c>
      <c r="E69">
        <f t="shared" si="16"/>
        <v>86</v>
      </c>
      <c r="F69">
        <f t="shared" si="9"/>
        <v>8</v>
      </c>
      <c r="G69">
        <f t="shared" si="10"/>
        <v>575</v>
      </c>
      <c r="H69">
        <f t="shared" si="11"/>
        <v>462</v>
      </c>
      <c r="I69">
        <f t="shared" si="12"/>
        <v>602</v>
      </c>
      <c r="J69">
        <f t="shared" si="13"/>
        <v>1639</v>
      </c>
      <c r="K69">
        <f t="shared" si="17"/>
        <v>113425</v>
      </c>
    </row>
    <row r="70" spans="1:11" x14ac:dyDescent="0.35">
      <c r="A70" s="4">
        <v>44781</v>
      </c>
      <c r="B70" s="5">
        <v>27</v>
      </c>
      <c r="C70">
        <f t="shared" si="14"/>
        <v>132</v>
      </c>
      <c r="D70">
        <f t="shared" si="15"/>
        <v>87</v>
      </c>
      <c r="E70">
        <f t="shared" si="16"/>
        <v>100</v>
      </c>
      <c r="F70">
        <f t="shared" si="9"/>
        <v>8</v>
      </c>
      <c r="G70">
        <f t="shared" si="10"/>
        <v>660</v>
      </c>
      <c r="H70">
        <f t="shared" si="11"/>
        <v>522</v>
      </c>
      <c r="I70">
        <f t="shared" si="12"/>
        <v>700</v>
      </c>
      <c r="J70">
        <f t="shared" si="13"/>
        <v>1882</v>
      </c>
      <c r="K70">
        <f t="shared" si="17"/>
        <v>115307</v>
      </c>
    </row>
    <row r="71" spans="1:11" x14ac:dyDescent="0.35">
      <c r="A71" s="6">
        <v>44782</v>
      </c>
      <c r="B71" s="7">
        <v>20</v>
      </c>
      <c r="C71">
        <f t="shared" si="14"/>
        <v>103</v>
      </c>
      <c r="D71">
        <f t="shared" si="15"/>
        <v>70</v>
      </c>
      <c r="E71">
        <f t="shared" si="16"/>
        <v>76</v>
      </c>
      <c r="F71">
        <f t="shared" si="9"/>
        <v>8</v>
      </c>
      <c r="G71">
        <f t="shared" si="10"/>
        <v>515</v>
      </c>
      <c r="H71">
        <f t="shared" si="11"/>
        <v>420</v>
      </c>
      <c r="I71">
        <f t="shared" si="12"/>
        <v>532</v>
      </c>
      <c r="J71">
        <f t="shared" si="13"/>
        <v>1467</v>
      </c>
      <c r="K71">
        <f t="shared" si="17"/>
        <v>116774</v>
      </c>
    </row>
    <row r="72" spans="1:11" x14ac:dyDescent="0.35">
      <c r="A72" s="4">
        <v>44783</v>
      </c>
      <c r="B72" s="5">
        <v>18</v>
      </c>
      <c r="C72">
        <f t="shared" si="14"/>
        <v>95</v>
      </c>
      <c r="D72">
        <f t="shared" si="15"/>
        <v>65</v>
      </c>
      <c r="E72">
        <f t="shared" si="16"/>
        <v>69</v>
      </c>
      <c r="F72">
        <f t="shared" si="9"/>
        <v>8</v>
      </c>
      <c r="G72">
        <f t="shared" si="10"/>
        <v>475</v>
      </c>
      <c r="H72">
        <f t="shared" si="11"/>
        <v>390</v>
      </c>
      <c r="I72">
        <f t="shared" si="12"/>
        <v>483</v>
      </c>
      <c r="J72">
        <f t="shared" si="13"/>
        <v>1348</v>
      </c>
      <c r="K72">
        <f t="shared" si="17"/>
        <v>118122</v>
      </c>
    </row>
    <row r="73" spans="1:11" x14ac:dyDescent="0.35">
      <c r="A73" s="6">
        <v>44784</v>
      </c>
      <c r="B73" s="7">
        <v>17</v>
      </c>
      <c r="C73">
        <f t="shared" si="14"/>
        <v>91</v>
      </c>
      <c r="D73">
        <f t="shared" si="15"/>
        <v>63</v>
      </c>
      <c r="E73">
        <f t="shared" si="16"/>
        <v>65</v>
      </c>
      <c r="F73">
        <f t="shared" si="9"/>
        <v>8</v>
      </c>
      <c r="G73">
        <f t="shared" si="10"/>
        <v>455</v>
      </c>
      <c r="H73">
        <f t="shared" si="11"/>
        <v>378</v>
      </c>
      <c r="I73">
        <f t="shared" si="12"/>
        <v>455</v>
      </c>
      <c r="J73">
        <f t="shared" si="13"/>
        <v>1288</v>
      </c>
      <c r="K73">
        <f t="shared" si="17"/>
        <v>119410</v>
      </c>
    </row>
    <row r="74" spans="1:11" x14ac:dyDescent="0.35">
      <c r="A74" s="4">
        <v>44785</v>
      </c>
      <c r="B74" s="5">
        <v>19</v>
      </c>
      <c r="C74">
        <f t="shared" si="14"/>
        <v>99</v>
      </c>
      <c r="D74">
        <f t="shared" si="15"/>
        <v>68</v>
      </c>
      <c r="E74">
        <f t="shared" si="16"/>
        <v>72</v>
      </c>
      <c r="F74">
        <f t="shared" si="9"/>
        <v>8</v>
      </c>
      <c r="G74">
        <f t="shared" si="10"/>
        <v>495</v>
      </c>
      <c r="H74">
        <f t="shared" si="11"/>
        <v>408</v>
      </c>
      <c r="I74">
        <f t="shared" si="12"/>
        <v>504</v>
      </c>
      <c r="J74">
        <f t="shared" si="13"/>
        <v>1407</v>
      </c>
      <c r="K74">
        <f t="shared" si="17"/>
        <v>120817</v>
      </c>
    </row>
    <row r="75" spans="1:11" x14ac:dyDescent="0.35">
      <c r="A75" s="6">
        <v>44786</v>
      </c>
      <c r="B75" s="7">
        <v>26</v>
      </c>
      <c r="C75">
        <f t="shared" si="14"/>
        <v>128</v>
      </c>
      <c r="D75">
        <f t="shared" si="15"/>
        <v>84</v>
      </c>
      <c r="E75">
        <f t="shared" si="16"/>
        <v>96</v>
      </c>
      <c r="F75">
        <f t="shared" si="9"/>
        <v>8</v>
      </c>
      <c r="G75">
        <f t="shared" si="10"/>
        <v>640</v>
      </c>
      <c r="H75">
        <f t="shared" si="11"/>
        <v>504</v>
      </c>
      <c r="I75">
        <f t="shared" si="12"/>
        <v>672</v>
      </c>
      <c r="J75">
        <f t="shared" si="13"/>
        <v>1816</v>
      </c>
      <c r="K75">
        <f t="shared" si="17"/>
        <v>122633</v>
      </c>
    </row>
    <row r="76" spans="1:11" x14ac:dyDescent="0.35">
      <c r="A76" s="4">
        <v>44787</v>
      </c>
      <c r="B76" s="5">
        <v>21</v>
      </c>
      <c r="C76">
        <f t="shared" si="14"/>
        <v>107</v>
      </c>
      <c r="D76">
        <f t="shared" si="15"/>
        <v>72</v>
      </c>
      <c r="E76">
        <f t="shared" si="16"/>
        <v>79</v>
      </c>
      <c r="F76">
        <f t="shared" si="9"/>
        <v>8</v>
      </c>
      <c r="G76">
        <f t="shared" si="10"/>
        <v>535</v>
      </c>
      <c r="H76">
        <f t="shared" si="11"/>
        <v>432</v>
      </c>
      <c r="I76">
        <f t="shared" si="12"/>
        <v>553</v>
      </c>
      <c r="J76">
        <f t="shared" si="13"/>
        <v>1520</v>
      </c>
      <c r="K76">
        <f t="shared" si="17"/>
        <v>124153</v>
      </c>
    </row>
    <row r="77" spans="1:11" x14ac:dyDescent="0.35">
      <c r="A77" s="6">
        <v>44788</v>
      </c>
      <c r="B77" s="7">
        <v>19</v>
      </c>
      <c r="C77">
        <f t="shared" si="14"/>
        <v>99</v>
      </c>
      <c r="D77">
        <f t="shared" si="15"/>
        <v>68</v>
      </c>
      <c r="E77">
        <f t="shared" si="16"/>
        <v>72</v>
      </c>
      <c r="F77">
        <f t="shared" si="9"/>
        <v>8</v>
      </c>
      <c r="G77">
        <f t="shared" si="10"/>
        <v>495</v>
      </c>
      <c r="H77">
        <f t="shared" si="11"/>
        <v>408</v>
      </c>
      <c r="I77">
        <f t="shared" si="12"/>
        <v>504</v>
      </c>
      <c r="J77">
        <f t="shared" si="13"/>
        <v>1407</v>
      </c>
      <c r="K77">
        <f t="shared" si="17"/>
        <v>125560</v>
      </c>
    </row>
    <row r="78" spans="1:11" x14ac:dyDescent="0.35">
      <c r="A78" s="4">
        <v>44789</v>
      </c>
      <c r="B78" s="5">
        <v>19</v>
      </c>
      <c r="C78">
        <f t="shared" si="14"/>
        <v>99</v>
      </c>
      <c r="D78">
        <f t="shared" si="15"/>
        <v>68</v>
      </c>
      <c r="E78">
        <f t="shared" si="16"/>
        <v>72</v>
      </c>
      <c r="F78">
        <f t="shared" si="9"/>
        <v>8</v>
      </c>
      <c r="G78">
        <f t="shared" si="10"/>
        <v>495</v>
      </c>
      <c r="H78">
        <f t="shared" si="11"/>
        <v>408</v>
      </c>
      <c r="I78">
        <f t="shared" si="12"/>
        <v>504</v>
      </c>
      <c r="J78">
        <f t="shared" si="13"/>
        <v>1407</v>
      </c>
      <c r="K78">
        <f t="shared" si="17"/>
        <v>126967</v>
      </c>
    </row>
    <row r="79" spans="1:11" x14ac:dyDescent="0.35">
      <c r="A79" s="6">
        <v>44790</v>
      </c>
      <c r="B79" s="7">
        <v>21</v>
      </c>
      <c r="C79">
        <f t="shared" si="14"/>
        <v>107</v>
      </c>
      <c r="D79">
        <f t="shared" si="15"/>
        <v>72</v>
      </c>
      <c r="E79">
        <f t="shared" si="16"/>
        <v>79</v>
      </c>
      <c r="F79">
        <f t="shared" si="9"/>
        <v>8</v>
      </c>
      <c r="G79">
        <f t="shared" si="10"/>
        <v>535</v>
      </c>
      <c r="H79">
        <f t="shared" si="11"/>
        <v>432</v>
      </c>
      <c r="I79">
        <f t="shared" si="12"/>
        <v>553</v>
      </c>
      <c r="J79">
        <f t="shared" si="13"/>
        <v>1520</v>
      </c>
      <c r="K79">
        <f t="shared" si="17"/>
        <v>128487</v>
      </c>
    </row>
    <row r="80" spans="1:11" x14ac:dyDescent="0.35">
      <c r="A80" s="4">
        <v>44791</v>
      </c>
      <c r="B80" s="5">
        <v>21</v>
      </c>
      <c r="C80">
        <f t="shared" si="14"/>
        <v>107</v>
      </c>
      <c r="D80">
        <f t="shared" si="15"/>
        <v>72</v>
      </c>
      <c r="E80">
        <f t="shared" si="16"/>
        <v>79</v>
      </c>
      <c r="F80">
        <f t="shared" si="9"/>
        <v>8</v>
      </c>
      <c r="G80">
        <f t="shared" si="10"/>
        <v>535</v>
      </c>
      <c r="H80">
        <f t="shared" si="11"/>
        <v>432</v>
      </c>
      <c r="I80">
        <f t="shared" si="12"/>
        <v>553</v>
      </c>
      <c r="J80">
        <f t="shared" si="13"/>
        <v>1520</v>
      </c>
      <c r="K80">
        <f t="shared" si="17"/>
        <v>130007</v>
      </c>
    </row>
    <row r="81" spans="1:11" x14ac:dyDescent="0.35">
      <c r="A81" s="6">
        <v>44792</v>
      </c>
      <c r="B81" s="7">
        <v>24</v>
      </c>
      <c r="C81">
        <f t="shared" si="14"/>
        <v>120</v>
      </c>
      <c r="D81">
        <f t="shared" si="15"/>
        <v>80</v>
      </c>
      <c r="E81">
        <f t="shared" si="16"/>
        <v>90</v>
      </c>
      <c r="F81">
        <f t="shared" si="9"/>
        <v>8</v>
      </c>
      <c r="G81">
        <f t="shared" si="10"/>
        <v>600</v>
      </c>
      <c r="H81">
        <f t="shared" si="11"/>
        <v>480</v>
      </c>
      <c r="I81">
        <f t="shared" si="12"/>
        <v>630</v>
      </c>
      <c r="J81">
        <f t="shared" si="13"/>
        <v>1710</v>
      </c>
      <c r="K81">
        <f t="shared" si="17"/>
        <v>131717</v>
      </c>
    </row>
    <row r="82" spans="1:11" x14ac:dyDescent="0.35">
      <c r="A82" s="4">
        <v>44793</v>
      </c>
      <c r="B82" s="5">
        <v>26</v>
      </c>
      <c r="C82">
        <f t="shared" si="14"/>
        <v>128</v>
      </c>
      <c r="D82">
        <f t="shared" si="15"/>
        <v>84</v>
      </c>
      <c r="E82">
        <f t="shared" si="16"/>
        <v>96</v>
      </c>
      <c r="F82">
        <f t="shared" si="9"/>
        <v>8</v>
      </c>
      <c r="G82">
        <f t="shared" si="10"/>
        <v>640</v>
      </c>
      <c r="H82">
        <f t="shared" si="11"/>
        <v>504</v>
      </c>
      <c r="I82">
        <f t="shared" si="12"/>
        <v>672</v>
      </c>
      <c r="J82">
        <f t="shared" si="13"/>
        <v>1816</v>
      </c>
      <c r="K82">
        <f t="shared" si="17"/>
        <v>133533</v>
      </c>
    </row>
    <row r="83" spans="1:11" x14ac:dyDescent="0.35">
      <c r="A83" s="6">
        <v>44794</v>
      </c>
      <c r="B83" s="7">
        <v>23</v>
      </c>
      <c r="C83">
        <f t="shared" si="14"/>
        <v>115</v>
      </c>
      <c r="D83">
        <f t="shared" si="15"/>
        <v>77</v>
      </c>
      <c r="E83">
        <f t="shared" si="16"/>
        <v>86</v>
      </c>
      <c r="F83">
        <f t="shared" si="9"/>
        <v>8</v>
      </c>
      <c r="G83">
        <f t="shared" si="10"/>
        <v>575</v>
      </c>
      <c r="H83">
        <f t="shared" si="11"/>
        <v>462</v>
      </c>
      <c r="I83">
        <f t="shared" si="12"/>
        <v>602</v>
      </c>
      <c r="J83">
        <f t="shared" si="13"/>
        <v>1639</v>
      </c>
      <c r="K83">
        <f t="shared" si="17"/>
        <v>135172</v>
      </c>
    </row>
    <row r="84" spans="1:11" x14ac:dyDescent="0.35">
      <c r="A84" s="4">
        <v>44795</v>
      </c>
      <c r="B84" s="5">
        <v>23</v>
      </c>
      <c r="C84">
        <f t="shared" si="14"/>
        <v>115</v>
      </c>
      <c r="D84">
        <f t="shared" si="15"/>
        <v>77</v>
      </c>
      <c r="E84">
        <f t="shared" si="16"/>
        <v>86</v>
      </c>
      <c r="F84">
        <f t="shared" si="9"/>
        <v>8</v>
      </c>
      <c r="G84">
        <f t="shared" si="10"/>
        <v>575</v>
      </c>
      <c r="H84">
        <f t="shared" si="11"/>
        <v>462</v>
      </c>
      <c r="I84">
        <f t="shared" si="12"/>
        <v>602</v>
      </c>
      <c r="J84">
        <f t="shared" si="13"/>
        <v>1639</v>
      </c>
      <c r="K84">
        <f t="shared" si="17"/>
        <v>136811</v>
      </c>
    </row>
    <row r="85" spans="1:11" x14ac:dyDescent="0.35">
      <c r="A85" s="6">
        <v>44796</v>
      </c>
      <c r="B85" s="7">
        <v>24</v>
      </c>
      <c r="C85">
        <f t="shared" si="14"/>
        <v>120</v>
      </c>
      <c r="D85">
        <f t="shared" si="15"/>
        <v>80</v>
      </c>
      <c r="E85">
        <f t="shared" si="16"/>
        <v>90</v>
      </c>
      <c r="F85">
        <f t="shared" si="9"/>
        <v>8</v>
      </c>
      <c r="G85">
        <f t="shared" si="10"/>
        <v>600</v>
      </c>
      <c r="H85">
        <f t="shared" si="11"/>
        <v>480</v>
      </c>
      <c r="I85">
        <f t="shared" si="12"/>
        <v>630</v>
      </c>
      <c r="J85">
        <f t="shared" si="13"/>
        <v>1710</v>
      </c>
      <c r="K85">
        <f t="shared" si="17"/>
        <v>138521</v>
      </c>
    </row>
    <row r="86" spans="1:11" x14ac:dyDescent="0.35">
      <c r="A86" s="4">
        <v>44797</v>
      </c>
      <c r="B86" s="5">
        <v>26</v>
      </c>
      <c r="C86">
        <f t="shared" si="14"/>
        <v>128</v>
      </c>
      <c r="D86">
        <f t="shared" si="15"/>
        <v>84</v>
      </c>
      <c r="E86">
        <f t="shared" si="16"/>
        <v>96</v>
      </c>
      <c r="F86">
        <f t="shared" si="9"/>
        <v>8</v>
      </c>
      <c r="G86">
        <f t="shared" si="10"/>
        <v>640</v>
      </c>
      <c r="H86">
        <f t="shared" si="11"/>
        <v>504</v>
      </c>
      <c r="I86">
        <f t="shared" si="12"/>
        <v>672</v>
      </c>
      <c r="J86">
        <f t="shared" si="13"/>
        <v>1816</v>
      </c>
      <c r="K86">
        <f t="shared" si="17"/>
        <v>140337</v>
      </c>
    </row>
    <row r="87" spans="1:11" x14ac:dyDescent="0.35">
      <c r="A87" s="6">
        <v>44798</v>
      </c>
      <c r="B87" s="7">
        <v>28</v>
      </c>
      <c r="C87">
        <f t="shared" si="14"/>
        <v>136</v>
      </c>
      <c r="D87">
        <f t="shared" si="15"/>
        <v>89</v>
      </c>
      <c r="E87">
        <f t="shared" si="16"/>
        <v>103</v>
      </c>
      <c r="F87">
        <f t="shared" si="9"/>
        <v>8</v>
      </c>
      <c r="G87">
        <f t="shared" si="10"/>
        <v>680</v>
      </c>
      <c r="H87">
        <f t="shared" si="11"/>
        <v>534</v>
      </c>
      <c r="I87">
        <f t="shared" si="12"/>
        <v>721</v>
      </c>
      <c r="J87">
        <f t="shared" si="13"/>
        <v>1935</v>
      </c>
      <c r="K87">
        <f t="shared" si="17"/>
        <v>142272</v>
      </c>
    </row>
    <row r="88" spans="1:11" x14ac:dyDescent="0.35">
      <c r="A88" s="4">
        <v>44799</v>
      </c>
      <c r="B88" s="5">
        <v>32</v>
      </c>
      <c r="C88">
        <f t="shared" si="14"/>
        <v>153</v>
      </c>
      <c r="D88">
        <f t="shared" si="15"/>
        <v>98</v>
      </c>
      <c r="E88">
        <f t="shared" si="16"/>
        <v>117</v>
      </c>
      <c r="F88">
        <f t="shared" si="9"/>
        <v>8</v>
      </c>
      <c r="G88">
        <f t="shared" si="10"/>
        <v>765</v>
      </c>
      <c r="H88">
        <f t="shared" si="11"/>
        <v>588</v>
      </c>
      <c r="I88">
        <f t="shared" si="12"/>
        <v>819</v>
      </c>
      <c r="J88">
        <f t="shared" si="13"/>
        <v>2172</v>
      </c>
      <c r="K88">
        <f t="shared" si="17"/>
        <v>144444</v>
      </c>
    </row>
    <row r="89" spans="1:11" x14ac:dyDescent="0.35">
      <c r="A89" s="6">
        <v>44800</v>
      </c>
      <c r="B89" s="7">
        <v>26</v>
      </c>
      <c r="C89">
        <f t="shared" si="14"/>
        <v>128</v>
      </c>
      <c r="D89">
        <f t="shared" si="15"/>
        <v>84</v>
      </c>
      <c r="E89">
        <f t="shared" si="16"/>
        <v>96</v>
      </c>
      <c r="F89">
        <f t="shared" si="9"/>
        <v>8</v>
      </c>
      <c r="G89">
        <f t="shared" si="10"/>
        <v>640</v>
      </c>
      <c r="H89">
        <f t="shared" si="11"/>
        <v>504</v>
      </c>
      <c r="I89">
        <f t="shared" si="12"/>
        <v>672</v>
      </c>
      <c r="J89">
        <f t="shared" si="13"/>
        <v>1816</v>
      </c>
      <c r="K89">
        <f t="shared" si="17"/>
        <v>146260</v>
      </c>
    </row>
    <row r="90" spans="1:11" x14ac:dyDescent="0.35">
      <c r="A90" s="4">
        <v>44801</v>
      </c>
      <c r="B90" s="5">
        <v>32</v>
      </c>
      <c r="C90">
        <f t="shared" si="14"/>
        <v>153</v>
      </c>
      <c r="D90">
        <f t="shared" si="15"/>
        <v>98</v>
      </c>
      <c r="E90">
        <f t="shared" si="16"/>
        <v>117</v>
      </c>
      <c r="F90">
        <f t="shared" si="9"/>
        <v>8</v>
      </c>
      <c r="G90">
        <f t="shared" si="10"/>
        <v>765</v>
      </c>
      <c r="H90">
        <f t="shared" si="11"/>
        <v>588</v>
      </c>
      <c r="I90">
        <f t="shared" si="12"/>
        <v>819</v>
      </c>
      <c r="J90">
        <f t="shared" si="13"/>
        <v>2172</v>
      </c>
      <c r="K90">
        <f t="shared" si="17"/>
        <v>148432</v>
      </c>
    </row>
    <row r="91" spans="1:11" x14ac:dyDescent="0.35">
      <c r="A91" s="6">
        <v>44802</v>
      </c>
      <c r="B91" s="7">
        <v>23</v>
      </c>
      <c r="C91">
        <f t="shared" si="14"/>
        <v>115</v>
      </c>
      <c r="D91">
        <f t="shared" si="15"/>
        <v>77</v>
      </c>
      <c r="E91">
        <f t="shared" si="16"/>
        <v>86</v>
      </c>
      <c r="F91">
        <f t="shared" si="9"/>
        <v>8</v>
      </c>
      <c r="G91">
        <f t="shared" si="10"/>
        <v>575</v>
      </c>
      <c r="H91">
        <f t="shared" si="11"/>
        <v>462</v>
      </c>
      <c r="I91">
        <f t="shared" si="12"/>
        <v>602</v>
      </c>
      <c r="J91">
        <f t="shared" si="13"/>
        <v>1639</v>
      </c>
      <c r="K91">
        <f t="shared" si="17"/>
        <v>150071</v>
      </c>
    </row>
    <row r="92" spans="1:11" x14ac:dyDescent="0.35">
      <c r="A92" s="4">
        <v>44803</v>
      </c>
      <c r="B92" s="5">
        <v>22</v>
      </c>
      <c r="C92">
        <f t="shared" si="14"/>
        <v>111</v>
      </c>
      <c r="D92">
        <f t="shared" si="15"/>
        <v>75</v>
      </c>
      <c r="E92">
        <f t="shared" si="16"/>
        <v>83</v>
      </c>
      <c r="F92">
        <f t="shared" si="9"/>
        <v>8</v>
      </c>
      <c r="G92">
        <f t="shared" si="10"/>
        <v>555</v>
      </c>
      <c r="H92">
        <f t="shared" si="11"/>
        <v>450</v>
      </c>
      <c r="I92">
        <f t="shared" si="12"/>
        <v>581</v>
      </c>
      <c r="J92">
        <f t="shared" si="13"/>
        <v>1586</v>
      </c>
      <c r="K92">
        <f t="shared" si="17"/>
        <v>151657</v>
      </c>
    </row>
    <row r="93" spans="1:11" x14ac:dyDescent="0.35">
      <c r="A93" s="8">
        <v>44804</v>
      </c>
      <c r="B93" s="1">
        <v>25</v>
      </c>
      <c r="C93">
        <f t="shared" si="14"/>
        <v>124</v>
      </c>
      <c r="D93">
        <f t="shared" si="15"/>
        <v>82</v>
      </c>
      <c r="E93">
        <f t="shared" si="16"/>
        <v>93</v>
      </c>
      <c r="F93">
        <f t="shared" si="9"/>
        <v>8</v>
      </c>
      <c r="G93">
        <f t="shared" si="10"/>
        <v>620</v>
      </c>
      <c r="H93">
        <f t="shared" si="11"/>
        <v>492</v>
      </c>
      <c r="I93">
        <f t="shared" si="12"/>
        <v>651</v>
      </c>
      <c r="J93">
        <f t="shared" si="13"/>
        <v>1763</v>
      </c>
      <c r="K93">
        <f t="shared" si="17"/>
        <v>153420</v>
      </c>
    </row>
    <row r="94" spans="1:11" x14ac:dyDescent="0.35">
      <c r="A94" s="8">
        <v>44805</v>
      </c>
      <c r="B94" s="12">
        <v>23</v>
      </c>
      <c r="C94">
        <f t="shared" si="14"/>
        <v>115</v>
      </c>
      <c r="D94">
        <f t="shared" si="15"/>
        <v>77</v>
      </c>
      <c r="E94">
        <f t="shared" si="16"/>
        <v>86</v>
      </c>
      <c r="F94">
        <f t="shared" si="9"/>
        <v>9</v>
      </c>
      <c r="G94">
        <f t="shared" si="10"/>
        <v>575</v>
      </c>
      <c r="H94">
        <f t="shared" si="11"/>
        <v>462</v>
      </c>
      <c r="I94">
        <f t="shared" si="12"/>
        <v>602</v>
      </c>
      <c r="J94">
        <f t="shared" si="13"/>
        <v>1639</v>
      </c>
      <c r="K94">
        <f t="shared" si="17"/>
        <v>155059</v>
      </c>
    </row>
    <row r="95" spans="1:11" x14ac:dyDescent="0.35">
      <c r="A95" s="8">
        <v>44806</v>
      </c>
      <c r="B95" s="13">
        <v>23</v>
      </c>
      <c r="C95">
        <f t="shared" si="14"/>
        <v>115</v>
      </c>
      <c r="D95">
        <f t="shared" si="15"/>
        <v>77</v>
      </c>
      <c r="E95">
        <f t="shared" si="16"/>
        <v>86</v>
      </c>
      <c r="F95">
        <f t="shared" si="9"/>
        <v>9</v>
      </c>
      <c r="G95">
        <f t="shared" si="10"/>
        <v>575</v>
      </c>
      <c r="H95">
        <f t="shared" si="11"/>
        <v>462</v>
      </c>
      <c r="I95">
        <f t="shared" si="12"/>
        <v>602</v>
      </c>
      <c r="J95">
        <f t="shared" si="13"/>
        <v>1639</v>
      </c>
      <c r="K95">
        <f t="shared" si="17"/>
        <v>156698</v>
      </c>
    </row>
    <row r="96" spans="1:11" x14ac:dyDescent="0.35">
      <c r="A96" s="8">
        <v>44807</v>
      </c>
      <c r="B96">
        <f>IF(B95=B94,B95-1,B95)</f>
        <v>22</v>
      </c>
      <c r="C96">
        <f t="shared" si="14"/>
        <v>111</v>
      </c>
      <c r="D96">
        <f t="shared" si="15"/>
        <v>75</v>
      </c>
      <c r="E96">
        <f t="shared" si="16"/>
        <v>83</v>
      </c>
      <c r="F96">
        <f t="shared" si="9"/>
        <v>9</v>
      </c>
      <c r="G96">
        <f t="shared" si="10"/>
        <v>555</v>
      </c>
      <c r="H96">
        <f t="shared" si="11"/>
        <v>450</v>
      </c>
      <c r="I96">
        <f t="shared" si="12"/>
        <v>581</v>
      </c>
      <c r="J96">
        <f t="shared" si="13"/>
        <v>1586</v>
      </c>
      <c r="K96">
        <f t="shared" si="17"/>
        <v>158284</v>
      </c>
    </row>
    <row r="97" spans="1:11" x14ac:dyDescent="0.35">
      <c r="A97" s="8">
        <v>44808</v>
      </c>
      <c r="B97">
        <f t="shared" ref="B97:B123" si="18">IF(B96=B95,B96-1,B96)</f>
        <v>22</v>
      </c>
      <c r="C97">
        <f t="shared" si="14"/>
        <v>111</v>
      </c>
      <c r="D97">
        <f t="shared" si="15"/>
        <v>75</v>
      </c>
      <c r="E97">
        <f t="shared" si="16"/>
        <v>83</v>
      </c>
      <c r="F97">
        <f t="shared" si="9"/>
        <v>9</v>
      </c>
      <c r="G97">
        <f t="shared" si="10"/>
        <v>555</v>
      </c>
      <c r="H97">
        <f t="shared" si="11"/>
        <v>450</v>
      </c>
      <c r="I97">
        <f t="shared" si="12"/>
        <v>581</v>
      </c>
      <c r="J97">
        <f t="shared" si="13"/>
        <v>1586</v>
      </c>
      <c r="K97">
        <f t="shared" si="17"/>
        <v>159870</v>
      </c>
    </row>
    <row r="98" spans="1:11" x14ac:dyDescent="0.35">
      <c r="A98" s="8">
        <v>44809</v>
      </c>
      <c r="B98">
        <f t="shared" si="18"/>
        <v>21</v>
      </c>
      <c r="C98">
        <f t="shared" si="14"/>
        <v>107</v>
      </c>
      <c r="D98">
        <f t="shared" si="15"/>
        <v>72</v>
      </c>
      <c r="E98">
        <f t="shared" si="16"/>
        <v>79</v>
      </c>
      <c r="F98">
        <f t="shared" si="9"/>
        <v>9</v>
      </c>
      <c r="G98">
        <f t="shared" si="10"/>
        <v>535</v>
      </c>
      <c r="H98">
        <f t="shared" si="11"/>
        <v>432</v>
      </c>
      <c r="I98">
        <f t="shared" si="12"/>
        <v>553</v>
      </c>
      <c r="J98">
        <f t="shared" si="13"/>
        <v>1520</v>
      </c>
      <c r="K98">
        <f t="shared" si="17"/>
        <v>161390</v>
      </c>
    </row>
    <row r="99" spans="1:11" x14ac:dyDescent="0.35">
      <c r="A99" s="8">
        <v>44810</v>
      </c>
      <c r="B99">
        <f t="shared" si="18"/>
        <v>21</v>
      </c>
      <c r="C99">
        <f t="shared" si="14"/>
        <v>107</v>
      </c>
      <c r="D99">
        <f t="shared" si="15"/>
        <v>72</v>
      </c>
      <c r="E99">
        <f t="shared" si="16"/>
        <v>79</v>
      </c>
      <c r="F99">
        <f t="shared" si="9"/>
        <v>9</v>
      </c>
      <c r="G99">
        <f t="shared" si="10"/>
        <v>535</v>
      </c>
      <c r="H99">
        <f t="shared" si="11"/>
        <v>432</v>
      </c>
      <c r="I99">
        <f t="shared" si="12"/>
        <v>553</v>
      </c>
      <c r="J99">
        <f t="shared" si="13"/>
        <v>1520</v>
      </c>
      <c r="K99">
        <f t="shared" si="17"/>
        <v>162910</v>
      </c>
    </row>
    <row r="100" spans="1:11" x14ac:dyDescent="0.35">
      <c r="A100" s="8">
        <v>44811</v>
      </c>
      <c r="B100">
        <f t="shared" si="18"/>
        <v>20</v>
      </c>
      <c r="C100">
        <f t="shared" si="14"/>
        <v>103</v>
      </c>
      <c r="D100">
        <f t="shared" si="15"/>
        <v>70</v>
      </c>
      <c r="E100">
        <f t="shared" si="16"/>
        <v>76</v>
      </c>
      <c r="F100">
        <f t="shared" si="9"/>
        <v>9</v>
      </c>
      <c r="G100">
        <f t="shared" si="10"/>
        <v>515</v>
      </c>
      <c r="H100">
        <f t="shared" si="11"/>
        <v>420</v>
      </c>
      <c r="I100">
        <f t="shared" si="12"/>
        <v>532</v>
      </c>
      <c r="J100">
        <f t="shared" si="13"/>
        <v>1467</v>
      </c>
      <c r="K100">
        <f t="shared" si="17"/>
        <v>164377</v>
      </c>
    </row>
    <row r="101" spans="1:11" x14ac:dyDescent="0.35">
      <c r="A101" s="8">
        <v>44812</v>
      </c>
      <c r="B101">
        <f t="shared" si="18"/>
        <v>20</v>
      </c>
      <c r="C101">
        <f t="shared" si="14"/>
        <v>103</v>
      </c>
      <c r="D101">
        <f t="shared" si="15"/>
        <v>70</v>
      </c>
      <c r="E101">
        <f t="shared" si="16"/>
        <v>76</v>
      </c>
      <c r="F101">
        <f t="shared" si="9"/>
        <v>9</v>
      </c>
      <c r="G101">
        <f t="shared" si="10"/>
        <v>515</v>
      </c>
      <c r="H101">
        <f t="shared" si="11"/>
        <v>420</v>
      </c>
      <c r="I101">
        <f t="shared" si="12"/>
        <v>532</v>
      </c>
      <c r="J101">
        <f t="shared" si="13"/>
        <v>1467</v>
      </c>
      <c r="K101">
        <f t="shared" si="17"/>
        <v>165844</v>
      </c>
    </row>
    <row r="102" spans="1:11" x14ac:dyDescent="0.35">
      <c r="A102" s="8">
        <v>44813</v>
      </c>
      <c r="B102">
        <f t="shared" si="18"/>
        <v>19</v>
      </c>
      <c r="C102">
        <f t="shared" si="14"/>
        <v>99</v>
      </c>
      <c r="D102">
        <f t="shared" si="15"/>
        <v>68</v>
      </c>
      <c r="E102">
        <f t="shared" si="16"/>
        <v>72</v>
      </c>
      <c r="F102">
        <f t="shared" si="9"/>
        <v>9</v>
      </c>
      <c r="G102">
        <f t="shared" si="10"/>
        <v>495</v>
      </c>
      <c r="H102">
        <f t="shared" si="11"/>
        <v>408</v>
      </c>
      <c r="I102">
        <f t="shared" si="12"/>
        <v>504</v>
      </c>
      <c r="J102">
        <f t="shared" si="13"/>
        <v>1407</v>
      </c>
      <c r="K102">
        <f t="shared" si="17"/>
        <v>167251</v>
      </c>
    </row>
    <row r="103" spans="1:11" x14ac:dyDescent="0.35">
      <c r="A103" s="8">
        <v>44814</v>
      </c>
      <c r="B103">
        <f t="shared" si="18"/>
        <v>19</v>
      </c>
      <c r="C103">
        <f t="shared" si="14"/>
        <v>99</v>
      </c>
      <c r="D103">
        <f t="shared" si="15"/>
        <v>68</v>
      </c>
      <c r="E103">
        <f t="shared" si="16"/>
        <v>72</v>
      </c>
      <c r="F103">
        <f t="shared" si="9"/>
        <v>9</v>
      </c>
      <c r="G103">
        <f t="shared" si="10"/>
        <v>495</v>
      </c>
      <c r="H103">
        <f t="shared" si="11"/>
        <v>408</v>
      </c>
      <c r="I103">
        <f t="shared" si="12"/>
        <v>504</v>
      </c>
      <c r="J103">
        <f t="shared" si="13"/>
        <v>1407</v>
      </c>
      <c r="K103">
        <f t="shared" si="17"/>
        <v>168658</v>
      </c>
    </row>
    <row r="104" spans="1:11" x14ac:dyDescent="0.35">
      <c r="A104" s="8">
        <v>44815</v>
      </c>
      <c r="B104">
        <f t="shared" si="18"/>
        <v>18</v>
      </c>
      <c r="C104">
        <f t="shared" si="14"/>
        <v>95</v>
      </c>
      <c r="D104">
        <f t="shared" si="15"/>
        <v>65</v>
      </c>
      <c r="E104">
        <f t="shared" si="16"/>
        <v>69</v>
      </c>
      <c r="F104">
        <f t="shared" si="9"/>
        <v>9</v>
      </c>
      <c r="G104">
        <f t="shared" si="10"/>
        <v>475</v>
      </c>
      <c r="H104">
        <f t="shared" si="11"/>
        <v>390</v>
      </c>
      <c r="I104">
        <f t="shared" si="12"/>
        <v>483</v>
      </c>
      <c r="J104">
        <f t="shared" si="13"/>
        <v>1348</v>
      </c>
      <c r="K104">
        <f t="shared" si="17"/>
        <v>170006</v>
      </c>
    </row>
    <row r="105" spans="1:11" x14ac:dyDescent="0.35">
      <c r="A105" s="8">
        <v>44816</v>
      </c>
      <c r="B105">
        <f t="shared" si="18"/>
        <v>18</v>
      </c>
      <c r="C105">
        <f t="shared" si="14"/>
        <v>95</v>
      </c>
      <c r="D105">
        <f t="shared" si="15"/>
        <v>65</v>
      </c>
      <c r="E105">
        <f t="shared" si="16"/>
        <v>69</v>
      </c>
      <c r="F105">
        <f t="shared" si="9"/>
        <v>9</v>
      </c>
      <c r="G105">
        <f t="shared" si="10"/>
        <v>475</v>
      </c>
      <c r="H105">
        <f t="shared" si="11"/>
        <v>390</v>
      </c>
      <c r="I105">
        <f t="shared" si="12"/>
        <v>483</v>
      </c>
      <c r="J105">
        <f t="shared" si="13"/>
        <v>1348</v>
      </c>
      <c r="K105">
        <f t="shared" si="17"/>
        <v>171354</v>
      </c>
    </row>
    <row r="106" spans="1:11" x14ac:dyDescent="0.35">
      <c r="A106" s="8">
        <v>44817</v>
      </c>
      <c r="B106">
        <f t="shared" si="18"/>
        <v>17</v>
      </c>
      <c r="C106">
        <f t="shared" si="14"/>
        <v>91</v>
      </c>
      <c r="D106">
        <f t="shared" si="15"/>
        <v>63</v>
      </c>
      <c r="E106">
        <f t="shared" si="16"/>
        <v>65</v>
      </c>
      <c r="F106">
        <f t="shared" si="9"/>
        <v>9</v>
      </c>
      <c r="G106">
        <f t="shared" si="10"/>
        <v>455</v>
      </c>
      <c r="H106">
        <f t="shared" si="11"/>
        <v>378</v>
      </c>
      <c r="I106">
        <f t="shared" si="12"/>
        <v>455</v>
      </c>
      <c r="J106">
        <f t="shared" si="13"/>
        <v>1288</v>
      </c>
      <c r="K106">
        <f t="shared" si="17"/>
        <v>172642</v>
      </c>
    </row>
    <row r="107" spans="1:11" x14ac:dyDescent="0.35">
      <c r="A107" s="8">
        <v>44818</v>
      </c>
      <c r="B107">
        <f t="shared" si="18"/>
        <v>17</v>
      </c>
      <c r="C107">
        <f t="shared" si="14"/>
        <v>91</v>
      </c>
      <c r="D107">
        <f t="shared" si="15"/>
        <v>63</v>
      </c>
      <c r="E107">
        <f t="shared" si="16"/>
        <v>65</v>
      </c>
      <c r="F107">
        <f t="shared" si="9"/>
        <v>9</v>
      </c>
      <c r="G107">
        <f t="shared" si="10"/>
        <v>455</v>
      </c>
      <c r="H107">
        <f t="shared" si="11"/>
        <v>378</v>
      </c>
      <c r="I107">
        <f t="shared" si="12"/>
        <v>455</v>
      </c>
      <c r="J107">
        <f t="shared" si="13"/>
        <v>1288</v>
      </c>
      <c r="K107">
        <f t="shared" si="17"/>
        <v>173930</v>
      </c>
    </row>
    <row r="108" spans="1:11" x14ac:dyDescent="0.35">
      <c r="A108" s="8">
        <v>44819</v>
      </c>
      <c r="B108">
        <f t="shared" si="18"/>
        <v>16</v>
      </c>
      <c r="C108">
        <f t="shared" si="14"/>
        <v>86</v>
      </c>
      <c r="D108">
        <f t="shared" si="15"/>
        <v>61</v>
      </c>
      <c r="E108">
        <f t="shared" si="16"/>
        <v>62</v>
      </c>
      <c r="F108">
        <f t="shared" si="9"/>
        <v>9</v>
      </c>
      <c r="G108">
        <f t="shared" si="10"/>
        <v>430</v>
      </c>
      <c r="H108">
        <f t="shared" si="11"/>
        <v>366</v>
      </c>
      <c r="I108">
        <f t="shared" si="12"/>
        <v>434</v>
      </c>
      <c r="J108">
        <f t="shared" si="13"/>
        <v>1230</v>
      </c>
      <c r="K108">
        <f t="shared" si="17"/>
        <v>175160</v>
      </c>
    </row>
    <row r="109" spans="1:11" x14ac:dyDescent="0.35">
      <c r="A109" s="8">
        <v>44820</v>
      </c>
      <c r="B109">
        <f t="shared" si="18"/>
        <v>16</v>
      </c>
      <c r="C109">
        <f t="shared" si="14"/>
        <v>86</v>
      </c>
      <c r="D109">
        <f t="shared" si="15"/>
        <v>61</v>
      </c>
      <c r="E109">
        <f t="shared" si="16"/>
        <v>62</v>
      </c>
      <c r="F109">
        <f t="shared" si="9"/>
        <v>9</v>
      </c>
      <c r="G109">
        <f t="shared" si="10"/>
        <v>430</v>
      </c>
      <c r="H109">
        <f t="shared" si="11"/>
        <v>366</v>
      </c>
      <c r="I109">
        <f t="shared" si="12"/>
        <v>434</v>
      </c>
      <c r="J109">
        <f t="shared" si="13"/>
        <v>1230</v>
      </c>
      <c r="K109">
        <f t="shared" si="17"/>
        <v>176390</v>
      </c>
    </row>
    <row r="110" spans="1:11" x14ac:dyDescent="0.35">
      <c r="A110" s="8">
        <v>44821</v>
      </c>
      <c r="B110">
        <f t="shared" si="18"/>
        <v>15</v>
      </c>
      <c r="C110">
        <f t="shared" si="14"/>
        <v>82</v>
      </c>
      <c r="D110">
        <f t="shared" si="15"/>
        <v>58</v>
      </c>
      <c r="E110">
        <f t="shared" si="16"/>
        <v>58</v>
      </c>
      <c r="F110">
        <f t="shared" si="9"/>
        <v>9</v>
      </c>
      <c r="G110">
        <f t="shared" si="10"/>
        <v>410</v>
      </c>
      <c r="H110">
        <f t="shared" si="11"/>
        <v>348</v>
      </c>
      <c r="I110">
        <f t="shared" si="12"/>
        <v>406</v>
      </c>
      <c r="J110">
        <f t="shared" si="13"/>
        <v>1164</v>
      </c>
      <c r="K110">
        <f t="shared" si="17"/>
        <v>177554</v>
      </c>
    </row>
    <row r="111" spans="1:11" x14ac:dyDescent="0.35">
      <c r="A111" s="8">
        <v>44822</v>
      </c>
      <c r="B111">
        <f t="shared" si="18"/>
        <v>15</v>
      </c>
      <c r="C111">
        <f t="shared" si="14"/>
        <v>82</v>
      </c>
      <c r="D111">
        <f t="shared" si="15"/>
        <v>58</v>
      </c>
      <c r="E111">
        <f t="shared" si="16"/>
        <v>58</v>
      </c>
      <c r="F111">
        <f t="shared" si="9"/>
        <v>9</v>
      </c>
      <c r="G111">
        <f t="shared" si="10"/>
        <v>410</v>
      </c>
      <c r="H111">
        <f t="shared" si="11"/>
        <v>348</v>
      </c>
      <c r="I111">
        <f t="shared" si="12"/>
        <v>406</v>
      </c>
      <c r="J111">
        <f t="shared" si="13"/>
        <v>1164</v>
      </c>
      <c r="K111">
        <f t="shared" si="17"/>
        <v>178718</v>
      </c>
    </row>
    <row r="112" spans="1:11" x14ac:dyDescent="0.35">
      <c r="A112" s="8">
        <v>44823</v>
      </c>
      <c r="B112">
        <f t="shared" si="18"/>
        <v>14</v>
      </c>
      <c r="C112">
        <f t="shared" si="14"/>
        <v>78</v>
      </c>
      <c r="D112">
        <f t="shared" si="15"/>
        <v>56</v>
      </c>
      <c r="E112">
        <f t="shared" si="16"/>
        <v>55</v>
      </c>
      <c r="F112">
        <f t="shared" si="9"/>
        <v>9</v>
      </c>
      <c r="G112">
        <f t="shared" si="10"/>
        <v>390</v>
      </c>
      <c r="H112">
        <f t="shared" si="11"/>
        <v>336</v>
      </c>
      <c r="I112">
        <f t="shared" si="12"/>
        <v>385</v>
      </c>
      <c r="J112">
        <f t="shared" si="13"/>
        <v>1111</v>
      </c>
      <c r="K112">
        <f t="shared" si="17"/>
        <v>179829</v>
      </c>
    </row>
    <row r="113" spans="1:11" x14ac:dyDescent="0.35">
      <c r="A113" s="8">
        <v>44824</v>
      </c>
      <c r="B113">
        <f t="shared" si="18"/>
        <v>14</v>
      </c>
      <c r="C113">
        <f t="shared" si="14"/>
        <v>78</v>
      </c>
      <c r="D113">
        <f t="shared" si="15"/>
        <v>56</v>
      </c>
      <c r="E113">
        <f t="shared" si="16"/>
        <v>55</v>
      </c>
      <c r="F113">
        <f t="shared" si="9"/>
        <v>9</v>
      </c>
      <c r="G113">
        <f t="shared" si="10"/>
        <v>390</v>
      </c>
      <c r="H113">
        <f t="shared" si="11"/>
        <v>336</v>
      </c>
      <c r="I113">
        <f t="shared" si="12"/>
        <v>385</v>
      </c>
      <c r="J113">
        <f t="shared" si="13"/>
        <v>1111</v>
      </c>
      <c r="K113">
        <f t="shared" si="17"/>
        <v>180940</v>
      </c>
    </row>
    <row r="114" spans="1:11" x14ac:dyDescent="0.35">
      <c r="A114" s="8">
        <v>44825</v>
      </c>
      <c r="B114">
        <f t="shared" si="18"/>
        <v>13</v>
      </c>
      <c r="C114">
        <f t="shared" si="14"/>
        <v>74</v>
      </c>
      <c r="D114">
        <f t="shared" si="15"/>
        <v>54</v>
      </c>
      <c r="E114">
        <f t="shared" si="16"/>
        <v>51</v>
      </c>
      <c r="F114">
        <f t="shared" si="9"/>
        <v>9</v>
      </c>
      <c r="G114">
        <f t="shared" si="10"/>
        <v>370</v>
      </c>
      <c r="H114">
        <f t="shared" si="11"/>
        <v>324</v>
      </c>
      <c r="I114">
        <f t="shared" si="12"/>
        <v>357</v>
      </c>
      <c r="J114">
        <f t="shared" si="13"/>
        <v>1051</v>
      </c>
      <c r="K114">
        <f t="shared" si="17"/>
        <v>181991</v>
      </c>
    </row>
    <row r="115" spans="1:11" x14ac:dyDescent="0.35">
      <c r="A115" s="8">
        <v>44826</v>
      </c>
      <c r="B115">
        <f t="shared" si="18"/>
        <v>13</v>
      </c>
      <c r="C115">
        <f t="shared" si="14"/>
        <v>74</v>
      </c>
      <c r="D115">
        <f t="shared" si="15"/>
        <v>54</v>
      </c>
      <c r="E115">
        <f t="shared" si="16"/>
        <v>51</v>
      </c>
      <c r="F115">
        <f t="shared" si="9"/>
        <v>9</v>
      </c>
      <c r="G115">
        <f t="shared" si="10"/>
        <v>370</v>
      </c>
      <c r="H115">
        <f t="shared" si="11"/>
        <v>324</v>
      </c>
      <c r="I115">
        <f t="shared" si="12"/>
        <v>357</v>
      </c>
      <c r="J115">
        <f t="shared" si="13"/>
        <v>1051</v>
      </c>
      <c r="K115">
        <f t="shared" si="17"/>
        <v>183042</v>
      </c>
    </row>
    <row r="116" spans="1:11" x14ac:dyDescent="0.35">
      <c r="A116" s="8">
        <v>44827</v>
      </c>
      <c r="B116">
        <f t="shared" si="18"/>
        <v>12</v>
      </c>
      <c r="C116">
        <f t="shared" si="14"/>
        <v>70</v>
      </c>
      <c r="D116">
        <f t="shared" si="15"/>
        <v>51</v>
      </c>
      <c r="E116">
        <f t="shared" si="16"/>
        <v>48</v>
      </c>
      <c r="F116">
        <f t="shared" si="9"/>
        <v>9</v>
      </c>
      <c r="G116">
        <f>C116*6.34</f>
        <v>443.8</v>
      </c>
      <c r="H116">
        <f>D116*7.33</f>
        <v>373.83</v>
      </c>
      <c r="I116">
        <f>E116*8.33</f>
        <v>399.84000000000003</v>
      </c>
      <c r="J116">
        <f t="shared" si="13"/>
        <v>1217.47</v>
      </c>
      <c r="K116">
        <f t="shared" si="17"/>
        <v>184259.47</v>
      </c>
    </row>
    <row r="117" spans="1:11" x14ac:dyDescent="0.35">
      <c r="A117" s="8">
        <v>44828</v>
      </c>
      <c r="B117">
        <f t="shared" si="18"/>
        <v>12</v>
      </c>
      <c r="C117">
        <f t="shared" si="14"/>
        <v>70</v>
      </c>
      <c r="D117">
        <f t="shared" si="15"/>
        <v>51</v>
      </c>
      <c r="E117">
        <f t="shared" si="16"/>
        <v>48</v>
      </c>
      <c r="F117">
        <f t="shared" si="9"/>
        <v>9</v>
      </c>
      <c r="G117">
        <f>C117*6.33</f>
        <v>443.1</v>
      </c>
      <c r="H117">
        <f>D117*7.33</f>
        <v>373.83</v>
      </c>
      <c r="I117">
        <f t="shared" ref="I117:I123" si="19">E117*8.33</f>
        <v>399.84000000000003</v>
      </c>
      <c r="J117">
        <f t="shared" si="13"/>
        <v>1216.77</v>
      </c>
      <c r="K117">
        <f t="shared" si="17"/>
        <v>185476.24</v>
      </c>
    </row>
    <row r="118" spans="1:11" x14ac:dyDescent="0.35">
      <c r="A118" s="8">
        <v>44829</v>
      </c>
      <c r="B118">
        <f t="shared" si="18"/>
        <v>11</v>
      </c>
      <c r="C118">
        <f t="shared" si="14"/>
        <v>66</v>
      </c>
      <c r="D118">
        <f t="shared" si="15"/>
        <v>49</v>
      </c>
      <c r="E118">
        <f t="shared" si="16"/>
        <v>45</v>
      </c>
      <c r="F118">
        <f t="shared" si="9"/>
        <v>9</v>
      </c>
      <c r="G118">
        <f t="shared" ref="G118:G123" si="20">C118*6.33</f>
        <v>417.78000000000003</v>
      </c>
      <c r="H118">
        <f t="shared" ref="H118:H123" si="21">D118*7.33</f>
        <v>359.17</v>
      </c>
      <c r="I118">
        <f t="shared" si="19"/>
        <v>374.85</v>
      </c>
      <c r="J118">
        <f t="shared" si="13"/>
        <v>1151.8000000000002</v>
      </c>
      <c r="K118">
        <f t="shared" si="17"/>
        <v>186628.03999999998</v>
      </c>
    </row>
    <row r="119" spans="1:11" x14ac:dyDescent="0.35">
      <c r="A119" s="8">
        <v>44830</v>
      </c>
      <c r="B119">
        <f t="shared" si="18"/>
        <v>11</v>
      </c>
      <c r="C119">
        <f t="shared" si="14"/>
        <v>66</v>
      </c>
      <c r="D119">
        <f t="shared" si="15"/>
        <v>49</v>
      </c>
      <c r="E119">
        <f t="shared" si="16"/>
        <v>45</v>
      </c>
      <c r="F119">
        <f t="shared" si="9"/>
        <v>9</v>
      </c>
      <c r="G119">
        <f t="shared" si="20"/>
        <v>417.78000000000003</v>
      </c>
      <c r="H119">
        <f t="shared" si="21"/>
        <v>359.17</v>
      </c>
      <c r="I119">
        <f t="shared" si="19"/>
        <v>374.85</v>
      </c>
      <c r="J119">
        <f t="shared" si="13"/>
        <v>1151.8000000000002</v>
      </c>
      <c r="K119">
        <f t="shared" si="17"/>
        <v>187779.83999999997</v>
      </c>
    </row>
    <row r="120" spans="1:11" x14ac:dyDescent="0.35">
      <c r="A120" s="8">
        <v>44831</v>
      </c>
      <c r="B120">
        <f t="shared" si="18"/>
        <v>10</v>
      </c>
      <c r="C120">
        <f t="shared" si="14"/>
        <v>62</v>
      </c>
      <c r="D120">
        <f t="shared" si="15"/>
        <v>47</v>
      </c>
      <c r="E120">
        <f t="shared" si="16"/>
        <v>41</v>
      </c>
      <c r="F120">
        <f t="shared" si="9"/>
        <v>9</v>
      </c>
      <c r="G120">
        <f t="shared" si="20"/>
        <v>392.46</v>
      </c>
      <c r="H120">
        <f t="shared" si="21"/>
        <v>344.51</v>
      </c>
      <c r="I120">
        <f t="shared" si="19"/>
        <v>341.53000000000003</v>
      </c>
      <c r="J120">
        <f t="shared" si="13"/>
        <v>1078.5</v>
      </c>
      <c r="K120">
        <f t="shared" si="17"/>
        <v>188858.33999999997</v>
      </c>
    </row>
    <row r="121" spans="1:11" x14ac:dyDescent="0.35">
      <c r="A121" s="8">
        <v>44832</v>
      </c>
      <c r="B121">
        <f t="shared" si="18"/>
        <v>10</v>
      </c>
      <c r="C121">
        <f t="shared" si="14"/>
        <v>62</v>
      </c>
      <c r="D121">
        <f t="shared" si="15"/>
        <v>47</v>
      </c>
      <c r="E121">
        <f t="shared" si="16"/>
        <v>41</v>
      </c>
      <c r="F121">
        <f t="shared" si="9"/>
        <v>9</v>
      </c>
      <c r="G121">
        <f t="shared" si="20"/>
        <v>392.46</v>
      </c>
      <c r="H121">
        <f t="shared" si="21"/>
        <v>344.51</v>
      </c>
      <c r="I121">
        <f t="shared" si="19"/>
        <v>341.53000000000003</v>
      </c>
      <c r="J121">
        <f t="shared" si="13"/>
        <v>1078.5</v>
      </c>
      <c r="K121">
        <f t="shared" si="17"/>
        <v>189936.83999999997</v>
      </c>
    </row>
    <row r="122" spans="1:11" x14ac:dyDescent="0.35">
      <c r="A122" s="8">
        <v>44833</v>
      </c>
      <c r="B122">
        <f t="shared" si="18"/>
        <v>9</v>
      </c>
      <c r="C122">
        <f t="shared" si="14"/>
        <v>57</v>
      </c>
      <c r="D122">
        <f t="shared" si="15"/>
        <v>44</v>
      </c>
      <c r="E122">
        <f t="shared" si="16"/>
        <v>38</v>
      </c>
      <c r="F122">
        <f t="shared" si="9"/>
        <v>9</v>
      </c>
      <c r="G122">
        <f t="shared" si="20"/>
        <v>360.81</v>
      </c>
      <c r="H122">
        <f t="shared" si="21"/>
        <v>322.52</v>
      </c>
      <c r="I122">
        <f t="shared" si="19"/>
        <v>316.54000000000002</v>
      </c>
      <c r="J122">
        <f t="shared" si="13"/>
        <v>999.86999999999989</v>
      </c>
      <c r="K122">
        <f t="shared" si="17"/>
        <v>190936.70999999996</v>
      </c>
    </row>
    <row r="123" spans="1:11" x14ac:dyDescent="0.35">
      <c r="A123" s="8">
        <v>44834</v>
      </c>
      <c r="B123">
        <f t="shared" si="18"/>
        <v>9</v>
      </c>
      <c r="C123">
        <f t="shared" si="14"/>
        <v>57</v>
      </c>
      <c r="D123">
        <f t="shared" si="15"/>
        <v>44</v>
      </c>
      <c r="E123">
        <f t="shared" si="16"/>
        <v>38</v>
      </c>
      <c r="F123">
        <f t="shared" si="9"/>
        <v>9</v>
      </c>
      <c r="G123">
        <f t="shared" si="20"/>
        <v>360.81</v>
      </c>
      <c r="H123">
        <f t="shared" si="21"/>
        <v>322.52</v>
      </c>
      <c r="I123">
        <f t="shared" si="19"/>
        <v>316.54000000000002</v>
      </c>
      <c r="J123">
        <f t="shared" si="13"/>
        <v>999.86999999999989</v>
      </c>
      <c r="K123">
        <f t="shared" si="17"/>
        <v>191936.57999999996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B9714B-CE68-4053-A349-6B5E2461FC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5.1</vt:lpstr>
      <vt:lpstr>5.2</vt:lpstr>
      <vt:lpstr>5.3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2024-11-08T17:57:27Z</dcterms:created>
  <dcterms:modified xsi:type="dcterms:W3CDTF">2024-11-11T14:03:47Z</dcterms:modified>
</cp:coreProperties>
</file>