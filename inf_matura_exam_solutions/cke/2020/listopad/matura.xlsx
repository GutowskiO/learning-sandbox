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0\listopad\"/>
    </mc:Choice>
  </mc:AlternateContent>
  <xr:revisionPtr revIDLastSave="0" documentId="13_ncr:1_{9E529A18-CF1B-4196-A939-87F85DE3CFB8}" xr6:coauthVersionLast="47" xr6:coauthVersionMax="47" xr10:uidLastSave="{00000000-0000-0000-0000-000000000000}"/>
  <bookViews>
    <workbookView xWindow="-110" yWindow="-110" windowWidth="19420" windowHeight="10300" activeTab="5" xr2:uid="{9E2406CC-2393-4435-93A0-9C1BC8B5EA4A}"/>
  </bookViews>
  <sheets>
    <sheet name="matura" sheetId="2" r:id="rId1"/>
    <sheet name="5.1" sheetId="3" r:id="rId2"/>
    <sheet name="5.2" sheetId="4" r:id="rId3"/>
    <sheet name="5.3" sheetId="5" r:id="rId4"/>
    <sheet name="5.4" sheetId="6" r:id="rId5"/>
    <sheet name="5.5" sheetId="7" r:id="rId6"/>
  </sheets>
  <definedNames>
    <definedName name="_xlnm._FilterDatabase" localSheetId="1" hidden="1">'5.1'!$AO$1:$AO$153</definedName>
  </definedNames>
  <calcPr calcId="191029"/>
  <pivotCaches>
    <pivotCache cacheId="13" r:id="rId7"/>
    <pivotCache cacheId="3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7" l="1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83" i="7"/>
  <c r="AP84" i="7"/>
  <c r="AP85" i="7"/>
  <c r="AP86" i="7"/>
  <c r="AP87" i="7"/>
  <c r="AP88" i="7"/>
  <c r="AP89" i="7"/>
  <c r="AP90" i="7"/>
  <c r="AP91" i="7"/>
  <c r="AP92" i="7"/>
  <c r="AP93" i="7"/>
  <c r="AP94" i="7"/>
  <c r="AP95" i="7"/>
  <c r="AP96" i="7"/>
  <c r="AP97" i="7"/>
  <c r="AP98" i="7"/>
  <c r="AP99" i="7"/>
  <c r="AP100" i="7"/>
  <c r="AP101" i="7"/>
  <c r="AP102" i="7"/>
  <c r="AP103" i="7"/>
  <c r="AP104" i="7"/>
  <c r="AP105" i="7"/>
  <c r="AP106" i="7"/>
  <c r="AP107" i="7"/>
  <c r="AP108" i="7"/>
  <c r="AP109" i="7"/>
  <c r="AP110" i="7"/>
  <c r="AP111" i="7"/>
  <c r="AP112" i="7"/>
  <c r="AP113" i="7"/>
  <c r="AP114" i="7"/>
  <c r="AP115" i="7"/>
  <c r="AP116" i="7"/>
  <c r="AP117" i="7"/>
  <c r="AP118" i="7"/>
  <c r="AP119" i="7"/>
  <c r="AP120" i="7"/>
  <c r="AP121" i="7"/>
  <c r="AP122" i="7"/>
  <c r="AP123" i="7"/>
  <c r="AP124" i="7"/>
  <c r="AP125" i="7"/>
  <c r="AP126" i="7"/>
  <c r="AP127" i="7"/>
  <c r="AP128" i="7"/>
  <c r="AP129" i="7"/>
  <c r="AP130" i="7"/>
  <c r="AP131" i="7"/>
  <c r="AP132" i="7"/>
  <c r="AP133" i="7"/>
  <c r="AP134" i="7"/>
  <c r="AP135" i="7"/>
  <c r="AP136" i="7"/>
  <c r="AP137" i="7"/>
  <c r="AP138" i="7"/>
  <c r="AP139" i="7"/>
  <c r="AP140" i="7"/>
  <c r="AP141" i="7"/>
  <c r="AP142" i="7"/>
  <c r="AP143" i="7"/>
  <c r="AP144" i="7"/>
  <c r="AP145" i="7"/>
  <c r="AP146" i="7"/>
  <c r="AP147" i="7"/>
  <c r="AP148" i="7"/>
  <c r="AP149" i="7"/>
  <c r="AP150" i="7"/>
  <c r="AP151" i="7"/>
  <c r="AP152" i="7"/>
  <c r="AP153" i="7"/>
  <c r="AP2" i="7"/>
  <c r="W34" i="7"/>
  <c r="X34" i="7"/>
  <c r="Y34" i="7"/>
  <c r="Z34" i="7"/>
  <c r="AA34" i="7"/>
  <c r="AB34" i="7"/>
  <c r="AD34" i="7"/>
  <c r="AF34" i="7"/>
  <c r="AH34" i="7"/>
  <c r="AJ34" i="7"/>
  <c r="AL34" i="7"/>
  <c r="AN34" i="7"/>
  <c r="AO34" i="7"/>
  <c r="W35" i="7"/>
  <c r="X35" i="7"/>
  <c r="Y35" i="7"/>
  <c r="Z35" i="7"/>
  <c r="AA35" i="7"/>
  <c r="AB35" i="7"/>
  <c r="AD35" i="7"/>
  <c r="AF35" i="7"/>
  <c r="AH35" i="7"/>
  <c r="AJ35" i="7"/>
  <c r="AL35" i="7"/>
  <c r="AN35" i="7"/>
  <c r="AO35" i="7"/>
  <c r="W36" i="7"/>
  <c r="X36" i="7"/>
  <c r="Y36" i="7"/>
  <c r="Z36" i="7"/>
  <c r="AA36" i="7"/>
  <c r="AB36" i="7"/>
  <c r="AD36" i="7"/>
  <c r="AF36" i="7"/>
  <c r="AH36" i="7"/>
  <c r="AJ36" i="7"/>
  <c r="AL36" i="7"/>
  <c r="AN36" i="7"/>
  <c r="AO36" i="7"/>
  <c r="W37" i="7"/>
  <c r="X37" i="7"/>
  <c r="Y37" i="7"/>
  <c r="Z37" i="7"/>
  <c r="AA37" i="7"/>
  <c r="AB37" i="7"/>
  <c r="AD37" i="7"/>
  <c r="AF37" i="7"/>
  <c r="AH37" i="7"/>
  <c r="AJ37" i="7"/>
  <c r="AL37" i="7"/>
  <c r="AN37" i="7"/>
  <c r="AO37" i="7"/>
  <c r="W38" i="7"/>
  <c r="X38" i="7"/>
  <c r="Y38" i="7"/>
  <c r="Z38" i="7"/>
  <c r="AA38" i="7"/>
  <c r="AB38" i="7"/>
  <c r="AD38" i="7"/>
  <c r="AF38" i="7"/>
  <c r="AH38" i="7"/>
  <c r="AJ38" i="7"/>
  <c r="AL38" i="7"/>
  <c r="AN38" i="7"/>
  <c r="AO38" i="7"/>
  <c r="W39" i="7"/>
  <c r="X39" i="7"/>
  <c r="Y39" i="7"/>
  <c r="Z39" i="7"/>
  <c r="AA39" i="7"/>
  <c r="AB39" i="7"/>
  <c r="AD39" i="7"/>
  <c r="AF39" i="7"/>
  <c r="AH39" i="7"/>
  <c r="AJ39" i="7"/>
  <c r="AL39" i="7"/>
  <c r="AN39" i="7"/>
  <c r="AO39" i="7"/>
  <c r="W40" i="7"/>
  <c r="X40" i="7"/>
  <c r="Y40" i="7"/>
  <c r="Z40" i="7"/>
  <c r="AA40" i="7"/>
  <c r="AB40" i="7"/>
  <c r="AD40" i="7"/>
  <c r="AF40" i="7"/>
  <c r="AH40" i="7"/>
  <c r="AJ40" i="7"/>
  <c r="AL40" i="7"/>
  <c r="AN40" i="7"/>
  <c r="AO40" i="7"/>
  <c r="W41" i="7"/>
  <c r="X41" i="7"/>
  <c r="Y41" i="7"/>
  <c r="Z41" i="7"/>
  <c r="AA41" i="7"/>
  <c r="AB41" i="7"/>
  <c r="AD41" i="7"/>
  <c r="AF41" i="7"/>
  <c r="AH41" i="7"/>
  <c r="AJ41" i="7"/>
  <c r="AL41" i="7"/>
  <c r="AN41" i="7"/>
  <c r="AO41" i="7"/>
  <c r="W42" i="7"/>
  <c r="X42" i="7"/>
  <c r="Y42" i="7"/>
  <c r="Z42" i="7"/>
  <c r="AA42" i="7"/>
  <c r="AB42" i="7"/>
  <c r="AD42" i="7"/>
  <c r="AF42" i="7"/>
  <c r="AH42" i="7"/>
  <c r="AJ42" i="7"/>
  <c r="AL42" i="7"/>
  <c r="AN42" i="7"/>
  <c r="AO42" i="7"/>
  <c r="W43" i="7"/>
  <c r="X43" i="7"/>
  <c r="Y43" i="7"/>
  <c r="Z43" i="7"/>
  <c r="AA43" i="7"/>
  <c r="AB43" i="7"/>
  <c r="AD43" i="7"/>
  <c r="AF43" i="7"/>
  <c r="AH43" i="7"/>
  <c r="AJ43" i="7"/>
  <c r="AL43" i="7"/>
  <c r="AN43" i="7"/>
  <c r="AO43" i="7"/>
  <c r="W44" i="7"/>
  <c r="X44" i="7"/>
  <c r="Y44" i="7"/>
  <c r="Z44" i="7"/>
  <c r="AA44" i="7"/>
  <c r="AB44" i="7"/>
  <c r="AD44" i="7"/>
  <c r="AF44" i="7"/>
  <c r="AH44" i="7"/>
  <c r="AJ44" i="7"/>
  <c r="AL44" i="7"/>
  <c r="AN44" i="7"/>
  <c r="AO44" i="7"/>
  <c r="W45" i="7"/>
  <c r="X45" i="7"/>
  <c r="Y45" i="7"/>
  <c r="Z45" i="7"/>
  <c r="AA45" i="7"/>
  <c r="AB45" i="7"/>
  <c r="AD45" i="7"/>
  <c r="AF45" i="7"/>
  <c r="AH45" i="7"/>
  <c r="AJ45" i="7"/>
  <c r="AL45" i="7"/>
  <c r="AN45" i="7"/>
  <c r="AO45" i="7"/>
  <c r="W46" i="7"/>
  <c r="X46" i="7"/>
  <c r="Y46" i="7"/>
  <c r="Z46" i="7"/>
  <c r="AA46" i="7"/>
  <c r="AB46" i="7"/>
  <c r="AD46" i="7"/>
  <c r="AF46" i="7"/>
  <c r="AH46" i="7"/>
  <c r="AJ46" i="7"/>
  <c r="AL46" i="7"/>
  <c r="AN46" i="7"/>
  <c r="AO46" i="7"/>
  <c r="W47" i="7"/>
  <c r="X47" i="7"/>
  <c r="Y47" i="7"/>
  <c r="Z47" i="7"/>
  <c r="AA47" i="7"/>
  <c r="AB47" i="7"/>
  <c r="AD47" i="7"/>
  <c r="AF47" i="7"/>
  <c r="AH47" i="7"/>
  <c r="AJ47" i="7"/>
  <c r="AL47" i="7"/>
  <c r="AN47" i="7"/>
  <c r="AO47" i="7"/>
  <c r="W48" i="7"/>
  <c r="X48" i="7"/>
  <c r="Y48" i="7"/>
  <c r="Z48" i="7"/>
  <c r="AA48" i="7"/>
  <c r="AB48" i="7"/>
  <c r="AD48" i="7"/>
  <c r="AF48" i="7"/>
  <c r="AH48" i="7"/>
  <c r="AJ48" i="7"/>
  <c r="AL48" i="7"/>
  <c r="AN48" i="7"/>
  <c r="AO48" i="7"/>
  <c r="W49" i="7"/>
  <c r="X49" i="7"/>
  <c r="Y49" i="7"/>
  <c r="Z49" i="7"/>
  <c r="AA49" i="7"/>
  <c r="AB49" i="7"/>
  <c r="AD49" i="7"/>
  <c r="AF49" i="7"/>
  <c r="AH49" i="7"/>
  <c r="AJ49" i="7"/>
  <c r="AL49" i="7"/>
  <c r="AN49" i="7"/>
  <c r="AO49" i="7"/>
  <c r="W50" i="7"/>
  <c r="X50" i="7"/>
  <c r="Y50" i="7"/>
  <c r="Z50" i="7"/>
  <c r="AA50" i="7"/>
  <c r="AB50" i="7"/>
  <c r="AD50" i="7"/>
  <c r="AF50" i="7"/>
  <c r="AH50" i="7"/>
  <c r="AJ50" i="7"/>
  <c r="AL50" i="7"/>
  <c r="AN50" i="7"/>
  <c r="AO50" i="7"/>
  <c r="W51" i="7"/>
  <c r="X51" i="7"/>
  <c r="Y51" i="7"/>
  <c r="Z51" i="7"/>
  <c r="AA51" i="7"/>
  <c r="AB51" i="7"/>
  <c r="AD51" i="7"/>
  <c r="AF51" i="7"/>
  <c r="AH51" i="7"/>
  <c r="AJ51" i="7"/>
  <c r="AL51" i="7"/>
  <c r="AN51" i="7"/>
  <c r="AO51" i="7"/>
  <c r="W52" i="7"/>
  <c r="X52" i="7"/>
  <c r="Y52" i="7"/>
  <c r="Z52" i="7"/>
  <c r="AA52" i="7"/>
  <c r="AB52" i="7"/>
  <c r="AD52" i="7"/>
  <c r="AF52" i="7"/>
  <c r="AH52" i="7"/>
  <c r="AJ52" i="7"/>
  <c r="AL52" i="7"/>
  <c r="AN52" i="7"/>
  <c r="AO52" i="7"/>
  <c r="W53" i="7"/>
  <c r="X53" i="7"/>
  <c r="Y53" i="7"/>
  <c r="Z53" i="7"/>
  <c r="AA53" i="7"/>
  <c r="AB53" i="7"/>
  <c r="AD53" i="7"/>
  <c r="AF53" i="7"/>
  <c r="AH53" i="7"/>
  <c r="AJ53" i="7"/>
  <c r="AL53" i="7"/>
  <c r="AN53" i="7"/>
  <c r="AO53" i="7"/>
  <c r="W54" i="7"/>
  <c r="X54" i="7"/>
  <c r="Y54" i="7"/>
  <c r="Z54" i="7"/>
  <c r="AA54" i="7"/>
  <c r="AB54" i="7"/>
  <c r="AD54" i="7"/>
  <c r="AF54" i="7"/>
  <c r="AH54" i="7"/>
  <c r="AJ54" i="7"/>
  <c r="AL54" i="7"/>
  <c r="AN54" i="7"/>
  <c r="AO54" i="7"/>
  <c r="W55" i="7"/>
  <c r="X55" i="7"/>
  <c r="Y55" i="7"/>
  <c r="Z55" i="7"/>
  <c r="AA55" i="7"/>
  <c r="AB55" i="7"/>
  <c r="AD55" i="7"/>
  <c r="AF55" i="7"/>
  <c r="AH55" i="7"/>
  <c r="AJ55" i="7"/>
  <c r="AL55" i="7"/>
  <c r="AN55" i="7"/>
  <c r="AO55" i="7"/>
  <c r="W56" i="7"/>
  <c r="X56" i="7"/>
  <c r="Y56" i="7"/>
  <c r="Z56" i="7"/>
  <c r="AA56" i="7"/>
  <c r="AB56" i="7"/>
  <c r="AD56" i="7"/>
  <c r="AF56" i="7"/>
  <c r="AH56" i="7"/>
  <c r="AJ56" i="7"/>
  <c r="AL56" i="7"/>
  <c r="AN56" i="7"/>
  <c r="AO56" i="7"/>
  <c r="W57" i="7"/>
  <c r="X57" i="7"/>
  <c r="Y57" i="7"/>
  <c r="Z57" i="7"/>
  <c r="AA57" i="7"/>
  <c r="AB57" i="7"/>
  <c r="AD57" i="7"/>
  <c r="AF57" i="7"/>
  <c r="AH57" i="7"/>
  <c r="AJ57" i="7"/>
  <c r="AL57" i="7"/>
  <c r="AN57" i="7"/>
  <c r="AO57" i="7"/>
  <c r="W58" i="7"/>
  <c r="X58" i="7"/>
  <c r="Y58" i="7"/>
  <c r="Z58" i="7"/>
  <c r="AA58" i="7"/>
  <c r="AB58" i="7"/>
  <c r="AD58" i="7"/>
  <c r="AF58" i="7"/>
  <c r="AH58" i="7"/>
  <c r="AJ58" i="7"/>
  <c r="AL58" i="7"/>
  <c r="AN58" i="7"/>
  <c r="AO58" i="7"/>
  <c r="W59" i="7"/>
  <c r="X59" i="7"/>
  <c r="Y59" i="7"/>
  <c r="Z59" i="7"/>
  <c r="AA59" i="7"/>
  <c r="AB59" i="7"/>
  <c r="AD59" i="7"/>
  <c r="AF59" i="7"/>
  <c r="AH59" i="7"/>
  <c r="AJ59" i="7"/>
  <c r="AL59" i="7"/>
  <c r="AN59" i="7"/>
  <c r="AO59" i="7"/>
  <c r="W60" i="7"/>
  <c r="X60" i="7"/>
  <c r="Y60" i="7"/>
  <c r="Z60" i="7"/>
  <c r="AA60" i="7"/>
  <c r="AB60" i="7"/>
  <c r="AD60" i="7"/>
  <c r="AF60" i="7"/>
  <c r="AH60" i="7"/>
  <c r="AJ60" i="7"/>
  <c r="AL60" i="7"/>
  <c r="AN60" i="7"/>
  <c r="AO60" i="7"/>
  <c r="W61" i="7"/>
  <c r="X61" i="7"/>
  <c r="Y61" i="7"/>
  <c r="Z61" i="7"/>
  <c r="AA61" i="7"/>
  <c r="AB61" i="7"/>
  <c r="AD61" i="7"/>
  <c r="AF61" i="7"/>
  <c r="AH61" i="7"/>
  <c r="AJ61" i="7"/>
  <c r="AL61" i="7"/>
  <c r="AN61" i="7"/>
  <c r="AO61" i="7"/>
  <c r="W62" i="7"/>
  <c r="X62" i="7"/>
  <c r="Y62" i="7"/>
  <c r="Z62" i="7"/>
  <c r="AA62" i="7"/>
  <c r="AB62" i="7"/>
  <c r="AD62" i="7"/>
  <c r="AF62" i="7"/>
  <c r="AH62" i="7"/>
  <c r="AJ62" i="7"/>
  <c r="AL62" i="7"/>
  <c r="AN62" i="7"/>
  <c r="AO62" i="7"/>
  <c r="W63" i="7"/>
  <c r="X63" i="7"/>
  <c r="Y63" i="7"/>
  <c r="Z63" i="7"/>
  <c r="AA63" i="7"/>
  <c r="AB63" i="7"/>
  <c r="AD63" i="7"/>
  <c r="AF63" i="7"/>
  <c r="AH63" i="7"/>
  <c r="AJ63" i="7"/>
  <c r="AL63" i="7"/>
  <c r="AN63" i="7"/>
  <c r="AO63" i="7"/>
  <c r="W64" i="7"/>
  <c r="X64" i="7"/>
  <c r="Y64" i="7"/>
  <c r="Z64" i="7"/>
  <c r="AA64" i="7"/>
  <c r="AB64" i="7"/>
  <c r="AD64" i="7"/>
  <c r="AF64" i="7"/>
  <c r="AH64" i="7"/>
  <c r="AJ64" i="7"/>
  <c r="AL64" i="7"/>
  <c r="AN64" i="7"/>
  <c r="AO64" i="7"/>
  <c r="W65" i="7"/>
  <c r="X65" i="7"/>
  <c r="Y65" i="7"/>
  <c r="Z65" i="7"/>
  <c r="AA65" i="7"/>
  <c r="AB65" i="7"/>
  <c r="AD65" i="7"/>
  <c r="AF65" i="7"/>
  <c r="AH65" i="7"/>
  <c r="AJ65" i="7"/>
  <c r="AL65" i="7"/>
  <c r="AN65" i="7"/>
  <c r="AO65" i="7"/>
  <c r="W66" i="7"/>
  <c r="X66" i="7"/>
  <c r="Y66" i="7"/>
  <c r="Z66" i="7"/>
  <c r="AA66" i="7"/>
  <c r="AB66" i="7"/>
  <c r="AD66" i="7"/>
  <c r="AF66" i="7"/>
  <c r="AH66" i="7"/>
  <c r="AJ66" i="7"/>
  <c r="AL66" i="7"/>
  <c r="AN66" i="7"/>
  <c r="AO66" i="7"/>
  <c r="W67" i="7"/>
  <c r="X67" i="7"/>
  <c r="Y67" i="7"/>
  <c r="Z67" i="7"/>
  <c r="AA67" i="7"/>
  <c r="AB67" i="7"/>
  <c r="AD67" i="7"/>
  <c r="AF67" i="7"/>
  <c r="AH67" i="7"/>
  <c r="AJ67" i="7"/>
  <c r="AL67" i="7"/>
  <c r="AN67" i="7"/>
  <c r="AO67" i="7"/>
  <c r="W68" i="7"/>
  <c r="X68" i="7"/>
  <c r="Y68" i="7"/>
  <c r="Z68" i="7"/>
  <c r="AA68" i="7"/>
  <c r="AB68" i="7"/>
  <c r="AD68" i="7"/>
  <c r="AF68" i="7"/>
  <c r="AH68" i="7"/>
  <c r="AJ68" i="7"/>
  <c r="AL68" i="7"/>
  <c r="AN68" i="7"/>
  <c r="AO68" i="7"/>
  <c r="W69" i="7"/>
  <c r="X69" i="7"/>
  <c r="Y69" i="7"/>
  <c r="Z69" i="7"/>
  <c r="AA69" i="7"/>
  <c r="AB69" i="7"/>
  <c r="AD69" i="7"/>
  <c r="AF69" i="7"/>
  <c r="AH69" i="7"/>
  <c r="AJ69" i="7"/>
  <c r="AL69" i="7"/>
  <c r="AN69" i="7"/>
  <c r="AO69" i="7"/>
  <c r="W70" i="7"/>
  <c r="X70" i="7"/>
  <c r="Y70" i="7"/>
  <c r="Z70" i="7"/>
  <c r="AA70" i="7"/>
  <c r="AB70" i="7"/>
  <c r="AD70" i="7"/>
  <c r="AF70" i="7"/>
  <c r="AH70" i="7"/>
  <c r="AJ70" i="7"/>
  <c r="AL70" i="7"/>
  <c r="AN70" i="7"/>
  <c r="AO70" i="7"/>
  <c r="W71" i="7"/>
  <c r="X71" i="7"/>
  <c r="Y71" i="7"/>
  <c r="Z71" i="7"/>
  <c r="AA71" i="7"/>
  <c r="AB71" i="7"/>
  <c r="AD71" i="7"/>
  <c r="AF71" i="7"/>
  <c r="AH71" i="7"/>
  <c r="AJ71" i="7"/>
  <c r="AL71" i="7"/>
  <c r="AN71" i="7"/>
  <c r="AO71" i="7"/>
  <c r="W72" i="7"/>
  <c r="X72" i="7"/>
  <c r="Y72" i="7"/>
  <c r="Z72" i="7"/>
  <c r="AA72" i="7"/>
  <c r="AB72" i="7"/>
  <c r="AD72" i="7"/>
  <c r="AF72" i="7"/>
  <c r="AH72" i="7"/>
  <c r="AJ72" i="7"/>
  <c r="AL72" i="7"/>
  <c r="AN72" i="7"/>
  <c r="AO72" i="7"/>
  <c r="W73" i="7"/>
  <c r="X73" i="7"/>
  <c r="Y73" i="7"/>
  <c r="Z73" i="7"/>
  <c r="AA73" i="7"/>
  <c r="AB73" i="7"/>
  <c r="AD73" i="7"/>
  <c r="AF73" i="7"/>
  <c r="AH73" i="7"/>
  <c r="AJ73" i="7"/>
  <c r="AL73" i="7"/>
  <c r="AN73" i="7"/>
  <c r="AO73" i="7"/>
  <c r="W74" i="7"/>
  <c r="X74" i="7"/>
  <c r="Y74" i="7"/>
  <c r="Z74" i="7"/>
  <c r="AA74" i="7"/>
  <c r="AB74" i="7"/>
  <c r="AD74" i="7"/>
  <c r="AF74" i="7"/>
  <c r="AH74" i="7"/>
  <c r="AJ74" i="7"/>
  <c r="AL74" i="7"/>
  <c r="AN74" i="7"/>
  <c r="AO74" i="7"/>
  <c r="W75" i="7"/>
  <c r="X75" i="7"/>
  <c r="Y75" i="7"/>
  <c r="Z75" i="7"/>
  <c r="AA75" i="7"/>
  <c r="AB75" i="7"/>
  <c r="AD75" i="7"/>
  <c r="AF75" i="7"/>
  <c r="AH75" i="7"/>
  <c r="AJ75" i="7"/>
  <c r="AL75" i="7"/>
  <c r="AN75" i="7"/>
  <c r="AO75" i="7"/>
  <c r="W76" i="7"/>
  <c r="X76" i="7"/>
  <c r="Y76" i="7"/>
  <c r="Z76" i="7"/>
  <c r="AA76" i="7"/>
  <c r="AB76" i="7"/>
  <c r="AD76" i="7"/>
  <c r="AF76" i="7"/>
  <c r="AH76" i="7"/>
  <c r="AJ76" i="7"/>
  <c r="AL76" i="7"/>
  <c r="AN76" i="7"/>
  <c r="AO76" i="7"/>
  <c r="W77" i="7"/>
  <c r="X77" i="7"/>
  <c r="Y77" i="7"/>
  <c r="Z77" i="7"/>
  <c r="AA77" i="7"/>
  <c r="AB77" i="7"/>
  <c r="AD77" i="7"/>
  <c r="AF77" i="7"/>
  <c r="AH77" i="7"/>
  <c r="AJ77" i="7"/>
  <c r="AL77" i="7"/>
  <c r="AN77" i="7"/>
  <c r="AO77" i="7"/>
  <c r="W78" i="7"/>
  <c r="X78" i="7"/>
  <c r="Y78" i="7"/>
  <c r="Z78" i="7"/>
  <c r="AA78" i="7"/>
  <c r="AB78" i="7"/>
  <c r="AD78" i="7"/>
  <c r="AF78" i="7"/>
  <c r="AH78" i="7"/>
  <c r="AJ78" i="7"/>
  <c r="AL78" i="7"/>
  <c r="AN78" i="7"/>
  <c r="AO78" i="7"/>
  <c r="W79" i="7"/>
  <c r="X79" i="7"/>
  <c r="Y79" i="7"/>
  <c r="Z79" i="7"/>
  <c r="AA79" i="7"/>
  <c r="AB79" i="7"/>
  <c r="AD79" i="7"/>
  <c r="AF79" i="7"/>
  <c r="AH79" i="7"/>
  <c r="AJ79" i="7"/>
  <c r="AL79" i="7"/>
  <c r="AN79" i="7"/>
  <c r="AO79" i="7"/>
  <c r="W80" i="7"/>
  <c r="X80" i="7"/>
  <c r="Y80" i="7"/>
  <c r="Z80" i="7"/>
  <c r="AA80" i="7"/>
  <c r="AB80" i="7"/>
  <c r="AD80" i="7"/>
  <c r="AF80" i="7"/>
  <c r="AH80" i="7"/>
  <c r="AJ80" i="7"/>
  <c r="AL80" i="7"/>
  <c r="AN80" i="7"/>
  <c r="AO80" i="7"/>
  <c r="W81" i="7"/>
  <c r="X81" i="7"/>
  <c r="Y81" i="7"/>
  <c r="Z81" i="7"/>
  <c r="AA81" i="7"/>
  <c r="AB81" i="7"/>
  <c r="AD81" i="7"/>
  <c r="AF81" i="7"/>
  <c r="AH81" i="7"/>
  <c r="AJ81" i="7"/>
  <c r="AL81" i="7"/>
  <c r="AN81" i="7"/>
  <c r="AO81" i="7"/>
  <c r="W82" i="7"/>
  <c r="X82" i="7"/>
  <c r="Y82" i="7"/>
  <c r="Z82" i="7"/>
  <c r="AA82" i="7"/>
  <c r="AB82" i="7"/>
  <c r="AD82" i="7"/>
  <c r="AF82" i="7"/>
  <c r="AH82" i="7"/>
  <c r="AJ82" i="7"/>
  <c r="AL82" i="7"/>
  <c r="AN82" i="7"/>
  <c r="AO82" i="7"/>
  <c r="W83" i="7"/>
  <c r="X83" i="7"/>
  <c r="Y83" i="7"/>
  <c r="Z83" i="7"/>
  <c r="AA83" i="7"/>
  <c r="AB83" i="7"/>
  <c r="AD83" i="7"/>
  <c r="AF83" i="7"/>
  <c r="AH83" i="7"/>
  <c r="AJ83" i="7"/>
  <c r="AL83" i="7"/>
  <c r="AN83" i="7"/>
  <c r="AO83" i="7"/>
  <c r="W84" i="7"/>
  <c r="X84" i="7"/>
  <c r="Y84" i="7"/>
  <c r="Z84" i="7"/>
  <c r="AA84" i="7"/>
  <c r="AB84" i="7"/>
  <c r="AD84" i="7"/>
  <c r="AF84" i="7"/>
  <c r="AH84" i="7"/>
  <c r="AJ84" i="7"/>
  <c r="AL84" i="7"/>
  <c r="AN84" i="7"/>
  <c r="AO84" i="7"/>
  <c r="W85" i="7"/>
  <c r="X85" i="7"/>
  <c r="Y85" i="7"/>
  <c r="Z85" i="7"/>
  <c r="AA85" i="7"/>
  <c r="AB85" i="7"/>
  <c r="AD85" i="7"/>
  <c r="AF85" i="7"/>
  <c r="AH85" i="7"/>
  <c r="AJ85" i="7"/>
  <c r="AL85" i="7"/>
  <c r="AN85" i="7"/>
  <c r="AO85" i="7"/>
  <c r="W86" i="7"/>
  <c r="X86" i="7"/>
  <c r="Y86" i="7"/>
  <c r="Z86" i="7"/>
  <c r="AA86" i="7"/>
  <c r="AB86" i="7"/>
  <c r="AD86" i="7"/>
  <c r="AF86" i="7"/>
  <c r="AH86" i="7"/>
  <c r="AJ86" i="7"/>
  <c r="AL86" i="7"/>
  <c r="AN86" i="7"/>
  <c r="AO86" i="7"/>
  <c r="W87" i="7"/>
  <c r="X87" i="7"/>
  <c r="Y87" i="7"/>
  <c r="Z87" i="7"/>
  <c r="AA87" i="7"/>
  <c r="AB87" i="7"/>
  <c r="AD87" i="7"/>
  <c r="AF87" i="7"/>
  <c r="AH87" i="7"/>
  <c r="AJ87" i="7"/>
  <c r="AL87" i="7"/>
  <c r="AN87" i="7"/>
  <c r="AO87" i="7"/>
  <c r="W88" i="7"/>
  <c r="X88" i="7"/>
  <c r="Y88" i="7"/>
  <c r="Z88" i="7"/>
  <c r="AA88" i="7"/>
  <c r="AB88" i="7"/>
  <c r="AD88" i="7"/>
  <c r="AF88" i="7"/>
  <c r="AH88" i="7"/>
  <c r="AJ88" i="7"/>
  <c r="AL88" i="7"/>
  <c r="AN88" i="7"/>
  <c r="AO88" i="7"/>
  <c r="W89" i="7"/>
  <c r="X89" i="7"/>
  <c r="Y89" i="7"/>
  <c r="Z89" i="7"/>
  <c r="AA89" i="7"/>
  <c r="AB89" i="7"/>
  <c r="AD89" i="7"/>
  <c r="AF89" i="7"/>
  <c r="AH89" i="7"/>
  <c r="AJ89" i="7"/>
  <c r="AL89" i="7"/>
  <c r="AN89" i="7"/>
  <c r="AO89" i="7"/>
  <c r="W90" i="7"/>
  <c r="X90" i="7"/>
  <c r="Y90" i="7"/>
  <c r="Z90" i="7"/>
  <c r="AA90" i="7"/>
  <c r="AB90" i="7"/>
  <c r="AD90" i="7"/>
  <c r="AF90" i="7"/>
  <c r="AH90" i="7"/>
  <c r="AJ90" i="7"/>
  <c r="AL90" i="7"/>
  <c r="AN90" i="7"/>
  <c r="AO90" i="7"/>
  <c r="W91" i="7"/>
  <c r="X91" i="7"/>
  <c r="Y91" i="7"/>
  <c r="Z91" i="7"/>
  <c r="AA91" i="7"/>
  <c r="AB91" i="7"/>
  <c r="AD91" i="7"/>
  <c r="AF91" i="7"/>
  <c r="AH91" i="7"/>
  <c r="AJ91" i="7"/>
  <c r="AL91" i="7"/>
  <c r="AN91" i="7"/>
  <c r="AO91" i="7"/>
  <c r="W92" i="7"/>
  <c r="X92" i="7"/>
  <c r="Y92" i="7"/>
  <c r="Z92" i="7"/>
  <c r="AA92" i="7"/>
  <c r="AB92" i="7"/>
  <c r="AD92" i="7"/>
  <c r="AF92" i="7"/>
  <c r="AH92" i="7"/>
  <c r="AJ92" i="7"/>
  <c r="AL92" i="7"/>
  <c r="AN92" i="7"/>
  <c r="AO92" i="7"/>
  <c r="W93" i="7"/>
  <c r="X93" i="7"/>
  <c r="Y93" i="7"/>
  <c r="Z93" i="7"/>
  <c r="AA93" i="7"/>
  <c r="AB93" i="7"/>
  <c r="AD93" i="7"/>
  <c r="AF93" i="7"/>
  <c r="AH93" i="7"/>
  <c r="AJ93" i="7"/>
  <c r="AL93" i="7"/>
  <c r="AN93" i="7"/>
  <c r="AO93" i="7"/>
  <c r="W94" i="7"/>
  <c r="X94" i="7"/>
  <c r="Y94" i="7"/>
  <c r="Z94" i="7"/>
  <c r="AA94" i="7"/>
  <c r="AB94" i="7"/>
  <c r="AD94" i="7"/>
  <c r="AF94" i="7"/>
  <c r="AH94" i="7"/>
  <c r="AJ94" i="7"/>
  <c r="AL94" i="7"/>
  <c r="AN94" i="7"/>
  <c r="AO94" i="7"/>
  <c r="W95" i="7"/>
  <c r="X95" i="7"/>
  <c r="Y95" i="7"/>
  <c r="Z95" i="7"/>
  <c r="AA95" i="7"/>
  <c r="AB95" i="7"/>
  <c r="AD95" i="7"/>
  <c r="AF95" i="7"/>
  <c r="AH95" i="7"/>
  <c r="AJ95" i="7"/>
  <c r="AL95" i="7"/>
  <c r="AN95" i="7"/>
  <c r="AO95" i="7"/>
  <c r="W96" i="7"/>
  <c r="X96" i="7"/>
  <c r="Y96" i="7"/>
  <c r="Z96" i="7"/>
  <c r="AA96" i="7"/>
  <c r="AB96" i="7"/>
  <c r="AD96" i="7"/>
  <c r="AF96" i="7"/>
  <c r="AH96" i="7"/>
  <c r="AJ96" i="7"/>
  <c r="AL96" i="7"/>
  <c r="AN96" i="7"/>
  <c r="AO96" i="7"/>
  <c r="W97" i="7"/>
  <c r="X97" i="7"/>
  <c r="Y97" i="7"/>
  <c r="Z97" i="7"/>
  <c r="AA97" i="7"/>
  <c r="AB97" i="7"/>
  <c r="AD97" i="7"/>
  <c r="AF97" i="7"/>
  <c r="AH97" i="7"/>
  <c r="AJ97" i="7"/>
  <c r="AL97" i="7"/>
  <c r="AN97" i="7"/>
  <c r="AO97" i="7"/>
  <c r="W98" i="7"/>
  <c r="X98" i="7"/>
  <c r="Y98" i="7"/>
  <c r="Z98" i="7"/>
  <c r="AA98" i="7"/>
  <c r="AB98" i="7"/>
  <c r="AD98" i="7"/>
  <c r="AF98" i="7"/>
  <c r="AH98" i="7"/>
  <c r="AJ98" i="7"/>
  <c r="AL98" i="7"/>
  <c r="AN98" i="7"/>
  <c r="AO98" i="7"/>
  <c r="W99" i="7"/>
  <c r="X99" i="7"/>
  <c r="Y99" i="7"/>
  <c r="Z99" i="7"/>
  <c r="AA99" i="7"/>
  <c r="AB99" i="7"/>
  <c r="AD99" i="7"/>
  <c r="AF99" i="7"/>
  <c r="AH99" i="7"/>
  <c r="AJ99" i="7"/>
  <c r="AL99" i="7"/>
  <c r="AN99" i="7"/>
  <c r="AO99" i="7"/>
  <c r="W100" i="7"/>
  <c r="X100" i="7"/>
  <c r="Y100" i="7"/>
  <c r="Z100" i="7"/>
  <c r="AA100" i="7"/>
  <c r="AB100" i="7"/>
  <c r="AD100" i="7"/>
  <c r="AF100" i="7"/>
  <c r="AH100" i="7"/>
  <c r="AJ100" i="7"/>
  <c r="AL100" i="7"/>
  <c r="AN100" i="7"/>
  <c r="AO100" i="7"/>
  <c r="W101" i="7"/>
  <c r="X101" i="7"/>
  <c r="Y101" i="7"/>
  <c r="Z101" i="7"/>
  <c r="AA101" i="7"/>
  <c r="AB101" i="7"/>
  <c r="AD101" i="7"/>
  <c r="AF101" i="7"/>
  <c r="AH101" i="7"/>
  <c r="AJ101" i="7"/>
  <c r="AL101" i="7"/>
  <c r="AN101" i="7"/>
  <c r="AO101" i="7"/>
  <c r="W102" i="7"/>
  <c r="X102" i="7"/>
  <c r="Y102" i="7"/>
  <c r="Z102" i="7"/>
  <c r="AA102" i="7"/>
  <c r="AB102" i="7"/>
  <c r="AD102" i="7"/>
  <c r="AF102" i="7"/>
  <c r="AH102" i="7"/>
  <c r="AJ102" i="7"/>
  <c r="AL102" i="7"/>
  <c r="AN102" i="7"/>
  <c r="AO102" i="7"/>
  <c r="W103" i="7"/>
  <c r="X103" i="7"/>
  <c r="Y103" i="7"/>
  <c r="Z103" i="7"/>
  <c r="AA103" i="7"/>
  <c r="AB103" i="7"/>
  <c r="AD103" i="7"/>
  <c r="AF103" i="7"/>
  <c r="AH103" i="7"/>
  <c r="AJ103" i="7"/>
  <c r="AL103" i="7"/>
  <c r="AN103" i="7"/>
  <c r="AO103" i="7"/>
  <c r="W104" i="7"/>
  <c r="X104" i="7"/>
  <c r="Y104" i="7"/>
  <c r="Z104" i="7"/>
  <c r="AA104" i="7"/>
  <c r="AB104" i="7"/>
  <c r="AD104" i="7"/>
  <c r="AF104" i="7"/>
  <c r="AH104" i="7"/>
  <c r="AJ104" i="7"/>
  <c r="AL104" i="7"/>
  <c r="AN104" i="7"/>
  <c r="AO104" i="7"/>
  <c r="W105" i="7"/>
  <c r="X105" i="7"/>
  <c r="Y105" i="7"/>
  <c r="Z105" i="7"/>
  <c r="AA105" i="7"/>
  <c r="AB105" i="7"/>
  <c r="AD105" i="7"/>
  <c r="AF105" i="7"/>
  <c r="AH105" i="7"/>
  <c r="AJ105" i="7"/>
  <c r="AL105" i="7"/>
  <c r="AN105" i="7"/>
  <c r="AO105" i="7"/>
  <c r="W106" i="7"/>
  <c r="X106" i="7"/>
  <c r="Y106" i="7"/>
  <c r="Z106" i="7"/>
  <c r="AA106" i="7"/>
  <c r="AB106" i="7"/>
  <c r="AD106" i="7"/>
  <c r="AF106" i="7"/>
  <c r="AH106" i="7"/>
  <c r="AJ106" i="7"/>
  <c r="AL106" i="7"/>
  <c r="AN106" i="7"/>
  <c r="AO106" i="7"/>
  <c r="W107" i="7"/>
  <c r="X107" i="7"/>
  <c r="Y107" i="7"/>
  <c r="Z107" i="7"/>
  <c r="AA107" i="7"/>
  <c r="AB107" i="7"/>
  <c r="AD107" i="7"/>
  <c r="AF107" i="7"/>
  <c r="AH107" i="7"/>
  <c r="AJ107" i="7"/>
  <c r="AL107" i="7"/>
  <c r="AN107" i="7"/>
  <c r="AO107" i="7"/>
  <c r="W108" i="7"/>
  <c r="X108" i="7"/>
  <c r="Y108" i="7"/>
  <c r="Z108" i="7"/>
  <c r="AA108" i="7"/>
  <c r="AB108" i="7"/>
  <c r="AD108" i="7"/>
  <c r="AF108" i="7"/>
  <c r="AH108" i="7"/>
  <c r="AJ108" i="7"/>
  <c r="AL108" i="7"/>
  <c r="AN108" i="7"/>
  <c r="AO108" i="7"/>
  <c r="W109" i="7"/>
  <c r="X109" i="7"/>
  <c r="Y109" i="7"/>
  <c r="Z109" i="7"/>
  <c r="AA109" i="7"/>
  <c r="AB109" i="7"/>
  <c r="AD109" i="7"/>
  <c r="AF109" i="7"/>
  <c r="AH109" i="7"/>
  <c r="AJ109" i="7"/>
  <c r="AL109" i="7"/>
  <c r="AN109" i="7"/>
  <c r="AO109" i="7"/>
  <c r="W110" i="7"/>
  <c r="X110" i="7"/>
  <c r="Y110" i="7"/>
  <c r="Z110" i="7"/>
  <c r="AA110" i="7"/>
  <c r="AB110" i="7"/>
  <c r="AD110" i="7"/>
  <c r="AF110" i="7"/>
  <c r="AH110" i="7"/>
  <c r="AJ110" i="7"/>
  <c r="AL110" i="7"/>
  <c r="AN110" i="7"/>
  <c r="AO110" i="7"/>
  <c r="W111" i="7"/>
  <c r="X111" i="7"/>
  <c r="Y111" i="7"/>
  <c r="Z111" i="7"/>
  <c r="AA111" i="7"/>
  <c r="AB111" i="7"/>
  <c r="AD111" i="7"/>
  <c r="AF111" i="7"/>
  <c r="AH111" i="7"/>
  <c r="AJ111" i="7"/>
  <c r="AL111" i="7"/>
  <c r="AN111" i="7"/>
  <c r="AO111" i="7"/>
  <c r="W112" i="7"/>
  <c r="X112" i="7"/>
  <c r="Y112" i="7"/>
  <c r="Z112" i="7"/>
  <c r="AA112" i="7"/>
  <c r="AB112" i="7"/>
  <c r="AD112" i="7"/>
  <c r="AF112" i="7"/>
  <c r="AH112" i="7"/>
  <c r="AJ112" i="7"/>
  <c r="AL112" i="7"/>
  <c r="AN112" i="7"/>
  <c r="AO112" i="7"/>
  <c r="W113" i="7"/>
  <c r="X113" i="7"/>
  <c r="Y113" i="7"/>
  <c r="Z113" i="7"/>
  <c r="AA113" i="7"/>
  <c r="AB113" i="7"/>
  <c r="AD113" i="7"/>
  <c r="AF113" i="7"/>
  <c r="AH113" i="7"/>
  <c r="AJ113" i="7"/>
  <c r="AL113" i="7"/>
  <c r="AN113" i="7"/>
  <c r="AO113" i="7"/>
  <c r="W114" i="7"/>
  <c r="X114" i="7"/>
  <c r="Y114" i="7"/>
  <c r="Z114" i="7"/>
  <c r="AA114" i="7"/>
  <c r="AB114" i="7"/>
  <c r="AD114" i="7"/>
  <c r="AF114" i="7"/>
  <c r="AH114" i="7"/>
  <c r="AJ114" i="7"/>
  <c r="AL114" i="7"/>
  <c r="AN114" i="7"/>
  <c r="AO114" i="7"/>
  <c r="W115" i="7"/>
  <c r="X115" i="7"/>
  <c r="Y115" i="7"/>
  <c r="Z115" i="7"/>
  <c r="AA115" i="7"/>
  <c r="AB115" i="7"/>
  <c r="AD115" i="7"/>
  <c r="AF115" i="7"/>
  <c r="AH115" i="7"/>
  <c r="AJ115" i="7"/>
  <c r="AL115" i="7"/>
  <c r="AN115" i="7"/>
  <c r="AO115" i="7"/>
  <c r="W116" i="7"/>
  <c r="X116" i="7"/>
  <c r="Y116" i="7"/>
  <c r="Z116" i="7"/>
  <c r="AA116" i="7"/>
  <c r="AB116" i="7"/>
  <c r="AD116" i="7"/>
  <c r="AF116" i="7"/>
  <c r="AH116" i="7"/>
  <c r="AJ116" i="7"/>
  <c r="AL116" i="7"/>
  <c r="AN116" i="7"/>
  <c r="AO116" i="7"/>
  <c r="W117" i="7"/>
  <c r="X117" i="7"/>
  <c r="Y117" i="7"/>
  <c r="Z117" i="7"/>
  <c r="AA117" i="7"/>
  <c r="AB117" i="7"/>
  <c r="AD117" i="7"/>
  <c r="AF117" i="7"/>
  <c r="AH117" i="7"/>
  <c r="AJ117" i="7"/>
  <c r="AL117" i="7"/>
  <c r="AN117" i="7"/>
  <c r="AO117" i="7"/>
  <c r="W118" i="7"/>
  <c r="X118" i="7"/>
  <c r="Y118" i="7"/>
  <c r="Z118" i="7"/>
  <c r="AA118" i="7"/>
  <c r="AB118" i="7"/>
  <c r="AD118" i="7"/>
  <c r="AF118" i="7"/>
  <c r="AH118" i="7"/>
  <c r="AJ118" i="7"/>
  <c r="AL118" i="7"/>
  <c r="AN118" i="7"/>
  <c r="AO118" i="7"/>
  <c r="W119" i="7"/>
  <c r="X119" i="7"/>
  <c r="Y119" i="7"/>
  <c r="Z119" i="7"/>
  <c r="AA119" i="7"/>
  <c r="AB119" i="7"/>
  <c r="AD119" i="7"/>
  <c r="AF119" i="7"/>
  <c r="AH119" i="7"/>
  <c r="AJ119" i="7"/>
  <c r="AL119" i="7"/>
  <c r="AN119" i="7"/>
  <c r="AO119" i="7"/>
  <c r="W120" i="7"/>
  <c r="X120" i="7"/>
  <c r="Y120" i="7"/>
  <c r="Z120" i="7"/>
  <c r="AA120" i="7"/>
  <c r="AB120" i="7"/>
  <c r="AD120" i="7"/>
  <c r="AF120" i="7"/>
  <c r="AH120" i="7"/>
  <c r="AJ120" i="7"/>
  <c r="AL120" i="7"/>
  <c r="AN120" i="7"/>
  <c r="AO120" i="7"/>
  <c r="W121" i="7"/>
  <c r="X121" i="7"/>
  <c r="Y121" i="7"/>
  <c r="Z121" i="7"/>
  <c r="AA121" i="7"/>
  <c r="AB121" i="7"/>
  <c r="AD121" i="7"/>
  <c r="AF121" i="7"/>
  <c r="AH121" i="7"/>
  <c r="AJ121" i="7"/>
  <c r="AL121" i="7"/>
  <c r="AN121" i="7"/>
  <c r="AO121" i="7"/>
  <c r="W122" i="7"/>
  <c r="X122" i="7"/>
  <c r="Y122" i="7"/>
  <c r="Z122" i="7"/>
  <c r="AA122" i="7"/>
  <c r="AB122" i="7"/>
  <c r="AD122" i="7"/>
  <c r="AF122" i="7"/>
  <c r="AH122" i="7"/>
  <c r="AJ122" i="7"/>
  <c r="AL122" i="7"/>
  <c r="AN122" i="7"/>
  <c r="AO122" i="7"/>
  <c r="W123" i="7"/>
  <c r="X123" i="7"/>
  <c r="Y123" i="7"/>
  <c r="Z123" i="7"/>
  <c r="AA123" i="7"/>
  <c r="AB123" i="7"/>
  <c r="AD123" i="7"/>
  <c r="AF123" i="7"/>
  <c r="AH123" i="7"/>
  <c r="AJ123" i="7"/>
  <c r="AL123" i="7"/>
  <c r="AN123" i="7"/>
  <c r="AO123" i="7"/>
  <c r="W124" i="7"/>
  <c r="X124" i="7"/>
  <c r="Y124" i="7"/>
  <c r="Z124" i="7"/>
  <c r="AA124" i="7"/>
  <c r="AB124" i="7"/>
  <c r="AD124" i="7"/>
  <c r="AF124" i="7"/>
  <c r="AH124" i="7"/>
  <c r="AJ124" i="7"/>
  <c r="AL124" i="7"/>
  <c r="AN124" i="7"/>
  <c r="AO124" i="7"/>
  <c r="W125" i="7"/>
  <c r="X125" i="7"/>
  <c r="Y125" i="7"/>
  <c r="Z125" i="7"/>
  <c r="AA125" i="7"/>
  <c r="AB125" i="7"/>
  <c r="AD125" i="7"/>
  <c r="AF125" i="7"/>
  <c r="AH125" i="7"/>
  <c r="AJ125" i="7"/>
  <c r="AL125" i="7"/>
  <c r="AN125" i="7"/>
  <c r="AO125" i="7"/>
  <c r="W126" i="7"/>
  <c r="X126" i="7"/>
  <c r="Y126" i="7"/>
  <c r="Z126" i="7"/>
  <c r="AA126" i="7"/>
  <c r="AB126" i="7"/>
  <c r="AD126" i="7"/>
  <c r="AF126" i="7"/>
  <c r="AH126" i="7"/>
  <c r="AJ126" i="7"/>
  <c r="AL126" i="7"/>
  <c r="AN126" i="7"/>
  <c r="AO126" i="7"/>
  <c r="W127" i="7"/>
  <c r="X127" i="7"/>
  <c r="Y127" i="7"/>
  <c r="Z127" i="7"/>
  <c r="AA127" i="7"/>
  <c r="AB127" i="7"/>
  <c r="AD127" i="7"/>
  <c r="AF127" i="7"/>
  <c r="AH127" i="7"/>
  <c r="AJ127" i="7"/>
  <c r="AL127" i="7"/>
  <c r="AN127" i="7"/>
  <c r="AO127" i="7"/>
  <c r="W128" i="7"/>
  <c r="X128" i="7"/>
  <c r="Y128" i="7"/>
  <c r="Z128" i="7"/>
  <c r="AA128" i="7"/>
  <c r="AB128" i="7"/>
  <c r="AD128" i="7"/>
  <c r="AF128" i="7"/>
  <c r="AH128" i="7"/>
  <c r="AJ128" i="7"/>
  <c r="AL128" i="7"/>
  <c r="AN128" i="7"/>
  <c r="AO128" i="7"/>
  <c r="W129" i="7"/>
  <c r="X129" i="7"/>
  <c r="Y129" i="7"/>
  <c r="Z129" i="7"/>
  <c r="AA129" i="7"/>
  <c r="AB129" i="7"/>
  <c r="AD129" i="7"/>
  <c r="AF129" i="7"/>
  <c r="AH129" i="7"/>
  <c r="AJ129" i="7"/>
  <c r="AL129" i="7"/>
  <c r="AN129" i="7"/>
  <c r="AO129" i="7"/>
  <c r="W130" i="7"/>
  <c r="X130" i="7"/>
  <c r="Y130" i="7"/>
  <c r="Z130" i="7"/>
  <c r="AA130" i="7"/>
  <c r="AB130" i="7"/>
  <c r="AD130" i="7"/>
  <c r="AF130" i="7"/>
  <c r="AH130" i="7"/>
  <c r="AJ130" i="7"/>
  <c r="AL130" i="7"/>
  <c r="AN130" i="7"/>
  <c r="AO130" i="7"/>
  <c r="W131" i="7"/>
  <c r="X131" i="7"/>
  <c r="Y131" i="7"/>
  <c r="Z131" i="7"/>
  <c r="AA131" i="7"/>
  <c r="AB131" i="7"/>
  <c r="AD131" i="7"/>
  <c r="AF131" i="7"/>
  <c r="AH131" i="7"/>
  <c r="AJ131" i="7"/>
  <c r="AL131" i="7"/>
  <c r="AN131" i="7"/>
  <c r="AO131" i="7"/>
  <c r="W132" i="7"/>
  <c r="X132" i="7"/>
  <c r="Y132" i="7"/>
  <c r="Z132" i="7"/>
  <c r="AA132" i="7"/>
  <c r="AB132" i="7"/>
  <c r="AD132" i="7"/>
  <c r="AF132" i="7"/>
  <c r="AH132" i="7"/>
  <c r="AJ132" i="7"/>
  <c r="AL132" i="7"/>
  <c r="AN132" i="7"/>
  <c r="AO132" i="7"/>
  <c r="W133" i="7"/>
  <c r="X133" i="7"/>
  <c r="Y133" i="7"/>
  <c r="Z133" i="7"/>
  <c r="AA133" i="7"/>
  <c r="AB133" i="7"/>
  <c r="AD133" i="7"/>
  <c r="AF133" i="7"/>
  <c r="AH133" i="7"/>
  <c r="AJ133" i="7"/>
  <c r="AL133" i="7"/>
  <c r="AN133" i="7"/>
  <c r="AO133" i="7"/>
  <c r="W134" i="7"/>
  <c r="X134" i="7"/>
  <c r="Y134" i="7"/>
  <c r="Z134" i="7"/>
  <c r="AA134" i="7"/>
  <c r="AB134" i="7"/>
  <c r="AD134" i="7"/>
  <c r="AF134" i="7"/>
  <c r="AH134" i="7"/>
  <c r="AJ134" i="7"/>
  <c r="AL134" i="7"/>
  <c r="AN134" i="7"/>
  <c r="AO134" i="7"/>
  <c r="W135" i="7"/>
  <c r="X135" i="7"/>
  <c r="Y135" i="7"/>
  <c r="Z135" i="7"/>
  <c r="AA135" i="7"/>
  <c r="AB135" i="7"/>
  <c r="AD135" i="7"/>
  <c r="AF135" i="7"/>
  <c r="AH135" i="7"/>
  <c r="AJ135" i="7"/>
  <c r="AL135" i="7"/>
  <c r="AN135" i="7"/>
  <c r="AO135" i="7"/>
  <c r="W136" i="7"/>
  <c r="X136" i="7"/>
  <c r="Y136" i="7"/>
  <c r="Z136" i="7"/>
  <c r="AA136" i="7"/>
  <c r="AB136" i="7"/>
  <c r="AD136" i="7"/>
  <c r="AF136" i="7"/>
  <c r="AH136" i="7"/>
  <c r="AJ136" i="7"/>
  <c r="AL136" i="7"/>
  <c r="AN136" i="7"/>
  <c r="AO136" i="7"/>
  <c r="W137" i="7"/>
  <c r="X137" i="7"/>
  <c r="Y137" i="7"/>
  <c r="Z137" i="7"/>
  <c r="AA137" i="7"/>
  <c r="AB137" i="7"/>
  <c r="AD137" i="7"/>
  <c r="AF137" i="7"/>
  <c r="AH137" i="7"/>
  <c r="AJ137" i="7"/>
  <c r="AL137" i="7"/>
  <c r="AN137" i="7"/>
  <c r="AO137" i="7"/>
  <c r="W138" i="7"/>
  <c r="X138" i="7"/>
  <c r="Y138" i="7"/>
  <c r="Z138" i="7"/>
  <c r="AA138" i="7"/>
  <c r="AB138" i="7"/>
  <c r="AD138" i="7"/>
  <c r="AF138" i="7"/>
  <c r="AH138" i="7"/>
  <c r="AJ138" i="7"/>
  <c r="AL138" i="7"/>
  <c r="AN138" i="7"/>
  <c r="AO138" i="7"/>
  <c r="W139" i="7"/>
  <c r="X139" i="7"/>
  <c r="Y139" i="7"/>
  <c r="Z139" i="7"/>
  <c r="AA139" i="7"/>
  <c r="AB139" i="7"/>
  <c r="AD139" i="7"/>
  <c r="AF139" i="7"/>
  <c r="AH139" i="7"/>
  <c r="AJ139" i="7"/>
  <c r="AL139" i="7"/>
  <c r="AN139" i="7"/>
  <c r="AO139" i="7"/>
  <c r="W140" i="7"/>
  <c r="X140" i="7"/>
  <c r="Y140" i="7"/>
  <c r="Z140" i="7"/>
  <c r="AA140" i="7"/>
  <c r="AB140" i="7"/>
  <c r="AD140" i="7"/>
  <c r="AF140" i="7"/>
  <c r="AH140" i="7"/>
  <c r="AJ140" i="7"/>
  <c r="AL140" i="7"/>
  <c r="AN140" i="7"/>
  <c r="AO140" i="7"/>
  <c r="W141" i="7"/>
  <c r="X141" i="7"/>
  <c r="Y141" i="7"/>
  <c r="Z141" i="7"/>
  <c r="AA141" i="7"/>
  <c r="AB141" i="7"/>
  <c r="AD141" i="7"/>
  <c r="AF141" i="7"/>
  <c r="AH141" i="7"/>
  <c r="AJ141" i="7"/>
  <c r="AL141" i="7"/>
  <c r="AN141" i="7"/>
  <c r="AO141" i="7"/>
  <c r="W142" i="7"/>
  <c r="X142" i="7"/>
  <c r="Y142" i="7"/>
  <c r="Z142" i="7"/>
  <c r="AA142" i="7"/>
  <c r="AB142" i="7"/>
  <c r="AD142" i="7"/>
  <c r="AF142" i="7"/>
  <c r="AH142" i="7"/>
  <c r="AJ142" i="7"/>
  <c r="AL142" i="7"/>
  <c r="AN142" i="7"/>
  <c r="AO142" i="7"/>
  <c r="W143" i="7"/>
  <c r="X143" i="7"/>
  <c r="Y143" i="7"/>
  <c r="Z143" i="7"/>
  <c r="AA143" i="7"/>
  <c r="AB143" i="7"/>
  <c r="AD143" i="7"/>
  <c r="AF143" i="7"/>
  <c r="AH143" i="7"/>
  <c r="AJ143" i="7"/>
  <c r="AL143" i="7"/>
  <c r="AN143" i="7"/>
  <c r="AO143" i="7"/>
  <c r="W144" i="7"/>
  <c r="X144" i="7"/>
  <c r="Y144" i="7"/>
  <c r="Z144" i="7"/>
  <c r="AA144" i="7"/>
  <c r="AB144" i="7"/>
  <c r="AD144" i="7"/>
  <c r="AF144" i="7"/>
  <c r="AH144" i="7"/>
  <c r="AJ144" i="7"/>
  <c r="AL144" i="7"/>
  <c r="AN144" i="7"/>
  <c r="AO144" i="7"/>
  <c r="W145" i="7"/>
  <c r="X145" i="7"/>
  <c r="Y145" i="7"/>
  <c r="Z145" i="7"/>
  <c r="AA145" i="7"/>
  <c r="AB145" i="7"/>
  <c r="AD145" i="7"/>
  <c r="AF145" i="7"/>
  <c r="AH145" i="7"/>
  <c r="AJ145" i="7"/>
  <c r="AL145" i="7"/>
  <c r="AN145" i="7"/>
  <c r="AO145" i="7"/>
  <c r="W146" i="7"/>
  <c r="X146" i="7"/>
  <c r="Y146" i="7"/>
  <c r="Z146" i="7"/>
  <c r="AA146" i="7"/>
  <c r="AB146" i="7"/>
  <c r="AD146" i="7"/>
  <c r="AF146" i="7"/>
  <c r="AH146" i="7"/>
  <c r="AJ146" i="7"/>
  <c r="AL146" i="7"/>
  <c r="AN146" i="7"/>
  <c r="AO146" i="7"/>
  <c r="W147" i="7"/>
  <c r="X147" i="7"/>
  <c r="Y147" i="7"/>
  <c r="Z147" i="7"/>
  <c r="AA147" i="7"/>
  <c r="AB147" i="7"/>
  <c r="AD147" i="7"/>
  <c r="AF147" i="7"/>
  <c r="AH147" i="7"/>
  <c r="AJ147" i="7"/>
  <c r="AL147" i="7"/>
  <c r="AN147" i="7"/>
  <c r="AO147" i="7"/>
  <c r="W148" i="7"/>
  <c r="X148" i="7"/>
  <c r="Y148" i="7"/>
  <c r="Z148" i="7"/>
  <c r="AA148" i="7"/>
  <c r="AB148" i="7"/>
  <c r="AD148" i="7"/>
  <c r="AF148" i="7"/>
  <c r="AH148" i="7"/>
  <c r="AJ148" i="7"/>
  <c r="AL148" i="7"/>
  <c r="AN148" i="7"/>
  <c r="AO148" i="7"/>
  <c r="W149" i="7"/>
  <c r="X149" i="7"/>
  <c r="Y149" i="7"/>
  <c r="Z149" i="7"/>
  <c r="AA149" i="7"/>
  <c r="AB149" i="7"/>
  <c r="AD149" i="7"/>
  <c r="AF149" i="7"/>
  <c r="AH149" i="7"/>
  <c r="AJ149" i="7"/>
  <c r="AL149" i="7"/>
  <c r="AN149" i="7"/>
  <c r="AO149" i="7"/>
  <c r="W150" i="7"/>
  <c r="X150" i="7"/>
  <c r="Y150" i="7"/>
  <c r="Z150" i="7"/>
  <c r="AA150" i="7"/>
  <c r="AB150" i="7"/>
  <c r="AD150" i="7"/>
  <c r="AF150" i="7"/>
  <c r="AH150" i="7"/>
  <c r="AJ150" i="7"/>
  <c r="AL150" i="7"/>
  <c r="AN150" i="7"/>
  <c r="AO150" i="7"/>
  <c r="W151" i="7"/>
  <c r="X151" i="7"/>
  <c r="Y151" i="7"/>
  <c r="Z151" i="7"/>
  <c r="AA151" i="7"/>
  <c r="AB151" i="7"/>
  <c r="AD151" i="7"/>
  <c r="AF151" i="7"/>
  <c r="AH151" i="7"/>
  <c r="AJ151" i="7"/>
  <c r="AL151" i="7"/>
  <c r="AN151" i="7"/>
  <c r="AO151" i="7"/>
  <c r="W152" i="7"/>
  <c r="X152" i="7"/>
  <c r="Y152" i="7"/>
  <c r="Z152" i="7"/>
  <c r="AA152" i="7"/>
  <c r="AB152" i="7"/>
  <c r="AD152" i="7"/>
  <c r="AF152" i="7"/>
  <c r="AH152" i="7"/>
  <c r="AJ152" i="7"/>
  <c r="AL152" i="7"/>
  <c r="AN152" i="7"/>
  <c r="AO152" i="7"/>
  <c r="W153" i="7"/>
  <c r="X153" i="7"/>
  <c r="Y153" i="7"/>
  <c r="Z153" i="7"/>
  <c r="AA153" i="7"/>
  <c r="AB153" i="7"/>
  <c r="AD153" i="7"/>
  <c r="AF153" i="7"/>
  <c r="AH153" i="7"/>
  <c r="AJ153" i="7"/>
  <c r="AL153" i="7"/>
  <c r="AN153" i="7"/>
  <c r="AO153" i="7"/>
  <c r="W3" i="7"/>
  <c r="X3" i="7"/>
  <c r="Y3" i="7"/>
  <c r="Z3" i="7"/>
  <c r="AA3" i="7"/>
  <c r="AB3" i="7"/>
  <c r="AD3" i="7"/>
  <c r="AF3" i="7"/>
  <c r="AH3" i="7"/>
  <c r="AJ3" i="7"/>
  <c r="AL3" i="7"/>
  <c r="AN3" i="7"/>
  <c r="AO3" i="7"/>
  <c r="W4" i="7"/>
  <c r="X4" i="7"/>
  <c r="Y4" i="7"/>
  <c r="Z4" i="7"/>
  <c r="AA4" i="7"/>
  <c r="AB4" i="7"/>
  <c r="AD4" i="7"/>
  <c r="AF4" i="7"/>
  <c r="AH4" i="7"/>
  <c r="AJ4" i="7"/>
  <c r="AL4" i="7"/>
  <c r="AN4" i="7"/>
  <c r="AO4" i="7"/>
  <c r="W5" i="7"/>
  <c r="X5" i="7"/>
  <c r="Y5" i="7"/>
  <c r="Z5" i="7"/>
  <c r="AA5" i="7"/>
  <c r="AB5" i="7"/>
  <c r="AD5" i="7"/>
  <c r="AF5" i="7"/>
  <c r="AH5" i="7"/>
  <c r="AJ5" i="7"/>
  <c r="AL5" i="7"/>
  <c r="AN5" i="7"/>
  <c r="AO5" i="7"/>
  <c r="W6" i="7"/>
  <c r="X6" i="7"/>
  <c r="Y6" i="7"/>
  <c r="Z6" i="7"/>
  <c r="AA6" i="7"/>
  <c r="AB6" i="7"/>
  <c r="AD6" i="7"/>
  <c r="AF6" i="7"/>
  <c r="AH6" i="7"/>
  <c r="AJ6" i="7"/>
  <c r="AL6" i="7"/>
  <c r="AN6" i="7"/>
  <c r="AO6" i="7"/>
  <c r="W7" i="7"/>
  <c r="X7" i="7"/>
  <c r="Y7" i="7"/>
  <c r="Z7" i="7"/>
  <c r="AA7" i="7"/>
  <c r="AB7" i="7"/>
  <c r="AD7" i="7"/>
  <c r="AF7" i="7"/>
  <c r="AH7" i="7"/>
  <c r="AJ7" i="7"/>
  <c r="AL7" i="7"/>
  <c r="AN7" i="7"/>
  <c r="AO7" i="7"/>
  <c r="W8" i="7"/>
  <c r="X8" i="7"/>
  <c r="Y8" i="7"/>
  <c r="Z8" i="7"/>
  <c r="AA8" i="7"/>
  <c r="AB8" i="7"/>
  <c r="AD8" i="7"/>
  <c r="AF8" i="7"/>
  <c r="AH8" i="7"/>
  <c r="AJ8" i="7"/>
  <c r="AL8" i="7"/>
  <c r="AN8" i="7"/>
  <c r="AO8" i="7"/>
  <c r="W9" i="7"/>
  <c r="X9" i="7"/>
  <c r="Y9" i="7"/>
  <c r="Z9" i="7"/>
  <c r="AA9" i="7"/>
  <c r="AB9" i="7"/>
  <c r="AD9" i="7"/>
  <c r="AF9" i="7"/>
  <c r="AH9" i="7"/>
  <c r="AJ9" i="7"/>
  <c r="AL9" i="7"/>
  <c r="AN9" i="7"/>
  <c r="AO9" i="7"/>
  <c r="W10" i="7"/>
  <c r="X10" i="7"/>
  <c r="Y10" i="7"/>
  <c r="Z10" i="7"/>
  <c r="AA10" i="7"/>
  <c r="AB10" i="7"/>
  <c r="AD10" i="7"/>
  <c r="AF10" i="7"/>
  <c r="AH10" i="7"/>
  <c r="AJ10" i="7"/>
  <c r="AL10" i="7"/>
  <c r="AN10" i="7"/>
  <c r="AO10" i="7"/>
  <c r="W11" i="7"/>
  <c r="X11" i="7"/>
  <c r="Y11" i="7"/>
  <c r="Z11" i="7"/>
  <c r="AA11" i="7"/>
  <c r="AB11" i="7"/>
  <c r="AD11" i="7"/>
  <c r="AF11" i="7"/>
  <c r="AH11" i="7"/>
  <c r="AJ11" i="7"/>
  <c r="AL11" i="7"/>
  <c r="AN11" i="7"/>
  <c r="AO11" i="7"/>
  <c r="W12" i="7"/>
  <c r="X12" i="7"/>
  <c r="Y12" i="7"/>
  <c r="Z12" i="7"/>
  <c r="AA12" i="7"/>
  <c r="AB12" i="7"/>
  <c r="AD12" i="7"/>
  <c r="AF12" i="7"/>
  <c r="AH12" i="7"/>
  <c r="AJ12" i="7"/>
  <c r="AL12" i="7"/>
  <c r="AN12" i="7"/>
  <c r="AO12" i="7"/>
  <c r="W13" i="7"/>
  <c r="X13" i="7"/>
  <c r="Y13" i="7"/>
  <c r="Z13" i="7"/>
  <c r="AA13" i="7"/>
  <c r="AB13" i="7"/>
  <c r="AD13" i="7"/>
  <c r="AF13" i="7"/>
  <c r="AH13" i="7"/>
  <c r="AJ13" i="7"/>
  <c r="AL13" i="7"/>
  <c r="AN13" i="7"/>
  <c r="AO13" i="7"/>
  <c r="W14" i="7"/>
  <c r="X14" i="7"/>
  <c r="Y14" i="7"/>
  <c r="Z14" i="7"/>
  <c r="AA14" i="7"/>
  <c r="AB14" i="7"/>
  <c r="AD14" i="7"/>
  <c r="AF14" i="7"/>
  <c r="AH14" i="7"/>
  <c r="AJ14" i="7"/>
  <c r="AL14" i="7"/>
  <c r="AN14" i="7"/>
  <c r="AO14" i="7"/>
  <c r="W15" i="7"/>
  <c r="X15" i="7"/>
  <c r="Y15" i="7"/>
  <c r="Z15" i="7"/>
  <c r="AA15" i="7"/>
  <c r="AB15" i="7"/>
  <c r="AD15" i="7"/>
  <c r="AF15" i="7"/>
  <c r="AH15" i="7"/>
  <c r="AJ15" i="7"/>
  <c r="AL15" i="7"/>
  <c r="AN15" i="7"/>
  <c r="AO15" i="7"/>
  <c r="W16" i="7"/>
  <c r="X16" i="7"/>
  <c r="Y16" i="7"/>
  <c r="Z16" i="7"/>
  <c r="AA16" i="7"/>
  <c r="AB16" i="7"/>
  <c r="AD16" i="7"/>
  <c r="AF16" i="7"/>
  <c r="AH16" i="7"/>
  <c r="AJ16" i="7"/>
  <c r="AL16" i="7"/>
  <c r="AN16" i="7"/>
  <c r="AO16" i="7"/>
  <c r="W17" i="7"/>
  <c r="X17" i="7"/>
  <c r="Y17" i="7"/>
  <c r="Z17" i="7"/>
  <c r="AA17" i="7"/>
  <c r="AB17" i="7"/>
  <c r="AD17" i="7"/>
  <c r="AF17" i="7"/>
  <c r="AH17" i="7"/>
  <c r="AJ17" i="7"/>
  <c r="AL17" i="7"/>
  <c r="AN17" i="7"/>
  <c r="AO17" i="7"/>
  <c r="W18" i="7"/>
  <c r="X18" i="7"/>
  <c r="Y18" i="7"/>
  <c r="Z18" i="7"/>
  <c r="AA18" i="7"/>
  <c r="AB18" i="7"/>
  <c r="AD18" i="7"/>
  <c r="AF18" i="7"/>
  <c r="AH18" i="7"/>
  <c r="AJ18" i="7"/>
  <c r="AL18" i="7"/>
  <c r="AN18" i="7"/>
  <c r="AO18" i="7"/>
  <c r="W19" i="7"/>
  <c r="X19" i="7"/>
  <c r="Y19" i="7"/>
  <c r="Z19" i="7"/>
  <c r="AA19" i="7"/>
  <c r="AB19" i="7"/>
  <c r="AD19" i="7"/>
  <c r="AF19" i="7"/>
  <c r="AH19" i="7"/>
  <c r="AJ19" i="7"/>
  <c r="AL19" i="7"/>
  <c r="AN19" i="7"/>
  <c r="AO19" i="7"/>
  <c r="W20" i="7"/>
  <c r="X20" i="7"/>
  <c r="Y20" i="7"/>
  <c r="Z20" i="7"/>
  <c r="AA20" i="7"/>
  <c r="AB20" i="7"/>
  <c r="AD20" i="7"/>
  <c r="AF20" i="7"/>
  <c r="AH20" i="7"/>
  <c r="AJ20" i="7"/>
  <c r="AL20" i="7"/>
  <c r="AN20" i="7"/>
  <c r="AO20" i="7"/>
  <c r="W21" i="7"/>
  <c r="X21" i="7"/>
  <c r="Y21" i="7"/>
  <c r="Z21" i="7"/>
  <c r="AA21" i="7"/>
  <c r="AB21" i="7"/>
  <c r="AD21" i="7"/>
  <c r="AF21" i="7"/>
  <c r="AH21" i="7"/>
  <c r="AJ21" i="7"/>
  <c r="AL21" i="7"/>
  <c r="AN21" i="7"/>
  <c r="AO21" i="7"/>
  <c r="W22" i="7"/>
  <c r="X22" i="7"/>
  <c r="Y22" i="7"/>
  <c r="Z22" i="7"/>
  <c r="AA22" i="7"/>
  <c r="AB22" i="7"/>
  <c r="AD22" i="7"/>
  <c r="AF22" i="7"/>
  <c r="AH22" i="7"/>
  <c r="AJ22" i="7"/>
  <c r="AL22" i="7"/>
  <c r="AN22" i="7"/>
  <c r="AO22" i="7"/>
  <c r="W23" i="7"/>
  <c r="X23" i="7"/>
  <c r="Y23" i="7"/>
  <c r="Z23" i="7"/>
  <c r="AA23" i="7"/>
  <c r="AB23" i="7"/>
  <c r="AD23" i="7"/>
  <c r="AF23" i="7"/>
  <c r="AH23" i="7"/>
  <c r="AJ23" i="7"/>
  <c r="AL23" i="7"/>
  <c r="AN23" i="7"/>
  <c r="AO23" i="7"/>
  <c r="W24" i="7"/>
  <c r="X24" i="7"/>
  <c r="Y24" i="7"/>
  <c r="Z24" i="7"/>
  <c r="AA24" i="7"/>
  <c r="AB24" i="7"/>
  <c r="AD24" i="7"/>
  <c r="AF24" i="7"/>
  <c r="AH24" i="7"/>
  <c r="AJ24" i="7"/>
  <c r="AL24" i="7"/>
  <c r="AN24" i="7"/>
  <c r="AO24" i="7"/>
  <c r="W25" i="7"/>
  <c r="X25" i="7"/>
  <c r="Y25" i="7"/>
  <c r="Z25" i="7"/>
  <c r="AA25" i="7"/>
  <c r="AB25" i="7"/>
  <c r="AD25" i="7"/>
  <c r="AF25" i="7"/>
  <c r="AH25" i="7"/>
  <c r="AJ25" i="7"/>
  <c r="AL25" i="7"/>
  <c r="AN25" i="7"/>
  <c r="AO25" i="7"/>
  <c r="W26" i="7"/>
  <c r="X26" i="7"/>
  <c r="Y26" i="7"/>
  <c r="Z26" i="7"/>
  <c r="AA26" i="7"/>
  <c r="AB26" i="7"/>
  <c r="AD26" i="7"/>
  <c r="AF26" i="7"/>
  <c r="AH26" i="7"/>
  <c r="AJ26" i="7"/>
  <c r="AL26" i="7"/>
  <c r="AN26" i="7"/>
  <c r="AO26" i="7"/>
  <c r="W27" i="7"/>
  <c r="X27" i="7"/>
  <c r="Y27" i="7"/>
  <c r="Z27" i="7"/>
  <c r="AA27" i="7"/>
  <c r="AB27" i="7"/>
  <c r="AD27" i="7"/>
  <c r="AF27" i="7"/>
  <c r="AH27" i="7"/>
  <c r="AJ27" i="7"/>
  <c r="AL27" i="7"/>
  <c r="AN27" i="7"/>
  <c r="AO27" i="7"/>
  <c r="W28" i="7"/>
  <c r="X28" i="7"/>
  <c r="Y28" i="7"/>
  <c r="Z28" i="7"/>
  <c r="AA28" i="7"/>
  <c r="AB28" i="7"/>
  <c r="AD28" i="7"/>
  <c r="AF28" i="7"/>
  <c r="AH28" i="7"/>
  <c r="AJ28" i="7"/>
  <c r="AL28" i="7"/>
  <c r="AN28" i="7"/>
  <c r="AO28" i="7"/>
  <c r="W29" i="7"/>
  <c r="X29" i="7"/>
  <c r="Y29" i="7"/>
  <c r="Z29" i="7"/>
  <c r="AA29" i="7"/>
  <c r="AB29" i="7"/>
  <c r="AD29" i="7"/>
  <c r="AF29" i="7"/>
  <c r="AH29" i="7"/>
  <c r="AJ29" i="7"/>
  <c r="AL29" i="7"/>
  <c r="AN29" i="7"/>
  <c r="AO29" i="7"/>
  <c r="W30" i="7"/>
  <c r="X30" i="7"/>
  <c r="Y30" i="7"/>
  <c r="Z30" i="7"/>
  <c r="AA30" i="7"/>
  <c r="AB30" i="7"/>
  <c r="AD30" i="7"/>
  <c r="AF30" i="7"/>
  <c r="AH30" i="7"/>
  <c r="AJ30" i="7"/>
  <c r="AL30" i="7"/>
  <c r="AN30" i="7"/>
  <c r="AO30" i="7"/>
  <c r="W31" i="7"/>
  <c r="X31" i="7"/>
  <c r="Y31" i="7"/>
  <c r="Z31" i="7"/>
  <c r="AA31" i="7"/>
  <c r="AB31" i="7"/>
  <c r="AD31" i="7"/>
  <c r="AF31" i="7"/>
  <c r="AH31" i="7"/>
  <c r="AJ31" i="7"/>
  <c r="AL31" i="7"/>
  <c r="AN31" i="7"/>
  <c r="AO31" i="7"/>
  <c r="W32" i="7"/>
  <c r="X32" i="7"/>
  <c r="Y32" i="7"/>
  <c r="Z32" i="7"/>
  <c r="AA32" i="7"/>
  <c r="AB32" i="7"/>
  <c r="AD32" i="7"/>
  <c r="AF32" i="7"/>
  <c r="AH32" i="7"/>
  <c r="AJ32" i="7"/>
  <c r="AL32" i="7"/>
  <c r="AN32" i="7"/>
  <c r="AO32" i="7"/>
  <c r="W33" i="7"/>
  <c r="X33" i="7"/>
  <c r="Y33" i="7"/>
  <c r="Z33" i="7"/>
  <c r="AA33" i="7"/>
  <c r="AB33" i="7"/>
  <c r="AD33" i="7"/>
  <c r="AF33" i="7"/>
  <c r="AH33" i="7"/>
  <c r="AJ33" i="7"/>
  <c r="AL33" i="7"/>
  <c r="AN33" i="7"/>
  <c r="AO33" i="7"/>
  <c r="X2" i="7"/>
  <c r="Y2" i="7"/>
  <c r="Z2" i="7"/>
  <c r="AA2" i="7"/>
  <c r="AB2" i="7"/>
  <c r="AD2" i="7"/>
  <c r="AF2" i="7"/>
  <c r="AH2" i="7"/>
  <c r="AJ2" i="7"/>
  <c r="AL2" i="7"/>
  <c r="AN2" i="7"/>
  <c r="AO2" i="7"/>
  <c r="W2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  <c r="V2" i="7"/>
  <c r="AC7" i="6"/>
  <c r="AC6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2" i="6"/>
  <c r="X3" i="5"/>
  <c r="X4" i="5"/>
  <c r="X5" i="5"/>
  <c r="X6" i="5"/>
  <c r="X7" i="5"/>
  <c r="X2" i="5"/>
  <c r="W8" i="5"/>
  <c r="W7" i="5"/>
  <c r="W5" i="5"/>
  <c r="W6" i="5"/>
  <c r="W4" i="5"/>
  <c r="W3" i="5"/>
  <c r="W2" i="5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C155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C154" i="4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O39" i="3" s="1"/>
  <c r="AN39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V41" i="3"/>
  <c r="W41" i="3"/>
  <c r="X41" i="3"/>
  <c r="Y41" i="3"/>
  <c r="AO41" i="3" s="1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V42" i="3"/>
  <c r="AO42" i="3" s="1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V44" i="3"/>
  <c r="W44" i="3"/>
  <c r="X44" i="3"/>
  <c r="AO44" i="3" s="1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V45" i="3"/>
  <c r="W45" i="3"/>
  <c r="X45" i="3"/>
  <c r="Y45" i="3"/>
  <c r="Z45" i="3"/>
  <c r="AA45" i="3"/>
  <c r="AB45" i="3"/>
  <c r="AC45" i="3"/>
  <c r="AO45" i="3" s="1"/>
  <c r="AD45" i="3"/>
  <c r="AE45" i="3"/>
  <c r="AF45" i="3"/>
  <c r="AG45" i="3"/>
  <c r="AH45" i="3"/>
  <c r="AI45" i="3"/>
  <c r="AJ45" i="3"/>
  <c r="AK45" i="3"/>
  <c r="AL45" i="3"/>
  <c r="AM45" i="3"/>
  <c r="AN45" i="3"/>
  <c r="V46" i="3"/>
  <c r="W46" i="3"/>
  <c r="X46" i="3"/>
  <c r="Y46" i="3"/>
  <c r="Z46" i="3"/>
  <c r="AO46" i="3" s="1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V47" i="3"/>
  <c r="W47" i="3"/>
  <c r="X47" i="3"/>
  <c r="Y47" i="3"/>
  <c r="Z47" i="3"/>
  <c r="AA47" i="3"/>
  <c r="AB47" i="3"/>
  <c r="AO47" i="3" s="1"/>
  <c r="AC47" i="3"/>
  <c r="AD47" i="3"/>
  <c r="AE47" i="3"/>
  <c r="AF47" i="3"/>
  <c r="AG47" i="3"/>
  <c r="AH47" i="3"/>
  <c r="AI47" i="3"/>
  <c r="AJ47" i="3"/>
  <c r="AK47" i="3"/>
  <c r="AL47" i="3"/>
  <c r="AM47" i="3"/>
  <c r="AN47" i="3"/>
  <c r="V48" i="3"/>
  <c r="W48" i="3"/>
  <c r="X48" i="3"/>
  <c r="Y48" i="3"/>
  <c r="AO48" i="3" s="1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V50" i="3"/>
  <c r="W50" i="3"/>
  <c r="X50" i="3"/>
  <c r="Y50" i="3"/>
  <c r="Z50" i="3"/>
  <c r="AA50" i="3"/>
  <c r="AO50" i="3" s="1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V53" i="3"/>
  <c r="W53" i="3"/>
  <c r="X53" i="3"/>
  <c r="Y53" i="3"/>
  <c r="Z53" i="3"/>
  <c r="AO53" i="3" s="1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V54" i="3"/>
  <c r="W54" i="3"/>
  <c r="AO54" i="3" s="1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V55" i="3"/>
  <c r="W55" i="3"/>
  <c r="X55" i="3"/>
  <c r="Y55" i="3"/>
  <c r="Z55" i="3"/>
  <c r="AA55" i="3"/>
  <c r="AB55" i="3"/>
  <c r="AO55" i="3" s="1"/>
  <c r="AC55" i="3"/>
  <c r="AD55" i="3"/>
  <c r="AE55" i="3"/>
  <c r="AF55" i="3"/>
  <c r="AG55" i="3"/>
  <c r="AH55" i="3"/>
  <c r="AI55" i="3"/>
  <c r="AJ55" i="3"/>
  <c r="AK55" i="3"/>
  <c r="AL55" i="3"/>
  <c r="AM55" i="3"/>
  <c r="AN55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V57" i="3"/>
  <c r="AO57" i="3" s="1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V58" i="3"/>
  <c r="W58" i="3"/>
  <c r="X58" i="3"/>
  <c r="Y58" i="3"/>
  <c r="Z58" i="3"/>
  <c r="AA58" i="3"/>
  <c r="AO58" i="3" s="1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V7" i="3"/>
  <c r="W7" i="3"/>
  <c r="X7" i="3"/>
  <c r="AO7" i="3" s="1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V59" i="3"/>
  <c r="W59" i="3"/>
  <c r="X59" i="3"/>
  <c r="Y59" i="3"/>
  <c r="Z59" i="3"/>
  <c r="AA59" i="3"/>
  <c r="AB59" i="3"/>
  <c r="AC59" i="3"/>
  <c r="AO59" i="3" s="1"/>
  <c r="AD59" i="3"/>
  <c r="AE59" i="3"/>
  <c r="AF59" i="3"/>
  <c r="AG59" i="3"/>
  <c r="AH59" i="3"/>
  <c r="AI59" i="3"/>
  <c r="AJ59" i="3"/>
  <c r="AK59" i="3"/>
  <c r="AL59" i="3"/>
  <c r="AM59" i="3"/>
  <c r="AN59" i="3"/>
  <c r="V60" i="3"/>
  <c r="W60" i="3"/>
  <c r="X60" i="3"/>
  <c r="Y60" i="3"/>
  <c r="Z60" i="3"/>
  <c r="AO60" i="3" s="1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V61" i="3"/>
  <c r="W61" i="3"/>
  <c r="AO61" i="3" s="1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V62" i="3"/>
  <c r="W62" i="3"/>
  <c r="X62" i="3"/>
  <c r="Y62" i="3"/>
  <c r="Z62" i="3"/>
  <c r="AA62" i="3"/>
  <c r="AB62" i="3"/>
  <c r="AO62" i="3" s="1"/>
  <c r="AC62" i="3"/>
  <c r="AD62" i="3"/>
  <c r="AE62" i="3"/>
  <c r="AF62" i="3"/>
  <c r="AG62" i="3"/>
  <c r="AH62" i="3"/>
  <c r="AI62" i="3"/>
  <c r="AJ62" i="3"/>
  <c r="AK62" i="3"/>
  <c r="AL62" i="3"/>
  <c r="AM62" i="3"/>
  <c r="AN62" i="3"/>
  <c r="V63" i="3"/>
  <c r="W63" i="3"/>
  <c r="X63" i="3"/>
  <c r="Y63" i="3"/>
  <c r="AO63" i="3" s="1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V64" i="3"/>
  <c r="W64" i="3"/>
  <c r="X64" i="3"/>
  <c r="Y64" i="3"/>
  <c r="Z64" i="3"/>
  <c r="AA64" i="3"/>
  <c r="AO64" i="3" s="1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V66" i="3"/>
  <c r="W66" i="3"/>
  <c r="X66" i="3"/>
  <c r="Y66" i="3"/>
  <c r="Z66" i="3"/>
  <c r="AO66" i="3" s="1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V67" i="3"/>
  <c r="W67" i="3"/>
  <c r="AO67" i="3" s="1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V10" i="3"/>
  <c r="W10" i="3"/>
  <c r="X10" i="3"/>
  <c r="Y10" i="3"/>
  <c r="Z10" i="3"/>
  <c r="AA10" i="3"/>
  <c r="AB10" i="3"/>
  <c r="AO10" i="3" s="1"/>
  <c r="AC10" i="3"/>
  <c r="AD10" i="3"/>
  <c r="AE10" i="3"/>
  <c r="AF10" i="3"/>
  <c r="AG10" i="3"/>
  <c r="AH10" i="3"/>
  <c r="AI10" i="3"/>
  <c r="AJ10" i="3"/>
  <c r="AK10" i="3"/>
  <c r="AL10" i="3"/>
  <c r="AM10" i="3"/>
  <c r="AN10" i="3"/>
  <c r="V11" i="3"/>
  <c r="W11" i="3"/>
  <c r="X11" i="3"/>
  <c r="Y11" i="3"/>
  <c r="AO11" i="3" s="1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V12" i="3"/>
  <c r="AO12" i="3" s="1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V69" i="3"/>
  <c r="W69" i="3"/>
  <c r="X69" i="3"/>
  <c r="AO69" i="3" s="1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V70" i="3"/>
  <c r="W70" i="3"/>
  <c r="X70" i="3"/>
  <c r="Y70" i="3"/>
  <c r="Z70" i="3"/>
  <c r="AA70" i="3"/>
  <c r="AB70" i="3"/>
  <c r="AC70" i="3"/>
  <c r="AO70" i="3" s="1"/>
  <c r="AD70" i="3"/>
  <c r="AE70" i="3"/>
  <c r="AF70" i="3"/>
  <c r="AG70" i="3"/>
  <c r="AH70" i="3"/>
  <c r="AI70" i="3"/>
  <c r="AJ70" i="3"/>
  <c r="AK70" i="3"/>
  <c r="AL70" i="3"/>
  <c r="AM70" i="3"/>
  <c r="AN70" i="3"/>
  <c r="V71" i="3"/>
  <c r="W71" i="3"/>
  <c r="X71" i="3"/>
  <c r="Y71" i="3"/>
  <c r="Z71" i="3"/>
  <c r="AO71" i="3" s="1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V76" i="3"/>
  <c r="W76" i="3"/>
  <c r="X76" i="3"/>
  <c r="AO76" i="3" s="1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V78" i="3"/>
  <c r="W78" i="3"/>
  <c r="X78" i="3"/>
  <c r="Y78" i="3"/>
  <c r="Z78" i="3"/>
  <c r="AO78" i="3" s="1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V90" i="3"/>
  <c r="W90" i="3"/>
  <c r="X90" i="3"/>
  <c r="AO90" i="3" s="1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V92" i="3"/>
  <c r="W92" i="3"/>
  <c r="X92" i="3"/>
  <c r="Y92" i="3"/>
  <c r="Z92" i="3"/>
  <c r="AO92" i="3" s="1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V97" i="3"/>
  <c r="W97" i="3"/>
  <c r="X97" i="3"/>
  <c r="AO97" i="3" s="1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V99" i="3"/>
  <c r="W99" i="3"/>
  <c r="X99" i="3"/>
  <c r="Y99" i="3"/>
  <c r="Z99" i="3"/>
  <c r="AO99" i="3" s="1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V104" i="3"/>
  <c r="W104" i="3"/>
  <c r="X104" i="3"/>
  <c r="AO104" i="3" s="1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V106" i="3"/>
  <c r="W106" i="3"/>
  <c r="X106" i="3"/>
  <c r="Y106" i="3"/>
  <c r="Z106" i="3"/>
  <c r="AO106" i="3" s="1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V19" i="3"/>
  <c r="W19" i="3"/>
  <c r="X19" i="3"/>
  <c r="Y19" i="3"/>
  <c r="AO19" i="3" s="1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V114" i="3"/>
  <c r="W114" i="3"/>
  <c r="X114" i="3"/>
  <c r="AO114" i="3" s="1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V116" i="3"/>
  <c r="W116" i="3"/>
  <c r="X116" i="3"/>
  <c r="Y116" i="3"/>
  <c r="Z116" i="3"/>
  <c r="AO116" i="3" s="1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V23" i="3"/>
  <c r="AO23" i="3" s="1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V24" i="3"/>
  <c r="W24" i="3"/>
  <c r="X24" i="3"/>
  <c r="AO24" i="3" s="1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V28" i="3"/>
  <c r="W28" i="3"/>
  <c r="X28" i="3"/>
  <c r="AO28" i="3" s="1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V125" i="3"/>
  <c r="W125" i="3"/>
  <c r="X125" i="3"/>
  <c r="Y125" i="3"/>
  <c r="Z125" i="3"/>
  <c r="AO125" i="3" s="1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V31" i="3"/>
  <c r="W31" i="3"/>
  <c r="X31" i="3"/>
  <c r="Y31" i="3"/>
  <c r="AO31" i="3" s="1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V136" i="3"/>
  <c r="W136" i="3"/>
  <c r="X136" i="3"/>
  <c r="AO136" i="3" s="1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V137" i="3"/>
  <c r="W137" i="3"/>
  <c r="X137" i="3"/>
  <c r="Y137" i="3"/>
  <c r="Z137" i="3"/>
  <c r="AO137" i="3" s="1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V142" i="3"/>
  <c r="AO142" i="3" s="1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V34" i="3"/>
  <c r="W34" i="3"/>
  <c r="X34" i="3"/>
  <c r="AO34" i="3" s="1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V147" i="3"/>
  <c r="W147" i="3"/>
  <c r="X147" i="3"/>
  <c r="AO147" i="3" s="1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V149" i="3"/>
  <c r="W149" i="3"/>
  <c r="X149" i="3"/>
  <c r="AO149" i="3" s="1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W6" i="3"/>
  <c r="X6" i="3"/>
  <c r="Y6" i="3"/>
  <c r="Z6" i="3"/>
  <c r="AO6" i="3" s="1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V6" i="3"/>
  <c r="AO37" i="3"/>
  <c r="AO38" i="3"/>
  <c r="AO49" i="3"/>
  <c r="AO51" i="3"/>
  <c r="AO52" i="3"/>
  <c r="AO8" i="3"/>
  <c r="AO65" i="3"/>
  <c r="AO9" i="3"/>
  <c r="AO84" i="3"/>
  <c r="AO86" i="3"/>
  <c r="AO5" i="3"/>
  <c r="AO130" i="3"/>
  <c r="AA12" i="6"/>
  <c r="AB12" i="6"/>
  <c r="AB11" i="6"/>
  <c r="AA11" i="6"/>
  <c r="AO2" i="3" l="1"/>
  <c r="AO43" i="3"/>
  <c r="AO40" i="3"/>
  <c r="AO131" i="3"/>
  <c r="AO26" i="3"/>
  <c r="AO25" i="3"/>
  <c r="AO117" i="3"/>
  <c r="AO17" i="3"/>
  <c r="AO98" i="3"/>
  <c r="AO14" i="3"/>
  <c r="AO83" i="3"/>
  <c r="AO81" i="3"/>
  <c r="AO75" i="3"/>
  <c r="AO56" i="3"/>
  <c r="AO135" i="3"/>
  <c r="AO128" i="3"/>
  <c r="AO22" i="3"/>
  <c r="AO119" i="3"/>
  <c r="AO21" i="3"/>
  <c r="AO113" i="3"/>
  <c r="AO109" i="3"/>
  <c r="AO107" i="3"/>
  <c r="AO16" i="3"/>
  <c r="AO102" i="3"/>
  <c r="AO96" i="3"/>
  <c r="AO15" i="3"/>
  <c r="AO89" i="3"/>
  <c r="AO88" i="3"/>
  <c r="AO87" i="3"/>
  <c r="AO152" i="3"/>
  <c r="AO105" i="3"/>
  <c r="AO91" i="3"/>
  <c r="AO4" i="3"/>
  <c r="AO74" i="3"/>
  <c r="AO144" i="3"/>
  <c r="AO140" i="3"/>
  <c r="AO127" i="3"/>
  <c r="AO27" i="3"/>
  <c r="AO141" i="3"/>
  <c r="AO138" i="3"/>
  <c r="AO134" i="3"/>
  <c r="AO121" i="3"/>
  <c r="AO115" i="3"/>
  <c r="AO20" i="3"/>
  <c r="AO111" i="3"/>
  <c r="AO82" i="3"/>
  <c r="AO79" i="3"/>
  <c r="AO73" i="3"/>
  <c r="AO72" i="3"/>
  <c r="AO68" i="3"/>
  <c r="AO151" i="3"/>
  <c r="AO133" i="3"/>
  <c r="AO123" i="3"/>
  <c r="AO36" i="3"/>
  <c r="AO145" i="3"/>
  <c r="AO143" i="3"/>
  <c r="AO30" i="3"/>
  <c r="AO95" i="3"/>
  <c r="AO93" i="3"/>
  <c r="AO85" i="3"/>
  <c r="AO80" i="3"/>
  <c r="AO77" i="3"/>
  <c r="AO13" i="3"/>
  <c r="AO153" i="3"/>
  <c r="AO146" i="3"/>
  <c r="AO3" i="3"/>
  <c r="AO126" i="3"/>
  <c r="AO120" i="3"/>
  <c r="AO110" i="3"/>
  <c r="AO108" i="3"/>
  <c r="AO103" i="3"/>
  <c r="AO100" i="3"/>
  <c r="AO150" i="3"/>
  <c r="AO148" i="3"/>
  <c r="AO35" i="3"/>
  <c r="AO33" i="3"/>
  <c r="AO139" i="3"/>
  <c r="AO32" i="3"/>
  <c r="AO132" i="3"/>
  <c r="AO129" i="3"/>
  <c r="AO29" i="3"/>
  <c r="AO124" i="3"/>
  <c r="AO122" i="3"/>
  <c r="AO118" i="3"/>
  <c r="AO112" i="3"/>
  <c r="AO18" i="3"/>
  <c r="AO101" i="3"/>
  <c r="AO9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4FA4B-9E9F-4D84-B76F-4DC792EF4D70}" keepAlive="1" name="Zapytanie — matura" description="Połączenie z zapytaniem „matura” w skoroszycie." type="5" refreshedVersion="0" background="1">
    <dbPr connection="Provider=Microsoft.Mashup.OleDb.1;Data Source=$Workbook$;Location=matura;Extended Properties=&quot;&quot;" command="SELECT * FROM [matura]"/>
  </connection>
</connections>
</file>

<file path=xl/sharedStrings.xml><?xml version="1.0" encoding="utf-8"?>
<sst xmlns="http://schemas.openxmlformats.org/spreadsheetml/2006/main" count="14883" uniqueCount="130">
  <si>
    <t>KLASA</t>
  </si>
  <si>
    <t>PESEL</t>
  </si>
  <si>
    <t>Biologia-R</t>
  </si>
  <si>
    <t>Chemia-R</t>
  </si>
  <si>
    <t>Fizyka-R</t>
  </si>
  <si>
    <t>Geografia-R</t>
  </si>
  <si>
    <t>Historia-R</t>
  </si>
  <si>
    <t>Informatyka-R</t>
  </si>
  <si>
    <t>Angielski-P</t>
  </si>
  <si>
    <t>Angielski-R</t>
  </si>
  <si>
    <t>Francuski-P</t>
  </si>
  <si>
    <t>Francuski-R</t>
  </si>
  <si>
    <t>Hiszpański-P</t>
  </si>
  <si>
    <t>Hiszpański-R</t>
  </si>
  <si>
    <t>Niemiecki-P</t>
  </si>
  <si>
    <t>Niemiecki-R</t>
  </si>
  <si>
    <t>Matematyka-P</t>
  </si>
  <si>
    <t>Matematyka-R</t>
  </si>
  <si>
    <t>Polski-P</t>
  </si>
  <si>
    <t>Polski-R</t>
  </si>
  <si>
    <t>WOS-R</t>
  </si>
  <si>
    <t>A</t>
  </si>
  <si>
    <t>52.00</t>
  </si>
  <si>
    <t/>
  </si>
  <si>
    <t>100.00</t>
  </si>
  <si>
    <t>91.00</t>
  </si>
  <si>
    <t>88.00</t>
  </si>
  <si>
    <t>80.00</t>
  </si>
  <si>
    <t>67.00</t>
  </si>
  <si>
    <t>33.00</t>
  </si>
  <si>
    <t>73.00</t>
  </si>
  <si>
    <t>56.00</t>
  </si>
  <si>
    <t>40.00</t>
  </si>
  <si>
    <t>70.00</t>
  </si>
  <si>
    <t>58.00</t>
  </si>
  <si>
    <t>92.00</t>
  </si>
  <si>
    <t>60.00</t>
  </si>
  <si>
    <t>61.00</t>
  </si>
  <si>
    <t>90.00</t>
  </si>
  <si>
    <t>78.00</t>
  </si>
  <si>
    <t>98.00</t>
  </si>
  <si>
    <t>68.00</t>
  </si>
  <si>
    <t>62.00</t>
  </si>
  <si>
    <t>87.00</t>
  </si>
  <si>
    <t>51.00</t>
  </si>
  <si>
    <t>65.00</t>
  </si>
  <si>
    <t>75.00</t>
  </si>
  <si>
    <t>48.00</t>
  </si>
  <si>
    <t>96.00</t>
  </si>
  <si>
    <t>94.00</t>
  </si>
  <si>
    <t>34.00</t>
  </si>
  <si>
    <t>74.00</t>
  </si>
  <si>
    <t>77.00</t>
  </si>
  <si>
    <t>85.00</t>
  </si>
  <si>
    <t>93.00</t>
  </si>
  <si>
    <t>84.00</t>
  </si>
  <si>
    <t>86.00</t>
  </si>
  <si>
    <t>57.00</t>
  </si>
  <si>
    <t>47.00</t>
  </si>
  <si>
    <t>43.00</t>
  </si>
  <si>
    <t>89.00</t>
  </si>
  <si>
    <t>76.00</t>
  </si>
  <si>
    <t>95.00</t>
  </si>
  <si>
    <t>79.00</t>
  </si>
  <si>
    <t>59.00</t>
  </si>
  <si>
    <t>83.00</t>
  </si>
  <si>
    <t>99.00</t>
  </si>
  <si>
    <t>54.00</t>
  </si>
  <si>
    <t>55.00</t>
  </si>
  <si>
    <t>45.00</t>
  </si>
  <si>
    <t>64.00</t>
  </si>
  <si>
    <t>72.00</t>
  </si>
  <si>
    <t>50.00</t>
  </si>
  <si>
    <t>30.00</t>
  </si>
  <si>
    <t>82.00</t>
  </si>
  <si>
    <t>63.00</t>
  </si>
  <si>
    <t>66.00</t>
  </si>
  <si>
    <t>B</t>
  </si>
  <si>
    <t>46.00</t>
  </si>
  <si>
    <t>44.00</t>
  </si>
  <si>
    <t>81.00</t>
  </si>
  <si>
    <t>36.00</t>
  </si>
  <si>
    <t>53.00</t>
  </si>
  <si>
    <t>69.00</t>
  </si>
  <si>
    <t>38.00</t>
  </si>
  <si>
    <t>41.00</t>
  </si>
  <si>
    <t>97.00</t>
  </si>
  <si>
    <t>35.00</t>
  </si>
  <si>
    <t>32.00</t>
  </si>
  <si>
    <t>42.00</t>
  </si>
  <si>
    <t>24.00</t>
  </si>
  <si>
    <t>17.00</t>
  </si>
  <si>
    <t>C</t>
  </si>
  <si>
    <t>49.00</t>
  </si>
  <si>
    <t>71.00</t>
  </si>
  <si>
    <t>14.00</t>
  </si>
  <si>
    <t>E</t>
  </si>
  <si>
    <t>25.00</t>
  </si>
  <si>
    <t>37.00</t>
  </si>
  <si>
    <t>28.00</t>
  </si>
  <si>
    <t>H</t>
  </si>
  <si>
    <t>16.00</t>
  </si>
  <si>
    <t>18.00</t>
  </si>
  <si>
    <t>12.00</t>
  </si>
  <si>
    <t>liczba przedmiotow ze 100</t>
  </si>
  <si>
    <t>liczba zdajacych</t>
  </si>
  <si>
    <t>sredni wynik</t>
  </si>
  <si>
    <t>przedmiot</t>
  </si>
  <si>
    <t>&lt;51,75&gt;</t>
  </si>
  <si>
    <t>&lt;31,50&gt;</t>
  </si>
  <si>
    <t>&lt;0,30&gt;</t>
  </si>
  <si>
    <t>&lt;76,90&gt;</t>
  </si>
  <si>
    <t>&lt;91,99&gt;</t>
  </si>
  <si>
    <t>&lt;100&gt;</t>
  </si>
  <si>
    <t>przedzial punktowy</t>
  </si>
  <si>
    <t>liczba osob</t>
  </si>
  <si>
    <t>% osob</t>
  </si>
  <si>
    <t>plec</t>
  </si>
  <si>
    <t>Etykiety wierszy</t>
  </si>
  <si>
    <t>Suma końcowa</t>
  </si>
  <si>
    <t>Suma z Polski-P</t>
  </si>
  <si>
    <t>Suma z Matematyka-P</t>
  </si>
  <si>
    <t>mezczyzni</t>
  </si>
  <si>
    <t>kobiety</t>
  </si>
  <si>
    <t>srednia Polski P</t>
  </si>
  <si>
    <t>srednia Matematyka P</t>
  </si>
  <si>
    <t>Etykiety kolumn</t>
  </si>
  <si>
    <t>klasa</t>
  </si>
  <si>
    <t>czy &gt;2 przedmioty r.</t>
  </si>
  <si>
    <t>Suma z czy &gt;2 przedmioty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</si>
</sst>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3" borderId="7" xfId="0" applyFill="1" applyBorder="1"/>
    <xf numFmtId="0" fontId="0" fillId="3" borderId="4" xfId="0" applyNumberFormat="1" applyFill="1" applyBorder="1"/>
    <xf numFmtId="0" fontId="0" fillId="3" borderId="5" xfId="0" applyNumberFormat="1" applyFill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2" xfId="0" applyNumberFormat="1" applyBorder="1"/>
    <xf numFmtId="0" fontId="0" fillId="0" borderId="6" xfId="0" applyNumberFormat="1" applyBorder="1"/>
    <xf numFmtId="0" fontId="0" fillId="0" borderId="0" xfId="0" applyNumberFormat="1"/>
    <xf numFmtId="43" fontId="0" fillId="3" borderId="4" xfId="1" applyFont="1" applyFill="1" applyBorder="1"/>
    <xf numFmtId="0" fontId="0" fillId="0" borderId="7" xfId="0" applyFill="1" applyBorder="1"/>
    <xf numFmtId="43" fontId="0" fillId="0" borderId="0" xfId="0" applyNumberFormat="1"/>
    <xf numFmtId="0" fontId="1" fillId="2" borderId="0" xfId="0" applyFont="1" applyFill="1" applyBorder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</a:t>
            </a:r>
            <a:r>
              <a:rPr lang="pl-PL" baseline="0"/>
              <a:t> i liczba zdających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'5.2'!$V$2</c:f>
              <c:strCache>
                <c:ptCount val="1"/>
                <c:pt idx="0">
                  <c:v>liczba zdajacych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'5.2'!$W$1:$AO$1</c:f>
              <c:strCache>
                <c:ptCount val="19"/>
                <c:pt idx="0">
                  <c:v>Biologia-R</c:v>
                </c:pt>
                <c:pt idx="1">
                  <c:v>Chemia-R</c:v>
                </c:pt>
                <c:pt idx="2">
                  <c:v>Fizyka-R</c:v>
                </c:pt>
                <c:pt idx="3">
                  <c:v>Geografia-R</c:v>
                </c:pt>
                <c:pt idx="4">
                  <c:v>Historia-R</c:v>
                </c:pt>
                <c:pt idx="5">
                  <c:v>Informatyka-R</c:v>
                </c:pt>
                <c:pt idx="6">
                  <c:v>Angielski-P</c:v>
                </c:pt>
                <c:pt idx="7">
                  <c:v>Angielski-R</c:v>
                </c:pt>
                <c:pt idx="8">
                  <c:v>Francuski-P</c:v>
                </c:pt>
                <c:pt idx="9">
                  <c:v>Francuski-R</c:v>
                </c:pt>
                <c:pt idx="10">
                  <c:v>Hiszpański-P</c:v>
                </c:pt>
                <c:pt idx="11">
                  <c:v>Hiszpański-R</c:v>
                </c:pt>
                <c:pt idx="12">
                  <c:v>Niemiecki-P</c:v>
                </c:pt>
                <c:pt idx="13">
                  <c:v>Niemiecki-R</c:v>
                </c:pt>
                <c:pt idx="14">
                  <c:v>Matematyka-P</c:v>
                </c:pt>
                <c:pt idx="15">
                  <c:v>Matematyka-R</c:v>
                </c:pt>
                <c:pt idx="16">
                  <c:v>Polski-P</c:v>
                </c:pt>
                <c:pt idx="17">
                  <c:v>Polski-R</c:v>
                </c:pt>
                <c:pt idx="18">
                  <c:v>WOS-R</c:v>
                </c:pt>
              </c:strCache>
            </c:strRef>
          </c:cat>
          <c:val>
            <c:numRef>
              <c:f>'5.2'!$W$2:$AO$2</c:f>
              <c:numCache>
                <c:formatCode>General</c:formatCode>
                <c:ptCount val="19"/>
                <c:pt idx="0">
                  <c:v>40</c:v>
                </c:pt>
                <c:pt idx="1">
                  <c:v>33</c:v>
                </c:pt>
                <c:pt idx="2">
                  <c:v>27</c:v>
                </c:pt>
                <c:pt idx="3">
                  <c:v>32</c:v>
                </c:pt>
                <c:pt idx="4">
                  <c:v>20</c:v>
                </c:pt>
                <c:pt idx="5">
                  <c:v>5</c:v>
                </c:pt>
                <c:pt idx="6">
                  <c:v>146</c:v>
                </c:pt>
                <c:pt idx="7">
                  <c:v>101</c:v>
                </c:pt>
                <c:pt idx="8">
                  <c:v>5</c:v>
                </c:pt>
                <c:pt idx="9">
                  <c:v>2</c:v>
                </c:pt>
                <c:pt idx="10">
                  <c:v>19</c:v>
                </c:pt>
                <c:pt idx="11">
                  <c:v>20</c:v>
                </c:pt>
                <c:pt idx="12">
                  <c:v>5</c:v>
                </c:pt>
                <c:pt idx="13">
                  <c:v>2</c:v>
                </c:pt>
                <c:pt idx="14">
                  <c:v>152</c:v>
                </c:pt>
                <c:pt idx="15">
                  <c:v>61</c:v>
                </c:pt>
                <c:pt idx="16">
                  <c:v>152</c:v>
                </c:pt>
                <c:pt idx="17">
                  <c:v>53</c:v>
                </c:pt>
                <c:pt idx="1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E-4797-AAE1-99B40922FCE1}"/>
            </c:ext>
          </c:extLst>
        </c:ser>
        <c:ser>
          <c:idx val="1"/>
          <c:order val="1"/>
          <c:tx>
            <c:strRef>
              <c:f>'5.2'!$V$3</c:f>
              <c:strCache>
                <c:ptCount val="1"/>
                <c:pt idx="0">
                  <c:v>sredni wynik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'5.2'!$W$1:$AO$1</c:f>
              <c:strCache>
                <c:ptCount val="19"/>
                <c:pt idx="0">
                  <c:v>Biologia-R</c:v>
                </c:pt>
                <c:pt idx="1">
                  <c:v>Chemia-R</c:v>
                </c:pt>
                <c:pt idx="2">
                  <c:v>Fizyka-R</c:v>
                </c:pt>
                <c:pt idx="3">
                  <c:v>Geografia-R</c:v>
                </c:pt>
                <c:pt idx="4">
                  <c:v>Historia-R</c:v>
                </c:pt>
                <c:pt idx="5">
                  <c:v>Informatyka-R</c:v>
                </c:pt>
                <c:pt idx="6">
                  <c:v>Angielski-P</c:v>
                </c:pt>
                <c:pt idx="7">
                  <c:v>Angielski-R</c:v>
                </c:pt>
                <c:pt idx="8">
                  <c:v>Francuski-P</c:v>
                </c:pt>
                <c:pt idx="9">
                  <c:v>Francuski-R</c:v>
                </c:pt>
                <c:pt idx="10">
                  <c:v>Hiszpański-P</c:v>
                </c:pt>
                <c:pt idx="11">
                  <c:v>Hiszpański-R</c:v>
                </c:pt>
                <c:pt idx="12">
                  <c:v>Niemiecki-P</c:v>
                </c:pt>
                <c:pt idx="13">
                  <c:v>Niemiecki-R</c:v>
                </c:pt>
                <c:pt idx="14">
                  <c:v>Matematyka-P</c:v>
                </c:pt>
                <c:pt idx="15">
                  <c:v>Matematyka-R</c:v>
                </c:pt>
                <c:pt idx="16">
                  <c:v>Polski-P</c:v>
                </c:pt>
                <c:pt idx="17">
                  <c:v>Polski-R</c:v>
                </c:pt>
                <c:pt idx="18">
                  <c:v>WOS-R</c:v>
                </c:pt>
              </c:strCache>
            </c:strRef>
          </c:cat>
          <c:val>
            <c:numRef>
              <c:f>'5.2'!$W$3:$AO$3</c:f>
              <c:numCache>
                <c:formatCode>_(* #,##0.00_);_(* \(#,##0.00\);_(* "-"??_);_(@_)</c:formatCode>
                <c:ptCount val="19"/>
                <c:pt idx="0">
                  <c:v>66.599999999999994</c:v>
                </c:pt>
                <c:pt idx="1">
                  <c:v>59.545454545454547</c:v>
                </c:pt>
                <c:pt idx="2">
                  <c:v>63.25925925925926</c:v>
                </c:pt>
                <c:pt idx="3">
                  <c:v>65.5625</c:v>
                </c:pt>
                <c:pt idx="4">
                  <c:v>77.8</c:v>
                </c:pt>
                <c:pt idx="5">
                  <c:v>77.2</c:v>
                </c:pt>
                <c:pt idx="6">
                  <c:v>92.705479452054789</c:v>
                </c:pt>
                <c:pt idx="7">
                  <c:v>77.643564356435647</c:v>
                </c:pt>
                <c:pt idx="8">
                  <c:v>79.400000000000006</c:v>
                </c:pt>
                <c:pt idx="9">
                  <c:v>80.5</c:v>
                </c:pt>
                <c:pt idx="10">
                  <c:v>89.89473684210526</c:v>
                </c:pt>
                <c:pt idx="11">
                  <c:v>70.2</c:v>
                </c:pt>
                <c:pt idx="12">
                  <c:v>98.4</c:v>
                </c:pt>
                <c:pt idx="13">
                  <c:v>79.5</c:v>
                </c:pt>
                <c:pt idx="14">
                  <c:v>73.78947368421052</c:v>
                </c:pt>
                <c:pt idx="15">
                  <c:v>59.442622950819676</c:v>
                </c:pt>
                <c:pt idx="16">
                  <c:v>61.907894736842103</c:v>
                </c:pt>
                <c:pt idx="17">
                  <c:v>67.547169811320757</c:v>
                </c:pt>
                <c:pt idx="18">
                  <c:v>56.315789473684212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EE-4797-AAE1-99B40922F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59864"/>
        <c:axId val="579662384"/>
      </c:barChart>
      <c:catAx>
        <c:axId val="579659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Przedmiot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9662384"/>
        <c:crosses val="autoZero"/>
        <c:auto val="1"/>
        <c:lblAlgn val="ctr"/>
        <c:lblOffset val="100"/>
        <c:noMultiLvlLbl val="0"/>
      </c:catAx>
      <c:valAx>
        <c:axId val="57966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965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Przedziały punktowe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'5.3'!$W$1</c:f>
              <c:strCache>
                <c:ptCount val="1"/>
                <c:pt idx="0">
                  <c:v>liczba osob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'5.3'!$V$2:$V$7</c:f>
              <c:strCache>
                <c:ptCount val="6"/>
                <c:pt idx="0">
                  <c:v>&lt;0,30&gt;</c:v>
                </c:pt>
                <c:pt idx="1">
                  <c:v>&lt;31,50&gt;</c:v>
                </c:pt>
                <c:pt idx="2">
                  <c:v>&lt;51,75&gt;</c:v>
                </c:pt>
                <c:pt idx="3">
                  <c:v>&lt;76,90&gt;</c:v>
                </c:pt>
                <c:pt idx="4">
                  <c:v>&lt;91,99&gt;</c:v>
                </c:pt>
                <c:pt idx="5">
                  <c:v>&lt;100&gt;</c:v>
                </c:pt>
              </c:strCache>
            </c:strRef>
          </c:cat>
          <c:val>
            <c:numRef>
              <c:f>'5.3'!$W$2:$W$7</c:f>
              <c:numCache>
                <c:formatCode>General</c:formatCode>
                <c:ptCount val="6"/>
                <c:pt idx="0">
                  <c:v>0</c:v>
                </c:pt>
                <c:pt idx="1">
                  <c:v>17</c:v>
                </c:pt>
                <c:pt idx="2">
                  <c:v>59</c:v>
                </c:pt>
                <c:pt idx="3">
                  <c:v>42</c:v>
                </c:pt>
                <c:pt idx="4">
                  <c:v>27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4-4211-A6D9-45FCCAE6B054}"/>
            </c:ext>
          </c:extLst>
        </c:ser>
        <c:ser>
          <c:idx val="1"/>
          <c:order val="1"/>
          <c:tx>
            <c:strRef>
              <c:f>'5.3'!$X$1</c:f>
              <c:strCache>
                <c:ptCount val="1"/>
                <c:pt idx="0">
                  <c:v>% osob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'5.3'!$V$2:$V$7</c:f>
              <c:strCache>
                <c:ptCount val="6"/>
                <c:pt idx="0">
                  <c:v>&lt;0,30&gt;</c:v>
                </c:pt>
                <c:pt idx="1">
                  <c:v>&lt;31,50&gt;</c:v>
                </c:pt>
                <c:pt idx="2">
                  <c:v>&lt;51,75&gt;</c:v>
                </c:pt>
                <c:pt idx="3">
                  <c:v>&lt;76,90&gt;</c:v>
                </c:pt>
                <c:pt idx="4">
                  <c:v>&lt;91,99&gt;</c:v>
                </c:pt>
                <c:pt idx="5">
                  <c:v>&lt;100&gt;</c:v>
                </c:pt>
              </c:strCache>
            </c:strRef>
          </c:cat>
          <c:val>
            <c:numRef>
              <c:f>'5.3'!$X$2:$X$7</c:f>
              <c:numCache>
                <c:formatCode>0.00%</c:formatCode>
                <c:ptCount val="6"/>
                <c:pt idx="0">
                  <c:v>0</c:v>
                </c:pt>
                <c:pt idx="1">
                  <c:v>0.1118421052631579</c:v>
                </c:pt>
                <c:pt idx="2">
                  <c:v>0.38815789473684209</c:v>
                </c:pt>
                <c:pt idx="3">
                  <c:v>0.27631578947368424</c:v>
                </c:pt>
                <c:pt idx="4">
                  <c:v>0.17763157894736842</c:v>
                </c:pt>
                <c:pt idx="5">
                  <c:v>4.6052631578947366E-2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4-4211-A6D9-45FCCAE6B05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661357</xdr:colOff>
      <xdr:row>5</xdr:row>
      <xdr:rowOff>83868</xdr:rowOff>
    </xdr:from>
    <xdr:to>
      <xdr:col>33</xdr:col>
      <xdr:colOff>443301</xdr:colOff>
      <xdr:row>26</xdr:row>
      <xdr:rowOff>179477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3700DA8-A34A-A0E2-44C3-1D2DF59D0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352893</xdr:colOff>
      <xdr:row>10</xdr:row>
      <xdr:rowOff>137826</xdr:rowOff>
    </xdr:from>
    <xdr:to>
      <xdr:col>26</xdr:col>
      <xdr:colOff>542352</xdr:colOff>
      <xdr:row>25</xdr:row>
      <xdr:rowOff>70370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BE8FB83-A60B-48A3-4BB7-F3F2E06C4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91.710623263891" createdVersion="8" refreshedVersion="8" minRefreshableVersion="3" recordCount="152" xr:uid="{544F1B6B-E6E4-408B-9FED-1E899C7EEF1A}">
  <cacheSource type="worksheet">
    <worksheetSource ref="A1:V153" sheet="5.4"/>
  </cacheSource>
  <cacheFields count="22">
    <cacheField name="KLASA" numFmtId="0">
      <sharedItems/>
    </cacheField>
    <cacheField name="PESEL" numFmtId="0">
      <sharedItems containsSemiMixedTypes="0" containsString="0" containsNumber="1" containsInteger="1" minValue="94011110436" maxValue="96011200502"/>
    </cacheField>
    <cacheField name="Biologia-R" numFmtId="0">
      <sharedItems containsMixedTypes="1" containsNumber="1" containsInteger="1" minValue="18" maxValue="95"/>
    </cacheField>
    <cacheField name="Chemia-R" numFmtId="0">
      <sharedItems containsMixedTypes="1" containsNumber="1" containsInteger="1" minValue="12" maxValue="93"/>
    </cacheField>
    <cacheField name="Fizyka-R" numFmtId="0">
      <sharedItems containsMixedTypes="1" containsNumber="1" containsInteger="1" minValue="32" maxValue="92"/>
    </cacheField>
    <cacheField name="Geografia-R" numFmtId="0">
      <sharedItems containsMixedTypes="1" containsNumber="1" containsInteger="1" minValue="38" maxValue="93"/>
    </cacheField>
    <cacheField name="Historia-R" numFmtId="0">
      <sharedItems containsMixedTypes="1" containsNumber="1" containsInteger="1" minValue="24" maxValue="96"/>
    </cacheField>
    <cacheField name="Informatyka-R" numFmtId="0">
      <sharedItems containsMixedTypes="1" containsNumber="1" containsInteger="1" minValue="52" maxValue="98"/>
    </cacheField>
    <cacheField name="Angielski-P" numFmtId="0">
      <sharedItems containsMixedTypes="1" containsNumber="1" containsInteger="1" minValue="51" maxValue="100"/>
    </cacheField>
    <cacheField name="Angielski-R" numFmtId="0">
      <sharedItems containsMixedTypes="1" containsNumber="1" containsInteger="1" minValue="28" maxValue="100"/>
    </cacheField>
    <cacheField name="Francuski-P" numFmtId="0">
      <sharedItems containsMixedTypes="1" containsNumber="1" containsInteger="1" minValue="68" maxValue="99"/>
    </cacheField>
    <cacheField name="Francuski-R" numFmtId="0">
      <sharedItems containsMixedTypes="1" containsNumber="1" containsInteger="1" minValue="73" maxValue="88"/>
    </cacheField>
    <cacheField name="Hiszpański-P" numFmtId="0">
      <sharedItems containsMixedTypes="1" containsNumber="1" containsInteger="1" minValue="51" maxValue="100"/>
    </cacheField>
    <cacheField name="Hiszpański-R" numFmtId="0">
      <sharedItems containsMixedTypes="1" containsNumber="1" containsInteger="1" minValue="45" maxValue="96"/>
    </cacheField>
    <cacheField name="Niemiecki-P" numFmtId="0">
      <sharedItems containsMixedTypes="1" containsNumber="1" containsInteger="1" minValue="96" maxValue="100"/>
    </cacheField>
    <cacheField name="Niemiecki-R" numFmtId="0">
      <sharedItems containsMixedTypes="1" containsNumber="1" containsInteger="1" minValue="69" maxValue="90"/>
    </cacheField>
    <cacheField name="Matematyka-P" numFmtId="0">
      <sharedItems containsSemiMixedTypes="0" containsString="0" containsNumber="1" containsInteger="1" minValue="32" maxValue="100"/>
    </cacheField>
    <cacheField name="Matematyka-R" numFmtId="0">
      <sharedItems containsMixedTypes="1" containsNumber="1" containsInteger="1" minValue="14" maxValue="94"/>
    </cacheField>
    <cacheField name="Polski-P" numFmtId="0">
      <sharedItems containsSemiMixedTypes="0" containsString="0" containsNumber="1" containsInteger="1" minValue="30" maxValue="91"/>
    </cacheField>
    <cacheField name="Polski-R" numFmtId="0">
      <sharedItems containsMixedTypes="1" containsNumber="1" containsInteger="1" minValue="25" maxValue="100"/>
    </cacheField>
    <cacheField name="WOS-R" numFmtId="0">
      <sharedItems containsMixedTypes="1" containsNumber="1" containsInteger="1" minValue="16" maxValue="100"/>
    </cacheField>
    <cacheField name="plec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91.733854629631" createdVersion="8" refreshedVersion="8" minRefreshableVersion="3" recordCount="152" xr:uid="{377D522D-BA4F-4358-A0EB-4DB83F040A80}">
  <cacheSource type="worksheet">
    <worksheetSource ref="A1:AP153" sheet="5.5"/>
  </cacheSource>
  <cacheFields count="42">
    <cacheField name="KLASA" numFmtId="0">
      <sharedItems count="5">
        <s v="A"/>
        <s v="B"/>
        <s v="C"/>
        <s v="E"/>
        <s v="H"/>
      </sharedItems>
    </cacheField>
    <cacheField name="PESEL" numFmtId="0">
      <sharedItems containsSemiMixedTypes="0" containsString="0" containsNumber="1" containsInteger="1" minValue="94011110436" maxValue="96011200502"/>
    </cacheField>
    <cacheField name="Biologia-R" numFmtId="0">
      <sharedItems containsMixedTypes="1" containsNumber="1" containsInteger="1" minValue="18" maxValue="95"/>
    </cacheField>
    <cacheField name="Chemia-R" numFmtId="0">
      <sharedItems containsMixedTypes="1" containsNumber="1" containsInteger="1" minValue="12" maxValue="93"/>
    </cacheField>
    <cacheField name="Fizyka-R" numFmtId="0">
      <sharedItems containsMixedTypes="1" containsNumber="1" containsInteger="1" minValue="32" maxValue="92"/>
    </cacheField>
    <cacheField name="Geografia-R" numFmtId="0">
      <sharedItems containsMixedTypes="1" containsNumber="1" containsInteger="1" minValue="38" maxValue="93"/>
    </cacheField>
    <cacheField name="Historia-R" numFmtId="0">
      <sharedItems containsMixedTypes="1" containsNumber="1" containsInteger="1" minValue="24" maxValue="96"/>
    </cacheField>
    <cacheField name="Informatyka-R" numFmtId="0">
      <sharedItems containsMixedTypes="1" containsNumber="1" containsInteger="1" minValue="52" maxValue="98"/>
    </cacheField>
    <cacheField name="Angielski-P" numFmtId="0">
      <sharedItems containsMixedTypes="1" containsNumber="1" containsInteger="1" minValue="51" maxValue="100"/>
    </cacheField>
    <cacheField name="Angielski-R" numFmtId="0">
      <sharedItems containsMixedTypes="1" containsNumber="1" containsInteger="1" minValue="28" maxValue="100"/>
    </cacheField>
    <cacheField name="Francuski-P" numFmtId="0">
      <sharedItems containsMixedTypes="1" containsNumber="1" containsInteger="1" minValue="68" maxValue="99"/>
    </cacheField>
    <cacheField name="Francuski-R" numFmtId="0">
      <sharedItems containsMixedTypes="1" containsNumber="1" containsInteger="1" minValue="73" maxValue="88"/>
    </cacheField>
    <cacheField name="Hiszpański-P" numFmtId="0">
      <sharedItems containsMixedTypes="1" containsNumber="1" containsInteger="1" minValue="51" maxValue="100"/>
    </cacheField>
    <cacheField name="Hiszpański-R" numFmtId="0">
      <sharedItems containsMixedTypes="1" containsNumber="1" containsInteger="1" minValue="45" maxValue="96"/>
    </cacheField>
    <cacheField name="Niemiecki-P" numFmtId="0">
      <sharedItems containsMixedTypes="1" containsNumber="1" containsInteger="1" minValue="96" maxValue="100"/>
    </cacheField>
    <cacheField name="Niemiecki-R" numFmtId="0">
      <sharedItems containsMixedTypes="1" containsNumber="1" containsInteger="1" minValue="69" maxValue="90"/>
    </cacheField>
    <cacheField name="Matematyka-P" numFmtId="0">
      <sharedItems containsSemiMixedTypes="0" containsString="0" containsNumber="1" containsInteger="1" minValue="32" maxValue="100"/>
    </cacheField>
    <cacheField name="Matematyka-R" numFmtId="0">
      <sharedItems containsMixedTypes="1" containsNumber="1" containsInteger="1" minValue="14" maxValue="94"/>
    </cacheField>
    <cacheField name="Polski-P" numFmtId="0">
      <sharedItems containsSemiMixedTypes="0" containsString="0" containsNumber="1" containsInteger="1" minValue="30" maxValue="91"/>
    </cacheField>
    <cacheField name="Polski-R" numFmtId="0">
      <sharedItems containsMixedTypes="1" containsNumber="1" containsInteger="1" minValue="25" maxValue="100"/>
    </cacheField>
    <cacheField name="WOS-R" numFmtId="0">
      <sharedItems containsMixedTypes="1" containsNumber="1" containsInteger="1" minValue="16" maxValue="100"/>
    </cacheField>
    <cacheField name="plec" numFmtId="0">
      <sharedItems containsSemiMixedTypes="0" containsString="0" containsNumber="1" containsInteger="1" minValue="0" maxValue="1" count="2">
        <n v="1"/>
        <n v="0"/>
      </sharedItems>
    </cacheField>
    <cacheField name="Biologia-R2" numFmtId="0">
      <sharedItems containsSemiMixedTypes="0" containsString="0" containsNumber="1" containsInteger="1" minValue="0" maxValue="1"/>
    </cacheField>
    <cacheField name="Chemia-R2" numFmtId="0">
      <sharedItems containsSemiMixedTypes="0" containsString="0" containsNumber="1" containsInteger="1" minValue="0" maxValue="1"/>
    </cacheField>
    <cacheField name="Fizyka-R2" numFmtId="0">
      <sharedItems containsSemiMixedTypes="0" containsString="0" containsNumber="1" containsInteger="1" minValue="0" maxValue="1"/>
    </cacheField>
    <cacheField name="Geografia-R2" numFmtId="0">
      <sharedItems containsSemiMixedTypes="0" containsString="0" containsNumber="1" containsInteger="1" minValue="0" maxValue="1"/>
    </cacheField>
    <cacheField name="Historia-R2" numFmtId="0">
      <sharedItems containsSemiMixedTypes="0" containsString="0" containsNumber="1" containsInteger="1" minValue="0" maxValue="1"/>
    </cacheField>
    <cacheField name="Informatyka-R2" numFmtId="0">
      <sharedItems containsSemiMixedTypes="0" containsString="0" containsNumber="1" containsInteger="1" minValue="0" maxValue="1"/>
    </cacheField>
    <cacheField name="Angielski-P2" numFmtId="0">
      <sharedItems containsSemiMixedTypes="0" containsString="0" containsNumber="1" containsInteger="1" minValue="0" maxValue="0"/>
    </cacheField>
    <cacheField name="Angielski-R2" numFmtId="0">
      <sharedItems containsSemiMixedTypes="0" containsString="0" containsNumber="1" containsInteger="1" minValue="0" maxValue="1"/>
    </cacheField>
    <cacheField name="Francuski-P2" numFmtId="0">
      <sharedItems containsSemiMixedTypes="0" containsString="0" containsNumber="1" containsInteger="1" minValue="0" maxValue="0"/>
    </cacheField>
    <cacheField name="Francuski-R2" numFmtId="0">
      <sharedItems containsSemiMixedTypes="0" containsString="0" containsNumber="1" containsInteger="1" minValue="0" maxValue="1"/>
    </cacheField>
    <cacheField name="Hiszpański-P2" numFmtId="0">
      <sharedItems containsSemiMixedTypes="0" containsString="0" containsNumber="1" containsInteger="1" minValue="0" maxValue="0"/>
    </cacheField>
    <cacheField name="Hiszpański-R2" numFmtId="0">
      <sharedItems containsSemiMixedTypes="0" containsString="0" containsNumber="1" containsInteger="1" minValue="0" maxValue="1"/>
    </cacheField>
    <cacheField name="Niemiecki-P2" numFmtId="0">
      <sharedItems containsSemiMixedTypes="0" containsString="0" containsNumber="1" containsInteger="1" minValue="0" maxValue="0"/>
    </cacheField>
    <cacheField name="Niemiecki-R2" numFmtId="0">
      <sharedItems containsSemiMixedTypes="0" containsString="0" containsNumber="1" containsInteger="1" minValue="0" maxValue="1"/>
    </cacheField>
    <cacheField name="Matematyka-P2" numFmtId="0">
      <sharedItems containsSemiMixedTypes="0" containsString="0" containsNumber="1" containsInteger="1" minValue="0" maxValue="0"/>
    </cacheField>
    <cacheField name="Matematyka-R2" numFmtId="0">
      <sharedItems containsSemiMixedTypes="0" containsString="0" containsNumber="1" containsInteger="1" minValue="0" maxValue="1"/>
    </cacheField>
    <cacheField name="Polski-P2" numFmtId="0">
      <sharedItems containsSemiMixedTypes="0" containsString="0" containsNumber="1" containsInteger="1" minValue="0" maxValue="0"/>
    </cacheField>
    <cacheField name="Polski-R2" numFmtId="0">
      <sharedItems containsSemiMixedTypes="0" containsString="0" containsNumber="1" containsInteger="1" minValue="0" maxValue="1"/>
    </cacheField>
    <cacheField name="WOS-R2" numFmtId="0">
      <sharedItems containsSemiMixedTypes="0" containsString="0" containsNumber="1" containsInteger="1" minValue="0" maxValue="1"/>
    </cacheField>
    <cacheField name="czy &gt;2 przedmioty r.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A"/>
    <n v="95010405222"/>
    <n v="52"/>
    <s v=""/>
    <s v=""/>
    <s v=""/>
    <s v=""/>
    <s v=""/>
    <n v="100"/>
    <n v="91"/>
    <s v=""/>
    <n v="88"/>
    <s v=""/>
    <s v=""/>
    <s v=""/>
    <s v=""/>
    <n v="80"/>
    <s v=""/>
    <n v="67"/>
    <s v=""/>
    <s v=""/>
    <x v="0"/>
  </r>
  <r>
    <s v="A"/>
    <n v="95011310048"/>
    <n v="33"/>
    <n v="52"/>
    <s v=""/>
    <s v=""/>
    <s v=""/>
    <s v=""/>
    <n v="73"/>
    <s v=""/>
    <s v=""/>
    <s v=""/>
    <s v=""/>
    <s v=""/>
    <s v=""/>
    <s v=""/>
    <n v="56"/>
    <s v=""/>
    <n v="40"/>
    <s v=""/>
    <s v=""/>
    <x v="0"/>
  </r>
  <r>
    <s v="A"/>
    <n v="95012311345"/>
    <n v="70"/>
    <n v="58"/>
    <s v=""/>
    <s v=""/>
    <s v=""/>
    <s v=""/>
    <n v="92"/>
    <s v=""/>
    <s v=""/>
    <s v=""/>
    <s v=""/>
    <s v=""/>
    <s v=""/>
    <s v=""/>
    <n v="60"/>
    <s v=""/>
    <n v="61"/>
    <s v=""/>
    <s v=""/>
    <x v="0"/>
  </r>
  <r>
    <s v="A"/>
    <n v="95030607404"/>
    <n v="90"/>
    <n v="78"/>
    <s v=""/>
    <s v=""/>
    <s v=""/>
    <s v=""/>
    <n v="98"/>
    <n v="68"/>
    <s v=""/>
    <s v=""/>
    <s v=""/>
    <s v=""/>
    <s v=""/>
    <s v=""/>
    <n v="70"/>
    <s v=""/>
    <n v="73"/>
    <s v=""/>
    <s v=""/>
    <x v="0"/>
  </r>
  <r>
    <s v="A"/>
    <n v="95031506511"/>
    <n v="62"/>
    <n v="62"/>
    <s v=""/>
    <s v=""/>
    <s v=""/>
    <s v=""/>
    <n v="87"/>
    <s v=""/>
    <s v=""/>
    <s v=""/>
    <s v=""/>
    <s v=""/>
    <s v=""/>
    <s v=""/>
    <n v="70"/>
    <s v=""/>
    <n v="51"/>
    <s v=""/>
    <s v=""/>
    <x v="1"/>
  </r>
  <r>
    <s v="A"/>
    <n v="95031714219"/>
    <n v="65"/>
    <n v="65"/>
    <s v=""/>
    <s v=""/>
    <s v=""/>
    <s v=""/>
    <n v="75"/>
    <s v=""/>
    <s v=""/>
    <s v=""/>
    <s v=""/>
    <s v=""/>
    <s v=""/>
    <s v=""/>
    <n v="48"/>
    <s v=""/>
    <n v="40"/>
    <s v=""/>
    <s v=""/>
    <x v="1"/>
  </r>
  <r>
    <s v="A"/>
    <n v="95032402083"/>
    <s v=""/>
    <n v="58"/>
    <s v=""/>
    <s v=""/>
    <s v=""/>
    <s v=""/>
    <n v="96"/>
    <n v="61"/>
    <s v=""/>
    <s v=""/>
    <s v=""/>
    <s v=""/>
    <s v=""/>
    <s v=""/>
    <n v="94"/>
    <n v="34"/>
    <n v="74"/>
    <s v=""/>
    <s v=""/>
    <x v="0"/>
  </r>
  <r>
    <s v="A"/>
    <n v="95032701960"/>
    <n v="77"/>
    <n v="85"/>
    <s v=""/>
    <s v=""/>
    <s v=""/>
    <s v=""/>
    <n v="96"/>
    <s v=""/>
    <s v=""/>
    <s v=""/>
    <s v=""/>
    <s v=""/>
    <s v=""/>
    <s v=""/>
    <n v="96"/>
    <s v=""/>
    <n v="77"/>
    <s v=""/>
    <s v=""/>
    <x v="0"/>
  </r>
  <r>
    <s v="A"/>
    <n v="95040412034"/>
    <n v="93"/>
    <n v="67"/>
    <s v=""/>
    <s v=""/>
    <s v=""/>
    <s v=""/>
    <n v="84"/>
    <s v=""/>
    <s v=""/>
    <s v=""/>
    <s v=""/>
    <s v=""/>
    <s v=""/>
    <s v=""/>
    <n v="86"/>
    <s v=""/>
    <n v="73"/>
    <s v=""/>
    <s v=""/>
    <x v="1"/>
  </r>
  <r>
    <s v="A"/>
    <n v="95040908766"/>
    <n v="57"/>
    <n v="47"/>
    <s v=""/>
    <s v=""/>
    <s v=""/>
    <s v=""/>
    <n v="87"/>
    <s v=""/>
    <s v=""/>
    <s v=""/>
    <s v=""/>
    <s v=""/>
    <s v=""/>
    <s v=""/>
    <n v="40"/>
    <s v=""/>
    <n v="43"/>
    <s v=""/>
    <s v=""/>
    <x v="0"/>
  </r>
  <r>
    <s v="A"/>
    <n v="95041309368"/>
    <n v="60"/>
    <s v=""/>
    <s v=""/>
    <s v=""/>
    <s v=""/>
    <s v=""/>
    <n v="96"/>
    <n v="89"/>
    <s v=""/>
    <s v=""/>
    <s v=""/>
    <s v=""/>
    <s v=""/>
    <s v=""/>
    <n v="70"/>
    <s v=""/>
    <n v="76"/>
    <s v=""/>
    <s v=""/>
    <x v="0"/>
  </r>
  <r>
    <s v="A"/>
    <n v="95052600643"/>
    <s v=""/>
    <s v=""/>
    <s v=""/>
    <n v="90"/>
    <s v=""/>
    <s v=""/>
    <n v="100"/>
    <n v="100"/>
    <s v=""/>
    <s v=""/>
    <s v=""/>
    <s v=""/>
    <n v="100"/>
    <s v=""/>
    <n v="98"/>
    <n v="86"/>
    <n v="80"/>
    <s v=""/>
    <s v=""/>
    <x v="0"/>
  </r>
  <r>
    <s v="A"/>
    <n v="95061500402"/>
    <n v="95"/>
    <n v="88"/>
    <s v=""/>
    <s v=""/>
    <s v=""/>
    <s v=""/>
    <n v="92"/>
    <s v=""/>
    <s v=""/>
    <s v=""/>
    <s v=""/>
    <s v=""/>
    <s v=""/>
    <s v=""/>
    <n v="92"/>
    <s v=""/>
    <n v="79"/>
    <s v=""/>
    <s v=""/>
    <x v="0"/>
  </r>
  <r>
    <s v="A"/>
    <n v="95061702842"/>
    <n v="75"/>
    <n v="67"/>
    <s v=""/>
    <s v=""/>
    <s v=""/>
    <s v=""/>
    <n v="91"/>
    <s v=""/>
    <s v=""/>
    <s v=""/>
    <s v=""/>
    <s v=""/>
    <s v=""/>
    <s v=""/>
    <n v="88"/>
    <s v=""/>
    <n v="59"/>
    <s v=""/>
    <s v=""/>
    <x v="0"/>
  </r>
  <r>
    <s v="A"/>
    <n v="95062301712"/>
    <n v="85"/>
    <n v="83"/>
    <n v="48"/>
    <s v=""/>
    <s v=""/>
    <s v=""/>
    <n v="94"/>
    <s v=""/>
    <s v=""/>
    <s v=""/>
    <s v=""/>
    <s v=""/>
    <s v=""/>
    <s v=""/>
    <n v="92"/>
    <s v=""/>
    <n v="56"/>
    <s v=""/>
    <s v=""/>
    <x v="1"/>
  </r>
  <r>
    <s v="A"/>
    <n v="95071508265"/>
    <n v="62"/>
    <n v="48"/>
    <s v=""/>
    <s v=""/>
    <s v=""/>
    <s v=""/>
    <n v="85"/>
    <s v=""/>
    <s v=""/>
    <s v=""/>
    <s v=""/>
    <s v=""/>
    <s v=""/>
    <s v=""/>
    <n v="58"/>
    <s v=""/>
    <n v="59"/>
    <s v=""/>
    <s v=""/>
    <x v="0"/>
  </r>
  <r>
    <s v="A"/>
    <n v="95071807500"/>
    <n v="68"/>
    <n v="62"/>
    <s v=""/>
    <s v=""/>
    <s v=""/>
    <s v=""/>
    <n v="99"/>
    <n v="93"/>
    <s v=""/>
    <s v=""/>
    <s v=""/>
    <s v=""/>
    <s v=""/>
    <s v=""/>
    <n v="78"/>
    <s v=""/>
    <n v="54"/>
    <s v=""/>
    <s v=""/>
    <x v="0"/>
  </r>
  <r>
    <s v="A"/>
    <n v="95072900844"/>
    <n v="55"/>
    <n v="62"/>
    <s v=""/>
    <s v=""/>
    <s v=""/>
    <s v=""/>
    <n v="96"/>
    <n v="86"/>
    <s v=""/>
    <s v=""/>
    <s v=""/>
    <s v=""/>
    <s v=""/>
    <s v=""/>
    <n v="92"/>
    <s v=""/>
    <n v="73"/>
    <s v=""/>
    <s v=""/>
    <x v="0"/>
  </r>
  <r>
    <s v="A"/>
    <n v="95073111506"/>
    <n v="68"/>
    <n v="45"/>
    <s v=""/>
    <s v=""/>
    <s v=""/>
    <s v=""/>
    <n v="92"/>
    <s v=""/>
    <s v=""/>
    <s v=""/>
    <s v=""/>
    <s v=""/>
    <s v=""/>
    <s v=""/>
    <n v="78"/>
    <s v=""/>
    <n v="56"/>
    <s v=""/>
    <s v=""/>
    <x v="0"/>
  </r>
  <r>
    <s v="A"/>
    <n v="95080409087"/>
    <n v="78"/>
    <s v=""/>
    <s v=""/>
    <s v=""/>
    <s v=""/>
    <s v=""/>
    <n v="95"/>
    <n v="77"/>
    <s v=""/>
    <s v=""/>
    <s v=""/>
    <s v=""/>
    <s v=""/>
    <s v=""/>
    <n v="64"/>
    <s v=""/>
    <n v="84"/>
    <s v=""/>
    <s v=""/>
    <x v="0"/>
  </r>
  <r>
    <s v="A"/>
    <n v="95081008322"/>
    <n v="72"/>
    <n v="68"/>
    <s v=""/>
    <s v=""/>
    <s v=""/>
    <s v=""/>
    <n v="92"/>
    <s v=""/>
    <s v=""/>
    <s v=""/>
    <s v=""/>
    <s v=""/>
    <s v=""/>
    <s v=""/>
    <n v="70"/>
    <s v=""/>
    <n v="64"/>
    <s v=""/>
    <s v=""/>
    <x v="0"/>
  </r>
  <r>
    <s v="A"/>
    <n v="95081802841"/>
    <n v="55"/>
    <n v="50"/>
    <s v=""/>
    <s v=""/>
    <s v=""/>
    <s v=""/>
    <n v="84"/>
    <s v=""/>
    <s v=""/>
    <s v=""/>
    <s v=""/>
    <s v=""/>
    <s v=""/>
    <s v=""/>
    <n v="58"/>
    <s v=""/>
    <n v="54"/>
    <s v=""/>
    <s v=""/>
    <x v="0"/>
  </r>
  <r>
    <s v="A"/>
    <n v="95082400949"/>
    <n v="67"/>
    <n v="60"/>
    <s v=""/>
    <s v=""/>
    <s v=""/>
    <s v=""/>
    <n v="92"/>
    <s v=""/>
    <s v=""/>
    <s v=""/>
    <s v=""/>
    <s v=""/>
    <s v=""/>
    <s v=""/>
    <n v="76"/>
    <s v=""/>
    <n v="50"/>
    <s v=""/>
    <s v=""/>
    <x v="0"/>
  </r>
  <r>
    <s v="A"/>
    <n v="95082502641"/>
    <n v="45"/>
    <n v="30"/>
    <s v=""/>
    <s v=""/>
    <s v=""/>
    <s v=""/>
    <n v="61"/>
    <s v=""/>
    <s v=""/>
    <s v=""/>
    <s v=""/>
    <s v=""/>
    <s v=""/>
    <s v=""/>
    <n v="50"/>
    <s v=""/>
    <n v="33"/>
    <s v=""/>
    <s v=""/>
    <x v="0"/>
  </r>
  <r>
    <s v="A"/>
    <n v="95090501360"/>
    <n v="83"/>
    <n v="50"/>
    <s v=""/>
    <s v=""/>
    <s v=""/>
    <s v=""/>
    <n v="100"/>
    <n v="83"/>
    <s v=""/>
    <s v=""/>
    <s v=""/>
    <s v=""/>
    <s v=""/>
    <s v=""/>
    <n v="62"/>
    <s v=""/>
    <n v="76"/>
    <s v=""/>
    <s v=""/>
    <x v="0"/>
  </r>
  <r>
    <s v="A"/>
    <n v="95091604864"/>
    <n v="80"/>
    <s v=""/>
    <s v=""/>
    <s v=""/>
    <s v=""/>
    <s v=""/>
    <n v="99"/>
    <n v="83"/>
    <s v=""/>
    <s v=""/>
    <s v=""/>
    <s v=""/>
    <s v=""/>
    <s v=""/>
    <n v="72"/>
    <s v=""/>
    <n v="84"/>
    <s v=""/>
    <s v=""/>
    <x v="0"/>
  </r>
  <r>
    <s v="A"/>
    <n v="95110304166"/>
    <n v="70"/>
    <n v="60"/>
    <s v=""/>
    <s v=""/>
    <s v=""/>
    <s v=""/>
    <n v="91"/>
    <s v=""/>
    <s v=""/>
    <s v=""/>
    <s v=""/>
    <s v=""/>
    <s v=""/>
    <s v=""/>
    <n v="80"/>
    <s v=""/>
    <n v="74"/>
    <s v=""/>
    <s v=""/>
    <x v="0"/>
  </r>
  <r>
    <s v="A"/>
    <n v="95110400947"/>
    <s v=""/>
    <s v=""/>
    <n v="55"/>
    <s v=""/>
    <s v=""/>
    <s v=""/>
    <n v="96"/>
    <n v="86"/>
    <s v=""/>
    <s v=""/>
    <s v=""/>
    <s v=""/>
    <s v=""/>
    <s v=""/>
    <n v="86"/>
    <s v=""/>
    <n v="64"/>
    <s v=""/>
    <s v=""/>
    <x v="0"/>
  </r>
  <r>
    <s v="A"/>
    <n v="95111004447"/>
    <n v="73"/>
    <n v="78"/>
    <s v=""/>
    <s v=""/>
    <s v=""/>
    <s v=""/>
    <n v="96"/>
    <s v=""/>
    <s v=""/>
    <s v=""/>
    <s v=""/>
    <s v=""/>
    <s v=""/>
    <s v=""/>
    <n v="82"/>
    <s v=""/>
    <n v="60"/>
    <s v=""/>
    <s v=""/>
    <x v="0"/>
  </r>
  <r>
    <s v="A"/>
    <n v="95112301543"/>
    <n v="80"/>
    <n v="60"/>
    <s v=""/>
    <s v=""/>
    <s v=""/>
    <s v=""/>
    <n v="88"/>
    <n v="67"/>
    <s v=""/>
    <s v=""/>
    <s v=""/>
    <s v=""/>
    <s v=""/>
    <s v=""/>
    <n v="80"/>
    <s v=""/>
    <n v="63"/>
    <s v=""/>
    <s v=""/>
    <x v="0"/>
  </r>
  <r>
    <s v="A"/>
    <n v="95120101108"/>
    <n v="93"/>
    <n v="88"/>
    <s v=""/>
    <s v=""/>
    <s v=""/>
    <s v=""/>
    <n v="100"/>
    <n v="76"/>
    <s v=""/>
    <s v=""/>
    <s v=""/>
    <s v=""/>
    <s v=""/>
    <s v=""/>
    <n v="92"/>
    <s v=""/>
    <n v="76"/>
    <s v=""/>
    <s v=""/>
    <x v="0"/>
  </r>
  <r>
    <s v="A"/>
    <n v="95120600768"/>
    <n v="85"/>
    <n v="93"/>
    <n v="82"/>
    <s v=""/>
    <s v=""/>
    <s v=""/>
    <n v="96"/>
    <s v=""/>
    <s v=""/>
    <s v=""/>
    <s v=""/>
    <s v=""/>
    <s v=""/>
    <s v=""/>
    <n v="94"/>
    <n v="74"/>
    <n v="66"/>
    <s v=""/>
    <s v=""/>
    <x v="0"/>
  </r>
  <r>
    <s v="A"/>
    <n v="95120903939"/>
    <n v="90"/>
    <n v="82"/>
    <s v=""/>
    <s v=""/>
    <s v=""/>
    <s v=""/>
    <n v="92"/>
    <s v=""/>
    <s v=""/>
    <s v=""/>
    <s v=""/>
    <s v=""/>
    <s v=""/>
    <s v=""/>
    <n v="86"/>
    <s v=""/>
    <n v="63"/>
    <s v=""/>
    <s v=""/>
    <x v="1"/>
  </r>
  <r>
    <s v="A"/>
    <n v="95122401008"/>
    <n v="87"/>
    <s v=""/>
    <s v=""/>
    <s v=""/>
    <s v=""/>
    <s v=""/>
    <n v="100"/>
    <s v=""/>
    <s v=""/>
    <s v=""/>
    <s v=""/>
    <s v=""/>
    <s v=""/>
    <s v=""/>
    <n v="82"/>
    <s v=""/>
    <n v="79"/>
    <n v="73"/>
    <n v="64"/>
    <x v="0"/>
  </r>
  <r>
    <s v="B"/>
    <n v="95011505013"/>
    <s v=""/>
    <s v=""/>
    <s v=""/>
    <s v=""/>
    <s v=""/>
    <s v=""/>
    <n v="93"/>
    <n v="60"/>
    <s v=""/>
    <s v=""/>
    <s v=""/>
    <s v=""/>
    <s v=""/>
    <s v=""/>
    <n v="46"/>
    <s v=""/>
    <n v="60"/>
    <n v="75"/>
    <s v=""/>
    <x v="1"/>
  </r>
  <r>
    <s v="B"/>
    <n v="95012403389"/>
    <s v=""/>
    <s v=""/>
    <s v=""/>
    <s v=""/>
    <s v=""/>
    <s v=""/>
    <n v="96"/>
    <n v="87"/>
    <s v=""/>
    <s v=""/>
    <s v=""/>
    <s v=""/>
    <s v=""/>
    <s v=""/>
    <n v="50"/>
    <s v=""/>
    <n v="40"/>
    <n v="70"/>
    <n v="44"/>
    <x v="0"/>
  </r>
  <r>
    <s v="B"/>
    <n v="95020804428"/>
    <s v=""/>
    <s v=""/>
    <s v=""/>
    <s v=""/>
    <n v="92"/>
    <s v=""/>
    <n v="100"/>
    <n v="81"/>
    <s v=""/>
    <s v=""/>
    <s v=""/>
    <s v=""/>
    <s v=""/>
    <s v=""/>
    <n v="88"/>
    <s v=""/>
    <n v="57"/>
    <n v="70"/>
    <s v=""/>
    <x v="0"/>
  </r>
  <r>
    <s v="B"/>
    <n v="95021807901"/>
    <s v=""/>
    <s v=""/>
    <s v=""/>
    <s v=""/>
    <n v="86"/>
    <s v=""/>
    <n v="100"/>
    <n v="90"/>
    <s v=""/>
    <s v=""/>
    <s v=""/>
    <s v=""/>
    <s v=""/>
    <s v=""/>
    <n v="70"/>
    <s v=""/>
    <n v="56"/>
    <n v="68"/>
    <n v="78"/>
    <x v="0"/>
  </r>
  <r>
    <s v="B"/>
    <n v="95022105039"/>
    <s v=""/>
    <s v=""/>
    <s v=""/>
    <s v=""/>
    <n v="90"/>
    <s v=""/>
    <n v="96"/>
    <n v="93"/>
    <s v=""/>
    <s v=""/>
    <s v=""/>
    <s v=""/>
    <s v=""/>
    <s v=""/>
    <n v="86"/>
    <n v="36"/>
    <n v="53"/>
    <n v="73"/>
    <n v="100"/>
    <x v="1"/>
  </r>
  <r>
    <s v="B"/>
    <n v="95031012300"/>
    <s v=""/>
    <s v=""/>
    <s v=""/>
    <s v=""/>
    <s v=""/>
    <s v=""/>
    <n v="59"/>
    <n v="44"/>
    <s v=""/>
    <s v=""/>
    <s v=""/>
    <s v=""/>
    <s v=""/>
    <s v=""/>
    <n v="34"/>
    <s v=""/>
    <n v="30"/>
    <n v="53"/>
    <n v="34"/>
    <x v="0"/>
  </r>
  <r>
    <s v="B"/>
    <n v="95032101746"/>
    <s v=""/>
    <s v=""/>
    <s v=""/>
    <s v=""/>
    <n v="88"/>
    <s v=""/>
    <n v="98"/>
    <n v="95"/>
    <s v=""/>
    <s v=""/>
    <s v=""/>
    <s v=""/>
    <s v=""/>
    <n v="69"/>
    <n v="68"/>
    <s v=""/>
    <n v="70"/>
    <n v="80"/>
    <n v="72"/>
    <x v="0"/>
  </r>
  <r>
    <s v="B"/>
    <n v="95032204296"/>
    <s v=""/>
    <s v=""/>
    <s v=""/>
    <s v=""/>
    <n v="92"/>
    <s v=""/>
    <n v="93"/>
    <n v="95"/>
    <s v=""/>
    <s v=""/>
    <s v=""/>
    <s v=""/>
    <s v=""/>
    <s v=""/>
    <n v="56"/>
    <s v=""/>
    <n v="79"/>
    <n v="55"/>
    <n v="72"/>
    <x v="1"/>
  </r>
  <r>
    <s v="B"/>
    <n v="95042205755"/>
    <s v=""/>
    <s v=""/>
    <s v=""/>
    <s v=""/>
    <n v="94"/>
    <s v=""/>
    <n v="90"/>
    <n v="67"/>
    <s v=""/>
    <s v=""/>
    <s v=""/>
    <s v=""/>
    <s v=""/>
    <s v=""/>
    <n v="40"/>
    <s v=""/>
    <n v="80"/>
    <n v="60"/>
    <s v=""/>
    <x v="1"/>
  </r>
  <r>
    <s v="B"/>
    <n v="95050205185"/>
    <s v=""/>
    <s v=""/>
    <s v=""/>
    <s v=""/>
    <n v="66"/>
    <s v=""/>
    <n v="98"/>
    <n v="67"/>
    <s v=""/>
    <s v=""/>
    <s v=""/>
    <s v=""/>
    <s v=""/>
    <s v=""/>
    <n v="50"/>
    <s v=""/>
    <n v="54"/>
    <n v="80"/>
    <n v="68"/>
    <x v="0"/>
  </r>
  <r>
    <s v="B"/>
    <n v="95050904503"/>
    <s v=""/>
    <s v=""/>
    <s v=""/>
    <s v=""/>
    <s v=""/>
    <s v=""/>
    <n v="100"/>
    <n v="92"/>
    <s v=""/>
    <s v=""/>
    <s v=""/>
    <s v=""/>
    <s v=""/>
    <s v=""/>
    <n v="70"/>
    <s v=""/>
    <n v="63"/>
    <n v="45"/>
    <s v=""/>
    <x v="0"/>
  </r>
  <r>
    <s v="B"/>
    <n v="95051201982"/>
    <s v=""/>
    <s v=""/>
    <s v=""/>
    <s v=""/>
    <s v=""/>
    <s v=""/>
    <n v="96"/>
    <n v="63"/>
    <s v=""/>
    <s v=""/>
    <s v=""/>
    <s v=""/>
    <s v=""/>
    <s v=""/>
    <n v="64"/>
    <s v=""/>
    <n v="63"/>
    <n v="58"/>
    <n v="48"/>
    <x v="0"/>
  </r>
  <r>
    <s v="B"/>
    <n v="95052501302"/>
    <s v=""/>
    <s v=""/>
    <s v=""/>
    <s v=""/>
    <s v=""/>
    <s v=""/>
    <n v="96"/>
    <n v="69"/>
    <s v=""/>
    <s v=""/>
    <s v=""/>
    <s v=""/>
    <s v=""/>
    <s v=""/>
    <n v="68"/>
    <s v=""/>
    <n v="51"/>
    <n v="70"/>
    <n v="38"/>
    <x v="0"/>
  </r>
  <r>
    <s v="B"/>
    <n v="95060201793"/>
    <n v="73"/>
    <n v="65"/>
    <s v=""/>
    <s v=""/>
    <s v=""/>
    <s v=""/>
    <n v="80"/>
    <s v=""/>
    <s v=""/>
    <s v=""/>
    <s v=""/>
    <s v=""/>
    <s v=""/>
    <s v=""/>
    <n v="52"/>
    <s v=""/>
    <n v="56"/>
    <s v=""/>
    <s v=""/>
    <x v="1"/>
  </r>
  <r>
    <s v="B"/>
    <n v="95062400343"/>
    <n v="50"/>
    <n v="47"/>
    <s v=""/>
    <s v=""/>
    <s v=""/>
    <s v=""/>
    <n v="92"/>
    <s v=""/>
    <s v=""/>
    <s v=""/>
    <s v=""/>
    <s v=""/>
    <s v=""/>
    <s v=""/>
    <n v="58"/>
    <s v=""/>
    <n v="51"/>
    <s v=""/>
    <s v=""/>
    <x v="0"/>
  </r>
  <r>
    <s v="B"/>
    <n v="95070400070"/>
    <s v=""/>
    <s v=""/>
    <s v=""/>
    <s v=""/>
    <n v="92"/>
    <s v=""/>
    <n v="92"/>
    <n v="59"/>
    <s v=""/>
    <s v=""/>
    <s v=""/>
    <s v=""/>
    <s v=""/>
    <s v=""/>
    <n v="72"/>
    <s v=""/>
    <n v="41"/>
    <n v="60"/>
    <n v="68"/>
    <x v="1"/>
  </r>
  <r>
    <s v="B"/>
    <n v="95080101408"/>
    <n v="73"/>
    <s v=""/>
    <s v=""/>
    <s v=""/>
    <s v=""/>
    <s v=""/>
    <n v="97"/>
    <n v="74"/>
    <s v=""/>
    <s v=""/>
    <s v=""/>
    <s v=""/>
    <s v=""/>
    <s v=""/>
    <n v="56"/>
    <s v=""/>
    <n v="60"/>
    <n v="73"/>
    <s v=""/>
    <x v="0"/>
  </r>
  <r>
    <s v="B"/>
    <n v="95080902016"/>
    <s v=""/>
    <s v=""/>
    <s v=""/>
    <s v=""/>
    <n v="80"/>
    <s v=""/>
    <n v="97"/>
    <n v="83"/>
    <s v=""/>
    <s v=""/>
    <s v=""/>
    <s v=""/>
    <s v=""/>
    <s v=""/>
    <n v="44"/>
    <s v=""/>
    <n v="66"/>
    <n v="63"/>
    <s v=""/>
    <x v="1"/>
  </r>
  <r>
    <s v="B"/>
    <n v="95081001141"/>
    <n v="35"/>
    <s v=""/>
    <s v=""/>
    <s v=""/>
    <s v=""/>
    <s v=""/>
    <n v="96"/>
    <n v="84"/>
    <s v=""/>
    <s v=""/>
    <s v=""/>
    <s v=""/>
    <s v=""/>
    <s v=""/>
    <n v="32"/>
    <s v=""/>
    <n v="51"/>
    <n v="63"/>
    <s v=""/>
    <x v="0"/>
  </r>
  <r>
    <s v="B"/>
    <n v="95081600739"/>
    <s v=""/>
    <s v=""/>
    <s v=""/>
    <n v="47"/>
    <s v=""/>
    <s v=""/>
    <n v="86"/>
    <n v="60"/>
    <s v=""/>
    <s v=""/>
    <s v=""/>
    <s v=""/>
    <s v=""/>
    <s v=""/>
    <n v="66"/>
    <s v=""/>
    <n v="34"/>
    <n v="58"/>
    <n v="58"/>
    <x v="1"/>
  </r>
  <r>
    <s v="B"/>
    <n v="95083106189"/>
    <s v=""/>
    <s v=""/>
    <s v=""/>
    <s v=""/>
    <n v="42"/>
    <s v=""/>
    <n v="66"/>
    <s v=""/>
    <s v=""/>
    <s v=""/>
    <s v=""/>
    <s v=""/>
    <s v=""/>
    <s v=""/>
    <n v="64"/>
    <s v=""/>
    <n v="56"/>
    <n v="75"/>
    <s v=""/>
    <x v="0"/>
  </r>
  <r>
    <s v="B"/>
    <n v="95092111585"/>
    <s v=""/>
    <s v=""/>
    <s v=""/>
    <s v=""/>
    <n v="76"/>
    <s v=""/>
    <n v="97"/>
    <n v="78"/>
    <s v=""/>
    <s v=""/>
    <s v=""/>
    <s v=""/>
    <s v=""/>
    <s v=""/>
    <n v="72"/>
    <s v=""/>
    <n v="60"/>
    <n v="80"/>
    <s v=""/>
    <x v="0"/>
  </r>
  <r>
    <s v="B"/>
    <n v="95092712281"/>
    <s v=""/>
    <s v=""/>
    <s v=""/>
    <s v=""/>
    <n v="80"/>
    <s v=""/>
    <n v="78"/>
    <n v="34"/>
    <s v=""/>
    <s v=""/>
    <s v=""/>
    <s v=""/>
    <s v=""/>
    <s v=""/>
    <n v="52"/>
    <s v=""/>
    <n v="46"/>
    <n v="80"/>
    <n v="62"/>
    <x v="0"/>
  </r>
  <r>
    <s v="B"/>
    <n v="95100600025"/>
    <s v=""/>
    <s v=""/>
    <s v=""/>
    <s v=""/>
    <s v=""/>
    <s v=""/>
    <n v="65"/>
    <s v=""/>
    <s v=""/>
    <s v=""/>
    <s v=""/>
    <s v=""/>
    <s v=""/>
    <s v=""/>
    <n v="50"/>
    <s v=""/>
    <n v="43"/>
    <n v="78"/>
    <n v="24"/>
    <x v="0"/>
  </r>
  <r>
    <s v="B"/>
    <n v="95100606458"/>
    <s v=""/>
    <s v=""/>
    <s v=""/>
    <s v=""/>
    <n v="88"/>
    <s v=""/>
    <n v="96"/>
    <n v="92"/>
    <s v=""/>
    <s v=""/>
    <s v=""/>
    <s v=""/>
    <s v=""/>
    <s v=""/>
    <n v="58"/>
    <s v=""/>
    <n v="59"/>
    <n v="53"/>
    <n v="72"/>
    <x v="1"/>
  </r>
  <r>
    <s v="B"/>
    <n v="95100700282"/>
    <s v=""/>
    <s v=""/>
    <s v=""/>
    <s v=""/>
    <n v="76"/>
    <s v=""/>
    <n v="100"/>
    <n v="90"/>
    <s v=""/>
    <s v=""/>
    <s v=""/>
    <s v=""/>
    <n v="100"/>
    <s v=""/>
    <n v="78"/>
    <s v=""/>
    <n v="66"/>
    <n v="75"/>
    <s v=""/>
    <x v="0"/>
  </r>
  <r>
    <s v="B"/>
    <n v="95101000947"/>
    <s v=""/>
    <s v=""/>
    <s v=""/>
    <s v=""/>
    <n v="96"/>
    <s v=""/>
    <n v="98"/>
    <n v="91"/>
    <s v=""/>
    <s v=""/>
    <s v=""/>
    <s v=""/>
    <s v=""/>
    <s v=""/>
    <n v="72"/>
    <s v=""/>
    <n v="69"/>
    <n v="85"/>
    <s v=""/>
    <x v="0"/>
  </r>
  <r>
    <s v="B"/>
    <n v="95110605809"/>
    <s v=""/>
    <s v=""/>
    <s v=""/>
    <s v=""/>
    <n v="76"/>
    <s v=""/>
    <n v="99"/>
    <n v="84"/>
    <n v="78"/>
    <s v=""/>
    <s v=""/>
    <s v=""/>
    <s v=""/>
    <s v=""/>
    <n v="70"/>
    <s v=""/>
    <n v="53"/>
    <n v="73"/>
    <s v=""/>
    <x v="0"/>
  </r>
  <r>
    <s v="B"/>
    <n v="95110704362"/>
    <n v="48"/>
    <n v="17"/>
    <s v=""/>
    <s v=""/>
    <s v=""/>
    <s v=""/>
    <n v="100"/>
    <n v="92"/>
    <s v=""/>
    <s v=""/>
    <s v=""/>
    <s v=""/>
    <s v=""/>
    <s v=""/>
    <n v="60"/>
    <s v=""/>
    <n v="47"/>
    <s v=""/>
    <s v=""/>
    <x v="0"/>
  </r>
  <r>
    <s v="B"/>
    <n v="95111800425"/>
    <s v=""/>
    <s v=""/>
    <s v=""/>
    <s v=""/>
    <n v="80"/>
    <s v=""/>
    <n v="98"/>
    <n v="79"/>
    <s v=""/>
    <s v=""/>
    <s v=""/>
    <s v=""/>
    <s v=""/>
    <s v=""/>
    <n v="66"/>
    <s v=""/>
    <n v="66"/>
    <n v="63"/>
    <n v="60"/>
    <x v="0"/>
  </r>
  <r>
    <s v="B"/>
    <n v="95112902461"/>
    <s v=""/>
    <s v=""/>
    <s v=""/>
    <s v=""/>
    <s v=""/>
    <s v=""/>
    <n v="94"/>
    <n v="66"/>
    <s v=""/>
    <s v=""/>
    <s v=""/>
    <s v=""/>
    <s v=""/>
    <s v=""/>
    <n v="76"/>
    <n v="24"/>
    <n v="44"/>
    <n v="40"/>
    <s v=""/>
    <x v="0"/>
  </r>
  <r>
    <s v="C"/>
    <n v="94120209724"/>
    <s v=""/>
    <s v=""/>
    <s v=""/>
    <s v=""/>
    <s v=""/>
    <s v=""/>
    <n v="95"/>
    <n v="70"/>
    <s v=""/>
    <s v=""/>
    <n v="51"/>
    <s v=""/>
    <s v=""/>
    <s v=""/>
    <n v="76"/>
    <n v="52"/>
    <n v="49"/>
    <s v=""/>
    <s v=""/>
    <x v="0"/>
  </r>
  <r>
    <s v="C"/>
    <n v="95011303864"/>
    <s v=""/>
    <s v=""/>
    <s v=""/>
    <n v="42"/>
    <s v=""/>
    <s v=""/>
    <n v="52"/>
    <s v=""/>
    <s v=""/>
    <s v=""/>
    <s v=""/>
    <s v=""/>
    <s v=""/>
    <s v=""/>
    <n v="76"/>
    <n v="40"/>
    <n v="36"/>
    <s v=""/>
    <s v=""/>
    <x v="0"/>
  </r>
  <r>
    <s v="C"/>
    <n v="95012701920"/>
    <s v=""/>
    <s v=""/>
    <s v=""/>
    <n v="77"/>
    <s v=""/>
    <s v=""/>
    <n v="92"/>
    <n v="80"/>
    <n v="68"/>
    <s v=""/>
    <s v=""/>
    <s v=""/>
    <s v=""/>
    <s v=""/>
    <n v="66"/>
    <n v="44"/>
    <n v="54"/>
    <s v=""/>
    <s v=""/>
    <x v="0"/>
  </r>
  <r>
    <s v="C"/>
    <n v="95012707551"/>
    <s v=""/>
    <s v=""/>
    <s v=""/>
    <n v="55"/>
    <s v=""/>
    <s v=""/>
    <n v="88"/>
    <s v=""/>
    <s v=""/>
    <s v=""/>
    <s v=""/>
    <s v=""/>
    <s v=""/>
    <s v=""/>
    <n v="72"/>
    <n v="42"/>
    <n v="49"/>
    <s v=""/>
    <s v=""/>
    <x v="1"/>
  </r>
  <r>
    <s v="C"/>
    <n v="95021105139"/>
    <s v=""/>
    <s v=""/>
    <s v=""/>
    <n v="85"/>
    <s v=""/>
    <s v=""/>
    <n v="100"/>
    <n v="81"/>
    <s v=""/>
    <s v=""/>
    <n v="94"/>
    <s v=""/>
    <s v=""/>
    <s v=""/>
    <n v="94"/>
    <n v="52"/>
    <n v="71"/>
    <s v=""/>
    <s v=""/>
    <x v="1"/>
  </r>
  <r>
    <s v="C"/>
    <n v="95021201255"/>
    <s v=""/>
    <s v=""/>
    <s v=""/>
    <n v="68"/>
    <s v=""/>
    <s v=""/>
    <n v="84"/>
    <s v=""/>
    <s v=""/>
    <s v=""/>
    <s v=""/>
    <s v=""/>
    <s v=""/>
    <s v=""/>
    <n v="52"/>
    <n v="14"/>
    <n v="34"/>
    <s v=""/>
    <s v=""/>
    <x v="1"/>
  </r>
  <r>
    <s v="C"/>
    <n v="95021303223"/>
    <s v=""/>
    <s v=""/>
    <s v=""/>
    <n v="60"/>
    <s v=""/>
    <s v=""/>
    <n v="92"/>
    <s v=""/>
    <s v=""/>
    <s v=""/>
    <s v=""/>
    <s v=""/>
    <s v=""/>
    <s v=""/>
    <n v="70"/>
    <n v="32"/>
    <n v="63"/>
    <s v=""/>
    <s v=""/>
    <x v="0"/>
  </r>
  <r>
    <s v="C"/>
    <n v="95030407844"/>
    <s v=""/>
    <s v=""/>
    <s v=""/>
    <n v="70"/>
    <s v=""/>
    <s v=""/>
    <n v="94"/>
    <n v="84"/>
    <s v=""/>
    <s v=""/>
    <s v=""/>
    <s v=""/>
    <s v=""/>
    <n v="90"/>
    <n v="88"/>
    <n v="56"/>
    <n v="64"/>
    <s v=""/>
    <s v=""/>
    <x v="0"/>
  </r>
  <r>
    <s v="C"/>
    <n v="95040309147"/>
    <s v=""/>
    <s v=""/>
    <s v=""/>
    <n v="38"/>
    <s v=""/>
    <s v=""/>
    <n v="51"/>
    <s v=""/>
    <s v=""/>
    <s v=""/>
    <s v=""/>
    <s v=""/>
    <s v=""/>
    <s v=""/>
    <n v="48"/>
    <s v=""/>
    <n v="49"/>
    <s v=""/>
    <s v=""/>
    <x v="0"/>
  </r>
  <r>
    <s v="C"/>
    <n v="95040502267"/>
    <s v=""/>
    <s v=""/>
    <s v=""/>
    <n v="83"/>
    <s v=""/>
    <s v=""/>
    <s v=""/>
    <n v="93"/>
    <s v=""/>
    <s v=""/>
    <s v=""/>
    <s v=""/>
    <n v="96"/>
    <s v=""/>
    <n v="72"/>
    <n v="64"/>
    <n v="57"/>
    <s v=""/>
    <s v=""/>
    <x v="0"/>
  </r>
  <r>
    <s v="C"/>
    <n v="95040601874"/>
    <s v=""/>
    <s v=""/>
    <s v=""/>
    <n v="93"/>
    <s v=""/>
    <s v=""/>
    <n v="98"/>
    <n v="80"/>
    <n v="80"/>
    <s v=""/>
    <s v=""/>
    <s v=""/>
    <s v=""/>
    <s v=""/>
    <n v="78"/>
    <n v="64"/>
    <n v="63"/>
    <s v=""/>
    <s v=""/>
    <x v="1"/>
  </r>
  <r>
    <s v="C"/>
    <n v="95062703248"/>
    <s v=""/>
    <s v=""/>
    <s v=""/>
    <n v="63"/>
    <s v=""/>
    <s v=""/>
    <n v="88"/>
    <s v=""/>
    <s v=""/>
    <s v=""/>
    <s v=""/>
    <s v=""/>
    <s v=""/>
    <s v=""/>
    <n v="64"/>
    <s v=""/>
    <n v="63"/>
    <n v="43"/>
    <s v=""/>
    <x v="0"/>
  </r>
  <r>
    <s v="C"/>
    <n v="95062704850"/>
    <s v=""/>
    <s v=""/>
    <s v=""/>
    <n v="65"/>
    <s v=""/>
    <s v=""/>
    <n v="69"/>
    <s v=""/>
    <s v=""/>
    <s v=""/>
    <s v=""/>
    <s v=""/>
    <s v=""/>
    <s v=""/>
    <n v="52"/>
    <s v=""/>
    <n v="51"/>
    <s v=""/>
    <s v=""/>
    <x v="1"/>
  </r>
  <r>
    <s v="C"/>
    <n v="95070400629"/>
    <s v=""/>
    <s v=""/>
    <s v=""/>
    <n v="50"/>
    <s v=""/>
    <s v=""/>
    <n v="82"/>
    <s v=""/>
    <s v=""/>
    <s v=""/>
    <s v=""/>
    <s v=""/>
    <s v=""/>
    <s v=""/>
    <n v="68"/>
    <n v="36"/>
    <n v="47"/>
    <s v=""/>
    <s v=""/>
    <x v="0"/>
  </r>
  <r>
    <s v="C"/>
    <n v="95070600715"/>
    <s v=""/>
    <s v=""/>
    <s v=""/>
    <n v="53"/>
    <s v=""/>
    <s v=""/>
    <n v="100"/>
    <n v="77"/>
    <s v=""/>
    <s v=""/>
    <s v=""/>
    <s v=""/>
    <s v=""/>
    <s v=""/>
    <n v="82"/>
    <n v="38"/>
    <n v="53"/>
    <s v=""/>
    <n v="46"/>
    <x v="1"/>
  </r>
  <r>
    <s v="C"/>
    <n v="95071306764"/>
    <s v=""/>
    <s v=""/>
    <s v=""/>
    <s v=""/>
    <s v=""/>
    <s v=""/>
    <n v="98"/>
    <n v="81"/>
    <s v=""/>
    <s v=""/>
    <s v=""/>
    <s v=""/>
    <s v=""/>
    <s v=""/>
    <n v="88"/>
    <n v="40"/>
    <n v="59"/>
    <s v=""/>
    <s v=""/>
    <x v="0"/>
  </r>
  <r>
    <s v="C"/>
    <n v="95071307406"/>
    <s v=""/>
    <s v=""/>
    <s v=""/>
    <n v="70"/>
    <s v=""/>
    <s v=""/>
    <n v="96"/>
    <n v="51"/>
    <s v=""/>
    <s v=""/>
    <s v=""/>
    <s v=""/>
    <s v=""/>
    <s v=""/>
    <n v="76"/>
    <s v=""/>
    <n v="66"/>
    <n v="95"/>
    <s v=""/>
    <x v="0"/>
  </r>
  <r>
    <s v="C"/>
    <n v="95072805323"/>
    <s v=""/>
    <s v=""/>
    <s v=""/>
    <n v="68"/>
    <s v=""/>
    <s v=""/>
    <n v="87"/>
    <n v="55"/>
    <s v=""/>
    <s v=""/>
    <s v=""/>
    <s v=""/>
    <s v=""/>
    <s v=""/>
    <n v="86"/>
    <n v="48"/>
    <n v="63"/>
    <n v="55"/>
    <s v=""/>
    <x v="0"/>
  </r>
  <r>
    <s v="C"/>
    <n v="95072901340"/>
    <s v=""/>
    <s v=""/>
    <s v=""/>
    <s v=""/>
    <s v=""/>
    <s v=""/>
    <n v="91"/>
    <n v="66"/>
    <s v=""/>
    <s v=""/>
    <s v=""/>
    <s v=""/>
    <s v=""/>
    <s v=""/>
    <n v="100"/>
    <n v="66"/>
    <n v="76"/>
    <n v="70"/>
    <s v=""/>
    <x v="0"/>
  </r>
  <r>
    <s v="C"/>
    <n v="95072901364"/>
    <s v=""/>
    <s v=""/>
    <s v=""/>
    <s v=""/>
    <s v=""/>
    <s v=""/>
    <n v="100"/>
    <n v="92"/>
    <n v="72"/>
    <s v=""/>
    <s v=""/>
    <s v=""/>
    <s v=""/>
    <s v=""/>
    <n v="74"/>
    <n v="52"/>
    <n v="54"/>
    <s v=""/>
    <s v=""/>
    <x v="0"/>
  </r>
  <r>
    <s v="C"/>
    <n v="95082206507"/>
    <s v=""/>
    <s v=""/>
    <s v=""/>
    <n v="87"/>
    <s v=""/>
    <s v=""/>
    <n v="98"/>
    <s v=""/>
    <s v=""/>
    <s v=""/>
    <s v=""/>
    <s v=""/>
    <s v=""/>
    <s v=""/>
    <n v="96"/>
    <n v="90"/>
    <n v="91"/>
    <s v=""/>
    <s v=""/>
    <x v="0"/>
  </r>
  <r>
    <s v="C"/>
    <n v="95091103271"/>
    <s v=""/>
    <s v=""/>
    <s v=""/>
    <n v="47"/>
    <s v=""/>
    <s v=""/>
    <n v="89"/>
    <s v=""/>
    <s v=""/>
    <s v=""/>
    <s v=""/>
    <s v=""/>
    <s v=""/>
    <s v=""/>
    <n v="76"/>
    <n v="40"/>
    <n v="54"/>
    <s v=""/>
    <s v=""/>
    <x v="1"/>
  </r>
  <r>
    <s v="C"/>
    <n v="95092301371"/>
    <s v=""/>
    <s v=""/>
    <s v=""/>
    <s v=""/>
    <s v=""/>
    <s v=""/>
    <n v="94"/>
    <n v="88"/>
    <s v=""/>
    <s v=""/>
    <s v=""/>
    <s v=""/>
    <s v=""/>
    <s v=""/>
    <n v="88"/>
    <n v="46"/>
    <n v="77"/>
    <s v=""/>
    <s v=""/>
    <x v="1"/>
  </r>
  <r>
    <s v="C"/>
    <n v="95100703063"/>
    <s v=""/>
    <s v=""/>
    <s v=""/>
    <n v="68"/>
    <s v=""/>
    <s v=""/>
    <n v="94"/>
    <n v="78"/>
    <s v=""/>
    <s v=""/>
    <s v=""/>
    <s v=""/>
    <n v="96"/>
    <s v=""/>
    <n v="100"/>
    <n v="54"/>
    <n v="50"/>
    <s v=""/>
    <s v=""/>
    <x v="0"/>
  </r>
  <r>
    <s v="C"/>
    <n v="95102509322"/>
    <s v=""/>
    <s v=""/>
    <s v=""/>
    <n v="77"/>
    <s v=""/>
    <s v=""/>
    <n v="72"/>
    <n v="44"/>
    <s v=""/>
    <s v=""/>
    <s v=""/>
    <s v=""/>
    <s v=""/>
    <s v=""/>
    <n v="78"/>
    <n v="40"/>
    <n v="60"/>
    <s v=""/>
    <s v=""/>
    <x v="0"/>
  </r>
  <r>
    <s v="C"/>
    <n v="95121002200"/>
    <s v=""/>
    <s v=""/>
    <s v=""/>
    <n v="80"/>
    <s v=""/>
    <s v=""/>
    <n v="100"/>
    <n v="82"/>
    <s v=""/>
    <s v=""/>
    <s v=""/>
    <s v=""/>
    <n v="100"/>
    <s v=""/>
    <n v="86"/>
    <n v="94"/>
    <n v="63"/>
    <s v=""/>
    <s v=""/>
    <x v="0"/>
  </r>
  <r>
    <s v="C"/>
    <n v="96010806327"/>
    <s v=""/>
    <s v=""/>
    <s v=""/>
    <n v="82"/>
    <s v=""/>
    <s v=""/>
    <n v="94"/>
    <n v="61"/>
    <s v=""/>
    <s v=""/>
    <s v=""/>
    <s v=""/>
    <s v=""/>
    <s v=""/>
    <n v="68"/>
    <s v=""/>
    <n v="71"/>
    <s v=""/>
    <s v=""/>
    <x v="0"/>
  </r>
  <r>
    <s v="E"/>
    <n v="95010400678"/>
    <s v=""/>
    <s v=""/>
    <n v="70"/>
    <s v=""/>
    <s v=""/>
    <s v=""/>
    <n v="94"/>
    <n v="73"/>
    <s v=""/>
    <s v=""/>
    <s v=""/>
    <s v=""/>
    <s v=""/>
    <s v=""/>
    <n v="90"/>
    <n v="70"/>
    <n v="59"/>
    <s v=""/>
    <s v=""/>
    <x v="1"/>
  </r>
  <r>
    <s v="E"/>
    <n v="95012402890"/>
    <s v=""/>
    <s v=""/>
    <n v="53"/>
    <s v=""/>
    <s v=""/>
    <s v=""/>
    <n v="96"/>
    <n v="67"/>
    <s v=""/>
    <s v=""/>
    <s v=""/>
    <s v=""/>
    <s v=""/>
    <s v=""/>
    <n v="90"/>
    <n v="40"/>
    <n v="64"/>
    <s v=""/>
    <s v=""/>
    <x v="1"/>
  </r>
  <r>
    <s v="E"/>
    <n v="95012801194"/>
    <s v=""/>
    <s v=""/>
    <n v="75"/>
    <s v=""/>
    <s v=""/>
    <n v="78"/>
    <n v="98"/>
    <n v="96"/>
    <s v=""/>
    <s v=""/>
    <s v=""/>
    <s v=""/>
    <s v=""/>
    <s v=""/>
    <n v="100"/>
    <n v="90"/>
    <n v="80"/>
    <s v=""/>
    <s v=""/>
    <x v="1"/>
  </r>
  <r>
    <s v="E"/>
    <n v="95012904927"/>
    <s v=""/>
    <s v=""/>
    <n v="82"/>
    <s v=""/>
    <s v=""/>
    <s v=""/>
    <n v="100"/>
    <n v="91"/>
    <s v=""/>
    <s v=""/>
    <s v=""/>
    <s v=""/>
    <s v=""/>
    <s v=""/>
    <n v="86"/>
    <n v="80"/>
    <n v="84"/>
    <s v=""/>
    <s v=""/>
    <x v="0"/>
  </r>
  <r>
    <s v="E"/>
    <n v="95020904777"/>
    <s v=""/>
    <s v=""/>
    <n v="32"/>
    <s v=""/>
    <s v=""/>
    <s v=""/>
    <n v="96"/>
    <n v="74"/>
    <s v=""/>
    <s v=""/>
    <s v=""/>
    <s v=""/>
    <s v=""/>
    <s v=""/>
    <n v="82"/>
    <s v=""/>
    <n v="60"/>
    <n v="25"/>
    <s v=""/>
    <x v="1"/>
  </r>
  <r>
    <s v="E"/>
    <n v="95021601338"/>
    <s v=""/>
    <s v=""/>
    <n v="77"/>
    <s v=""/>
    <s v=""/>
    <n v="88"/>
    <n v="98"/>
    <n v="76"/>
    <s v=""/>
    <s v=""/>
    <s v=""/>
    <s v=""/>
    <s v=""/>
    <s v=""/>
    <n v="98"/>
    <n v="68"/>
    <n v="73"/>
    <s v=""/>
    <s v=""/>
    <x v="1"/>
  </r>
  <r>
    <s v="E"/>
    <n v="95032801943"/>
    <s v=""/>
    <s v=""/>
    <n v="70"/>
    <s v=""/>
    <s v=""/>
    <s v=""/>
    <n v="97"/>
    <n v="65"/>
    <s v=""/>
    <s v=""/>
    <s v=""/>
    <s v=""/>
    <s v=""/>
    <s v=""/>
    <n v="94"/>
    <n v="78"/>
    <n v="76"/>
    <s v=""/>
    <s v=""/>
    <x v="0"/>
  </r>
  <r>
    <s v="E"/>
    <n v="95032801950"/>
    <s v=""/>
    <s v=""/>
    <n v="32"/>
    <s v=""/>
    <s v=""/>
    <s v=""/>
    <n v="95"/>
    <n v="75"/>
    <s v=""/>
    <s v=""/>
    <s v=""/>
    <s v=""/>
    <s v=""/>
    <s v=""/>
    <n v="72"/>
    <n v="58"/>
    <n v="54"/>
    <s v=""/>
    <s v=""/>
    <x v="1"/>
  </r>
  <r>
    <s v="E"/>
    <n v="95040804338"/>
    <n v="37"/>
    <s v=""/>
    <n v="37"/>
    <s v=""/>
    <s v=""/>
    <s v=""/>
    <n v="96"/>
    <n v="84"/>
    <s v=""/>
    <s v=""/>
    <s v=""/>
    <s v=""/>
    <s v=""/>
    <s v=""/>
    <n v="86"/>
    <s v=""/>
    <n v="53"/>
    <s v=""/>
    <s v=""/>
    <x v="1"/>
  </r>
  <r>
    <s v="E"/>
    <n v="95050803734"/>
    <s v=""/>
    <s v=""/>
    <n v="75"/>
    <s v=""/>
    <s v=""/>
    <s v=""/>
    <n v="98"/>
    <n v="94"/>
    <s v=""/>
    <s v=""/>
    <s v=""/>
    <s v=""/>
    <s v=""/>
    <s v=""/>
    <n v="84"/>
    <n v="82"/>
    <n v="56"/>
    <s v=""/>
    <s v=""/>
    <x v="1"/>
  </r>
  <r>
    <s v="E"/>
    <n v="95052200645"/>
    <s v=""/>
    <s v=""/>
    <n v="92"/>
    <s v=""/>
    <s v=""/>
    <s v=""/>
    <n v="98"/>
    <n v="86"/>
    <s v=""/>
    <s v=""/>
    <s v=""/>
    <s v=""/>
    <s v=""/>
    <s v=""/>
    <n v="94"/>
    <n v="88"/>
    <n v="77"/>
    <s v=""/>
    <s v=""/>
    <x v="0"/>
  </r>
  <r>
    <s v="E"/>
    <n v="95052901713"/>
    <s v=""/>
    <s v=""/>
    <s v=""/>
    <n v="45"/>
    <s v=""/>
    <s v=""/>
    <n v="100"/>
    <n v="80"/>
    <s v=""/>
    <s v=""/>
    <s v=""/>
    <s v=""/>
    <s v=""/>
    <s v=""/>
    <n v="78"/>
    <n v="36"/>
    <n v="30"/>
    <s v=""/>
    <s v=""/>
    <x v="1"/>
  </r>
  <r>
    <s v="E"/>
    <n v="95060303600"/>
    <s v=""/>
    <s v=""/>
    <s v=""/>
    <s v=""/>
    <s v=""/>
    <s v=""/>
    <n v="100"/>
    <n v="94"/>
    <n v="99"/>
    <s v=""/>
    <s v=""/>
    <s v=""/>
    <s v=""/>
    <s v=""/>
    <n v="80"/>
    <n v="74"/>
    <n v="74"/>
    <s v=""/>
    <s v=""/>
    <x v="0"/>
  </r>
  <r>
    <s v="E"/>
    <n v="95060705327"/>
    <s v=""/>
    <s v=""/>
    <s v=""/>
    <s v=""/>
    <s v=""/>
    <s v=""/>
    <n v="98"/>
    <n v="78"/>
    <s v=""/>
    <s v=""/>
    <s v=""/>
    <s v=""/>
    <s v=""/>
    <s v=""/>
    <n v="64"/>
    <s v=""/>
    <n v="54"/>
    <s v=""/>
    <s v=""/>
    <x v="0"/>
  </r>
  <r>
    <s v="E"/>
    <n v="95060913018"/>
    <s v=""/>
    <s v=""/>
    <n v="72"/>
    <s v=""/>
    <s v=""/>
    <s v=""/>
    <n v="98"/>
    <n v="79"/>
    <s v=""/>
    <s v=""/>
    <s v=""/>
    <s v=""/>
    <s v=""/>
    <s v=""/>
    <n v="100"/>
    <n v="78"/>
    <n v="64"/>
    <s v=""/>
    <s v=""/>
    <x v="1"/>
  </r>
  <r>
    <s v="E"/>
    <n v="95072510054"/>
    <s v=""/>
    <s v=""/>
    <n v="62"/>
    <s v=""/>
    <s v=""/>
    <s v=""/>
    <n v="100"/>
    <n v="75"/>
    <s v=""/>
    <s v=""/>
    <s v=""/>
    <s v=""/>
    <s v=""/>
    <s v=""/>
    <n v="92"/>
    <n v="38"/>
    <n v="74"/>
    <s v=""/>
    <s v=""/>
    <x v="1"/>
  </r>
  <r>
    <s v="E"/>
    <n v="95080407818"/>
    <s v=""/>
    <s v=""/>
    <s v=""/>
    <s v=""/>
    <s v=""/>
    <n v="70"/>
    <n v="98"/>
    <n v="79"/>
    <s v=""/>
    <s v=""/>
    <s v=""/>
    <s v=""/>
    <s v=""/>
    <s v=""/>
    <n v="94"/>
    <n v="62"/>
    <n v="59"/>
    <s v=""/>
    <s v=""/>
    <x v="1"/>
  </r>
  <r>
    <s v="E"/>
    <n v="95080805098"/>
    <s v=""/>
    <s v=""/>
    <n v="48"/>
    <s v=""/>
    <s v=""/>
    <s v=""/>
    <n v="84"/>
    <n v="28"/>
    <s v=""/>
    <s v=""/>
    <s v=""/>
    <s v=""/>
    <s v=""/>
    <s v=""/>
    <n v="88"/>
    <n v="68"/>
    <n v="51"/>
    <s v=""/>
    <s v=""/>
    <x v="1"/>
  </r>
  <r>
    <s v="E"/>
    <n v="95081600791"/>
    <s v=""/>
    <s v=""/>
    <n v="62"/>
    <s v=""/>
    <s v=""/>
    <s v=""/>
    <n v="98"/>
    <n v="79"/>
    <s v=""/>
    <s v=""/>
    <s v=""/>
    <s v=""/>
    <s v=""/>
    <s v=""/>
    <n v="100"/>
    <n v="66"/>
    <n v="51"/>
    <s v=""/>
    <s v=""/>
    <x v="1"/>
  </r>
  <r>
    <s v="E"/>
    <n v="95082906797"/>
    <s v=""/>
    <s v=""/>
    <n v="67"/>
    <s v=""/>
    <s v=""/>
    <s v=""/>
    <n v="100"/>
    <n v="85"/>
    <s v=""/>
    <s v=""/>
    <s v=""/>
    <s v=""/>
    <s v=""/>
    <s v=""/>
    <n v="92"/>
    <n v="70"/>
    <n v="63"/>
    <s v=""/>
    <s v=""/>
    <x v="1"/>
  </r>
  <r>
    <s v="E"/>
    <n v="95083100398"/>
    <s v=""/>
    <s v=""/>
    <n v="67"/>
    <s v=""/>
    <s v=""/>
    <s v=""/>
    <n v="100"/>
    <n v="78"/>
    <s v=""/>
    <s v=""/>
    <s v=""/>
    <s v=""/>
    <s v=""/>
    <s v=""/>
    <n v="98"/>
    <n v="68"/>
    <n v="63"/>
    <s v=""/>
    <s v=""/>
    <x v="1"/>
  </r>
  <r>
    <s v="E"/>
    <n v="95091803737"/>
    <s v=""/>
    <s v=""/>
    <s v=""/>
    <s v=""/>
    <s v=""/>
    <n v="98"/>
    <n v="99"/>
    <n v="84"/>
    <s v=""/>
    <s v=""/>
    <s v=""/>
    <s v=""/>
    <s v=""/>
    <s v=""/>
    <n v="96"/>
    <n v="92"/>
    <n v="66"/>
    <s v=""/>
    <s v=""/>
    <x v="1"/>
  </r>
  <r>
    <s v="E"/>
    <n v="95100400649"/>
    <s v=""/>
    <s v=""/>
    <s v=""/>
    <s v=""/>
    <s v=""/>
    <s v=""/>
    <n v="96"/>
    <n v="86"/>
    <s v=""/>
    <s v=""/>
    <s v=""/>
    <s v=""/>
    <s v=""/>
    <s v=""/>
    <n v="94"/>
    <n v="60"/>
    <n v="57"/>
    <s v=""/>
    <s v=""/>
    <x v="0"/>
  </r>
  <r>
    <s v="E"/>
    <n v="95101104184"/>
    <s v=""/>
    <s v=""/>
    <n v="55"/>
    <s v=""/>
    <s v=""/>
    <s v=""/>
    <n v="97"/>
    <n v="92"/>
    <s v=""/>
    <s v=""/>
    <s v=""/>
    <s v=""/>
    <s v=""/>
    <s v=""/>
    <n v="94"/>
    <n v="78"/>
    <n v="63"/>
    <s v=""/>
    <s v=""/>
    <x v="0"/>
  </r>
  <r>
    <s v="E"/>
    <n v="95101303842"/>
    <s v=""/>
    <s v=""/>
    <n v="78"/>
    <s v=""/>
    <s v=""/>
    <s v=""/>
    <n v="98"/>
    <n v="85"/>
    <s v=""/>
    <s v=""/>
    <s v=""/>
    <s v=""/>
    <s v=""/>
    <s v=""/>
    <n v="100"/>
    <n v="92"/>
    <n v="70"/>
    <s v=""/>
    <s v=""/>
    <x v="0"/>
  </r>
  <r>
    <s v="E"/>
    <n v="95101902775"/>
    <s v=""/>
    <s v=""/>
    <s v=""/>
    <s v=""/>
    <s v=""/>
    <n v="52"/>
    <n v="96"/>
    <n v="68"/>
    <s v=""/>
    <s v=""/>
    <s v=""/>
    <s v=""/>
    <s v=""/>
    <s v=""/>
    <n v="94"/>
    <n v="56"/>
    <n v="57"/>
    <s v=""/>
    <s v=""/>
    <x v="1"/>
  </r>
  <r>
    <s v="E"/>
    <n v="95102002757"/>
    <s v=""/>
    <s v=""/>
    <n v="70"/>
    <s v=""/>
    <s v=""/>
    <s v=""/>
    <n v="100"/>
    <n v="86"/>
    <s v=""/>
    <s v=""/>
    <s v=""/>
    <s v=""/>
    <s v=""/>
    <s v=""/>
    <n v="98"/>
    <n v="78"/>
    <n v="90"/>
    <s v=""/>
    <s v=""/>
    <x v="1"/>
  </r>
  <r>
    <s v="E"/>
    <n v="95102301894"/>
    <s v=""/>
    <s v=""/>
    <n v="32"/>
    <s v=""/>
    <s v=""/>
    <s v=""/>
    <n v="96"/>
    <n v="78"/>
    <s v=""/>
    <s v=""/>
    <s v=""/>
    <s v=""/>
    <s v=""/>
    <s v=""/>
    <n v="90"/>
    <n v="74"/>
    <n v="74"/>
    <s v=""/>
    <s v=""/>
    <x v="1"/>
  </r>
  <r>
    <s v="E"/>
    <n v="95112306692"/>
    <s v=""/>
    <s v=""/>
    <n v="75"/>
    <s v=""/>
    <s v=""/>
    <s v=""/>
    <n v="100"/>
    <n v="64"/>
    <s v=""/>
    <s v=""/>
    <s v=""/>
    <s v=""/>
    <s v=""/>
    <s v=""/>
    <n v="92"/>
    <n v="74"/>
    <n v="70"/>
    <s v=""/>
    <s v=""/>
    <x v="1"/>
  </r>
  <r>
    <s v="E"/>
    <n v="95112702337"/>
    <s v=""/>
    <s v=""/>
    <n v="63"/>
    <s v=""/>
    <s v=""/>
    <s v=""/>
    <n v="96"/>
    <s v=""/>
    <s v=""/>
    <s v=""/>
    <s v=""/>
    <s v=""/>
    <s v=""/>
    <s v=""/>
    <n v="96"/>
    <n v="92"/>
    <n v="67"/>
    <s v=""/>
    <s v=""/>
    <x v="1"/>
  </r>
  <r>
    <s v="E"/>
    <n v="95122110962"/>
    <s v=""/>
    <s v=""/>
    <s v=""/>
    <s v=""/>
    <s v=""/>
    <s v=""/>
    <n v="98"/>
    <n v="65"/>
    <s v=""/>
    <s v=""/>
    <s v=""/>
    <s v=""/>
    <s v=""/>
    <s v=""/>
    <n v="94"/>
    <n v="68"/>
    <n v="81"/>
    <s v=""/>
    <s v=""/>
    <x v="0"/>
  </r>
  <r>
    <s v="E"/>
    <n v="95123001771"/>
    <s v=""/>
    <s v=""/>
    <s v=""/>
    <s v=""/>
    <s v=""/>
    <s v=""/>
    <n v="98"/>
    <n v="84"/>
    <s v=""/>
    <s v=""/>
    <s v=""/>
    <s v=""/>
    <s v=""/>
    <s v=""/>
    <n v="82"/>
    <n v="54"/>
    <n v="73"/>
    <s v=""/>
    <s v=""/>
    <x v="1"/>
  </r>
  <r>
    <s v="E"/>
    <n v="96011200502"/>
    <s v=""/>
    <s v=""/>
    <n v="77"/>
    <s v=""/>
    <s v=""/>
    <s v=""/>
    <n v="94"/>
    <n v="86"/>
    <s v=""/>
    <s v=""/>
    <s v=""/>
    <s v=""/>
    <s v=""/>
    <s v=""/>
    <n v="98"/>
    <n v="64"/>
    <n v="59"/>
    <s v=""/>
    <s v=""/>
    <x v="0"/>
  </r>
  <r>
    <s v="H"/>
    <n v="94011110436"/>
    <s v=""/>
    <s v=""/>
    <s v=""/>
    <s v=""/>
    <s v=""/>
    <s v=""/>
    <n v="96"/>
    <s v=""/>
    <s v=""/>
    <s v=""/>
    <n v="97"/>
    <n v="73"/>
    <s v=""/>
    <s v=""/>
    <n v="58"/>
    <s v=""/>
    <n v="69"/>
    <n v="65"/>
    <s v=""/>
    <x v="1"/>
  </r>
  <r>
    <s v="H"/>
    <n v="94013113642"/>
    <s v=""/>
    <s v=""/>
    <s v=""/>
    <s v=""/>
    <s v=""/>
    <s v=""/>
    <n v="96"/>
    <s v=""/>
    <s v=""/>
    <s v=""/>
    <n v="83"/>
    <n v="61"/>
    <s v=""/>
    <s v=""/>
    <n v="68"/>
    <s v=""/>
    <n v="69"/>
    <n v="58"/>
    <s v=""/>
    <x v="0"/>
  </r>
  <r>
    <s v="H"/>
    <n v="94020211283"/>
    <s v=""/>
    <s v=""/>
    <s v=""/>
    <s v=""/>
    <s v=""/>
    <s v=""/>
    <n v="88"/>
    <s v=""/>
    <s v=""/>
    <s v=""/>
    <n v="90"/>
    <n v="65"/>
    <s v=""/>
    <s v=""/>
    <n v="50"/>
    <s v=""/>
    <n v="81"/>
    <n v="58"/>
    <s v=""/>
    <x v="0"/>
  </r>
  <r>
    <s v="H"/>
    <n v="94021306625"/>
    <s v=""/>
    <s v=""/>
    <s v=""/>
    <s v=""/>
    <s v=""/>
    <s v=""/>
    <n v="90"/>
    <s v=""/>
    <s v=""/>
    <s v=""/>
    <n v="84"/>
    <n v="68"/>
    <s v=""/>
    <s v=""/>
    <n v="58"/>
    <s v=""/>
    <n v="76"/>
    <n v="88"/>
    <s v=""/>
    <x v="0"/>
  </r>
  <r>
    <s v="H"/>
    <n v="94030804224"/>
    <s v=""/>
    <s v=""/>
    <s v=""/>
    <n v="85"/>
    <s v=""/>
    <s v=""/>
    <s v=""/>
    <n v="95"/>
    <s v=""/>
    <s v=""/>
    <n v="100"/>
    <s v=""/>
    <s v=""/>
    <s v=""/>
    <n v="82"/>
    <s v=""/>
    <n v="73"/>
    <n v="88"/>
    <s v=""/>
    <x v="0"/>
  </r>
  <r>
    <s v="H"/>
    <n v="94031410644"/>
    <s v=""/>
    <s v=""/>
    <s v=""/>
    <s v=""/>
    <s v=""/>
    <s v=""/>
    <n v="96"/>
    <s v=""/>
    <s v=""/>
    <s v=""/>
    <s v=""/>
    <n v="45"/>
    <s v=""/>
    <s v=""/>
    <n v="74"/>
    <s v=""/>
    <n v="61"/>
    <n v="83"/>
    <s v=""/>
    <x v="0"/>
  </r>
  <r>
    <s v="H"/>
    <n v="94040607118"/>
    <s v=""/>
    <s v=""/>
    <s v=""/>
    <s v=""/>
    <s v=""/>
    <s v=""/>
    <n v="94"/>
    <n v="79"/>
    <s v=""/>
    <s v=""/>
    <s v=""/>
    <n v="79"/>
    <s v=""/>
    <s v=""/>
    <n v="64"/>
    <s v=""/>
    <n v="74"/>
    <n v="53"/>
    <s v=""/>
    <x v="1"/>
  </r>
  <r>
    <s v="H"/>
    <n v="94042912726"/>
    <s v=""/>
    <s v=""/>
    <s v=""/>
    <n v="38"/>
    <s v=""/>
    <s v=""/>
    <n v="87"/>
    <n v="69"/>
    <s v=""/>
    <s v=""/>
    <s v=""/>
    <n v="72"/>
    <s v=""/>
    <s v=""/>
    <n v="56"/>
    <s v=""/>
    <n v="54"/>
    <n v="60"/>
    <s v=""/>
    <x v="0"/>
  </r>
  <r>
    <s v="H"/>
    <n v="94060604247"/>
    <n v="62"/>
    <n v="35"/>
    <s v=""/>
    <s v=""/>
    <s v=""/>
    <s v=""/>
    <n v="97"/>
    <s v=""/>
    <s v=""/>
    <s v=""/>
    <n v="92"/>
    <n v="52"/>
    <s v=""/>
    <s v=""/>
    <n v="56"/>
    <s v=""/>
    <n v="67"/>
    <s v=""/>
    <s v=""/>
    <x v="0"/>
  </r>
  <r>
    <s v="H"/>
    <n v="94062703166"/>
    <s v=""/>
    <s v=""/>
    <s v=""/>
    <n v="50"/>
    <s v=""/>
    <s v=""/>
    <n v="92"/>
    <s v=""/>
    <s v=""/>
    <s v=""/>
    <n v="84"/>
    <n v="63"/>
    <s v=""/>
    <s v=""/>
    <n v="54"/>
    <s v=""/>
    <n v="60"/>
    <s v=""/>
    <s v=""/>
    <x v="0"/>
  </r>
  <r>
    <s v="H"/>
    <n v="94063002080"/>
    <s v=""/>
    <s v=""/>
    <s v=""/>
    <n v="82"/>
    <s v=""/>
    <s v=""/>
    <n v="100"/>
    <s v=""/>
    <s v=""/>
    <s v=""/>
    <n v="100"/>
    <s v=""/>
    <s v=""/>
    <s v=""/>
    <n v="100"/>
    <n v="66"/>
    <n v="73"/>
    <n v="85"/>
    <s v=""/>
    <x v="0"/>
  </r>
  <r>
    <s v="H"/>
    <n v="94081102166"/>
    <s v=""/>
    <s v=""/>
    <s v=""/>
    <s v=""/>
    <s v=""/>
    <s v=""/>
    <n v="96"/>
    <s v=""/>
    <s v=""/>
    <s v=""/>
    <s v=""/>
    <n v="79"/>
    <s v=""/>
    <s v=""/>
    <n v="56"/>
    <s v=""/>
    <n v="81"/>
    <n v="83"/>
    <s v=""/>
    <x v="0"/>
  </r>
  <r>
    <s v="H"/>
    <n v="94082703588"/>
    <s v=""/>
    <s v=""/>
    <s v=""/>
    <s v=""/>
    <n v="66"/>
    <s v=""/>
    <n v="94"/>
    <n v="93"/>
    <s v=""/>
    <s v=""/>
    <s v=""/>
    <n v="83"/>
    <s v=""/>
    <s v=""/>
    <n v="78"/>
    <s v=""/>
    <n v="90"/>
    <n v="100"/>
    <s v=""/>
    <x v="0"/>
  </r>
  <r>
    <s v="H"/>
    <n v="94082901146"/>
    <s v=""/>
    <s v=""/>
    <s v=""/>
    <n v="75"/>
    <s v=""/>
    <s v=""/>
    <n v="99"/>
    <n v="83"/>
    <s v=""/>
    <s v=""/>
    <n v="100"/>
    <s v=""/>
    <s v=""/>
    <s v=""/>
    <n v="78"/>
    <n v="30"/>
    <n v="79"/>
    <n v="80"/>
    <s v=""/>
    <x v="0"/>
  </r>
  <r>
    <s v="H"/>
    <n v="94082905447"/>
    <s v=""/>
    <s v=""/>
    <s v=""/>
    <s v=""/>
    <s v=""/>
    <s v=""/>
    <n v="96"/>
    <s v=""/>
    <s v=""/>
    <s v=""/>
    <n v="98"/>
    <n v="96"/>
    <s v=""/>
    <s v=""/>
    <n v="44"/>
    <s v=""/>
    <n v="69"/>
    <s v=""/>
    <s v=""/>
    <x v="0"/>
  </r>
  <r>
    <s v="H"/>
    <n v="94083000868"/>
    <s v=""/>
    <s v=""/>
    <s v=""/>
    <s v=""/>
    <n v="24"/>
    <s v=""/>
    <n v="100"/>
    <n v="63"/>
    <s v=""/>
    <s v=""/>
    <s v=""/>
    <n v="61"/>
    <s v=""/>
    <s v=""/>
    <n v="40"/>
    <s v=""/>
    <n v="76"/>
    <n v="58"/>
    <n v="16"/>
    <x v="0"/>
  </r>
  <r>
    <s v="H"/>
    <n v="94090909307"/>
    <s v=""/>
    <s v=""/>
    <s v=""/>
    <s v=""/>
    <n v="72"/>
    <s v=""/>
    <n v="98"/>
    <n v="76"/>
    <s v=""/>
    <s v=""/>
    <s v=""/>
    <n v="77"/>
    <s v=""/>
    <s v=""/>
    <n v="64"/>
    <s v=""/>
    <n v="79"/>
    <n v="75"/>
    <n v="46"/>
    <x v="0"/>
  </r>
  <r>
    <s v="H"/>
    <n v="94091301085"/>
    <s v=""/>
    <s v=""/>
    <s v=""/>
    <s v=""/>
    <s v=""/>
    <s v=""/>
    <n v="96"/>
    <n v="71"/>
    <s v=""/>
    <s v=""/>
    <s v=""/>
    <n v="70"/>
    <s v=""/>
    <s v=""/>
    <n v="40"/>
    <s v=""/>
    <n v="37"/>
    <n v="55"/>
    <s v=""/>
    <x v="0"/>
  </r>
  <r>
    <s v="H"/>
    <n v="94092207960"/>
    <s v=""/>
    <s v=""/>
    <s v=""/>
    <s v=""/>
    <s v=""/>
    <s v=""/>
    <s v=""/>
    <n v="89"/>
    <s v=""/>
    <s v=""/>
    <n v="96"/>
    <s v=""/>
    <s v=""/>
    <s v=""/>
    <n v="56"/>
    <s v=""/>
    <n v="57"/>
    <n v="63"/>
    <s v=""/>
    <x v="0"/>
  </r>
  <r>
    <s v="H"/>
    <n v="94100706007"/>
    <s v=""/>
    <s v=""/>
    <s v=""/>
    <s v=""/>
    <s v=""/>
    <s v=""/>
    <s v=""/>
    <n v="74"/>
    <s v=""/>
    <s v=""/>
    <n v="98"/>
    <s v=""/>
    <s v=""/>
    <s v=""/>
    <n v="66"/>
    <s v=""/>
    <n v="56"/>
    <s v=""/>
    <s v=""/>
    <x v="0"/>
  </r>
  <r>
    <s v="H"/>
    <n v="94102604723"/>
    <s v=""/>
    <s v=""/>
    <s v=""/>
    <s v=""/>
    <s v=""/>
    <s v=""/>
    <s v=""/>
    <s v=""/>
    <s v=""/>
    <n v="73"/>
    <n v="98"/>
    <n v="82"/>
    <s v=""/>
    <s v=""/>
    <n v="68"/>
    <s v=""/>
    <n v="50"/>
    <n v="70"/>
    <s v=""/>
    <x v="0"/>
  </r>
  <r>
    <s v="H"/>
    <n v="94103100907"/>
    <n v="18"/>
    <n v="12"/>
    <s v=""/>
    <s v=""/>
    <s v=""/>
    <s v=""/>
    <n v="70"/>
    <s v=""/>
    <s v=""/>
    <s v=""/>
    <n v="58"/>
    <s v=""/>
    <s v=""/>
    <s v=""/>
    <n v="58"/>
    <s v=""/>
    <n v="43"/>
    <s v=""/>
    <s v=""/>
    <x v="0"/>
  </r>
  <r>
    <s v="H"/>
    <n v="94110205866"/>
    <s v=""/>
    <s v=""/>
    <s v=""/>
    <s v=""/>
    <s v=""/>
    <s v=""/>
    <s v=""/>
    <n v="78"/>
    <s v=""/>
    <s v=""/>
    <n v="100"/>
    <s v=""/>
    <s v=""/>
    <s v=""/>
    <n v="96"/>
    <n v="40"/>
    <n v="80"/>
    <s v=""/>
    <s v=""/>
    <x v="0"/>
  </r>
  <r>
    <s v="H"/>
    <n v="94121203482"/>
    <s v=""/>
    <s v=""/>
    <s v=""/>
    <s v=""/>
    <s v=""/>
    <s v=""/>
    <n v="90"/>
    <s v=""/>
    <s v=""/>
    <s v=""/>
    <n v="92"/>
    <n v="71"/>
    <s v=""/>
    <s v=""/>
    <n v="38"/>
    <s v=""/>
    <n v="47"/>
    <n v="58"/>
    <s v=""/>
    <x v="0"/>
  </r>
  <r>
    <s v="H"/>
    <n v="94121709025"/>
    <s v=""/>
    <s v=""/>
    <s v=""/>
    <n v="53"/>
    <s v=""/>
    <s v=""/>
    <n v="98"/>
    <n v="66"/>
    <s v=""/>
    <s v=""/>
    <s v=""/>
    <n v="67"/>
    <s v=""/>
    <s v=""/>
    <n v="62"/>
    <s v=""/>
    <n v="71"/>
    <n v="63"/>
    <s v=""/>
    <x v="0"/>
  </r>
  <r>
    <s v="H"/>
    <n v="95011300625"/>
    <s v=""/>
    <s v=""/>
    <s v=""/>
    <n v="52"/>
    <s v=""/>
    <s v=""/>
    <n v="98"/>
    <s v=""/>
    <s v=""/>
    <s v=""/>
    <n v="93"/>
    <n v="70"/>
    <s v=""/>
    <s v=""/>
    <n v="58"/>
    <n v="36"/>
    <n v="41"/>
    <s v=""/>
    <s v=""/>
    <x v="0"/>
  </r>
  <r>
    <s v="H"/>
    <n v="95032804489"/>
    <n v="43"/>
    <n v="43"/>
    <s v=""/>
    <s v=""/>
    <s v=""/>
    <s v=""/>
    <n v="95"/>
    <s v=""/>
    <s v=""/>
    <s v=""/>
    <s v=""/>
    <n v="70"/>
    <s v=""/>
    <s v=""/>
    <n v="62"/>
    <s v=""/>
    <n v="59"/>
    <s v=""/>
    <s v="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n v="95010405222"/>
    <n v="52"/>
    <s v=""/>
    <s v=""/>
    <s v=""/>
    <s v=""/>
    <s v=""/>
    <n v="100"/>
    <n v="91"/>
    <s v=""/>
    <n v="88"/>
    <s v=""/>
    <s v=""/>
    <s v=""/>
    <s v=""/>
    <n v="80"/>
    <s v=""/>
    <n v="67"/>
    <s v=""/>
    <s v=""/>
    <x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</r>
  <r>
    <x v="0"/>
    <n v="95011310048"/>
    <n v="33"/>
    <n v="52"/>
    <s v=""/>
    <s v=""/>
    <s v=""/>
    <s v=""/>
    <n v="73"/>
    <s v=""/>
    <s v=""/>
    <s v=""/>
    <s v=""/>
    <s v=""/>
    <s v=""/>
    <s v=""/>
    <n v="56"/>
    <s v=""/>
    <n v="40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12311345"/>
    <n v="70"/>
    <n v="58"/>
    <s v=""/>
    <s v=""/>
    <s v=""/>
    <s v=""/>
    <n v="92"/>
    <s v=""/>
    <s v=""/>
    <s v=""/>
    <s v=""/>
    <s v=""/>
    <s v=""/>
    <s v=""/>
    <n v="60"/>
    <s v=""/>
    <n v="61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30607404"/>
    <n v="90"/>
    <n v="78"/>
    <s v=""/>
    <s v=""/>
    <s v=""/>
    <s v=""/>
    <n v="98"/>
    <n v="68"/>
    <s v=""/>
    <s v=""/>
    <s v=""/>
    <s v=""/>
    <s v=""/>
    <s v=""/>
    <n v="70"/>
    <s v=""/>
    <n v="73"/>
    <s v=""/>
    <s v=""/>
    <x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0"/>
    <n v="95031506511"/>
    <n v="62"/>
    <n v="62"/>
    <s v=""/>
    <s v=""/>
    <s v=""/>
    <s v=""/>
    <n v="87"/>
    <s v=""/>
    <s v=""/>
    <s v=""/>
    <s v=""/>
    <s v=""/>
    <s v=""/>
    <s v=""/>
    <n v="70"/>
    <s v=""/>
    <n v="51"/>
    <s v=""/>
    <s v=""/>
    <x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31714219"/>
    <n v="65"/>
    <n v="65"/>
    <s v=""/>
    <s v=""/>
    <s v=""/>
    <s v=""/>
    <n v="75"/>
    <s v=""/>
    <s v=""/>
    <s v=""/>
    <s v=""/>
    <s v=""/>
    <s v=""/>
    <s v=""/>
    <n v="48"/>
    <s v=""/>
    <n v="40"/>
    <s v=""/>
    <s v=""/>
    <x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32402083"/>
    <s v=""/>
    <n v="58"/>
    <s v=""/>
    <s v=""/>
    <s v=""/>
    <s v=""/>
    <n v="96"/>
    <n v="61"/>
    <s v=""/>
    <s v=""/>
    <s v=""/>
    <s v=""/>
    <s v=""/>
    <s v=""/>
    <n v="94"/>
    <n v="34"/>
    <n v="74"/>
    <s v=""/>
    <s v=""/>
    <x v="0"/>
    <n v="0"/>
    <n v="1"/>
    <n v="0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0"/>
    <n v="95032701960"/>
    <n v="77"/>
    <n v="85"/>
    <s v=""/>
    <s v=""/>
    <s v=""/>
    <s v=""/>
    <n v="96"/>
    <s v=""/>
    <s v=""/>
    <s v=""/>
    <s v=""/>
    <s v=""/>
    <s v=""/>
    <s v=""/>
    <n v="96"/>
    <s v=""/>
    <n v="77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40412034"/>
    <n v="93"/>
    <n v="67"/>
    <s v=""/>
    <s v=""/>
    <s v=""/>
    <s v=""/>
    <n v="84"/>
    <s v=""/>
    <s v=""/>
    <s v=""/>
    <s v=""/>
    <s v=""/>
    <s v=""/>
    <s v=""/>
    <n v="86"/>
    <s v=""/>
    <n v="73"/>
    <s v=""/>
    <s v=""/>
    <x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40908766"/>
    <n v="57"/>
    <n v="47"/>
    <s v=""/>
    <s v=""/>
    <s v=""/>
    <s v=""/>
    <n v="87"/>
    <s v=""/>
    <s v=""/>
    <s v=""/>
    <s v=""/>
    <s v=""/>
    <s v=""/>
    <s v=""/>
    <n v="40"/>
    <s v=""/>
    <n v="43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41309368"/>
    <n v="60"/>
    <s v=""/>
    <s v=""/>
    <s v=""/>
    <s v=""/>
    <s v=""/>
    <n v="96"/>
    <n v="89"/>
    <s v=""/>
    <s v=""/>
    <s v=""/>
    <s v=""/>
    <s v=""/>
    <s v=""/>
    <n v="70"/>
    <s v=""/>
    <n v="76"/>
    <s v=""/>
    <s v=""/>
    <x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n v="95052600643"/>
    <s v=""/>
    <s v=""/>
    <s v=""/>
    <n v="90"/>
    <s v=""/>
    <s v=""/>
    <n v="100"/>
    <n v="100"/>
    <s v=""/>
    <s v=""/>
    <s v=""/>
    <s v=""/>
    <n v="100"/>
    <s v=""/>
    <n v="98"/>
    <n v="86"/>
    <n v="80"/>
    <s v="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0"/>
    <n v="95061500402"/>
    <n v="95"/>
    <n v="88"/>
    <s v=""/>
    <s v=""/>
    <s v=""/>
    <s v=""/>
    <n v="92"/>
    <s v=""/>
    <s v=""/>
    <s v=""/>
    <s v=""/>
    <s v=""/>
    <s v=""/>
    <s v=""/>
    <n v="92"/>
    <s v=""/>
    <n v="79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61702842"/>
    <n v="75"/>
    <n v="67"/>
    <s v=""/>
    <s v=""/>
    <s v=""/>
    <s v=""/>
    <n v="91"/>
    <s v=""/>
    <s v=""/>
    <s v=""/>
    <s v=""/>
    <s v=""/>
    <s v=""/>
    <s v=""/>
    <n v="88"/>
    <s v=""/>
    <n v="59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62301712"/>
    <n v="85"/>
    <n v="83"/>
    <n v="48"/>
    <s v=""/>
    <s v=""/>
    <s v=""/>
    <n v="94"/>
    <s v=""/>
    <s v=""/>
    <s v=""/>
    <s v=""/>
    <s v=""/>
    <s v=""/>
    <s v=""/>
    <n v="92"/>
    <s v=""/>
    <n v="56"/>
    <s v=""/>
    <s v=""/>
    <x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0"/>
    <n v="95071508265"/>
    <n v="62"/>
    <n v="48"/>
    <s v=""/>
    <s v=""/>
    <s v=""/>
    <s v=""/>
    <n v="85"/>
    <s v=""/>
    <s v=""/>
    <s v=""/>
    <s v=""/>
    <s v=""/>
    <s v=""/>
    <s v=""/>
    <n v="58"/>
    <s v=""/>
    <n v="59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71807500"/>
    <n v="68"/>
    <n v="62"/>
    <s v=""/>
    <s v=""/>
    <s v=""/>
    <s v=""/>
    <n v="99"/>
    <n v="93"/>
    <s v=""/>
    <s v=""/>
    <s v=""/>
    <s v=""/>
    <s v=""/>
    <s v=""/>
    <n v="78"/>
    <s v=""/>
    <n v="54"/>
    <s v=""/>
    <s v=""/>
    <x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0"/>
    <n v="95072900844"/>
    <n v="55"/>
    <n v="62"/>
    <s v=""/>
    <s v=""/>
    <s v=""/>
    <s v=""/>
    <n v="96"/>
    <n v="86"/>
    <s v=""/>
    <s v=""/>
    <s v=""/>
    <s v=""/>
    <s v=""/>
    <s v=""/>
    <n v="92"/>
    <s v=""/>
    <n v="73"/>
    <s v=""/>
    <s v=""/>
    <x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0"/>
    <n v="95073111506"/>
    <n v="68"/>
    <n v="45"/>
    <s v=""/>
    <s v=""/>
    <s v=""/>
    <s v=""/>
    <n v="92"/>
    <s v=""/>
    <s v=""/>
    <s v=""/>
    <s v=""/>
    <s v=""/>
    <s v=""/>
    <s v=""/>
    <n v="78"/>
    <s v=""/>
    <n v="56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80409087"/>
    <n v="78"/>
    <s v=""/>
    <s v=""/>
    <s v=""/>
    <s v=""/>
    <s v=""/>
    <n v="95"/>
    <n v="77"/>
    <s v=""/>
    <s v=""/>
    <s v=""/>
    <s v=""/>
    <s v=""/>
    <s v=""/>
    <n v="64"/>
    <s v=""/>
    <n v="84"/>
    <s v=""/>
    <s v=""/>
    <x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n v="95081008322"/>
    <n v="72"/>
    <n v="68"/>
    <s v=""/>
    <s v=""/>
    <s v=""/>
    <s v=""/>
    <n v="92"/>
    <s v=""/>
    <s v=""/>
    <s v=""/>
    <s v=""/>
    <s v=""/>
    <s v=""/>
    <s v=""/>
    <n v="70"/>
    <s v=""/>
    <n v="64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81802841"/>
    <n v="55"/>
    <n v="50"/>
    <s v=""/>
    <s v=""/>
    <s v=""/>
    <s v=""/>
    <n v="84"/>
    <s v=""/>
    <s v=""/>
    <s v=""/>
    <s v=""/>
    <s v=""/>
    <s v=""/>
    <s v=""/>
    <n v="58"/>
    <s v=""/>
    <n v="54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82400949"/>
    <n v="67"/>
    <n v="60"/>
    <s v=""/>
    <s v=""/>
    <s v=""/>
    <s v=""/>
    <n v="92"/>
    <s v=""/>
    <s v=""/>
    <s v=""/>
    <s v=""/>
    <s v=""/>
    <s v=""/>
    <s v=""/>
    <n v="76"/>
    <s v=""/>
    <n v="50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82502641"/>
    <n v="45"/>
    <n v="30"/>
    <s v=""/>
    <s v=""/>
    <s v=""/>
    <s v=""/>
    <n v="61"/>
    <s v=""/>
    <s v=""/>
    <s v=""/>
    <s v=""/>
    <s v=""/>
    <s v=""/>
    <s v=""/>
    <n v="50"/>
    <s v=""/>
    <n v="33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090501360"/>
    <n v="83"/>
    <n v="50"/>
    <s v=""/>
    <s v=""/>
    <s v=""/>
    <s v=""/>
    <n v="100"/>
    <n v="83"/>
    <s v=""/>
    <s v=""/>
    <s v=""/>
    <s v=""/>
    <s v=""/>
    <s v=""/>
    <n v="62"/>
    <s v=""/>
    <n v="76"/>
    <s v=""/>
    <s v=""/>
    <x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0"/>
    <n v="95091604864"/>
    <n v="80"/>
    <s v=""/>
    <s v=""/>
    <s v=""/>
    <s v=""/>
    <s v=""/>
    <n v="99"/>
    <n v="83"/>
    <s v=""/>
    <s v=""/>
    <s v=""/>
    <s v=""/>
    <s v=""/>
    <s v=""/>
    <n v="72"/>
    <s v=""/>
    <n v="84"/>
    <s v=""/>
    <s v=""/>
    <x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n v="95110304166"/>
    <n v="70"/>
    <n v="60"/>
    <s v=""/>
    <s v=""/>
    <s v=""/>
    <s v=""/>
    <n v="91"/>
    <s v=""/>
    <s v=""/>
    <s v=""/>
    <s v=""/>
    <s v=""/>
    <s v=""/>
    <s v=""/>
    <n v="80"/>
    <s v=""/>
    <n v="74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110400947"/>
    <s v=""/>
    <s v=""/>
    <n v="55"/>
    <s v=""/>
    <s v=""/>
    <s v=""/>
    <n v="96"/>
    <n v="86"/>
    <s v=""/>
    <s v=""/>
    <s v=""/>
    <s v=""/>
    <s v=""/>
    <s v=""/>
    <n v="86"/>
    <s v=""/>
    <n v="64"/>
    <s v=""/>
    <s v=""/>
    <x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n v="95111004447"/>
    <n v="73"/>
    <n v="78"/>
    <s v=""/>
    <s v=""/>
    <s v=""/>
    <s v=""/>
    <n v="96"/>
    <s v=""/>
    <s v=""/>
    <s v=""/>
    <s v=""/>
    <s v=""/>
    <s v=""/>
    <s v=""/>
    <n v="82"/>
    <s v=""/>
    <n v="60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112301543"/>
    <n v="80"/>
    <n v="60"/>
    <s v=""/>
    <s v=""/>
    <s v=""/>
    <s v=""/>
    <n v="88"/>
    <n v="67"/>
    <s v=""/>
    <s v=""/>
    <s v=""/>
    <s v=""/>
    <s v=""/>
    <s v=""/>
    <n v="80"/>
    <s v=""/>
    <n v="63"/>
    <s v=""/>
    <s v=""/>
    <x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0"/>
    <n v="95120101108"/>
    <n v="93"/>
    <n v="88"/>
    <s v=""/>
    <s v=""/>
    <s v=""/>
    <s v=""/>
    <n v="100"/>
    <n v="76"/>
    <s v=""/>
    <s v=""/>
    <s v=""/>
    <s v=""/>
    <s v=""/>
    <s v=""/>
    <n v="92"/>
    <s v=""/>
    <n v="76"/>
    <s v=""/>
    <s v=""/>
    <x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0"/>
    <n v="95120600768"/>
    <n v="85"/>
    <n v="93"/>
    <n v="82"/>
    <s v=""/>
    <s v=""/>
    <s v=""/>
    <n v="96"/>
    <s v=""/>
    <s v=""/>
    <s v=""/>
    <s v=""/>
    <s v=""/>
    <s v=""/>
    <s v=""/>
    <n v="94"/>
    <n v="74"/>
    <n v="66"/>
    <s v=""/>
    <s v=""/>
    <x v="0"/>
    <n v="1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1"/>
  </r>
  <r>
    <x v="0"/>
    <n v="95120903939"/>
    <n v="90"/>
    <n v="82"/>
    <s v=""/>
    <s v=""/>
    <s v=""/>
    <s v=""/>
    <n v="92"/>
    <s v=""/>
    <s v=""/>
    <s v=""/>
    <s v=""/>
    <s v=""/>
    <s v=""/>
    <s v=""/>
    <n v="86"/>
    <s v=""/>
    <n v="63"/>
    <s v=""/>
    <s v=""/>
    <x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95122401008"/>
    <n v="87"/>
    <s v=""/>
    <s v=""/>
    <s v=""/>
    <s v=""/>
    <s v=""/>
    <n v="100"/>
    <s v=""/>
    <s v=""/>
    <s v=""/>
    <s v=""/>
    <s v=""/>
    <s v=""/>
    <s v=""/>
    <n v="82"/>
    <s v=""/>
    <n v="79"/>
    <n v="73"/>
    <n v="64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x v="1"/>
    <n v="95011505013"/>
    <s v=""/>
    <s v=""/>
    <s v=""/>
    <s v=""/>
    <s v=""/>
    <s v=""/>
    <n v="93"/>
    <n v="60"/>
    <s v=""/>
    <s v=""/>
    <s v=""/>
    <s v=""/>
    <s v=""/>
    <s v=""/>
    <n v="46"/>
    <s v=""/>
    <n v="60"/>
    <n v="75"/>
    <s v=""/>
    <x v="1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</r>
  <r>
    <x v="1"/>
    <n v="95012403389"/>
    <s v=""/>
    <s v=""/>
    <s v=""/>
    <s v=""/>
    <s v=""/>
    <s v=""/>
    <n v="96"/>
    <n v="87"/>
    <s v=""/>
    <s v=""/>
    <s v=""/>
    <s v=""/>
    <s v=""/>
    <s v=""/>
    <n v="50"/>
    <s v=""/>
    <n v="40"/>
    <n v="70"/>
    <n v="44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1"/>
  </r>
  <r>
    <x v="1"/>
    <n v="95020804428"/>
    <s v=""/>
    <s v=""/>
    <s v=""/>
    <s v=""/>
    <n v="92"/>
    <s v=""/>
    <n v="100"/>
    <n v="81"/>
    <s v=""/>
    <s v=""/>
    <s v=""/>
    <s v=""/>
    <s v=""/>
    <s v=""/>
    <n v="88"/>
    <s v=""/>
    <n v="57"/>
    <n v="70"/>
    <s v="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</r>
  <r>
    <x v="1"/>
    <n v="95021807901"/>
    <s v=""/>
    <s v=""/>
    <s v=""/>
    <s v=""/>
    <n v="86"/>
    <s v=""/>
    <n v="100"/>
    <n v="90"/>
    <s v=""/>
    <s v=""/>
    <s v=""/>
    <s v=""/>
    <s v=""/>
    <s v=""/>
    <n v="70"/>
    <s v=""/>
    <n v="56"/>
    <n v="68"/>
    <n v="78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1"/>
    <n v="1"/>
  </r>
  <r>
    <x v="1"/>
    <n v="95022105039"/>
    <s v=""/>
    <s v=""/>
    <s v=""/>
    <s v=""/>
    <n v="90"/>
    <s v=""/>
    <n v="96"/>
    <n v="93"/>
    <s v=""/>
    <s v=""/>
    <s v=""/>
    <s v=""/>
    <s v=""/>
    <s v=""/>
    <n v="86"/>
    <n v="36"/>
    <n v="53"/>
    <n v="73"/>
    <n v="100"/>
    <x v="1"/>
    <n v="0"/>
    <n v="0"/>
    <n v="0"/>
    <n v="0"/>
    <n v="1"/>
    <n v="0"/>
    <n v="0"/>
    <n v="1"/>
    <n v="0"/>
    <n v="0"/>
    <n v="0"/>
    <n v="0"/>
    <n v="0"/>
    <n v="0"/>
    <n v="0"/>
    <n v="1"/>
    <n v="0"/>
    <n v="1"/>
    <n v="1"/>
    <n v="1"/>
  </r>
  <r>
    <x v="1"/>
    <n v="95031012300"/>
    <s v=""/>
    <s v=""/>
    <s v=""/>
    <s v=""/>
    <s v=""/>
    <s v=""/>
    <n v="59"/>
    <n v="44"/>
    <s v=""/>
    <s v=""/>
    <s v=""/>
    <s v=""/>
    <s v=""/>
    <s v=""/>
    <n v="34"/>
    <s v=""/>
    <n v="30"/>
    <n v="53"/>
    <n v="34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1"/>
  </r>
  <r>
    <x v="1"/>
    <n v="95032101746"/>
    <s v=""/>
    <s v=""/>
    <s v=""/>
    <s v=""/>
    <n v="88"/>
    <s v=""/>
    <n v="98"/>
    <n v="95"/>
    <s v=""/>
    <s v=""/>
    <s v=""/>
    <s v=""/>
    <s v=""/>
    <n v="69"/>
    <n v="68"/>
    <s v=""/>
    <n v="70"/>
    <n v="80"/>
    <n v="72"/>
    <x v="0"/>
    <n v="0"/>
    <n v="0"/>
    <n v="0"/>
    <n v="0"/>
    <n v="1"/>
    <n v="0"/>
    <n v="0"/>
    <n v="1"/>
    <n v="0"/>
    <n v="0"/>
    <n v="0"/>
    <n v="0"/>
    <n v="0"/>
    <n v="1"/>
    <n v="0"/>
    <n v="0"/>
    <n v="0"/>
    <n v="1"/>
    <n v="1"/>
    <n v="1"/>
  </r>
  <r>
    <x v="1"/>
    <n v="95032204296"/>
    <s v=""/>
    <s v=""/>
    <s v=""/>
    <s v=""/>
    <n v="92"/>
    <s v=""/>
    <n v="93"/>
    <n v="95"/>
    <s v=""/>
    <s v=""/>
    <s v=""/>
    <s v=""/>
    <s v=""/>
    <s v=""/>
    <n v="56"/>
    <s v=""/>
    <n v="79"/>
    <n v="55"/>
    <n v="72"/>
    <x v="1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1"/>
    <n v="1"/>
  </r>
  <r>
    <x v="1"/>
    <n v="95042205755"/>
    <s v=""/>
    <s v=""/>
    <s v=""/>
    <s v=""/>
    <n v="94"/>
    <s v=""/>
    <n v="90"/>
    <n v="67"/>
    <s v=""/>
    <s v=""/>
    <s v=""/>
    <s v=""/>
    <s v=""/>
    <s v=""/>
    <n v="40"/>
    <s v=""/>
    <n v="80"/>
    <n v="60"/>
    <s v=""/>
    <x v="1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</r>
  <r>
    <x v="1"/>
    <n v="95050205185"/>
    <s v=""/>
    <s v=""/>
    <s v=""/>
    <s v=""/>
    <n v="66"/>
    <s v=""/>
    <n v="98"/>
    <n v="67"/>
    <s v=""/>
    <s v=""/>
    <s v=""/>
    <s v=""/>
    <s v=""/>
    <s v=""/>
    <n v="50"/>
    <s v=""/>
    <n v="54"/>
    <n v="80"/>
    <n v="68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1"/>
    <n v="1"/>
  </r>
  <r>
    <x v="1"/>
    <n v="95050904503"/>
    <s v=""/>
    <s v=""/>
    <s v=""/>
    <s v=""/>
    <s v=""/>
    <s v=""/>
    <n v="100"/>
    <n v="92"/>
    <s v=""/>
    <s v=""/>
    <s v=""/>
    <s v=""/>
    <s v=""/>
    <s v=""/>
    <n v="70"/>
    <s v=""/>
    <n v="63"/>
    <n v="45"/>
    <s v="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</r>
  <r>
    <x v="1"/>
    <n v="95051201982"/>
    <s v=""/>
    <s v=""/>
    <s v=""/>
    <s v=""/>
    <s v=""/>
    <s v=""/>
    <n v="96"/>
    <n v="63"/>
    <s v=""/>
    <s v=""/>
    <s v=""/>
    <s v=""/>
    <s v=""/>
    <s v=""/>
    <n v="64"/>
    <s v=""/>
    <n v="63"/>
    <n v="58"/>
    <n v="48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1"/>
  </r>
  <r>
    <x v="1"/>
    <n v="95052501302"/>
    <s v=""/>
    <s v=""/>
    <s v=""/>
    <s v=""/>
    <s v=""/>
    <s v=""/>
    <n v="96"/>
    <n v="69"/>
    <s v=""/>
    <s v=""/>
    <s v=""/>
    <s v=""/>
    <s v=""/>
    <s v=""/>
    <n v="68"/>
    <s v=""/>
    <n v="51"/>
    <n v="70"/>
    <n v="38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1"/>
  </r>
  <r>
    <x v="1"/>
    <n v="95060201793"/>
    <n v="73"/>
    <n v="65"/>
    <s v=""/>
    <s v=""/>
    <s v=""/>
    <s v=""/>
    <n v="80"/>
    <s v=""/>
    <s v=""/>
    <s v=""/>
    <s v=""/>
    <s v=""/>
    <s v=""/>
    <s v=""/>
    <n v="52"/>
    <s v=""/>
    <n v="56"/>
    <s v=""/>
    <s v=""/>
    <x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5062400343"/>
    <n v="50"/>
    <n v="47"/>
    <s v=""/>
    <s v=""/>
    <s v=""/>
    <s v=""/>
    <n v="92"/>
    <s v=""/>
    <s v=""/>
    <s v=""/>
    <s v=""/>
    <s v=""/>
    <s v=""/>
    <s v=""/>
    <n v="58"/>
    <s v=""/>
    <n v="51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95070400070"/>
    <s v=""/>
    <s v=""/>
    <s v=""/>
    <s v=""/>
    <n v="92"/>
    <s v=""/>
    <n v="92"/>
    <n v="59"/>
    <s v=""/>
    <s v=""/>
    <s v=""/>
    <s v=""/>
    <s v=""/>
    <s v=""/>
    <n v="72"/>
    <s v=""/>
    <n v="41"/>
    <n v="60"/>
    <n v="68"/>
    <x v="1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1"/>
    <n v="1"/>
  </r>
  <r>
    <x v="1"/>
    <n v="95080101408"/>
    <n v="73"/>
    <s v=""/>
    <s v=""/>
    <s v=""/>
    <s v=""/>
    <s v=""/>
    <n v="97"/>
    <n v="74"/>
    <s v=""/>
    <s v=""/>
    <s v=""/>
    <s v=""/>
    <s v=""/>
    <s v=""/>
    <n v="56"/>
    <s v=""/>
    <n v="60"/>
    <n v="73"/>
    <s v=""/>
    <x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</r>
  <r>
    <x v="1"/>
    <n v="95080902016"/>
    <s v=""/>
    <s v=""/>
    <s v=""/>
    <s v=""/>
    <n v="80"/>
    <s v=""/>
    <n v="97"/>
    <n v="83"/>
    <s v=""/>
    <s v=""/>
    <s v=""/>
    <s v=""/>
    <s v=""/>
    <s v=""/>
    <n v="44"/>
    <s v=""/>
    <n v="66"/>
    <n v="63"/>
    <s v=""/>
    <x v="1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</r>
  <r>
    <x v="1"/>
    <n v="95081001141"/>
    <n v="35"/>
    <s v=""/>
    <s v=""/>
    <s v=""/>
    <s v=""/>
    <s v=""/>
    <n v="96"/>
    <n v="84"/>
    <s v=""/>
    <s v=""/>
    <s v=""/>
    <s v=""/>
    <s v=""/>
    <s v=""/>
    <n v="32"/>
    <s v=""/>
    <n v="51"/>
    <n v="63"/>
    <s v=""/>
    <x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</r>
  <r>
    <x v="1"/>
    <n v="95081600739"/>
    <s v=""/>
    <s v=""/>
    <s v=""/>
    <n v="47"/>
    <s v=""/>
    <s v=""/>
    <n v="86"/>
    <n v="60"/>
    <s v=""/>
    <s v=""/>
    <s v=""/>
    <s v=""/>
    <s v=""/>
    <s v=""/>
    <n v="66"/>
    <s v=""/>
    <n v="34"/>
    <n v="58"/>
    <n v="58"/>
    <x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1"/>
  </r>
  <r>
    <x v="1"/>
    <n v="95083106189"/>
    <s v=""/>
    <s v=""/>
    <s v=""/>
    <s v=""/>
    <n v="42"/>
    <s v=""/>
    <n v="66"/>
    <s v=""/>
    <s v=""/>
    <s v=""/>
    <s v=""/>
    <s v=""/>
    <s v=""/>
    <s v=""/>
    <n v="64"/>
    <s v=""/>
    <n v="56"/>
    <n v="75"/>
    <s v="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x v="1"/>
    <n v="95092111585"/>
    <s v=""/>
    <s v=""/>
    <s v=""/>
    <s v=""/>
    <n v="76"/>
    <s v=""/>
    <n v="97"/>
    <n v="78"/>
    <s v=""/>
    <s v=""/>
    <s v=""/>
    <s v=""/>
    <s v=""/>
    <s v=""/>
    <n v="72"/>
    <s v=""/>
    <n v="60"/>
    <n v="80"/>
    <s v="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</r>
  <r>
    <x v="1"/>
    <n v="95092712281"/>
    <s v=""/>
    <s v=""/>
    <s v=""/>
    <s v=""/>
    <n v="80"/>
    <s v=""/>
    <n v="78"/>
    <n v="34"/>
    <s v=""/>
    <s v=""/>
    <s v=""/>
    <s v=""/>
    <s v=""/>
    <s v=""/>
    <n v="52"/>
    <s v=""/>
    <n v="46"/>
    <n v="80"/>
    <n v="62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1"/>
    <n v="1"/>
  </r>
  <r>
    <x v="1"/>
    <n v="95100600025"/>
    <s v=""/>
    <s v=""/>
    <s v=""/>
    <s v=""/>
    <s v=""/>
    <s v=""/>
    <n v="65"/>
    <s v=""/>
    <s v=""/>
    <s v=""/>
    <s v=""/>
    <s v=""/>
    <s v=""/>
    <s v=""/>
    <n v="50"/>
    <s v=""/>
    <n v="43"/>
    <n v="78"/>
    <n v="24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</r>
  <r>
    <x v="1"/>
    <n v="95100606458"/>
    <s v=""/>
    <s v=""/>
    <s v=""/>
    <s v=""/>
    <n v="88"/>
    <s v=""/>
    <n v="96"/>
    <n v="92"/>
    <s v=""/>
    <s v=""/>
    <s v=""/>
    <s v=""/>
    <s v=""/>
    <s v=""/>
    <n v="58"/>
    <s v=""/>
    <n v="59"/>
    <n v="53"/>
    <n v="72"/>
    <x v="1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1"/>
    <n v="1"/>
  </r>
  <r>
    <x v="1"/>
    <n v="95100700282"/>
    <s v=""/>
    <s v=""/>
    <s v=""/>
    <s v=""/>
    <n v="76"/>
    <s v=""/>
    <n v="100"/>
    <n v="90"/>
    <s v=""/>
    <s v=""/>
    <s v=""/>
    <s v=""/>
    <n v="100"/>
    <s v=""/>
    <n v="78"/>
    <s v=""/>
    <n v="66"/>
    <n v="75"/>
    <s v="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</r>
  <r>
    <x v="1"/>
    <n v="95101000947"/>
    <s v=""/>
    <s v=""/>
    <s v=""/>
    <s v=""/>
    <n v="96"/>
    <s v=""/>
    <n v="98"/>
    <n v="91"/>
    <s v=""/>
    <s v=""/>
    <s v=""/>
    <s v=""/>
    <s v=""/>
    <s v=""/>
    <n v="72"/>
    <s v=""/>
    <n v="69"/>
    <n v="85"/>
    <s v="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</r>
  <r>
    <x v="1"/>
    <n v="95110605809"/>
    <s v=""/>
    <s v=""/>
    <s v=""/>
    <s v=""/>
    <n v="76"/>
    <s v=""/>
    <n v="99"/>
    <n v="84"/>
    <n v="78"/>
    <s v=""/>
    <s v=""/>
    <s v=""/>
    <s v=""/>
    <s v=""/>
    <n v="70"/>
    <s v=""/>
    <n v="53"/>
    <n v="73"/>
    <s v="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</r>
  <r>
    <x v="1"/>
    <n v="95110704362"/>
    <n v="48"/>
    <n v="17"/>
    <s v=""/>
    <s v=""/>
    <s v=""/>
    <s v=""/>
    <n v="100"/>
    <n v="92"/>
    <s v=""/>
    <s v=""/>
    <s v=""/>
    <s v=""/>
    <s v=""/>
    <s v=""/>
    <n v="60"/>
    <s v=""/>
    <n v="47"/>
    <s v=""/>
    <s v=""/>
    <x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1"/>
    <n v="95111800425"/>
    <s v=""/>
    <s v=""/>
    <s v=""/>
    <s v=""/>
    <n v="80"/>
    <s v=""/>
    <n v="98"/>
    <n v="79"/>
    <s v=""/>
    <s v=""/>
    <s v=""/>
    <s v=""/>
    <s v=""/>
    <s v=""/>
    <n v="66"/>
    <s v=""/>
    <n v="66"/>
    <n v="63"/>
    <n v="60"/>
    <x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1"/>
    <n v="1"/>
  </r>
  <r>
    <x v="1"/>
    <n v="95112902461"/>
    <s v=""/>
    <s v=""/>
    <s v=""/>
    <s v=""/>
    <s v=""/>
    <s v=""/>
    <n v="94"/>
    <n v="66"/>
    <s v=""/>
    <s v=""/>
    <s v=""/>
    <s v=""/>
    <s v=""/>
    <s v=""/>
    <n v="76"/>
    <n v="24"/>
    <n v="44"/>
    <n v="40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1"/>
  </r>
  <r>
    <x v="2"/>
    <n v="94120209724"/>
    <s v=""/>
    <s v=""/>
    <s v=""/>
    <s v=""/>
    <s v=""/>
    <s v=""/>
    <n v="95"/>
    <n v="70"/>
    <s v=""/>
    <s v=""/>
    <n v="51"/>
    <s v=""/>
    <s v=""/>
    <s v=""/>
    <n v="76"/>
    <n v="52"/>
    <n v="49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2"/>
    <n v="95011303864"/>
    <s v=""/>
    <s v=""/>
    <s v=""/>
    <n v="42"/>
    <s v=""/>
    <s v=""/>
    <n v="52"/>
    <s v=""/>
    <s v=""/>
    <s v=""/>
    <s v=""/>
    <s v=""/>
    <s v=""/>
    <s v=""/>
    <n v="76"/>
    <n v="40"/>
    <n v="36"/>
    <s v=""/>
    <s v="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x v="2"/>
    <n v="95012701920"/>
    <s v=""/>
    <s v=""/>
    <s v=""/>
    <n v="77"/>
    <s v=""/>
    <s v=""/>
    <n v="92"/>
    <n v="80"/>
    <n v="68"/>
    <s v=""/>
    <s v=""/>
    <s v=""/>
    <s v=""/>
    <s v=""/>
    <n v="66"/>
    <n v="44"/>
    <n v="54"/>
    <s v="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2"/>
    <n v="95012707551"/>
    <s v=""/>
    <s v=""/>
    <s v=""/>
    <n v="55"/>
    <s v=""/>
    <s v=""/>
    <n v="88"/>
    <s v=""/>
    <s v=""/>
    <s v=""/>
    <s v=""/>
    <s v=""/>
    <s v=""/>
    <s v=""/>
    <n v="72"/>
    <n v="42"/>
    <n v="49"/>
    <s v=""/>
    <s v=""/>
    <x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x v="2"/>
    <n v="95021105139"/>
    <s v=""/>
    <s v=""/>
    <s v=""/>
    <n v="85"/>
    <s v=""/>
    <s v=""/>
    <n v="100"/>
    <n v="81"/>
    <s v=""/>
    <s v=""/>
    <n v="94"/>
    <s v=""/>
    <s v=""/>
    <s v=""/>
    <n v="94"/>
    <n v="52"/>
    <n v="71"/>
    <s v=""/>
    <s v=""/>
    <x v="1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2"/>
    <n v="95021201255"/>
    <s v=""/>
    <s v=""/>
    <s v=""/>
    <n v="68"/>
    <s v=""/>
    <s v=""/>
    <n v="84"/>
    <s v=""/>
    <s v=""/>
    <s v=""/>
    <s v=""/>
    <s v=""/>
    <s v=""/>
    <s v=""/>
    <n v="52"/>
    <n v="14"/>
    <n v="34"/>
    <s v=""/>
    <s v=""/>
    <x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x v="2"/>
    <n v="95021303223"/>
    <s v=""/>
    <s v=""/>
    <s v=""/>
    <n v="60"/>
    <s v=""/>
    <s v=""/>
    <n v="92"/>
    <s v=""/>
    <s v=""/>
    <s v=""/>
    <s v=""/>
    <s v=""/>
    <s v=""/>
    <s v=""/>
    <n v="70"/>
    <n v="32"/>
    <n v="63"/>
    <s v=""/>
    <s v="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x v="2"/>
    <n v="95030407844"/>
    <s v=""/>
    <s v=""/>
    <s v=""/>
    <n v="70"/>
    <s v=""/>
    <s v=""/>
    <n v="94"/>
    <n v="84"/>
    <s v=""/>
    <s v=""/>
    <s v=""/>
    <s v=""/>
    <s v=""/>
    <n v="90"/>
    <n v="88"/>
    <n v="56"/>
    <n v="64"/>
    <s v=""/>
    <s v=""/>
    <x v="0"/>
    <n v="0"/>
    <n v="0"/>
    <n v="0"/>
    <n v="1"/>
    <n v="0"/>
    <n v="0"/>
    <n v="0"/>
    <n v="1"/>
    <n v="0"/>
    <n v="0"/>
    <n v="0"/>
    <n v="0"/>
    <n v="0"/>
    <n v="1"/>
    <n v="0"/>
    <n v="1"/>
    <n v="0"/>
    <n v="0"/>
    <n v="0"/>
    <n v="1"/>
  </r>
  <r>
    <x v="2"/>
    <n v="95040309147"/>
    <s v=""/>
    <s v=""/>
    <s v=""/>
    <n v="38"/>
    <s v=""/>
    <s v=""/>
    <n v="51"/>
    <s v=""/>
    <s v=""/>
    <s v=""/>
    <s v=""/>
    <s v=""/>
    <s v=""/>
    <s v=""/>
    <n v="48"/>
    <s v=""/>
    <n v="49"/>
    <s v=""/>
    <s v="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n v="95040502267"/>
    <s v=""/>
    <s v=""/>
    <s v=""/>
    <n v="83"/>
    <s v=""/>
    <s v=""/>
    <s v=""/>
    <n v="93"/>
    <s v=""/>
    <s v=""/>
    <s v=""/>
    <s v=""/>
    <n v="96"/>
    <s v=""/>
    <n v="72"/>
    <n v="64"/>
    <n v="57"/>
    <s v="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2"/>
    <n v="95040601874"/>
    <s v=""/>
    <s v=""/>
    <s v=""/>
    <n v="93"/>
    <s v=""/>
    <s v=""/>
    <n v="98"/>
    <n v="80"/>
    <n v="80"/>
    <s v=""/>
    <s v=""/>
    <s v=""/>
    <s v=""/>
    <s v=""/>
    <n v="78"/>
    <n v="64"/>
    <n v="63"/>
    <s v=""/>
    <s v=""/>
    <x v="1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2"/>
    <n v="95062703248"/>
    <s v=""/>
    <s v=""/>
    <s v=""/>
    <n v="63"/>
    <s v=""/>
    <s v=""/>
    <n v="88"/>
    <s v=""/>
    <s v=""/>
    <s v=""/>
    <s v=""/>
    <s v=""/>
    <s v=""/>
    <s v=""/>
    <n v="64"/>
    <s v=""/>
    <n v="63"/>
    <n v="43"/>
    <s v="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</r>
  <r>
    <x v="2"/>
    <n v="95062704850"/>
    <s v=""/>
    <s v=""/>
    <s v=""/>
    <n v="65"/>
    <s v=""/>
    <s v=""/>
    <n v="69"/>
    <s v=""/>
    <s v=""/>
    <s v=""/>
    <s v=""/>
    <s v=""/>
    <s v=""/>
    <s v=""/>
    <n v="52"/>
    <s v=""/>
    <n v="51"/>
    <s v=""/>
    <s v="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n v="95070400629"/>
    <s v=""/>
    <s v=""/>
    <s v=""/>
    <n v="50"/>
    <s v=""/>
    <s v=""/>
    <n v="82"/>
    <s v=""/>
    <s v=""/>
    <s v=""/>
    <s v=""/>
    <s v=""/>
    <s v=""/>
    <s v=""/>
    <n v="68"/>
    <n v="36"/>
    <n v="47"/>
    <s v=""/>
    <s v="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x v="2"/>
    <n v="95070600715"/>
    <s v=""/>
    <s v=""/>
    <s v=""/>
    <n v="53"/>
    <s v=""/>
    <s v=""/>
    <n v="100"/>
    <n v="77"/>
    <s v=""/>
    <s v=""/>
    <s v=""/>
    <s v=""/>
    <s v=""/>
    <s v=""/>
    <n v="82"/>
    <n v="38"/>
    <n v="53"/>
    <s v=""/>
    <n v="46"/>
    <x v="1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1"/>
    <n v="1"/>
  </r>
  <r>
    <x v="2"/>
    <n v="95071306764"/>
    <s v=""/>
    <s v=""/>
    <s v=""/>
    <s v=""/>
    <s v=""/>
    <s v=""/>
    <n v="98"/>
    <n v="81"/>
    <s v=""/>
    <s v=""/>
    <s v=""/>
    <s v=""/>
    <s v=""/>
    <s v=""/>
    <n v="88"/>
    <n v="40"/>
    <n v="59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2"/>
    <n v="95071307406"/>
    <s v=""/>
    <s v=""/>
    <s v=""/>
    <n v="70"/>
    <s v=""/>
    <s v=""/>
    <n v="96"/>
    <n v="51"/>
    <s v=""/>
    <s v=""/>
    <s v=""/>
    <s v=""/>
    <s v=""/>
    <s v=""/>
    <n v="76"/>
    <s v=""/>
    <n v="66"/>
    <n v="95"/>
    <s v=""/>
    <x v="0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0"/>
    <n v="1"/>
  </r>
  <r>
    <x v="2"/>
    <n v="95072805323"/>
    <s v=""/>
    <s v=""/>
    <s v=""/>
    <n v="68"/>
    <s v=""/>
    <s v=""/>
    <n v="87"/>
    <n v="55"/>
    <s v=""/>
    <s v=""/>
    <s v=""/>
    <s v=""/>
    <s v=""/>
    <s v=""/>
    <n v="86"/>
    <n v="48"/>
    <n v="63"/>
    <n v="55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1"/>
    <n v="0"/>
    <n v="1"/>
  </r>
  <r>
    <x v="2"/>
    <n v="95072901340"/>
    <s v=""/>
    <s v=""/>
    <s v=""/>
    <s v=""/>
    <s v=""/>
    <s v=""/>
    <n v="91"/>
    <n v="66"/>
    <s v=""/>
    <s v=""/>
    <s v=""/>
    <s v=""/>
    <s v=""/>
    <s v=""/>
    <n v="100"/>
    <n v="66"/>
    <n v="76"/>
    <n v="70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1"/>
  </r>
  <r>
    <x v="2"/>
    <n v="95072901364"/>
    <s v=""/>
    <s v=""/>
    <s v=""/>
    <s v=""/>
    <s v=""/>
    <s v=""/>
    <n v="100"/>
    <n v="92"/>
    <n v="72"/>
    <s v=""/>
    <s v=""/>
    <s v=""/>
    <s v=""/>
    <s v=""/>
    <n v="74"/>
    <n v="52"/>
    <n v="54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2"/>
    <n v="95082206507"/>
    <s v=""/>
    <s v=""/>
    <s v=""/>
    <n v="87"/>
    <s v=""/>
    <s v=""/>
    <n v="98"/>
    <s v=""/>
    <s v=""/>
    <s v=""/>
    <s v=""/>
    <s v=""/>
    <s v=""/>
    <s v=""/>
    <n v="96"/>
    <n v="90"/>
    <n v="91"/>
    <s v=""/>
    <s v="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x v="2"/>
    <n v="95091103271"/>
    <s v=""/>
    <s v=""/>
    <s v=""/>
    <n v="47"/>
    <s v=""/>
    <s v=""/>
    <n v="89"/>
    <s v=""/>
    <s v=""/>
    <s v=""/>
    <s v=""/>
    <s v=""/>
    <s v=""/>
    <s v=""/>
    <n v="76"/>
    <n v="40"/>
    <n v="54"/>
    <s v=""/>
    <s v=""/>
    <x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</r>
  <r>
    <x v="2"/>
    <n v="95092301371"/>
    <s v=""/>
    <s v=""/>
    <s v=""/>
    <s v=""/>
    <s v=""/>
    <s v=""/>
    <n v="94"/>
    <n v="88"/>
    <s v=""/>
    <s v=""/>
    <s v=""/>
    <s v=""/>
    <s v=""/>
    <s v=""/>
    <n v="88"/>
    <n v="46"/>
    <n v="77"/>
    <s v=""/>
    <s v=""/>
    <x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2"/>
    <n v="95100703063"/>
    <s v=""/>
    <s v=""/>
    <s v=""/>
    <n v="68"/>
    <s v=""/>
    <s v=""/>
    <n v="94"/>
    <n v="78"/>
    <s v=""/>
    <s v=""/>
    <s v=""/>
    <s v=""/>
    <n v="96"/>
    <s v=""/>
    <n v="100"/>
    <n v="54"/>
    <n v="50"/>
    <s v="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2"/>
    <n v="95102509322"/>
    <s v=""/>
    <s v=""/>
    <s v=""/>
    <n v="77"/>
    <s v=""/>
    <s v=""/>
    <n v="72"/>
    <n v="44"/>
    <s v=""/>
    <s v=""/>
    <s v=""/>
    <s v=""/>
    <s v=""/>
    <s v=""/>
    <n v="78"/>
    <n v="40"/>
    <n v="60"/>
    <s v="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2"/>
    <n v="95121002200"/>
    <s v=""/>
    <s v=""/>
    <s v=""/>
    <n v="80"/>
    <s v=""/>
    <s v=""/>
    <n v="100"/>
    <n v="82"/>
    <s v=""/>
    <s v=""/>
    <s v=""/>
    <s v=""/>
    <n v="100"/>
    <s v=""/>
    <n v="86"/>
    <n v="94"/>
    <n v="63"/>
    <s v="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2"/>
    <n v="96010806327"/>
    <s v=""/>
    <s v=""/>
    <s v=""/>
    <n v="82"/>
    <s v=""/>
    <s v=""/>
    <n v="94"/>
    <n v="61"/>
    <s v=""/>
    <s v=""/>
    <s v=""/>
    <s v=""/>
    <s v=""/>
    <s v=""/>
    <n v="68"/>
    <s v=""/>
    <n v="71"/>
    <s v=""/>
    <s v=""/>
    <x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3"/>
    <n v="95010400678"/>
    <s v=""/>
    <s v=""/>
    <n v="70"/>
    <s v=""/>
    <s v=""/>
    <s v=""/>
    <n v="94"/>
    <n v="73"/>
    <s v=""/>
    <s v=""/>
    <s v=""/>
    <s v=""/>
    <s v=""/>
    <s v=""/>
    <n v="90"/>
    <n v="70"/>
    <n v="59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12402890"/>
    <s v=""/>
    <s v=""/>
    <n v="53"/>
    <s v=""/>
    <s v=""/>
    <s v=""/>
    <n v="96"/>
    <n v="67"/>
    <s v=""/>
    <s v=""/>
    <s v=""/>
    <s v=""/>
    <s v=""/>
    <s v=""/>
    <n v="90"/>
    <n v="40"/>
    <n v="64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12801194"/>
    <s v=""/>
    <s v=""/>
    <n v="75"/>
    <s v=""/>
    <s v=""/>
    <n v="78"/>
    <n v="98"/>
    <n v="96"/>
    <s v=""/>
    <s v=""/>
    <s v=""/>
    <s v=""/>
    <s v=""/>
    <s v=""/>
    <n v="100"/>
    <n v="90"/>
    <n v="80"/>
    <s v=""/>
    <s v=""/>
    <x v="1"/>
    <n v="0"/>
    <n v="0"/>
    <n v="1"/>
    <n v="0"/>
    <n v="0"/>
    <n v="1"/>
    <n v="0"/>
    <n v="1"/>
    <n v="0"/>
    <n v="0"/>
    <n v="0"/>
    <n v="0"/>
    <n v="0"/>
    <n v="0"/>
    <n v="0"/>
    <n v="1"/>
    <n v="0"/>
    <n v="0"/>
    <n v="0"/>
    <n v="1"/>
  </r>
  <r>
    <x v="3"/>
    <n v="95012904927"/>
    <s v=""/>
    <s v=""/>
    <n v="82"/>
    <s v=""/>
    <s v=""/>
    <s v=""/>
    <n v="100"/>
    <n v="91"/>
    <s v=""/>
    <s v=""/>
    <s v=""/>
    <s v=""/>
    <s v=""/>
    <s v=""/>
    <n v="86"/>
    <n v="80"/>
    <n v="84"/>
    <s v=""/>
    <s v=""/>
    <x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20904777"/>
    <s v=""/>
    <s v=""/>
    <n v="32"/>
    <s v=""/>
    <s v=""/>
    <s v=""/>
    <n v="96"/>
    <n v="74"/>
    <s v=""/>
    <s v=""/>
    <s v=""/>
    <s v=""/>
    <s v=""/>
    <s v=""/>
    <n v="82"/>
    <s v=""/>
    <n v="60"/>
    <n v="25"/>
    <s v=""/>
    <x v="1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1"/>
  </r>
  <r>
    <x v="3"/>
    <n v="95021601338"/>
    <s v=""/>
    <s v=""/>
    <n v="77"/>
    <s v=""/>
    <s v=""/>
    <n v="88"/>
    <n v="98"/>
    <n v="76"/>
    <s v=""/>
    <s v=""/>
    <s v=""/>
    <s v=""/>
    <s v=""/>
    <s v=""/>
    <n v="98"/>
    <n v="68"/>
    <n v="73"/>
    <s v=""/>
    <s v=""/>
    <x v="1"/>
    <n v="0"/>
    <n v="0"/>
    <n v="1"/>
    <n v="0"/>
    <n v="0"/>
    <n v="1"/>
    <n v="0"/>
    <n v="1"/>
    <n v="0"/>
    <n v="0"/>
    <n v="0"/>
    <n v="0"/>
    <n v="0"/>
    <n v="0"/>
    <n v="0"/>
    <n v="1"/>
    <n v="0"/>
    <n v="0"/>
    <n v="0"/>
    <n v="1"/>
  </r>
  <r>
    <x v="3"/>
    <n v="95032801943"/>
    <s v=""/>
    <s v=""/>
    <n v="70"/>
    <s v=""/>
    <s v=""/>
    <s v=""/>
    <n v="97"/>
    <n v="65"/>
    <s v=""/>
    <s v=""/>
    <s v=""/>
    <s v=""/>
    <s v=""/>
    <s v=""/>
    <n v="94"/>
    <n v="78"/>
    <n v="76"/>
    <s v=""/>
    <s v=""/>
    <x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32801950"/>
    <s v=""/>
    <s v=""/>
    <n v="32"/>
    <s v=""/>
    <s v=""/>
    <s v=""/>
    <n v="95"/>
    <n v="75"/>
    <s v=""/>
    <s v=""/>
    <s v=""/>
    <s v=""/>
    <s v=""/>
    <s v=""/>
    <n v="72"/>
    <n v="58"/>
    <n v="54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40804338"/>
    <n v="37"/>
    <s v=""/>
    <n v="37"/>
    <s v=""/>
    <s v=""/>
    <s v=""/>
    <n v="96"/>
    <n v="84"/>
    <s v=""/>
    <s v=""/>
    <s v=""/>
    <s v=""/>
    <s v=""/>
    <s v=""/>
    <n v="86"/>
    <s v=""/>
    <n v="53"/>
    <s v=""/>
    <s v=""/>
    <x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3"/>
    <n v="95050803734"/>
    <s v=""/>
    <s v=""/>
    <n v="75"/>
    <s v=""/>
    <s v=""/>
    <s v=""/>
    <n v="98"/>
    <n v="94"/>
    <s v=""/>
    <s v=""/>
    <s v=""/>
    <s v=""/>
    <s v=""/>
    <s v=""/>
    <n v="84"/>
    <n v="82"/>
    <n v="56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52200645"/>
    <s v=""/>
    <s v=""/>
    <n v="92"/>
    <s v=""/>
    <s v=""/>
    <s v=""/>
    <n v="98"/>
    <n v="86"/>
    <s v=""/>
    <s v=""/>
    <s v=""/>
    <s v=""/>
    <s v=""/>
    <s v=""/>
    <n v="94"/>
    <n v="88"/>
    <n v="77"/>
    <s v=""/>
    <s v=""/>
    <x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52901713"/>
    <s v=""/>
    <s v=""/>
    <s v=""/>
    <n v="45"/>
    <s v=""/>
    <s v=""/>
    <n v="100"/>
    <n v="80"/>
    <s v=""/>
    <s v=""/>
    <s v=""/>
    <s v=""/>
    <s v=""/>
    <s v=""/>
    <n v="78"/>
    <n v="36"/>
    <n v="30"/>
    <s v=""/>
    <s v=""/>
    <x v="1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60303600"/>
    <s v=""/>
    <s v=""/>
    <s v=""/>
    <s v=""/>
    <s v=""/>
    <s v=""/>
    <n v="100"/>
    <n v="94"/>
    <n v="99"/>
    <s v=""/>
    <s v=""/>
    <s v=""/>
    <s v=""/>
    <s v=""/>
    <n v="80"/>
    <n v="74"/>
    <n v="74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3"/>
    <n v="95060705327"/>
    <s v=""/>
    <s v=""/>
    <s v=""/>
    <s v=""/>
    <s v=""/>
    <s v=""/>
    <n v="98"/>
    <n v="78"/>
    <s v=""/>
    <s v=""/>
    <s v=""/>
    <s v=""/>
    <s v=""/>
    <s v=""/>
    <n v="64"/>
    <s v=""/>
    <n v="54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3"/>
    <n v="95060913018"/>
    <s v=""/>
    <s v=""/>
    <n v="72"/>
    <s v=""/>
    <s v=""/>
    <s v=""/>
    <n v="98"/>
    <n v="79"/>
    <s v=""/>
    <s v=""/>
    <s v=""/>
    <s v=""/>
    <s v=""/>
    <s v=""/>
    <n v="100"/>
    <n v="78"/>
    <n v="64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72510054"/>
    <s v=""/>
    <s v=""/>
    <n v="62"/>
    <s v=""/>
    <s v=""/>
    <s v=""/>
    <n v="100"/>
    <n v="75"/>
    <s v=""/>
    <s v=""/>
    <s v=""/>
    <s v=""/>
    <s v=""/>
    <s v=""/>
    <n v="92"/>
    <n v="38"/>
    <n v="74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80407818"/>
    <s v=""/>
    <s v=""/>
    <s v=""/>
    <s v=""/>
    <s v=""/>
    <n v="70"/>
    <n v="98"/>
    <n v="79"/>
    <s v=""/>
    <s v=""/>
    <s v=""/>
    <s v=""/>
    <s v=""/>
    <s v=""/>
    <n v="94"/>
    <n v="62"/>
    <n v="59"/>
    <s v=""/>
    <s v=""/>
    <x v="1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1"/>
  </r>
  <r>
    <x v="3"/>
    <n v="95080805098"/>
    <s v=""/>
    <s v=""/>
    <n v="48"/>
    <s v=""/>
    <s v=""/>
    <s v=""/>
    <n v="84"/>
    <n v="28"/>
    <s v=""/>
    <s v=""/>
    <s v=""/>
    <s v=""/>
    <s v=""/>
    <s v=""/>
    <n v="88"/>
    <n v="68"/>
    <n v="51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81600791"/>
    <s v=""/>
    <s v=""/>
    <n v="62"/>
    <s v=""/>
    <s v=""/>
    <s v=""/>
    <n v="98"/>
    <n v="79"/>
    <s v=""/>
    <s v=""/>
    <s v=""/>
    <s v=""/>
    <s v=""/>
    <s v=""/>
    <n v="100"/>
    <n v="66"/>
    <n v="51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82906797"/>
    <s v=""/>
    <s v=""/>
    <n v="67"/>
    <s v=""/>
    <s v=""/>
    <s v=""/>
    <n v="100"/>
    <n v="85"/>
    <s v=""/>
    <s v=""/>
    <s v=""/>
    <s v=""/>
    <s v=""/>
    <s v=""/>
    <n v="92"/>
    <n v="70"/>
    <n v="63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83100398"/>
    <s v=""/>
    <s v=""/>
    <n v="67"/>
    <s v=""/>
    <s v=""/>
    <s v=""/>
    <n v="100"/>
    <n v="78"/>
    <s v=""/>
    <s v=""/>
    <s v=""/>
    <s v=""/>
    <s v=""/>
    <s v=""/>
    <n v="98"/>
    <n v="68"/>
    <n v="63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091803737"/>
    <s v=""/>
    <s v=""/>
    <s v=""/>
    <s v=""/>
    <s v=""/>
    <n v="98"/>
    <n v="99"/>
    <n v="84"/>
    <s v=""/>
    <s v=""/>
    <s v=""/>
    <s v=""/>
    <s v=""/>
    <s v=""/>
    <n v="96"/>
    <n v="92"/>
    <n v="66"/>
    <s v=""/>
    <s v=""/>
    <x v="1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1"/>
  </r>
  <r>
    <x v="3"/>
    <n v="95100400649"/>
    <s v=""/>
    <s v=""/>
    <s v=""/>
    <s v=""/>
    <s v=""/>
    <s v=""/>
    <n v="96"/>
    <n v="86"/>
    <s v=""/>
    <s v=""/>
    <s v=""/>
    <s v=""/>
    <s v=""/>
    <s v=""/>
    <n v="94"/>
    <n v="60"/>
    <n v="57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3"/>
    <n v="95101104184"/>
    <s v=""/>
    <s v=""/>
    <n v="55"/>
    <s v=""/>
    <s v=""/>
    <s v=""/>
    <n v="97"/>
    <n v="92"/>
    <s v=""/>
    <s v=""/>
    <s v=""/>
    <s v=""/>
    <s v=""/>
    <s v=""/>
    <n v="94"/>
    <n v="78"/>
    <n v="63"/>
    <s v=""/>
    <s v=""/>
    <x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101303842"/>
    <s v=""/>
    <s v=""/>
    <n v="78"/>
    <s v=""/>
    <s v=""/>
    <s v=""/>
    <n v="98"/>
    <n v="85"/>
    <s v=""/>
    <s v=""/>
    <s v=""/>
    <s v=""/>
    <s v=""/>
    <s v=""/>
    <n v="100"/>
    <n v="92"/>
    <n v="70"/>
    <s v=""/>
    <s v=""/>
    <x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101902775"/>
    <s v=""/>
    <s v=""/>
    <s v=""/>
    <s v=""/>
    <s v=""/>
    <n v="52"/>
    <n v="96"/>
    <n v="68"/>
    <s v=""/>
    <s v=""/>
    <s v=""/>
    <s v=""/>
    <s v=""/>
    <s v=""/>
    <n v="94"/>
    <n v="56"/>
    <n v="57"/>
    <s v=""/>
    <s v=""/>
    <x v="1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1"/>
  </r>
  <r>
    <x v="3"/>
    <n v="95102002757"/>
    <s v=""/>
    <s v=""/>
    <n v="70"/>
    <s v=""/>
    <s v=""/>
    <s v=""/>
    <n v="100"/>
    <n v="86"/>
    <s v=""/>
    <s v=""/>
    <s v=""/>
    <s v=""/>
    <s v=""/>
    <s v=""/>
    <n v="98"/>
    <n v="78"/>
    <n v="90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102301894"/>
    <s v=""/>
    <s v=""/>
    <n v="32"/>
    <s v=""/>
    <s v=""/>
    <s v=""/>
    <n v="96"/>
    <n v="78"/>
    <s v=""/>
    <s v=""/>
    <s v=""/>
    <s v=""/>
    <s v=""/>
    <s v=""/>
    <n v="90"/>
    <n v="74"/>
    <n v="74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112306692"/>
    <s v=""/>
    <s v=""/>
    <n v="75"/>
    <s v=""/>
    <s v=""/>
    <s v=""/>
    <n v="100"/>
    <n v="64"/>
    <s v=""/>
    <s v=""/>
    <s v=""/>
    <s v=""/>
    <s v=""/>
    <s v=""/>
    <n v="92"/>
    <n v="74"/>
    <n v="70"/>
    <s v=""/>
    <s v=""/>
    <x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3"/>
    <n v="95112702337"/>
    <s v=""/>
    <s v=""/>
    <n v="63"/>
    <s v=""/>
    <s v=""/>
    <s v=""/>
    <n v="96"/>
    <s v=""/>
    <s v=""/>
    <s v=""/>
    <s v=""/>
    <s v=""/>
    <s v=""/>
    <s v=""/>
    <n v="96"/>
    <n v="92"/>
    <n v="67"/>
    <s v=""/>
    <s v=""/>
    <x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</r>
  <r>
    <x v="3"/>
    <n v="95122110962"/>
    <s v=""/>
    <s v=""/>
    <s v=""/>
    <s v=""/>
    <s v=""/>
    <s v=""/>
    <n v="98"/>
    <n v="65"/>
    <s v=""/>
    <s v=""/>
    <s v=""/>
    <s v=""/>
    <s v=""/>
    <s v=""/>
    <n v="94"/>
    <n v="68"/>
    <n v="81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3"/>
    <n v="95123001771"/>
    <s v=""/>
    <s v=""/>
    <s v=""/>
    <s v=""/>
    <s v=""/>
    <s v=""/>
    <n v="98"/>
    <n v="84"/>
    <s v=""/>
    <s v=""/>
    <s v=""/>
    <s v=""/>
    <s v=""/>
    <s v=""/>
    <n v="82"/>
    <n v="54"/>
    <n v="73"/>
    <s v=""/>
    <s v=""/>
    <x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3"/>
    <n v="96011200502"/>
    <s v=""/>
    <s v=""/>
    <n v="77"/>
    <s v=""/>
    <s v=""/>
    <s v=""/>
    <n v="94"/>
    <n v="86"/>
    <s v=""/>
    <s v=""/>
    <s v=""/>
    <s v=""/>
    <s v=""/>
    <s v=""/>
    <n v="98"/>
    <n v="64"/>
    <n v="59"/>
    <s v=""/>
    <s v=""/>
    <x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1"/>
  </r>
  <r>
    <x v="4"/>
    <n v="94011110436"/>
    <s v=""/>
    <s v=""/>
    <s v=""/>
    <s v=""/>
    <s v=""/>
    <s v=""/>
    <n v="96"/>
    <s v=""/>
    <s v=""/>
    <s v=""/>
    <n v="97"/>
    <n v="73"/>
    <s v=""/>
    <s v=""/>
    <n v="58"/>
    <s v=""/>
    <n v="69"/>
    <n v="65"/>
    <s v="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x v="4"/>
    <n v="94013113642"/>
    <s v=""/>
    <s v=""/>
    <s v=""/>
    <s v=""/>
    <s v=""/>
    <s v=""/>
    <n v="96"/>
    <s v=""/>
    <s v=""/>
    <s v=""/>
    <n v="83"/>
    <n v="61"/>
    <s v=""/>
    <s v=""/>
    <n v="68"/>
    <s v=""/>
    <n v="69"/>
    <n v="58"/>
    <s v="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x v="4"/>
    <n v="94020211283"/>
    <s v=""/>
    <s v=""/>
    <s v=""/>
    <s v=""/>
    <s v=""/>
    <s v=""/>
    <n v="88"/>
    <s v=""/>
    <s v=""/>
    <s v=""/>
    <n v="90"/>
    <n v="65"/>
    <s v=""/>
    <s v=""/>
    <n v="50"/>
    <s v=""/>
    <n v="81"/>
    <n v="58"/>
    <s v="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x v="4"/>
    <n v="94021306625"/>
    <s v=""/>
    <s v=""/>
    <s v=""/>
    <s v=""/>
    <s v=""/>
    <s v=""/>
    <n v="90"/>
    <s v=""/>
    <s v=""/>
    <s v=""/>
    <n v="84"/>
    <n v="68"/>
    <s v=""/>
    <s v=""/>
    <n v="58"/>
    <s v=""/>
    <n v="76"/>
    <n v="88"/>
    <s v="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x v="4"/>
    <n v="94030804224"/>
    <s v=""/>
    <s v=""/>
    <s v=""/>
    <n v="85"/>
    <s v=""/>
    <s v=""/>
    <s v=""/>
    <n v="95"/>
    <s v=""/>
    <s v=""/>
    <n v="100"/>
    <s v=""/>
    <s v=""/>
    <s v=""/>
    <n v="82"/>
    <s v=""/>
    <n v="73"/>
    <n v="88"/>
    <s v=""/>
    <x v="0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0"/>
    <n v="1"/>
  </r>
  <r>
    <x v="4"/>
    <n v="94031410644"/>
    <s v=""/>
    <s v=""/>
    <s v=""/>
    <s v=""/>
    <s v=""/>
    <s v=""/>
    <n v="96"/>
    <s v=""/>
    <s v=""/>
    <s v=""/>
    <s v=""/>
    <n v="45"/>
    <s v=""/>
    <s v=""/>
    <n v="74"/>
    <s v=""/>
    <n v="61"/>
    <n v="83"/>
    <s v="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x v="4"/>
    <n v="94040607118"/>
    <s v=""/>
    <s v=""/>
    <s v=""/>
    <s v=""/>
    <s v=""/>
    <s v=""/>
    <n v="94"/>
    <n v="79"/>
    <s v=""/>
    <s v=""/>
    <s v=""/>
    <n v="79"/>
    <s v=""/>
    <s v=""/>
    <n v="64"/>
    <s v=""/>
    <n v="74"/>
    <n v="53"/>
    <s v=""/>
    <x v="1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1"/>
  </r>
  <r>
    <x v="4"/>
    <n v="94042912726"/>
    <s v=""/>
    <s v=""/>
    <s v=""/>
    <n v="38"/>
    <s v=""/>
    <s v=""/>
    <n v="87"/>
    <n v="69"/>
    <s v=""/>
    <s v=""/>
    <s v=""/>
    <n v="72"/>
    <s v=""/>
    <s v=""/>
    <n v="56"/>
    <s v=""/>
    <n v="54"/>
    <n v="60"/>
    <s v=""/>
    <x v="0"/>
    <n v="0"/>
    <n v="0"/>
    <n v="0"/>
    <n v="1"/>
    <n v="0"/>
    <n v="0"/>
    <n v="0"/>
    <n v="1"/>
    <n v="0"/>
    <n v="0"/>
    <n v="0"/>
    <n v="1"/>
    <n v="0"/>
    <n v="0"/>
    <n v="0"/>
    <n v="0"/>
    <n v="0"/>
    <n v="1"/>
    <n v="0"/>
    <n v="1"/>
  </r>
  <r>
    <x v="4"/>
    <n v="94060604247"/>
    <n v="62"/>
    <n v="35"/>
    <s v=""/>
    <s v=""/>
    <s v=""/>
    <s v=""/>
    <n v="97"/>
    <s v=""/>
    <s v=""/>
    <s v=""/>
    <n v="92"/>
    <n v="52"/>
    <s v=""/>
    <s v=""/>
    <n v="56"/>
    <s v=""/>
    <n v="67"/>
    <s v=""/>
    <s v=""/>
    <x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x v="4"/>
    <n v="94062703166"/>
    <s v=""/>
    <s v=""/>
    <s v=""/>
    <n v="50"/>
    <s v=""/>
    <s v=""/>
    <n v="92"/>
    <s v=""/>
    <s v=""/>
    <s v=""/>
    <n v="84"/>
    <n v="63"/>
    <s v=""/>
    <s v=""/>
    <n v="54"/>
    <s v=""/>
    <n v="60"/>
    <s v=""/>
    <s v=""/>
    <x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</r>
  <r>
    <x v="4"/>
    <n v="94063002080"/>
    <s v=""/>
    <s v=""/>
    <s v=""/>
    <n v="82"/>
    <s v=""/>
    <s v=""/>
    <n v="100"/>
    <s v=""/>
    <s v=""/>
    <s v=""/>
    <n v="100"/>
    <s v=""/>
    <s v=""/>
    <s v=""/>
    <n v="100"/>
    <n v="66"/>
    <n v="73"/>
    <n v="85"/>
    <s v="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1"/>
  </r>
  <r>
    <x v="4"/>
    <n v="94081102166"/>
    <s v=""/>
    <s v=""/>
    <s v=""/>
    <s v=""/>
    <s v=""/>
    <s v=""/>
    <n v="96"/>
    <s v=""/>
    <s v=""/>
    <s v=""/>
    <s v=""/>
    <n v="79"/>
    <s v=""/>
    <s v=""/>
    <n v="56"/>
    <s v=""/>
    <n v="81"/>
    <n v="83"/>
    <s v="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x v="4"/>
    <n v="94082703588"/>
    <s v=""/>
    <s v=""/>
    <s v=""/>
    <s v=""/>
    <n v="66"/>
    <s v=""/>
    <n v="94"/>
    <n v="93"/>
    <s v=""/>
    <s v=""/>
    <s v=""/>
    <n v="83"/>
    <s v=""/>
    <s v=""/>
    <n v="78"/>
    <s v=""/>
    <n v="90"/>
    <n v="100"/>
    <s v=""/>
    <x v="0"/>
    <n v="0"/>
    <n v="0"/>
    <n v="0"/>
    <n v="0"/>
    <n v="1"/>
    <n v="0"/>
    <n v="0"/>
    <n v="1"/>
    <n v="0"/>
    <n v="0"/>
    <n v="0"/>
    <n v="1"/>
    <n v="0"/>
    <n v="0"/>
    <n v="0"/>
    <n v="0"/>
    <n v="0"/>
    <n v="1"/>
    <n v="0"/>
    <n v="1"/>
  </r>
  <r>
    <x v="4"/>
    <n v="94082901146"/>
    <s v=""/>
    <s v=""/>
    <s v=""/>
    <n v="75"/>
    <s v=""/>
    <s v=""/>
    <n v="99"/>
    <n v="83"/>
    <s v=""/>
    <s v=""/>
    <n v="100"/>
    <s v=""/>
    <s v=""/>
    <s v=""/>
    <n v="78"/>
    <n v="30"/>
    <n v="79"/>
    <n v="80"/>
    <s v=""/>
    <x v="0"/>
    <n v="0"/>
    <n v="0"/>
    <n v="0"/>
    <n v="1"/>
    <n v="0"/>
    <n v="0"/>
    <n v="0"/>
    <n v="1"/>
    <n v="0"/>
    <n v="0"/>
    <n v="0"/>
    <n v="0"/>
    <n v="0"/>
    <n v="0"/>
    <n v="0"/>
    <n v="1"/>
    <n v="0"/>
    <n v="1"/>
    <n v="0"/>
    <n v="1"/>
  </r>
  <r>
    <x v="4"/>
    <n v="94082905447"/>
    <s v=""/>
    <s v=""/>
    <s v=""/>
    <s v=""/>
    <s v=""/>
    <s v=""/>
    <n v="96"/>
    <s v=""/>
    <s v=""/>
    <s v=""/>
    <n v="98"/>
    <n v="96"/>
    <s v=""/>
    <s v=""/>
    <n v="44"/>
    <s v=""/>
    <n v="69"/>
    <s v=""/>
    <s v="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x v="4"/>
    <n v="94083000868"/>
    <s v=""/>
    <s v=""/>
    <s v=""/>
    <s v=""/>
    <n v="24"/>
    <s v=""/>
    <n v="100"/>
    <n v="63"/>
    <s v=""/>
    <s v=""/>
    <s v=""/>
    <n v="61"/>
    <s v=""/>
    <s v=""/>
    <n v="40"/>
    <s v=""/>
    <n v="76"/>
    <n v="58"/>
    <n v="16"/>
    <x v="0"/>
    <n v="0"/>
    <n v="0"/>
    <n v="0"/>
    <n v="0"/>
    <n v="1"/>
    <n v="0"/>
    <n v="0"/>
    <n v="1"/>
    <n v="0"/>
    <n v="0"/>
    <n v="0"/>
    <n v="1"/>
    <n v="0"/>
    <n v="0"/>
    <n v="0"/>
    <n v="0"/>
    <n v="0"/>
    <n v="1"/>
    <n v="1"/>
    <n v="1"/>
  </r>
  <r>
    <x v="4"/>
    <n v="94090909307"/>
    <s v=""/>
    <s v=""/>
    <s v=""/>
    <s v=""/>
    <n v="72"/>
    <s v=""/>
    <n v="98"/>
    <n v="76"/>
    <s v=""/>
    <s v=""/>
    <s v=""/>
    <n v="77"/>
    <s v=""/>
    <s v=""/>
    <n v="64"/>
    <s v=""/>
    <n v="79"/>
    <n v="75"/>
    <n v="46"/>
    <x v="0"/>
    <n v="0"/>
    <n v="0"/>
    <n v="0"/>
    <n v="0"/>
    <n v="1"/>
    <n v="0"/>
    <n v="0"/>
    <n v="1"/>
    <n v="0"/>
    <n v="0"/>
    <n v="0"/>
    <n v="1"/>
    <n v="0"/>
    <n v="0"/>
    <n v="0"/>
    <n v="0"/>
    <n v="0"/>
    <n v="1"/>
    <n v="1"/>
    <n v="1"/>
  </r>
  <r>
    <x v="4"/>
    <n v="94091301085"/>
    <s v=""/>
    <s v=""/>
    <s v=""/>
    <s v=""/>
    <s v=""/>
    <s v=""/>
    <n v="96"/>
    <n v="71"/>
    <s v=""/>
    <s v=""/>
    <s v=""/>
    <n v="70"/>
    <s v=""/>
    <s v=""/>
    <n v="40"/>
    <s v=""/>
    <n v="37"/>
    <n v="55"/>
    <s v=""/>
    <x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1"/>
  </r>
  <r>
    <x v="4"/>
    <n v="94092207960"/>
    <s v=""/>
    <s v=""/>
    <s v=""/>
    <s v=""/>
    <s v=""/>
    <s v=""/>
    <s v=""/>
    <n v="89"/>
    <s v=""/>
    <s v=""/>
    <n v="96"/>
    <s v=""/>
    <s v=""/>
    <s v=""/>
    <n v="56"/>
    <s v=""/>
    <n v="57"/>
    <n v="63"/>
    <s v="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</r>
  <r>
    <x v="4"/>
    <n v="94100706007"/>
    <s v=""/>
    <s v=""/>
    <s v=""/>
    <s v=""/>
    <s v=""/>
    <s v=""/>
    <s v=""/>
    <n v="74"/>
    <s v=""/>
    <s v=""/>
    <n v="98"/>
    <s v=""/>
    <s v=""/>
    <s v=""/>
    <n v="66"/>
    <s v=""/>
    <n v="56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n v="94102604723"/>
    <s v=""/>
    <s v=""/>
    <s v=""/>
    <s v=""/>
    <s v=""/>
    <s v=""/>
    <s v=""/>
    <s v=""/>
    <s v=""/>
    <n v="73"/>
    <n v="98"/>
    <n v="82"/>
    <s v=""/>
    <s v=""/>
    <n v="68"/>
    <s v=""/>
    <n v="50"/>
    <n v="70"/>
    <s v=""/>
    <x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</r>
  <r>
    <x v="4"/>
    <n v="94103100907"/>
    <n v="18"/>
    <n v="12"/>
    <s v=""/>
    <s v=""/>
    <s v=""/>
    <s v=""/>
    <n v="70"/>
    <s v=""/>
    <s v=""/>
    <s v=""/>
    <n v="58"/>
    <s v=""/>
    <s v=""/>
    <s v=""/>
    <n v="58"/>
    <s v=""/>
    <n v="43"/>
    <s v=""/>
    <s v="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n v="94110205866"/>
    <s v=""/>
    <s v=""/>
    <s v=""/>
    <s v=""/>
    <s v=""/>
    <s v=""/>
    <s v=""/>
    <n v="78"/>
    <s v=""/>
    <s v=""/>
    <n v="100"/>
    <s v=""/>
    <s v=""/>
    <s v=""/>
    <n v="96"/>
    <n v="40"/>
    <n v="80"/>
    <s v=""/>
    <s v="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</r>
  <r>
    <x v="4"/>
    <n v="94121203482"/>
    <s v=""/>
    <s v=""/>
    <s v=""/>
    <s v=""/>
    <s v=""/>
    <s v=""/>
    <n v="90"/>
    <s v=""/>
    <s v=""/>
    <s v=""/>
    <n v="92"/>
    <n v="71"/>
    <s v=""/>
    <s v=""/>
    <n v="38"/>
    <s v=""/>
    <n v="47"/>
    <n v="58"/>
    <s v="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x v="4"/>
    <n v="94121709025"/>
    <s v=""/>
    <s v=""/>
    <s v=""/>
    <n v="53"/>
    <s v=""/>
    <s v=""/>
    <n v="98"/>
    <n v="66"/>
    <s v=""/>
    <s v=""/>
    <s v=""/>
    <n v="67"/>
    <s v=""/>
    <s v=""/>
    <n v="62"/>
    <s v=""/>
    <n v="71"/>
    <n v="63"/>
    <s v=""/>
    <x v="0"/>
    <n v="0"/>
    <n v="0"/>
    <n v="0"/>
    <n v="1"/>
    <n v="0"/>
    <n v="0"/>
    <n v="0"/>
    <n v="1"/>
    <n v="0"/>
    <n v="0"/>
    <n v="0"/>
    <n v="1"/>
    <n v="0"/>
    <n v="0"/>
    <n v="0"/>
    <n v="0"/>
    <n v="0"/>
    <n v="1"/>
    <n v="0"/>
    <n v="1"/>
  </r>
  <r>
    <x v="4"/>
    <n v="95011300625"/>
    <s v=""/>
    <s v=""/>
    <s v=""/>
    <n v="52"/>
    <s v=""/>
    <s v=""/>
    <n v="98"/>
    <s v=""/>
    <s v=""/>
    <s v=""/>
    <n v="93"/>
    <n v="70"/>
    <s v=""/>
    <s v=""/>
    <n v="58"/>
    <n v="36"/>
    <n v="41"/>
    <s v=""/>
    <s v=""/>
    <x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</r>
  <r>
    <x v="4"/>
    <n v="95032804489"/>
    <n v="43"/>
    <n v="43"/>
    <s v=""/>
    <s v=""/>
    <s v=""/>
    <s v=""/>
    <n v="95"/>
    <s v=""/>
    <s v=""/>
    <s v=""/>
    <s v=""/>
    <n v="70"/>
    <s v=""/>
    <s v=""/>
    <n v="62"/>
    <s v=""/>
    <n v="59"/>
    <s v=""/>
    <s v=""/>
    <x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D65C5-A7A0-4DD0-A0CC-50FCDA061849}" name="Tabela przestawna5" cacheId="1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Z5:AB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Polski-P" fld="18" baseField="0" baseItem="0"/>
    <dataField name="Suma z Matematyka-P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2CC0B-2387-49A4-B6E1-AEAE46987F79}" name="Tabela przestawna10" cacheId="3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klasa">
  <location ref="AS6:AV13" firstHeaderRow="1" firstDataRow="2" firstDataCol="1"/>
  <pivotFields count="4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mezczyzni" x="1"/>
        <item n="kobiety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Suma z czy &gt;2 przedmioty r.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51DD-F4C3-459F-8765-74224321C76D}">
  <dimension ref="A1:U153"/>
  <sheetViews>
    <sheetView zoomScale="53" workbookViewId="0">
      <selection activeCell="R13" sqref="R13"/>
    </sheetView>
  </sheetViews>
  <sheetFormatPr defaultRowHeight="14.5" x14ac:dyDescent="0.35"/>
  <cols>
    <col min="1" max="1" width="8.26953125" bestFit="1" customWidth="1"/>
    <col min="2" max="2" width="11.81640625" bestFit="1" customWidth="1"/>
    <col min="3" max="3" width="11.36328125" bestFit="1" customWidth="1"/>
    <col min="4" max="4" width="11.08984375" bestFit="1" customWidth="1"/>
    <col min="5" max="5" width="9.90625" bestFit="1" customWidth="1"/>
    <col min="6" max="6" width="12.90625" bestFit="1" customWidth="1"/>
    <col min="7" max="7" width="11.36328125" bestFit="1" customWidth="1"/>
    <col min="8" max="8" width="15.26953125" bestFit="1" customWidth="1"/>
    <col min="9" max="10" width="12.1796875" bestFit="1" customWidth="1"/>
    <col min="11" max="12" width="12.7265625" bestFit="1" customWidth="1"/>
    <col min="13" max="14" width="13.6328125" bestFit="1" customWidth="1"/>
    <col min="15" max="16" width="12.90625" bestFit="1" customWidth="1"/>
    <col min="17" max="18" width="15.6328125" bestFit="1" customWidth="1"/>
    <col min="19" max="20" width="9.7265625" bestFit="1" customWidth="1"/>
    <col min="21" max="21" width="8.90625" bestFit="1" customWidth="1"/>
  </cols>
  <sheetData>
    <row r="1" spans="1:2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35">
      <c r="A2" s="5" t="s">
        <v>21</v>
      </c>
      <c r="B2" s="6">
        <v>95010405222</v>
      </c>
      <c r="C2" s="6" t="s">
        <v>22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 t="s">
        <v>24</v>
      </c>
      <c r="J2" s="6" t="s">
        <v>25</v>
      </c>
      <c r="K2" s="6" t="s">
        <v>23</v>
      </c>
      <c r="L2" s="6" t="s">
        <v>26</v>
      </c>
      <c r="M2" s="6" t="s">
        <v>23</v>
      </c>
      <c r="N2" s="6" t="s">
        <v>23</v>
      </c>
      <c r="O2" s="6" t="s">
        <v>23</v>
      </c>
      <c r="P2" s="6" t="s">
        <v>23</v>
      </c>
      <c r="Q2" s="6" t="s">
        <v>27</v>
      </c>
      <c r="R2" s="6" t="s">
        <v>23</v>
      </c>
      <c r="S2" s="6" t="s">
        <v>28</v>
      </c>
      <c r="T2" s="6" t="s">
        <v>23</v>
      </c>
      <c r="U2" s="7" t="s">
        <v>23</v>
      </c>
    </row>
    <row r="3" spans="1:21" x14ac:dyDescent="0.35">
      <c r="A3" s="8" t="s">
        <v>21</v>
      </c>
      <c r="B3" s="9">
        <v>95011310048</v>
      </c>
      <c r="C3" s="9" t="s">
        <v>29</v>
      </c>
      <c r="D3" s="9" t="s">
        <v>22</v>
      </c>
      <c r="E3" s="9" t="s">
        <v>23</v>
      </c>
      <c r="F3" s="9" t="s">
        <v>23</v>
      </c>
      <c r="G3" s="9" t="s">
        <v>23</v>
      </c>
      <c r="H3" s="9" t="s">
        <v>23</v>
      </c>
      <c r="I3" s="9" t="s">
        <v>30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23</v>
      </c>
      <c r="O3" s="9" t="s">
        <v>23</v>
      </c>
      <c r="P3" s="9" t="s">
        <v>23</v>
      </c>
      <c r="Q3" s="9" t="s">
        <v>31</v>
      </c>
      <c r="R3" s="9" t="s">
        <v>23</v>
      </c>
      <c r="S3" s="9" t="s">
        <v>32</v>
      </c>
      <c r="T3" s="9" t="s">
        <v>23</v>
      </c>
      <c r="U3" s="10" t="s">
        <v>23</v>
      </c>
    </row>
    <row r="4" spans="1:21" x14ac:dyDescent="0.35">
      <c r="A4" s="5" t="s">
        <v>21</v>
      </c>
      <c r="B4" s="6">
        <v>95012311345</v>
      </c>
      <c r="C4" s="6" t="s">
        <v>33</v>
      </c>
      <c r="D4" s="6" t="s">
        <v>34</v>
      </c>
      <c r="E4" s="6" t="s">
        <v>23</v>
      </c>
      <c r="F4" s="6" t="s">
        <v>23</v>
      </c>
      <c r="G4" s="6" t="s">
        <v>23</v>
      </c>
      <c r="H4" s="6" t="s">
        <v>23</v>
      </c>
      <c r="I4" s="6" t="s">
        <v>35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 t="s">
        <v>36</v>
      </c>
      <c r="R4" s="6" t="s">
        <v>23</v>
      </c>
      <c r="S4" s="6" t="s">
        <v>37</v>
      </c>
      <c r="T4" s="6" t="s">
        <v>23</v>
      </c>
      <c r="U4" s="7" t="s">
        <v>23</v>
      </c>
    </row>
    <row r="5" spans="1:21" x14ac:dyDescent="0.35">
      <c r="A5" s="8" t="s">
        <v>21</v>
      </c>
      <c r="B5" s="9">
        <v>95030607404</v>
      </c>
      <c r="C5" s="9" t="s">
        <v>38</v>
      </c>
      <c r="D5" s="9" t="s">
        <v>39</v>
      </c>
      <c r="E5" s="9" t="s">
        <v>23</v>
      </c>
      <c r="F5" s="9" t="s">
        <v>23</v>
      </c>
      <c r="G5" s="9" t="s">
        <v>23</v>
      </c>
      <c r="H5" s="9" t="s">
        <v>23</v>
      </c>
      <c r="I5" s="9" t="s">
        <v>40</v>
      </c>
      <c r="J5" s="9" t="s">
        <v>41</v>
      </c>
      <c r="K5" s="9" t="s">
        <v>23</v>
      </c>
      <c r="L5" s="9" t="s">
        <v>23</v>
      </c>
      <c r="M5" s="9" t="s">
        <v>23</v>
      </c>
      <c r="N5" s="9" t="s">
        <v>23</v>
      </c>
      <c r="O5" s="9" t="s">
        <v>23</v>
      </c>
      <c r="P5" s="9" t="s">
        <v>23</v>
      </c>
      <c r="Q5" s="9" t="s">
        <v>33</v>
      </c>
      <c r="R5" s="9" t="s">
        <v>23</v>
      </c>
      <c r="S5" s="9" t="s">
        <v>30</v>
      </c>
      <c r="T5" s="9" t="s">
        <v>23</v>
      </c>
      <c r="U5" s="10" t="s">
        <v>23</v>
      </c>
    </row>
    <row r="6" spans="1:21" x14ac:dyDescent="0.35">
      <c r="A6" s="5" t="s">
        <v>21</v>
      </c>
      <c r="B6" s="6">
        <v>95031506511</v>
      </c>
      <c r="C6" s="6" t="s">
        <v>42</v>
      </c>
      <c r="D6" s="6" t="s">
        <v>42</v>
      </c>
      <c r="E6" s="6" t="s">
        <v>23</v>
      </c>
      <c r="F6" s="6" t="s">
        <v>23</v>
      </c>
      <c r="G6" s="6" t="s">
        <v>23</v>
      </c>
      <c r="H6" s="6" t="s">
        <v>23</v>
      </c>
      <c r="I6" s="6" t="s">
        <v>43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33</v>
      </c>
      <c r="R6" s="6" t="s">
        <v>23</v>
      </c>
      <c r="S6" s="6" t="s">
        <v>44</v>
      </c>
      <c r="T6" s="6" t="s">
        <v>23</v>
      </c>
      <c r="U6" s="7" t="s">
        <v>23</v>
      </c>
    </row>
    <row r="7" spans="1:21" x14ac:dyDescent="0.35">
      <c r="A7" s="8" t="s">
        <v>21</v>
      </c>
      <c r="B7" s="9">
        <v>95031714219</v>
      </c>
      <c r="C7" s="9" t="s">
        <v>45</v>
      </c>
      <c r="D7" s="9" t="s">
        <v>45</v>
      </c>
      <c r="E7" s="9" t="s">
        <v>23</v>
      </c>
      <c r="F7" s="9" t="s">
        <v>23</v>
      </c>
      <c r="G7" s="9" t="s">
        <v>23</v>
      </c>
      <c r="H7" s="9" t="s">
        <v>23</v>
      </c>
      <c r="I7" s="9" t="s">
        <v>46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47</v>
      </c>
      <c r="R7" s="9" t="s">
        <v>23</v>
      </c>
      <c r="S7" s="9" t="s">
        <v>32</v>
      </c>
      <c r="T7" s="9" t="s">
        <v>23</v>
      </c>
      <c r="U7" s="10" t="s">
        <v>23</v>
      </c>
    </row>
    <row r="8" spans="1:21" x14ac:dyDescent="0.35">
      <c r="A8" s="5" t="s">
        <v>21</v>
      </c>
      <c r="B8" s="6">
        <v>95032402083</v>
      </c>
      <c r="C8" s="6" t="s">
        <v>23</v>
      </c>
      <c r="D8" s="6" t="s">
        <v>34</v>
      </c>
      <c r="E8" s="6" t="s">
        <v>23</v>
      </c>
      <c r="F8" s="6" t="s">
        <v>23</v>
      </c>
      <c r="G8" s="6" t="s">
        <v>23</v>
      </c>
      <c r="H8" s="6" t="s">
        <v>23</v>
      </c>
      <c r="I8" s="6" t="s">
        <v>48</v>
      </c>
      <c r="J8" s="6" t="s">
        <v>37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49</v>
      </c>
      <c r="R8" s="6" t="s">
        <v>50</v>
      </c>
      <c r="S8" s="6" t="s">
        <v>51</v>
      </c>
      <c r="T8" s="6" t="s">
        <v>23</v>
      </c>
      <c r="U8" s="7" t="s">
        <v>23</v>
      </c>
    </row>
    <row r="9" spans="1:21" x14ac:dyDescent="0.35">
      <c r="A9" s="8" t="s">
        <v>21</v>
      </c>
      <c r="B9" s="9">
        <v>95032701960</v>
      </c>
      <c r="C9" s="9" t="s">
        <v>52</v>
      </c>
      <c r="D9" s="9" t="s">
        <v>53</v>
      </c>
      <c r="E9" s="9" t="s">
        <v>23</v>
      </c>
      <c r="F9" s="9" t="s">
        <v>23</v>
      </c>
      <c r="G9" s="9" t="s">
        <v>23</v>
      </c>
      <c r="H9" s="9" t="s">
        <v>23</v>
      </c>
      <c r="I9" s="9" t="s">
        <v>48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 t="s">
        <v>48</v>
      </c>
      <c r="R9" s="9" t="s">
        <v>23</v>
      </c>
      <c r="S9" s="9" t="s">
        <v>52</v>
      </c>
      <c r="T9" s="9" t="s">
        <v>23</v>
      </c>
      <c r="U9" s="10" t="s">
        <v>23</v>
      </c>
    </row>
    <row r="10" spans="1:21" x14ac:dyDescent="0.35">
      <c r="A10" s="5" t="s">
        <v>21</v>
      </c>
      <c r="B10" s="6">
        <v>95040412034</v>
      </c>
      <c r="C10" s="6" t="s">
        <v>54</v>
      </c>
      <c r="D10" s="6" t="s">
        <v>28</v>
      </c>
      <c r="E10" s="6" t="s">
        <v>23</v>
      </c>
      <c r="F10" s="6" t="s">
        <v>23</v>
      </c>
      <c r="G10" s="6" t="s">
        <v>23</v>
      </c>
      <c r="H10" s="6" t="s">
        <v>23</v>
      </c>
      <c r="I10" s="6" t="s">
        <v>55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56</v>
      </c>
      <c r="R10" s="6" t="s">
        <v>23</v>
      </c>
      <c r="S10" s="6" t="s">
        <v>30</v>
      </c>
      <c r="T10" s="6" t="s">
        <v>23</v>
      </c>
      <c r="U10" s="7" t="s">
        <v>23</v>
      </c>
    </row>
    <row r="11" spans="1:21" x14ac:dyDescent="0.35">
      <c r="A11" s="8" t="s">
        <v>21</v>
      </c>
      <c r="B11" s="9">
        <v>95040908766</v>
      </c>
      <c r="C11" s="9" t="s">
        <v>57</v>
      </c>
      <c r="D11" s="9" t="s">
        <v>58</v>
      </c>
      <c r="E11" s="9" t="s">
        <v>23</v>
      </c>
      <c r="F11" s="9" t="s">
        <v>23</v>
      </c>
      <c r="G11" s="9" t="s">
        <v>23</v>
      </c>
      <c r="H11" s="9" t="s">
        <v>23</v>
      </c>
      <c r="I11" s="9" t="s">
        <v>43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 t="s">
        <v>32</v>
      </c>
      <c r="R11" s="9" t="s">
        <v>23</v>
      </c>
      <c r="S11" s="9" t="s">
        <v>59</v>
      </c>
      <c r="T11" s="9" t="s">
        <v>23</v>
      </c>
      <c r="U11" s="10" t="s">
        <v>23</v>
      </c>
    </row>
    <row r="12" spans="1:21" x14ac:dyDescent="0.35">
      <c r="A12" s="5" t="s">
        <v>21</v>
      </c>
      <c r="B12" s="6">
        <v>95041309368</v>
      </c>
      <c r="C12" s="6" t="s">
        <v>36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  <c r="I12" s="6" t="s">
        <v>48</v>
      </c>
      <c r="J12" s="6" t="s">
        <v>60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33</v>
      </c>
      <c r="R12" s="6" t="s">
        <v>23</v>
      </c>
      <c r="S12" s="6" t="s">
        <v>61</v>
      </c>
      <c r="T12" s="6" t="s">
        <v>23</v>
      </c>
      <c r="U12" s="7" t="s">
        <v>23</v>
      </c>
    </row>
    <row r="13" spans="1:21" x14ac:dyDescent="0.35">
      <c r="A13" s="8" t="s">
        <v>21</v>
      </c>
      <c r="B13" s="9">
        <v>95052600643</v>
      </c>
      <c r="C13" s="9" t="s">
        <v>23</v>
      </c>
      <c r="D13" s="9" t="s">
        <v>23</v>
      </c>
      <c r="E13" s="9" t="s">
        <v>23</v>
      </c>
      <c r="F13" s="9" t="s">
        <v>38</v>
      </c>
      <c r="G13" s="9" t="s">
        <v>23</v>
      </c>
      <c r="H13" s="9" t="s">
        <v>23</v>
      </c>
      <c r="I13" s="9" t="s">
        <v>24</v>
      </c>
      <c r="J13" s="9" t="s">
        <v>24</v>
      </c>
      <c r="K13" s="9" t="s">
        <v>23</v>
      </c>
      <c r="L13" s="9" t="s">
        <v>23</v>
      </c>
      <c r="M13" s="9" t="s">
        <v>23</v>
      </c>
      <c r="N13" s="9" t="s">
        <v>23</v>
      </c>
      <c r="O13" s="9" t="s">
        <v>24</v>
      </c>
      <c r="P13" s="9" t="s">
        <v>23</v>
      </c>
      <c r="Q13" s="9" t="s">
        <v>40</v>
      </c>
      <c r="R13" s="9" t="s">
        <v>56</v>
      </c>
      <c r="S13" s="9" t="s">
        <v>27</v>
      </c>
      <c r="T13" s="9" t="s">
        <v>23</v>
      </c>
      <c r="U13" s="10" t="s">
        <v>23</v>
      </c>
    </row>
    <row r="14" spans="1:21" x14ac:dyDescent="0.35">
      <c r="A14" s="5" t="s">
        <v>21</v>
      </c>
      <c r="B14" s="6">
        <v>95061500402</v>
      </c>
      <c r="C14" s="6" t="s">
        <v>62</v>
      </c>
      <c r="D14" s="6" t="s">
        <v>26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35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35</v>
      </c>
      <c r="R14" s="6" t="s">
        <v>23</v>
      </c>
      <c r="S14" s="6" t="s">
        <v>63</v>
      </c>
      <c r="T14" s="6" t="s">
        <v>23</v>
      </c>
      <c r="U14" s="7" t="s">
        <v>23</v>
      </c>
    </row>
    <row r="15" spans="1:21" x14ac:dyDescent="0.35">
      <c r="A15" s="8" t="s">
        <v>21</v>
      </c>
      <c r="B15" s="9">
        <v>95061702842</v>
      </c>
      <c r="C15" s="9" t="s">
        <v>46</v>
      </c>
      <c r="D15" s="9" t="s">
        <v>28</v>
      </c>
      <c r="E15" s="9" t="s">
        <v>23</v>
      </c>
      <c r="F15" s="9" t="s">
        <v>23</v>
      </c>
      <c r="G15" s="9" t="s">
        <v>23</v>
      </c>
      <c r="H15" s="9" t="s">
        <v>23</v>
      </c>
      <c r="I15" s="9" t="s">
        <v>25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 t="s">
        <v>26</v>
      </c>
      <c r="R15" s="9" t="s">
        <v>23</v>
      </c>
      <c r="S15" s="9" t="s">
        <v>64</v>
      </c>
      <c r="T15" s="9" t="s">
        <v>23</v>
      </c>
      <c r="U15" s="10" t="s">
        <v>23</v>
      </c>
    </row>
    <row r="16" spans="1:21" x14ac:dyDescent="0.35">
      <c r="A16" s="5" t="s">
        <v>21</v>
      </c>
      <c r="B16" s="6">
        <v>95062301712</v>
      </c>
      <c r="C16" s="6" t="s">
        <v>53</v>
      </c>
      <c r="D16" s="6" t="s">
        <v>65</v>
      </c>
      <c r="E16" s="6" t="s">
        <v>47</v>
      </c>
      <c r="F16" s="6" t="s">
        <v>23</v>
      </c>
      <c r="G16" s="6" t="s">
        <v>23</v>
      </c>
      <c r="H16" s="6" t="s">
        <v>23</v>
      </c>
      <c r="I16" s="6" t="s">
        <v>49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35</v>
      </c>
      <c r="R16" s="6" t="s">
        <v>23</v>
      </c>
      <c r="S16" s="6" t="s">
        <v>31</v>
      </c>
      <c r="T16" s="6" t="s">
        <v>23</v>
      </c>
      <c r="U16" s="7" t="s">
        <v>23</v>
      </c>
    </row>
    <row r="17" spans="1:21" x14ac:dyDescent="0.35">
      <c r="A17" s="8" t="s">
        <v>21</v>
      </c>
      <c r="B17" s="9">
        <v>95071508265</v>
      </c>
      <c r="C17" s="9" t="s">
        <v>42</v>
      </c>
      <c r="D17" s="9" t="s">
        <v>47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53</v>
      </c>
      <c r="J17" s="9" t="s">
        <v>23</v>
      </c>
      <c r="K17" s="9" t="s">
        <v>23</v>
      </c>
      <c r="L17" s="9" t="s">
        <v>23</v>
      </c>
      <c r="M17" s="9" t="s">
        <v>23</v>
      </c>
      <c r="N17" s="9" t="s">
        <v>23</v>
      </c>
      <c r="O17" s="9" t="s">
        <v>23</v>
      </c>
      <c r="P17" s="9" t="s">
        <v>23</v>
      </c>
      <c r="Q17" s="9" t="s">
        <v>34</v>
      </c>
      <c r="R17" s="9" t="s">
        <v>23</v>
      </c>
      <c r="S17" s="9" t="s">
        <v>64</v>
      </c>
      <c r="T17" s="9" t="s">
        <v>23</v>
      </c>
      <c r="U17" s="10" t="s">
        <v>23</v>
      </c>
    </row>
    <row r="18" spans="1:21" x14ac:dyDescent="0.35">
      <c r="A18" s="5" t="s">
        <v>21</v>
      </c>
      <c r="B18" s="6">
        <v>95071807500</v>
      </c>
      <c r="C18" s="6" t="s">
        <v>41</v>
      </c>
      <c r="D18" s="6" t="s">
        <v>42</v>
      </c>
      <c r="E18" s="6" t="s">
        <v>23</v>
      </c>
      <c r="F18" s="6" t="s">
        <v>23</v>
      </c>
      <c r="G18" s="6" t="s">
        <v>23</v>
      </c>
      <c r="H18" s="6" t="s">
        <v>23</v>
      </c>
      <c r="I18" s="6" t="s">
        <v>66</v>
      </c>
      <c r="J18" s="6" t="s">
        <v>54</v>
      </c>
      <c r="K18" s="6" t="s">
        <v>23</v>
      </c>
      <c r="L18" s="6" t="s">
        <v>23</v>
      </c>
      <c r="M18" s="6" t="s">
        <v>23</v>
      </c>
      <c r="N18" s="6" t="s">
        <v>23</v>
      </c>
      <c r="O18" s="6" t="s">
        <v>23</v>
      </c>
      <c r="P18" s="6" t="s">
        <v>23</v>
      </c>
      <c r="Q18" s="6" t="s">
        <v>39</v>
      </c>
      <c r="R18" s="6" t="s">
        <v>23</v>
      </c>
      <c r="S18" s="6" t="s">
        <v>67</v>
      </c>
      <c r="T18" s="6" t="s">
        <v>23</v>
      </c>
      <c r="U18" s="7" t="s">
        <v>23</v>
      </c>
    </row>
    <row r="19" spans="1:21" x14ac:dyDescent="0.35">
      <c r="A19" s="8" t="s">
        <v>21</v>
      </c>
      <c r="B19" s="9">
        <v>95072900844</v>
      </c>
      <c r="C19" s="9" t="s">
        <v>68</v>
      </c>
      <c r="D19" s="9" t="s">
        <v>42</v>
      </c>
      <c r="E19" s="9" t="s">
        <v>23</v>
      </c>
      <c r="F19" s="9" t="s">
        <v>23</v>
      </c>
      <c r="G19" s="9" t="s">
        <v>23</v>
      </c>
      <c r="H19" s="9" t="s">
        <v>23</v>
      </c>
      <c r="I19" s="9" t="s">
        <v>48</v>
      </c>
      <c r="J19" s="9" t="s">
        <v>56</v>
      </c>
      <c r="K19" s="9" t="s">
        <v>23</v>
      </c>
      <c r="L19" s="9" t="s">
        <v>23</v>
      </c>
      <c r="M19" s="9" t="s">
        <v>23</v>
      </c>
      <c r="N19" s="9" t="s">
        <v>23</v>
      </c>
      <c r="O19" s="9" t="s">
        <v>23</v>
      </c>
      <c r="P19" s="9" t="s">
        <v>23</v>
      </c>
      <c r="Q19" s="9" t="s">
        <v>35</v>
      </c>
      <c r="R19" s="9" t="s">
        <v>23</v>
      </c>
      <c r="S19" s="9" t="s">
        <v>30</v>
      </c>
      <c r="T19" s="9" t="s">
        <v>23</v>
      </c>
      <c r="U19" s="10" t="s">
        <v>23</v>
      </c>
    </row>
    <row r="20" spans="1:21" x14ac:dyDescent="0.35">
      <c r="A20" s="5" t="s">
        <v>21</v>
      </c>
      <c r="B20" s="6">
        <v>95073111506</v>
      </c>
      <c r="C20" s="6" t="s">
        <v>41</v>
      </c>
      <c r="D20" s="6" t="s">
        <v>69</v>
      </c>
      <c r="E20" s="6" t="s">
        <v>23</v>
      </c>
      <c r="F20" s="6" t="s">
        <v>23</v>
      </c>
      <c r="G20" s="6" t="s">
        <v>23</v>
      </c>
      <c r="H20" s="6" t="s">
        <v>23</v>
      </c>
      <c r="I20" s="6" t="s">
        <v>35</v>
      </c>
      <c r="J20" s="6" t="s">
        <v>23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 t="s">
        <v>39</v>
      </c>
      <c r="R20" s="6" t="s">
        <v>23</v>
      </c>
      <c r="S20" s="6" t="s">
        <v>31</v>
      </c>
      <c r="T20" s="6" t="s">
        <v>23</v>
      </c>
      <c r="U20" s="7" t="s">
        <v>23</v>
      </c>
    </row>
    <row r="21" spans="1:21" x14ac:dyDescent="0.35">
      <c r="A21" s="8" t="s">
        <v>21</v>
      </c>
      <c r="B21" s="9">
        <v>95080409087</v>
      </c>
      <c r="C21" s="9" t="s">
        <v>39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 t="s">
        <v>62</v>
      </c>
      <c r="J21" s="9" t="s">
        <v>52</v>
      </c>
      <c r="K21" s="9" t="s">
        <v>23</v>
      </c>
      <c r="L21" s="9" t="s">
        <v>23</v>
      </c>
      <c r="M21" s="9" t="s">
        <v>23</v>
      </c>
      <c r="N21" s="9" t="s">
        <v>23</v>
      </c>
      <c r="O21" s="9" t="s">
        <v>23</v>
      </c>
      <c r="P21" s="9" t="s">
        <v>23</v>
      </c>
      <c r="Q21" s="9" t="s">
        <v>70</v>
      </c>
      <c r="R21" s="9" t="s">
        <v>23</v>
      </c>
      <c r="S21" s="9" t="s">
        <v>55</v>
      </c>
      <c r="T21" s="9" t="s">
        <v>23</v>
      </c>
      <c r="U21" s="10" t="s">
        <v>23</v>
      </c>
    </row>
    <row r="22" spans="1:21" x14ac:dyDescent="0.35">
      <c r="A22" s="5" t="s">
        <v>21</v>
      </c>
      <c r="B22" s="6">
        <v>95081008322</v>
      </c>
      <c r="C22" s="6" t="s">
        <v>71</v>
      </c>
      <c r="D22" s="6" t="s">
        <v>41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35</v>
      </c>
      <c r="J22" s="6" t="s">
        <v>23</v>
      </c>
      <c r="K22" s="6" t="s">
        <v>23</v>
      </c>
      <c r="L22" s="6" t="s">
        <v>23</v>
      </c>
      <c r="M22" s="6" t="s">
        <v>23</v>
      </c>
      <c r="N22" s="6" t="s">
        <v>23</v>
      </c>
      <c r="O22" s="6" t="s">
        <v>23</v>
      </c>
      <c r="P22" s="6" t="s">
        <v>23</v>
      </c>
      <c r="Q22" s="6" t="s">
        <v>33</v>
      </c>
      <c r="R22" s="6" t="s">
        <v>23</v>
      </c>
      <c r="S22" s="6" t="s">
        <v>70</v>
      </c>
      <c r="T22" s="6" t="s">
        <v>23</v>
      </c>
      <c r="U22" s="7" t="s">
        <v>23</v>
      </c>
    </row>
    <row r="23" spans="1:21" x14ac:dyDescent="0.35">
      <c r="A23" s="8" t="s">
        <v>21</v>
      </c>
      <c r="B23" s="9">
        <v>95081802841</v>
      </c>
      <c r="C23" s="9" t="s">
        <v>68</v>
      </c>
      <c r="D23" s="9" t="s">
        <v>72</v>
      </c>
      <c r="E23" s="9" t="s">
        <v>23</v>
      </c>
      <c r="F23" s="9" t="s">
        <v>23</v>
      </c>
      <c r="G23" s="9" t="s">
        <v>23</v>
      </c>
      <c r="H23" s="9" t="s">
        <v>23</v>
      </c>
      <c r="I23" s="9" t="s">
        <v>55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9" t="s">
        <v>23</v>
      </c>
      <c r="P23" s="9" t="s">
        <v>23</v>
      </c>
      <c r="Q23" s="9" t="s">
        <v>34</v>
      </c>
      <c r="R23" s="9" t="s">
        <v>23</v>
      </c>
      <c r="S23" s="9" t="s">
        <v>67</v>
      </c>
      <c r="T23" s="9" t="s">
        <v>23</v>
      </c>
      <c r="U23" s="10" t="s">
        <v>23</v>
      </c>
    </row>
    <row r="24" spans="1:21" x14ac:dyDescent="0.35">
      <c r="A24" s="5" t="s">
        <v>21</v>
      </c>
      <c r="B24" s="6">
        <v>95082400949</v>
      </c>
      <c r="C24" s="6" t="s">
        <v>28</v>
      </c>
      <c r="D24" s="6" t="s">
        <v>36</v>
      </c>
      <c r="E24" s="6" t="s">
        <v>23</v>
      </c>
      <c r="F24" s="6" t="s">
        <v>23</v>
      </c>
      <c r="G24" s="6" t="s">
        <v>23</v>
      </c>
      <c r="H24" s="6" t="s">
        <v>23</v>
      </c>
      <c r="I24" s="6" t="s">
        <v>35</v>
      </c>
      <c r="J24" s="6" t="s">
        <v>23</v>
      </c>
      <c r="K24" s="6" t="s">
        <v>23</v>
      </c>
      <c r="L24" s="6" t="s">
        <v>23</v>
      </c>
      <c r="M24" s="6" t="s">
        <v>23</v>
      </c>
      <c r="N24" s="6" t="s">
        <v>23</v>
      </c>
      <c r="O24" s="6" t="s">
        <v>23</v>
      </c>
      <c r="P24" s="6" t="s">
        <v>23</v>
      </c>
      <c r="Q24" s="6" t="s">
        <v>61</v>
      </c>
      <c r="R24" s="6" t="s">
        <v>23</v>
      </c>
      <c r="S24" s="6" t="s">
        <v>72</v>
      </c>
      <c r="T24" s="6" t="s">
        <v>23</v>
      </c>
      <c r="U24" s="7" t="s">
        <v>23</v>
      </c>
    </row>
    <row r="25" spans="1:21" x14ac:dyDescent="0.35">
      <c r="A25" s="8" t="s">
        <v>21</v>
      </c>
      <c r="B25" s="9">
        <v>95082502641</v>
      </c>
      <c r="C25" s="9" t="s">
        <v>69</v>
      </c>
      <c r="D25" s="9" t="s">
        <v>73</v>
      </c>
      <c r="E25" s="9" t="s">
        <v>23</v>
      </c>
      <c r="F25" s="9" t="s">
        <v>23</v>
      </c>
      <c r="G25" s="9" t="s">
        <v>23</v>
      </c>
      <c r="H25" s="9" t="s">
        <v>23</v>
      </c>
      <c r="I25" s="9" t="s">
        <v>37</v>
      </c>
      <c r="J25" s="9" t="s">
        <v>23</v>
      </c>
      <c r="K25" s="9" t="s">
        <v>23</v>
      </c>
      <c r="L25" s="9" t="s">
        <v>23</v>
      </c>
      <c r="M25" s="9" t="s">
        <v>23</v>
      </c>
      <c r="N25" s="9" t="s">
        <v>23</v>
      </c>
      <c r="O25" s="9" t="s">
        <v>23</v>
      </c>
      <c r="P25" s="9" t="s">
        <v>23</v>
      </c>
      <c r="Q25" s="9" t="s">
        <v>72</v>
      </c>
      <c r="R25" s="9" t="s">
        <v>23</v>
      </c>
      <c r="S25" s="9" t="s">
        <v>29</v>
      </c>
      <c r="T25" s="9" t="s">
        <v>23</v>
      </c>
      <c r="U25" s="10" t="s">
        <v>23</v>
      </c>
    </row>
    <row r="26" spans="1:21" x14ac:dyDescent="0.35">
      <c r="A26" s="5" t="s">
        <v>21</v>
      </c>
      <c r="B26" s="6">
        <v>95090501360</v>
      </c>
      <c r="C26" s="6" t="s">
        <v>65</v>
      </c>
      <c r="D26" s="6" t="s">
        <v>72</v>
      </c>
      <c r="E26" s="6" t="s">
        <v>23</v>
      </c>
      <c r="F26" s="6" t="s">
        <v>23</v>
      </c>
      <c r="G26" s="6" t="s">
        <v>23</v>
      </c>
      <c r="H26" s="6" t="s">
        <v>23</v>
      </c>
      <c r="I26" s="6" t="s">
        <v>24</v>
      </c>
      <c r="J26" s="6" t="s">
        <v>65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  <c r="P26" s="6" t="s">
        <v>23</v>
      </c>
      <c r="Q26" s="6" t="s">
        <v>42</v>
      </c>
      <c r="R26" s="6" t="s">
        <v>23</v>
      </c>
      <c r="S26" s="6" t="s">
        <v>61</v>
      </c>
      <c r="T26" s="6" t="s">
        <v>23</v>
      </c>
      <c r="U26" s="7" t="s">
        <v>23</v>
      </c>
    </row>
    <row r="27" spans="1:21" x14ac:dyDescent="0.35">
      <c r="A27" s="8" t="s">
        <v>21</v>
      </c>
      <c r="B27" s="9">
        <v>95091604864</v>
      </c>
      <c r="C27" s="9" t="s">
        <v>27</v>
      </c>
      <c r="D27" s="9" t="s">
        <v>23</v>
      </c>
      <c r="E27" s="9" t="s">
        <v>23</v>
      </c>
      <c r="F27" s="9" t="s">
        <v>23</v>
      </c>
      <c r="G27" s="9" t="s">
        <v>23</v>
      </c>
      <c r="H27" s="9" t="s">
        <v>23</v>
      </c>
      <c r="I27" s="9" t="s">
        <v>66</v>
      </c>
      <c r="J27" s="9" t="s">
        <v>65</v>
      </c>
      <c r="K27" s="9" t="s">
        <v>23</v>
      </c>
      <c r="L27" s="9" t="s">
        <v>23</v>
      </c>
      <c r="M27" s="9" t="s">
        <v>23</v>
      </c>
      <c r="N27" s="9" t="s">
        <v>23</v>
      </c>
      <c r="O27" s="9" t="s">
        <v>23</v>
      </c>
      <c r="P27" s="9" t="s">
        <v>23</v>
      </c>
      <c r="Q27" s="9" t="s">
        <v>71</v>
      </c>
      <c r="R27" s="9" t="s">
        <v>23</v>
      </c>
      <c r="S27" s="9" t="s">
        <v>55</v>
      </c>
      <c r="T27" s="9" t="s">
        <v>23</v>
      </c>
      <c r="U27" s="10" t="s">
        <v>23</v>
      </c>
    </row>
    <row r="28" spans="1:21" x14ac:dyDescent="0.35">
      <c r="A28" s="5" t="s">
        <v>21</v>
      </c>
      <c r="B28" s="6">
        <v>95110304166</v>
      </c>
      <c r="C28" s="6" t="s">
        <v>33</v>
      </c>
      <c r="D28" s="6" t="s">
        <v>36</v>
      </c>
      <c r="E28" s="6" t="s">
        <v>23</v>
      </c>
      <c r="F28" s="6" t="s">
        <v>23</v>
      </c>
      <c r="G28" s="6" t="s">
        <v>23</v>
      </c>
      <c r="H28" s="6" t="s">
        <v>23</v>
      </c>
      <c r="I28" s="6" t="s">
        <v>25</v>
      </c>
      <c r="J28" s="6" t="s">
        <v>23</v>
      </c>
      <c r="K28" s="6" t="s">
        <v>23</v>
      </c>
      <c r="L28" s="6" t="s">
        <v>23</v>
      </c>
      <c r="M28" s="6" t="s">
        <v>23</v>
      </c>
      <c r="N28" s="6" t="s">
        <v>23</v>
      </c>
      <c r="O28" s="6" t="s">
        <v>23</v>
      </c>
      <c r="P28" s="6" t="s">
        <v>23</v>
      </c>
      <c r="Q28" s="6" t="s">
        <v>27</v>
      </c>
      <c r="R28" s="6" t="s">
        <v>23</v>
      </c>
      <c r="S28" s="6" t="s">
        <v>51</v>
      </c>
      <c r="T28" s="6" t="s">
        <v>23</v>
      </c>
      <c r="U28" s="7" t="s">
        <v>23</v>
      </c>
    </row>
    <row r="29" spans="1:21" x14ac:dyDescent="0.35">
      <c r="A29" s="8" t="s">
        <v>21</v>
      </c>
      <c r="B29" s="9">
        <v>95110400947</v>
      </c>
      <c r="C29" s="9" t="s">
        <v>23</v>
      </c>
      <c r="D29" s="9" t="s">
        <v>23</v>
      </c>
      <c r="E29" s="9" t="s">
        <v>68</v>
      </c>
      <c r="F29" s="9" t="s">
        <v>23</v>
      </c>
      <c r="G29" s="9" t="s">
        <v>23</v>
      </c>
      <c r="H29" s="9" t="s">
        <v>23</v>
      </c>
      <c r="I29" s="9" t="s">
        <v>48</v>
      </c>
      <c r="J29" s="9" t="s">
        <v>56</v>
      </c>
      <c r="K29" s="9" t="s">
        <v>23</v>
      </c>
      <c r="L29" s="9" t="s">
        <v>23</v>
      </c>
      <c r="M29" s="9" t="s">
        <v>23</v>
      </c>
      <c r="N29" s="9" t="s">
        <v>23</v>
      </c>
      <c r="O29" s="9" t="s">
        <v>23</v>
      </c>
      <c r="P29" s="9" t="s">
        <v>23</v>
      </c>
      <c r="Q29" s="9" t="s">
        <v>56</v>
      </c>
      <c r="R29" s="9" t="s">
        <v>23</v>
      </c>
      <c r="S29" s="9" t="s">
        <v>70</v>
      </c>
      <c r="T29" s="9" t="s">
        <v>23</v>
      </c>
      <c r="U29" s="10" t="s">
        <v>23</v>
      </c>
    </row>
    <row r="30" spans="1:21" x14ac:dyDescent="0.35">
      <c r="A30" s="5" t="s">
        <v>21</v>
      </c>
      <c r="B30" s="6">
        <v>95111004447</v>
      </c>
      <c r="C30" s="6" t="s">
        <v>30</v>
      </c>
      <c r="D30" s="6" t="s">
        <v>39</v>
      </c>
      <c r="E30" s="6" t="s">
        <v>23</v>
      </c>
      <c r="F30" s="6" t="s">
        <v>23</v>
      </c>
      <c r="G30" s="6" t="s">
        <v>23</v>
      </c>
      <c r="H30" s="6" t="s">
        <v>23</v>
      </c>
      <c r="I30" s="6" t="s">
        <v>48</v>
      </c>
      <c r="J30" s="6" t="s">
        <v>23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23</v>
      </c>
      <c r="Q30" s="6" t="s">
        <v>74</v>
      </c>
      <c r="R30" s="6" t="s">
        <v>23</v>
      </c>
      <c r="S30" s="6" t="s">
        <v>36</v>
      </c>
      <c r="T30" s="6" t="s">
        <v>23</v>
      </c>
      <c r="U30" s="7" t="s">
        <v>23</v>
      </c>
    </row>
    <row r="31" spans="1:21" x14ac:dyDescent="0.35">
      <c r="A31" s="8" t="s">
        <v>21</v>
      </c>
      <c r="B31" s="9">
        <v>95112301543</v>
      </c>
      <c r="C31" s="9" t="s">
        <v>27</v>
      </c>
      <c r="D31" s="9" t="s">
        <v>36</v>
      </c>
      <c r="E31" s="9" t="s">
        <v>23</v>
      </c>
      <c r="F31" s="9" t="s">
        <v>23</v>
      </c>
      <c r="G31" s="9" t="s">
        <v>23</v>
      </c>
      <c r="H31" s="9" t="s">
        <v>23</v>
      </c>
      <c r="I31" s="9" t="s">
        <v>26</v>
      </c>
      <c r="J31" s="9" t="s">
        <v>28</v>
      </c>
      <c r="K31" s="9" t="s">
        <v>23</v>
      </c>
      <c r="L31" s="9" t="s">
        <v>23</v>
      </c>
      <c r="M31" s="9" t="s">
        <v>23</v>
      </c>
      <c r="N31" s="9" t="s">
        <v>23</v>
      </c>
      <c r="O31" s="9" t="s">
        <v>23</v>
      </c>
      <c r="P31" s="9" t="s">
        <v>23</v>
      </c>
      <c r="Q31" s="9" t="s">
        <v>27</v>
      </c>
      <c r="R31" s="9" t="s">
        <v>23</v>
      </c>
      <c r="S31" s="9" t="s">
        <v>75</v>
      </c>
      <c r="T31" s="9" t="s">
        <v>23</v>
      </c>
      <c r="U31" s="10" t="s">
        <v>23</v>
      </c>
    </row>
    <row r="32" spans="1:21" x14ac:dyDescent="0.35">
      <c r="A32" s="5" t="s">
        <v>21</v>
      </c>
      <c r="B32" s="6">
        <v>95120101108</v>
      </c>
      <c r="C32" s="6" t="s">
        <v>54</v>
      </c>
      <c r="D32" s="6" t="s">
        <v>26</v>
      </c>
      <c r="E32" s="6" t="s">
        <v>23</v>
      </c>
      <c r="F32" s="6" t="s">
        <v>23</v>
      </c>
      <c r="G32" s="6" t="s">
        <v>23</v>
      </c>
      <c r="H32" s="6" t="s">
        <v>23</v>
      </c>
      <c r="I32" s="6" t="s">
        <v>24</v>
      </c>
      <c r="J32" s="6" t="s">
        <v>61</v>
      </c>
      <c r="K32" s="6" t="s">
        <v>23</v>
      </c>
      <c r="L32" s="6" t="s">
        <v>23</v>
      </c>
      <c r="M32" s="6" t="s">
        <v>23</v>
      </c>
      <c r="N32" s="6" t="s">
        <v>23</v>
      </c>
      <c r="O32" s="6" t="s">
        <v>23</v>
      </c>
      <c r="P32" s="6" t="s">
        <v>23</v>
      </c>
      <c r="Q32" s="6" t="s">
        <v>35</v>
      </c>
      <c r="R32" s="6" t="s">
        <v>23</v>
      </c>
      <c r="S32" s="6" t="s">
        <v>61</v>
      </c>
      <c r="T32" s="6" t="s">
        <v>23</v>
      </c>
      <c r="U32" s="7" t="s">
        <v>23</v>
      </c>
    </row>
    <row r="33" spans="1:21" x14ac:dyDescent="0.35">
      <c r="A33" s="8" t="s">
        <v>21</v>
      </c>
      <c r="B33" s="9">
        <v>95120600768</v>
      </c>
      <c r="C33" s="9" t="s">
        <v>53</v>
      </c>
      <c r="D33" s="9" t="s">
        <v>54</v>
      </c>
      <c r="E33" s="9" t="s">
        <v>74</v>
      </c>
      <c r="F33" s="9" t="s">
        <v>23</v>
      </c>
      <c r="G33" s="9" t="s">
        <v>23</v>
      </c>
      <c r="H33" s="9" t="s">
        <v>23</v>
      </c>
      <c r="I33" s="9" t="s">
        <v>48</v>
      </c>
      <c r="J33" s="9" t="s">
        <v>23</v>
      </c>
      <c r="K33" s="9" t="s">
        <v>23</v>
      </c>
      <c r="L33" s="9" t="s">
        <v>23</v>
      </c>
      <c r="M33" s="9" t="s">
        <v>23</v>
      </c>
      <c r="N33" s="9" t="s">
        <v>23</v>
      </c>
      <c r="O33" s="9" t="s">
        <v>23</v>
      </c>
      <c r="P33" s="9" t="s">
        <v>23</v>
      </c>
      <c r="Q33" s="9" t="s">
        <v>49</v>
      </c>
      <c r="R33" s="9" t="s">
        <v>51</v>
      </c>
      <c r="S33" s="9" t="s">
        <v>76</v>
      </c>
      <c r="T33" s="9" t="s">
        <v>23</v>
      </c>
      <c r="U33" s="10" t="s">
        <v>23</v>
      </c>
    </row>
    <row r="34" spans="1:21" x14ac:dyDescent="0.35">
      <c r="A34" s="5" t="s">
        <v>21</v>
      </c>
      <c r="B34" s="6">
        <v>95120903939</v>
      </c>
      <c r="C34" s="6" t="s">
        <v>38</v>
      </c>
      <c r="D34" s="6" t="s">
        <v>74</v>
      </c>
      <c r="E34" s="6" t="s">
        <v>23</v>
      </c>
      <c r="F34" s="6" t="s">
        <v>23</v>
      </c>
      <c r="G34" s="6" t="s">
        <v>23</v>
      </c>
      <c r="H34" s="6" t="s">
        <v>23</v>
      </c>
      <c r="I34" s="6" t="s">
        <v>35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23</v>
      </c>
      <c r="O34" s="6" t="s">
        <v>23</v>
      </c>
      <c r="P34" s="6" t="s">
        <v>23</v>
      </c>
      <c r="Q34" s="6" t="s">
        <v>56</v>
      </c>
      <c r="R34" s="6" t="s">
        <v>23</v>
      </c>
      <c r="S34" s="6" t="s">
        <v>75</v>
      </c>
      <c r="T34" s="6" t="s">
        <v>23</v>
      </c>
      <c r="U34" s="7" t="s">
        <v>23</v>
      </c>
    </row>
    <row r="35" spans="1:21" x14ac:dyDescent="0.35">
      <c r="A35" s="8" t="s">
        <v>21</v>
      </c>
      <c r="B35" s="9">
        <v>95122401008</v>
      </c>
      <c r="C35" s="9" t="s">
        <v>43</v>
      </c>
      <c r="D35" s="9" t="s">
        <v>23</v>
      </c>
      <c r="E35" s="9" t="s">
        <v>23</v>
      </c>
      <c r="F35" s="9" t="s">
        <v>23</v>
      </c>
      <c r="G35" s="9" t="s">
        <v>23</v>
      </c>
      <c r="H35" s="9" t="s">
        <v>23</v>
      </c>
      <c r="I35" s="9" t="s">
        <v>24</v>
      </c>
      <c r="J35" s="9" t="s">
        <v>23</v>
      </c>
      <c r="K35" s="9" t="s">
        <v>23</v>
      </c>
      <c r="L35" s="9" t="s">
        <v>23</v>
      </c>
      <c r="M35" s="9" t="s">
        <v>23</v>
      </c>
      <c r="N35" s="9" t="s">
        <v>23</v>
      </c>
      <c r="O35" s="9" t="s">
        <v>23</v>
      </c>
      <c r="P35" s="9" t="s">
        <v>23</v>
      </c>
      <c r="Q35" s="9" t="s">
        <v>74</v>
      </c>
      <c r="R35" s="9" t="s">
        <v>23</v>
      </c>
      <c r="S35" s="9" t="s">
        <v>63</v>
      </c>
      <c r="T35" s="9" t="s">
        <v>30</v>
      </c>
      <c r="U35" s="10" t="s">
        <v>70</v>
      </c>
    </row>
    <row r="36" spans="1:21" x14ac:dyDescent="0.35">
      <c r="A36" s="5" t="s">
        <v>77</v>
      </c>
      <c r="B36" s="6">
        <v>95011505013</v>
      </c>
      <c r="C36" s="6" t="s">
        <v>23</v>
      </c>
      <c r="D36" s="6" t="s">
        <v>23</v>
      </c>
      <c r="E36" s="6" t="s">
        <v>23</v>
      </c>
      <c r="F36" s="6" t="s">
        <v>23</v>
      </c>
      <c r="G36" s="6" t="s">
        <v>23</v>
      </c>
      <c r="H36" s="6" t="s">
        <v>23</v>
      </c>
      <c r="I36" s="6" t="s">
        <v>54</v>
      </c>
      <c r="J36" s="6" t="s">
        <v>36</v>
      </c>
      <c r="K36" s="6" t="s">
        <v>23</v>
      </c>
      <c r="L36" s="6" t="s">
        <v>23</v>
      </c>
      <c r="M36" s="6" t="s">
        <v>23</v>
      </c>
      <c r="N36" s="6" t="s">
        <v>23</v>
      </c>
      <c r="O36" s="6" t="s">
        <v>23</v>
      </c>
      <c r="P36" s="6" t="s">
        <v>23</v>
      </c>
      <c r="Q36" s="6" t="s">
        <v>78</v>
      </c>
      <c r="R36" s="6" t="s">
        <v>23</v>
      </c>
      <c r="S36" s="6" t="s">
        <v>36</v>
      </c>
      <c r="T36" s="6" t="s">
        <v>46</v>
      </c>
      <c r="U36" s="7" t="s">
        <v>23</v>
      </c>
    </row>
    <row r="37" spans="1:21" x14ac:dyDescent="0.35">
      <c r="A37" s="8" t="s">
        <v>77</v>
      </c>
      <c r="B37" s="9">
        <v>95012403389</v>
      </c>
      <c r="C37" s="9" t="s">
        <v>23</v>
      </c>
      <c r="D37" s="9" t="s">
        <v>23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48</v>
      </c>
      <c r="J37" s="9" t="s">
        <v>43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9" t="s">
        <v>72</v>
      </c>
      <c r="R37" s="9" t="s">
        <v>23</v>
      </c>
      <c r="S37" s="9" t="s">
        <v>32</v>
      </c>
      <c r="T37" s="9" t="s">
        <v>33</v>
      </c>
      <c r="U37" s="10" t="s">
        <v>79</v>
      </c>
    </row>
    <row r="38" spans="1:21" x14ac:dyDescent="0.35">
      <c r="A38" s="5" t="s">
        <v>77</v>
      </c>
      <c r="B38" s="6">
        <v>95020804428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35</v>
      </c>
      <c r="H38" s="6" t="s">
        <v>23</v>
      </c>
      <c r="I38" s="6" t="s">
        <v>24</v>
      </c>
      <c r="J38" s="6" t="s">
        <v>80</v>
      </c>
      <c r="K38" s="6" t="s">
        <v>23</v>
      </c>
      <c r="L38" s="6" t="s">
        <v>23</v>
      </c>
      <c r="M38" s="6" t="s">
        <v>23</v>
      </c>
      <c r="N38" s="6" t="s">
        <v>23</v>
      </c>
      <c r="O38" s="6" t="s">
        <v>23</v>
      </c>
      <c r="P38" s="6" t="s">
        <v>23</v>
      </c>
      <c r="Q38" s="6" t="s">
        <v>26</v>
      </c>
      <c r="R38" s="6" t="s">
        <v>23</v>
      </c>
      <c r="S38" s="6" t="s">
        <v>57</v>
      </c>
      <c r="T38" s="6" t="s">
        <v>33</v>
      </c>
      <c r="U38" s="7" t="s">
        <v>23</v>
      </c>
    </row>
    <row r="39" spans="1:21" x14ac:dyDescent="0.35">
      <c r="A39" s="8" t="s">
        <v>77</v>
      </c>
      <c r="B39" s="9">
        <v>95021807901</v>
      </c>
      <c r="C39" s="9" t="s">
        <v>23</v>
      </c>
      <c r="D39" s="9" t="s">
        <v>23</v>
      </c>
      <c r="E39" s="9" t="s">
        <v>23</v>
      </c>
      <c r="F39" s="9" t="s">
        <v>23</v>
      </c>
      <c r="G39" s="9" t="s">
        <v>56</v>
      </c>
      <c r="H39" s="9" t="s">
        <v>23</v>
      </c>
      <c r="I39" s="9" t="s">
        <v>24</v>
      </c>
      <c r="J39" s="9" t="s">
        <v>38</v>
      </c>
      <c r="K39" s="9" t="s">
        <v>23</v>
      </c>
      <c r="L39" s="9" t="s">
        <v>23</v>
      </c>
      <c r="M39" s="9" t="s">
        <v>23</v>
      </c>
      <c r="N39" s="9" t="s">
        <v>23</v>
      </c>
      <c r="O39" s="9" t="s">
        <v>23</v>
      </c>
      <c r="P39" s="9" t="s">
        <v>23</v>
      </c>
      <c r="Q39" s="9" t="s">
        <v>33</v>
      </c>
      <c r="R39" s="9" t="s">
        <v>23</v>
      </c>
      <c r="S39" s="9" t="s">
        <v>31</v>
      </c>
      <c r="T39" s="9" t="s">
        <v>41</v>
      </c>
      <c r="U39" s="10" t="s">
        <v>39</v>
      </c>
    </row>
    <row r="40" spans="1:21" x14ac:dyDescent="0.35">
      <c r="A40" s="5" t="s">
        <v>77</v>
      </c>
      <c r="B40" s="6">
        <v>95022105039</v>
      </c>
      <c r="C40" s="6" t="s">
        <v>23</v>
      </c>
      <c r="D40" s="6" t="s">
        <v>23</v>
      </c>
      <c r="E40" s="6" t="s">
        <v>23</v>
      </c>
      <c r="F40" s="6" t="s">
        <v>23</v>
      </c>
      <c r="G40" s="6" t="s">
        <v>38</v>
      </c>
      <c r="H40" s="6" t="s">
        <v>23</v>
      </c>
      <c r="I40" s="6" t="s">
        <v>48</v>
      </c>
      <c r="J40" s="6" t="s">
        <v>54</v>
      </c>
      <c r="K40" s="6" t="s">
        <v>23</v>
      </c>
      <c r="L40" s="6" t="s">
        <v>23</v>
      </c>
      <c r="M40" s="6" t="s">
        <v>23</v>
      </c>
      <c r="N40" s="6" t="s">
        <v>23</v>
      </c>
      <c r="O40" s="6" t="s">
        <v>23</v>
      </c>
      <c r="P40" s="6" t="s">
        <v>23</v>
      </c>
      <c r="Q40" s="6" t="s">
        <v>56</v>
      </c>
      <c r="R40" s="6" t="s">
        <v>81</v>
      </c>
      <c r="S40" s="6" t="s">
        <v>82</v>
      </c>
      <c r="T40" s="6" t="s">
        <v>30</v>
      </c>
      <c r="U40" s="7" t="s">
        <v>24</v>
      </c>
    </row>
    <row r="41" spans="1:21" x14ac:dyDescent="0.35">
      <c r="A41" s="8" t="s">
        <v>77</v>
      </c>
      <c r="B41" s="9">
        <v>95031012300</v>
      </c>
      <c r="C41" s="9" t="s">
        <v>23</v>
      </c>
      <c r="D41" s="9" t="s">
        <v>23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64</v>
      </c>
      <c r="J41" s="9" t="s">
        <v>79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 t="s">
        <v>50</v>
      </c>
      <c r="R41" s="9" t="s">
        <v>23</v>
      </c>
      <c r="S41" s="9" t="s">
        <v>73</v>
      </c>
      <c r="T41" s="9" t="s">
        <v>82</v>
      </c>
      <c r="U41" s="10" t="s">
        <v>50</v>
      </c>
    </row>
    <row r="42" spans="1:21" x14ac:dyDescent="0.35">
      <c r="A42" s="5" t="s">
        <v>77</v>
      </c>
      <c r="B42" s="6">
        <v>95032101746</v>
      </c>
      <c r="C42" s="6" t="s">
        <v>23</v>
      </c>
      <c r="D42" s="6" t="s">
        <v>23</v>
      </c>
      <c r="E42" s="6" t="s">
        <v>23</v>
      </c>
      <c r="F42" s="6" t="s">
        <v>23</v>
      </c>
      <c r="G42" s="6" t="s">
        <v>26</v>
      </c>
      <c r="H42" s="6" t="s">
        <v>23</v>
      </c>
      <c r="I42" s="6" t="s">
        <v>40</v>
      </c>
      <c r="J42" s="6" t="s">
        <v>62</v>
      </c>
      <c r="K42" s="6" t="s">
        <v>23</v>
      </c>
      <c r="L42" s="6" t="s">
        <v>23</v>
      </c>
      <c r="M42" s="6" t="s">
        <v>23</v>
      </c>
      <c r="N42" s="6" t="s">
        <v>23</v>
      </c>
      <c r="O42" s="6" t="s">
        <v>23</v>
      </c>
      <c r="P42" s="6" t="s">
        <v>83</v>
      </c>
      <c r="Q42" s="6" t="s">
        <v>41</v>
      </c>
      <c r="R42" s="6" t="s">
        <v>23</v>
      </c>
      <c r="S42" s="6" t="s">
        <v>33</v>
      </c>
      <c r="T42" s="6" t="s">
        <v>27</v>
      </c>
      <c r="U42" s="7" t="s">
        <v>71</v>
      </c>
    </row>
    <row r="43" spans="1:21" x14ac:dyDescent="0.35">
      <c r="A43" s="8" t="s">
        <v>77</v>
      </c>
      <c r="B43" s="9">
        <v>95032204296</v>
      </c>
      <c r="C43" s="9" t="s">
        <v>23</v>
      </c>
      <c r="D43" s="9" t="s">
        <v>23</v>
      </c>
      <c r="E43" s="9" t="s">
        <v>23</v>
      </c>
      <c r="F43" s="9" t="s">
        <v>23</v>
      </c>
      <c r="G43" s="9" t="s">
        <v>35</v>
      </c>
      <c r="H43" s="9" t="s">
        <v>23</v>
      </c>
      <c r="I43" s="9" t="s">
        <v>54</v>
      </c>
      <c r="J43" s="9" t="s">
        <v>62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 t="s">
        <v>31</v>
      </c>
      <c r="R43" s="9" t="s">
        <v>23</v>
      </c>
      <c r="S43" s="9" t="s">
        <v>63</v>
      </c>
      <c r="T43" s="9" t="s">
        <v>68</v>
      </c>
      <c r="U43" s="10" t="s">
        <v>71</v>
      </c>
    </row>
    <row r="44" spans="1:21" x14ac:dyDescent="0.35">
      <c r="A44" s="5" t="s">
        <v>77</v>
      </c>
      <c r="B44" s="6">
        <v>95042205755</v>
      </c>
      <c r="C44" s="6" t="s">
        <v>23</v>
      </c>
      <c r="D44" s="6" t="s">
        <v>23</v>
      </c>
      <c r="E44" s="6" t="s">
        <v>23</v>
      </c>
      <c r="F44" s="6" t="s">
        <v>23</v>
      </c>
      <c r="G44" s="6" t="s">
        <v>49</v>
      </c>
      <c r="H44" s="6" t="s">
        <v>23</v>
      </c>
      <c r="I44" s="6" t="s">
        <v>38</v>
      </c>
      <c r="J44" s="6" t="s">
        <v>28</v>
      </c>
      <c r="K44" s="6" t="s">
        <v>23</v>
      </c>
      <c r="L44" s="6" t="s">
        <v>23</v>
      </c>
      <c r="M44" s="6" t="s">
        <v>23</v>
      </c>
      <c r="N44" s="6" t="s">
        <v>23</v>
      </c>
      <c r="O44" s="6" t="s">
        <v>23</v>
      </c>
      <c r="P44" s="6" t="s">
        <v>23</v>
      </c>
      <c r="Q44" s="6" t="s">
        <v>32</v>
      </c>
      <c r="R44" s="6" t="s">
        <v>23</v>
      </c>
      <c r="S44" s="6" t="s">
        <v>27</v>
      </c>
      <c r="T44" s="6" t="s">
        <v>36</v>
      </c>
      <c r="U44" s="7" t="s">
        <v>23</v>
      </c>
    </row>
    <row r="45" spans="1:21" x14ac:dyDescent="0.35">
      <c r="A45" s="8" t="s">
        <v>77</v>
      </c>
      <c r="B45" s="9">
        <v>95050205185</v>
      </c>
      <c r="C45" s="9" t="s">
        <v>23</v>
      </c>
      <c r="D45" s="9" t="s">
        <v>23</v>
      </c>
      <c r="E45" s="9" t="s">
        <v>23</v>
      </c>
      <c r="F45" s="9" t="s">
        <v>23</v>
      </c>
      <c r="G45" s="9" t="s">
        <v>76</v>
      </c>
      <c r="H45" s="9" t="s">
        <v>23</v>
      </c>
      <c r="I45" s="9" t="s">
        <v>40</v>
      </c>
      <c r="J45" s="9" t="s">
        <v>28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 t="s">
        <v>72</v>
      </c>
      <c r="R45" s="9" t="s">
        <v>23</v>
      </c>
      <c r="S45" s="9" t="s">
        <v>67</v>
      </c>
      <c r="T45" s="9" t="s">
        <v>27</v>
      </c>
      <c r="U45" s="10" t="s">
        <v>41</v>
      </c>
    </row>
    <row r="46" spans="1:21" x14ac:dyDescent="0.35">
      <c r="A46" s="5" t="s">
        <v>77</v>
      </c>
      <c r="B46" s="6">
        <v>95050904503</v>
      </c>
      <c r="C46" s="6" t="s">
        <v>23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 t="s">
        <v>24</v>
      </c>
      <c r="J46" s="6" t="s">
        <v>35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 t="s">
        <v>33</v>
      </c>
      <c r="R46" s="6" t="s">
        <v>23</v>
      </c>
      <c r="S46" s="6" t="s">
        <v>75</v>
      </c>
      <c r="T46" s="6" t="s">
        <v>69</v>
      </c>
      <c r="U46" s="7" t="s">
        <v>23</v>
      </c>
    </row>
    <row r="47" spans="1:21" x14ac:dyDescent="0.35">
      <c r="A47" s="8" t="s">
        <v>77</v>
      </c>
      <c r="B47" s="9">
        <v>95051201982</v>
      </c>
      <c r="C47" s="9" t="s">
        <v>23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 t="s">
        <v>48</v>
      </c>
      <c r="J47" s="9" t="s">
        <v>75</v>
      </c>
      <c r="K47" s="9" t="s">
        <v>23</v>
      </c>
      <c r="L47" s="9" t="s">
        <v>23</v>
      </c>
      <c r="M47" s="9" t="s">
        <v>23</v>
      </c>
      <c r="N47" s="9" t="s">
        <v>23</v>
      </c>
      <c r="O47" s="9" t="s">
        <v>23</v>
      </c>
      <c r="P47" s="9" t="s">
        <v>23</v>
      </c>
      <c r="Q47" s="9" t="s">
        <v>70</v>
      </c>
      <c r="R47" s="9" t="s">
        <v>23</v>
      </c>
      <c r="S47" s="9" t="s">
        <v>75</v>
      </c>
      <c r="T47" s="9" t="s">
        <v>34</v>
      </c>
      <c r="U47" s="10" t="s">
        <v>47</v>
      </c>
    </row>
    <row r="48" spans="1:21" x14ac:dyDescent="0.35">
      <c r="A48" s="5" t="s">
        <v>77</v>
      </c>
      <c r="B48" s="6">
        <v>95052501302</v>
      </c>
      <c r="C48" s="6" t="s">
        <v>23</v>
      </c>
      <c r="D48" s="6" t="s">
        <v>23</v>
      </c>
      <c r="E48" s="6" t="s">
        <v>23</v>
      </c>
      <c r="F48" s="6" t="s">
        <v>23</v>
      </c>
      <c r="G48" s="6" t="s">
        <v>23</v>
      </c>
      <c r="H48" s="6" t="s">
        <v>23</v>
      </c>
      <c r="I48" s="6" t="s">
        <v>48</v>
      </c>
      <c r="J48" s="6" t="s">
        <v>83</v>
      </c>
      <c r="K48" s="6" t="s">
        <v>23</v>
      </c>
      <c r="L48" s="6" t="s">
        <v>23</v>
      </c>
      <c r="M48" s="6" t="s">
        <v>23</v>
      </c>
      <c r="N48" s="6" t="s">
        <v>23</v>
      </c>
      <c r="O48" s="6" t="s">
        <v>23</v>
      </c>
      <c r="P48" s="6" t="s">
        <v>23</v>
      </c>
      <c r="Q48" s="6" t="s">
        <v>41</v>
      </c>
      <c r="R48" s="6" t="s">
        <v>23</v>
      </c>
      <c r="S48" s="6" t="s">
        <v>44</v>
      </c>
      <c r="T48" s="6" t="s">
        <v>33</v>
      </c>
      <c r="U48" s="7" t="s">
        <v>84</v>
      </c>
    </row>
    <row r="49" spans="1:21" x14ac:dyDescent="0.35">
      <c r="A49" s="8" t="s">
        <v>77</v>
      </c>
      <c r="B49" s="9">
        <v>95060201793</v>
      </c>
      <c r="C49" s="9" t="s">
        <v>30</v>
      </c>
      <c r="D49" s="9" t="s">
        <v>45</v>
      </c>
      <c r="E49" s="9" t="s">
        <v>23</v>
      </c>
      <c r="F49" s="9" t="s">
        <v>23</v>
      </c>
      <c r="G49" s="9" t="s">
        <v>23</v>
      </c>
      <c r="H49" s="9" t="s">
        <v>23</v>
      </c>
      <c r="I49" s="9" t="s">
        <v>27</v>
      </c>
      <c r="J49" s="9" t="s">
        <v>23</v>
      </c>
      <c r="K49" s="9" t="s">
        <v>23</v>
      </c>
      <c r="L49" s="9" t="s">
        <v>23</v>
      </c>
      <c r="M49" s="9" t="s">
        <v>23</v>
      </c>
      <c r="N49" s="9" t="s">
        <v>23</v>
      </c>
      <c r="O49" s="9" t="s">
        <v>23</v>
      </c>
      <c r="P49" s="9" t="s">
        <v>23</v>
      </c>
      <c r="Q49" s="9" t="s">
        <v>22</v>
      </c>
      <c r="R49" s="9" t="s">
        <v>23</v>
      </c>
      <c r="S49" s="9" t="s">
        <v>31</v>
      </c>
      <c r="T49" s="9" t="s">
        <v>23</v>
      </c>
      <c r="U49" s="10" t="s">
        <v>23</v>
      </c>
    </row>
    <row r="50" spans="1:21" x14ac:dyDescent="0.35">
      <c r="A50" s="5" t="s">
        <v>77</v>
      </c>
      <c r="B50" s="6">
        <v>95062400343</v>
      </c>
      <c r="C50" s="6" t="s">
        <v>72</v>
      </c>
      <c r="D50" s="6" t="s">
        <v>58</v>
      </c>
      <c r="E50" s="6" t="s">
        <v>23</v>
      </c>
      <c r="F50" s="6" t="s">
        <v>23</v>
      </c>
      <c r="G50" s="6" t="s">
        <v>23</v>
      </c>
      <c r="H50" s="6" t="s">
        <v>23</v>
      </c>
      <c r="I50" s="6" t="s">
        <v>35</v>
      </c>
      <c r="J50" s="6" t="s">
        <v>23</v>
      </c>
      <c r="K50" s="6" t="s">
        <v>23</v>
      </c>
      <c r="L50" s="6" t="s">
        <v>23</v>
      </c>
      <c r="M50" s="6" t="s">
        <v>23</v>
      </c>
      <c r="N50" s="6" t="s">
        <v>23</v>
      </c>
      <c r="O50" s="6" t="s">
        <v>23</v>
      </c>
      <c r="P50" s="6" t="s">
        <v>23</v>
      </c>
      <c r="Q50" s="6" t="s">
        <v>34</v>
      </c>
      <c r="R50" s="6" t="s">
        <v>23</v>
      </c>
      <c r="S50" s="6" t="s">
        <v>44</v>
      </c>
      <c r="T50" s="6" t="s">
        <v>23</v>
      </c>
      <c r="U50" s="7" t="s">
        <v>23</v>
      </c>
    </row>
    <row r="51" spans="1:21" x14ac:dyDescent="0.35">
      <c r="A51" s="8" t="s">
        <v>77</v>
      </c>
      <c r="B51" s="9">
        <v>95070400070</v>
      </c>
      <c r="C51" s="9" t="s">
        <v>23</v>
      </c>
      <c r="D51" s="9" t="s">
        <v>23</v>
      </c>
      <c r="E51" s="9" t="s">
        <v>23</v>
      </c>
      <c r="F51" s="9" t="s">
        <v>23</v>
      </c>
      <c r="G51" s="9" t="s">
        <v>35</v>
      </c>
      <c r="H51" s="9" t="s">
        <v>23</v>
      </c>
      <c r="I51" s="9" t="s">
        <v>35</v>
      </c>
      <c r="J51" s="9" t="s">
        <v>64</v>
      </c>
      <c r="K51" s="9" t="s">
        <v>23</v>
      </c>
      <c r="L51" s="9" t="s">
        <v>23</v>
      </c>
      <c r="M51" s="9" t="s">
        <v>23</v>
      </c>
      <c r="N51" s="9" t="s">
        <v>23</v>
      </c>
      <c r="O51" s="9" t="s">
        <v>23</v>
      </c>
      <c r="P51" s="9" t="s">
        <v>23</v>
      </c>
      <c r="Q51" s="9" t="s">
        <v>71</v>
      </c>
      <c r="R51" s="9" t="s">
        <v>23</v>
      </c>
      <c r="S51" s="9" t="s">
        <v>85</v>
      </c>
      <c r="T51" s="9" t="s">
        <v>36</v>
      </c>
      <c r="U51" s="10" t="s">
        <v>41</v>
      </c>
    </row>
    <row r="52" spans="1:21" x14ac:dyDescent="0.35">
      <c r="A52" s="5" t="s">
        <v>77</v>
      </c>
      <c r="B52" s="6">
        <v>95080101408</v>
      </c>
      <c r="C52" s="6" t="s">
        <v>30</v>
      </c>
      <c r="D52" s="6" t="s">
        <v>23</v>
      </c>
      <c r="E52" s="6" t="s">
        <v>23</v>
      </c>
      <c r="F52" s="6" t="s">
        <v>23</v>
      </c>
      <c r="G52" s="6" t="s">
        <v>23</v>
      </c>
      <c r="H52" s="6" t="s">
        <v>23</v>
      </c>
      <c r="I52" s="6" t="s">
        <v>86</v>
      </c>
      <c r="J52" s="6" t="s">
        <v>51</v>
      </c>
      <c r="K52" s="6" t="s">
        <v>23</v>
      </c>
      <c r="L52" s="6" t="s">
        <v>23</v>
      </c>
      <c r="M52" s="6" t="s">
        <v>23</v>
      </c>
      <c r="N52" s="6" t="s">
        <v>23</v>
      </c>
      <c r="O52" s="6" t="s">
        <v>23</v>
      </c>
      <c r="P52" s="6" t="s">
        <v>23</v>
      </c>
      <c r="Q52" s="6" t="s">
        <v>31</v>
      </c>
      <c r="R52" s="6" t="s">
        <v>23</v>
      </c>
      <c r="S52" s="6" t="s">
        <v>36</v>
      </c>
      <c r="T52" s="6" t="s">
        <v>30</v>
      </c>
      <c r="U52" s="7" t="s">
        <v>23</v>
      </c>
    </row>
    <row r="53" spans="1:21" x14ac:dyDescent="0.35">
      <c r="A53" s="8" t="s">
        <v>77</v>
      </c>
      <c r="B53" s="9">
        <v>95080902016</v>
      </c>
      <c r="C53" s="9" t="s">
        <v>23</v>
      </c>
      <c r="D53" s="9" t="s">
        <v>23</v>
      </c>
      <c r="E53" s="9" t="s">
        <v>23</v>
      </c>
      <c r="F53" s="9" t="s">
        <v>23</v>
      </c>
      <c r="G53" s="9" t="s">
        <v>27</v>
      </c>
      <c r="H53" s="9" t="s">
        <v>23</v>
      </c>
      <c r="I53" s="9" t="s">
        <v>86</v>
      </c>
      <c r="J53" s="9" t="s">
        <v>65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23</v>
      </c>
      <c r="P53" s="9" t="s">
        <v>23</v>
      </c>
      <c r="Q53" s="9" t="s">
        <v>79</v>
      </c>
      <c r="R53" s="9" t="s">
        <v>23</v>
      </c>
      <c r="S53" s="9" t="s">
        <v>76</v>
      </c>
      <c r="T53" s="9" t="s">
        <v>75</v>
      </c>
      <c r="U53" s="10" t="s">
        <v>23</v>
      </c>
    </row>
    <row r="54" spans="1:21" x14ac:dyDescent="0.35">
      <c r="A54" s="5" t="s">
        <v>77</v>
      </c>
      <c r="B54" s="6">
        <v>95081001141</v>
      </c>
      <c r="C54" s="6" t="s">
        <v>87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 t="s">
        <v>48</v>
      </c>
      <c r="J54" s="6" t="s">
        <v>55</v>
      </c>
      <c r="K54" s="6" t="s">
        <v>23</v>
      </c>
      <c r="L54" s="6" t="s">
        <v>23</v>
      </c>
      <c r="M54" s="6" t="s">
        <v>23</v>
      </c>
      <c r="N54" s="6" t="s">
        <v>23</v>
      </c>
      <c r="O54" s="6" t="s">
        <v>23</v>
      </c>
      <c r="P54" s="6" t="s">
        <v>23</v>
      </c>
      <c r="Q54" s="6" t="s">
        <v>88</v>
      </c>
      <c r="R54" s="6" t="s">
        <v>23</v>
      </c>
      <c r="S54" s="6" t="s">
        <v>44</v>
      </c>
      <c r="T54" s="6" t="s">
        <v>75</v>
      </c>
      <c r="U54" s="7" t="s">
        <v>23</v>
      </c>
    </row>
    <row r="55" spans="1:21" x14ac:dyDescent="0.35">
      <c r="A55" s="8" t="s">
        <v>77</v>
      </c>
      <c r="B55" s="9">
        <v>95081600739</v>
      </c>
      <c r="C55" s="9" t="s">
        <v>23</v>
      </c>
      <c r="D55" s="9" t="s">
        <v>23</v>
      </c>
      <c r="E55" s="9" t="s">
        <v>23</v>
      </c>
      <c r="F55" s="9" t="s">
        <v>58</v>
      </c>
      <c r="G55" s="9" t="s">
        <v>23</v>
      </c>
      <c r="H55" s="9" t="s">
        <v>23</v>
      </c>
      <c r="I55" s="9" t="s">
        <v>56</v>
      </c>
      <c r="J55" s="9" t="s">
        <v>36</v>
      </c>
      <c r="K55" s="9" t="s">
        <v>23</v>
      </c>
      <c r="L55" s="9" t="s">
        <v>23</v>
      </c>
      <c r="M55" s="9" t="s">
        <v>23</v>
      </c>
      <c r="N55" s="9" t="s">
        <v>23</v>
      </c>
      <c r="O55" s="9" t="s">
        <v>23</v>
      </c>
      <c r="P55" s="9" t="s">
        <v>23</v>
      </c>
      <c r="Q55" s="9" t="s">
        <v>76</v>
      </c>
      <c r="R55" s="9" t="s">
        <v>23</v>
      </c>
      <c r="S55" s="9" t="s">
        <v>50</v>
      </c>
      <c r="T55" s="9" t="s">
        <v>34</v>
      </c>
      <c r="U55" s="10" t="s">
        <v>34</v>
      </c>
    </row>
    <row r="56" spans="1:21" x14ac:dyDescent="0.35">
      <c r="A56" s="5" t="s">
        <v>77</v>
      </c>
      <c r="B56" s="6">
        <v>95083106189</v>
      </c>
      <c r="C56" s="6" t="s">
        <v>23</v>
      </c>
      <c r="D56" s="6" t="s">
        <v>23</v>
      </c>
      <c r="E56" s="6" t="s">
        <v>23</v>
      </c>
      <c r="F56" s="6" t="s">
        <v>23</v>
      </c>
      <c r="G56" s="6" t="s">
        <v>89</v>
      </c>
      <c r="H56" s="6" t="s">
        <v>23</v>
      </c>
      <c r="I56" s="6" t="s">
        <v>76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23</v>
      </c>
      <c r="O56" s="6" t="s">
        <v>23</v>
      </c>
      <c r="P56" s="6" t="s">
        <v>23</v>
      </c>
      <c r="Q56" s="6" t="s">
        <v>70</v>
      </c>
      <c r="R56" s="6" t="s">
        <v>23</v>
      </c>
      <c r="S56" s="6" t="s">
        <v>31</v>
      </c>
      <c r="T56" s="6" t="s">
        <v>46</v>
      </c>
      <c r="U56" s="7" t="s">
        <v>23</v>
      </c>
    </row>
    <row r="57" spans="1:21" x14ac:dyDescent="0.35">
      <c r="A57" s="8" t="s">
        <v>77</v>
      </c>
      <c r="B57" s="9">
        <v>95092111585</v>
      </c>
      <c r="C57" s="9" t="s">
        <v>23</v>
      </c>
      <c r="D57" s="9" t="s">
        <v>23</v>
      </c>
      <c r="E57" s="9" t="s">
        <v>23</v>
      </c>
      <c r="F57" s="9" t="s">
        <v>23</v>
      </c>
      <c r="G57" s="9" t="s">
        <v>61</v>
      </c>
      <c r="H57" s="9" t="s">
        <v>23</v>
      </c>
      <c r="I57" s="9" t="s">
        <v>86</v>
      </c>
      <c r="J57" s="9" t="s">
        <v>39</v>
      </c>
      <c r="K57" s="9" t="s">
        <v>23</v>
      </c>
      <c r="L57" s="9" t="s">
        <v>23</v>
      </c>
      <c r="M57" s="9" t="s">
        <v>23</v>
      </c>
      <c r="N57" s="9" t="s">
        <v>23</v>
      </c>
      <c r="O57" s="9" t="s">
        <v>23</v>
      </c>
      <c r="P57" s="9" t="s">
        <v>23</v>
      </c>
      <c r="Q57" s="9" t="s">
        <v>71</v>
      </c>
      <c r="R57" s="9" t="s">
        <v>23</v>
      </c>
      <c r="S57" s="9" t="s">
        <v>36</v>
      </c>
      <c r="T57" s="9" t="s">
        <v>27</v>
      </c>
      <c r="U57" s="10" t="s">
        <v>23</v>
      </c>
    </row>
    <row r="58" spans="1:21" x14ac:dyDescent="0.35">
      <c r="A58" s="5" t="s">
        <v>77</v>
      </c>
      <c r="B58" s="6">
        <v>95092712281</v>
      </c>
      <c r="C58" s="6" t="s">
        <v>23</v>
      </c>
      <c r="D58" s="6" t="s">
        <v>23</v>
      </c>
      <c r="E58" s="6" t="s">
        <v>23</v>
      </c>
      <c r="F58" s="6" t="s">
        <v>23</v>
      </c>
      <c r="G58" s="6" t="s">
        <v>27</v>
      </c>
      <c r="H58" s="6" t="s">
        <v>23</v>
      </c>
      <c r="I58" s="6" t="s">
        <v>39</v>
      </c>
      <c r="J58" s="6" t="s">
        <v>50</v>
      </c>
      <c r="K58" s="6" t="s">
        <v>23</v>
      </c>
      <c r="L58" s="6" t="s">
        <v>23</v>
      </c>
      <c r="M58" s="6" t="s">
        <v>23</v>
      </c>
      <c r="N58" s="6" t="s">
        <v>23</v>
      </c>
      <c r="O58" s="6" t="s">
        <v>23</v>
      </c>
      <c r="P58" s="6" t="s">
        <v>23</v>
      </c>
      <c r="Q58" s="6" t="s">
        <v>22</v>
      </c>
      <c r="R58" s="6" t="s">
        <v>23</v>
      </c>
      <c r="S58" s="6" t="s">
        <v>78</v>
      </c>
      <c r="T58" s="6" t="s">
        <v>27</v>
      </c>
      <c r="U58" s="7" t="s">
        <v>42</v>
      </c>
    </row>
    <row r="59" spans="1:21" x14ac:dyDescent="0.35">
      <c r="A59" s="8" t="s">
        <v>77</v>
      </c>
      <c r="B59" s="9">
        <v>95100600025</v>
      </c>
      <c r="C59" s="9" t="s">
        <v>23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 t="s">
        <v>45</v>
      </c>
      <c r="J59" s="9" t="s">
        <v>23</v>
      </c>
      <c r="K59" s="9" t="s">
        <v>23</v>
      </c>
      <c r="L59" s="9" t="s">
        <v>23</v>
      </c>
      <c r="M59" s="9" t="s">
        <v>23</v>
      </c>
      <c r="N59" s="9" t="s">
        <v>23</v>
      </c>
      <c r="O59" s="9" t="s">
        <v>23</v>
      </c>
      <c r="P59" s="9" t="s">
        <v>23</v>
      </c>
      <c r="Q59" s="9" t="s">
        <v>72</v>
      </c>
      <c r="R59" s="9" t="s">
        <v>23</v>
      </c>
      <c r="S59" s="9" t="s">
        <v>59</v>
      </c>
      <c r="T59" s="9" t="s">
        <v>39</v>
      </c>
      <c r="U59" s="10" t="s">
        <v>90</v>
      </c>
    </row>
    <row r="60" spans="1:21" x14ac:dyDescent="0.35">
      <c r="A60" s="5" t="s">
        <v>77</v>
      </c>
      <c r="B60" s="6">
        <v>95100606458</v>
      </c>
      <c r="C60" s="6" t="s">
        <v>23</v>
      </c>
      <c r="D60" s="6" t="s">
        <v>23</v>
      </c>
      <c r="E60" s="6" t="s">
        <v>23</v>
      </c>
      <c r="F60" s="6" t="s">
        <v>23</v>
      </c>
      <c r="G60" s="6" t="s">
        <v>26</v>
      </c>
      <c r="H60" s="6" t="s">
        <v>23</v>
      </c>
      <c r="I60" s="6" t="s">
        <v>48</v>
      </c>
      <c r="J60" s="6" t="s">
        <v>35</v>
      </c>
      <c r="K60" s="6" t="s">
        <v>23</v>
      </c>
      <c r="L60" s="6" t="s">
        <v>23</v>
      </c>
      <c r="M60" s="6" t="s">
        <v>23</v>
      </c>
      <c r="N60" s="6" t="s">
        <v>23</v>
      </c>
      <c r="O60" s="6" t="s">
        <v>23</v>
      </c>
      <c r="P60" s="6" t="s">
        <v>23</v>
      </c>
      <c r="Q60" s="6" t="s">
        <v>34</v>
      </c>
      <c r="R60" s="6" t="s">
        <v>23</v>
      </c>
      <c r="S60" s="6" t="s">
        <v>64</v>
      </c>
      <c r="T60" s="6" t="s">
        <v>82</v>
      </c>
      <c r="U60" s="7" t="s">
        <v>71</v>
      </c>
    </row>
    <row r="61" spans="1:21" x14ac:dyDescent="0.35">
      <c r="A61" s="8" t="s">
        <v>77</v>
      </c>
      <c r="B61" s="9">
        <v>95100700282</v>
      </c>
      <c r="C61" s="9" t="s">
        <v>23</v>
      </c>
      <c r="D61" s="9" t="s">
        <v>23</v>
      </c>
      <c r="E61" s="9" t="s">
        <v>23</v>
      </c>
      <c r="F61" s="9" t="s">
        <v>23</v>
      </c>
      <c r="G61" s="9" t="s">
        <v>61</v>
      </c>
      <c r="H61" s="9" t="s">
        <v>23</v>
      </c>
      <c r="I61" s="9" t="s">
        <v>24</v>
      </c>
      <c r="J61" s="9" t="s">
        <v>38</v>
      </c>
      <c r="K61" s="9" t="s">
        <v>23</v>
      </c>
      <c r="L61" s="9" t="s">
        <v>23</v>
      </c>
      <c r="M61" s="9" t="s">
        <v>23</v>
      </c>
      <c r="N61" s="9" t="s">
        <v>23</v>
      </c>
      <c r="O61" s="9" t="s">
        <v>24</v>
      </c>
      <c r="P61" s="9" t="s">
        <v>23</v>
      </c>
      <c r="Q61" s="9" t="s">
        <v>39</v>
      </c>
      <c r="R61" s="9" t="s">
        <v>23</v>
      </c>
      <c r="S61" s="9" t="s">
        <v>76</v>
      </c>
      <c r="T61" s="9" t="s">
        <v>46</v>
      </c>
      <c r="U61" s="10" t="s">
        <v>23</v>
      </c>
    </row>
    <row r="62" spans="1:21" x14ac:dyDescent="0.35">
      <c r="A62" s="5" t="s">
        <v>77</v>
      </c>
      <c r="B62" s="6">
        <v>95101000947</v>
      </c>
      <c r="C62" s="6" t="s">
        <v>23</v>
      </c>
      <c r="D62" s="6" t="s">
        <v>23</v>
      </c>
      <c r="E62" s="6" t="s">
        <v>23</v>
      </c>
      <c r="F62" s="6" t="s">
        <v>23</v>
      </c>
      <c r="G62" s="6" t="s">
        <v>48</v>
      </c>
      <c r="H62" s="6" t="s">
        <v>23</v>
      </c>
      <c r="I62" s="6" t="s">
        <v>40</v>
      </c>
      <c r="J62" s="6" t="s">
        <v>25</v>
      </c>
      <c r="K62" s="6" t="s">
        <v>23</v>
      </c>
      <c r="L62" s="6" t="s">
        <v>23</v>
      </c>
      <c r="M62" s="6" t="s">
        <v>23</v>
      </c>
      <c r="N62" s="6" t="s">
        <v>23</v>
      </c>
      <c r="O62" s="6" t="s">
        <v>23</v>
      </c>
      <c r="P62" s="6" t="s">
        <v>23</v>
      </c>
      <c r="Q62" s="6" t="s">
        <v>71</v>
      </c>
      <c r="R62" s="6" t="s">
        <v>23</v>
      </c>
      <c r="S62" s="6" t="s">
        <v>83</v>
      </c>
      <c r="T62" s="6" t="s">
        <v>53</v>
      </c>
      <c r="U62" s="7" t="s">
        <v>23</v>
      </c>
    </row>
    <row r="63" spans="1:21" x14ac:dyDescent="0.35">
      <c r="A63" s="8" t="s">
        <v>77</v>
      </c>
      <c r="B63" s="9">
        <v>95110605809</v>
      </c>
      <c r="C63" s="9" t="s">
        <v>23</v>
      </c>
      <c r="D63" s="9" t="s">
        <v>23</v>
      </c>
      <c r="E63" s="9" t="s">
        <v>23</v>
      </c>
      <c r="F63" s="9" t="s">
        <v>23</v>
      </c>
      <c r="G63" s="9" t="s">
        <v>61</v>
      </c>
      <c r="H63" s="9" t="s">
        <v>23</v>
      </c>
      <c r="I63" s="9" t="s">
        <v>66</v>
      </c>
      <c r="J63" s="9" t="s">
        <v>55</v>
      </c>
      <c r="K63" s="9" t="s">
        <v>39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 t="s">
        <v>33</v>
      </c>
      <c r="R63" s="9" t="s">
        <v>23</v>
      </c>
      <c r="S63" s="9" t="s">
        <v>82</v>
      </c>
      <c r="T63" s="9" t="s">
        <v>30</v>
      </c>
      <c r="U63" s="10" t="s">
        <v>23</v>
      </c>
    </row>
    <row r="64" spans="1:21" x14ac:dyDescent="0.35">
      <c r="A64" s="5" t="s">
        <v>77</v>
      </c>
      <c r="B64" s="6">
        <v>95110704362</v>
      </c>
      <c r="C64" s="6" t="s">
        <v>47</v>
      </c>
      <c r="D64" s="6" t="s">
        <v>91</v>
      </c>
      <c r="E64" s="6" t="s">
        <v>23</v>
      </c>
      <c r="F64" s="6" t="s">
        <v>23</v>
      </c>
      <c r="G64" s="6" t="s">
        <v>23</v>
      </c>
      <c r="H64" s="6" t="s">
        <v>23</v>
      </c>
      <c r="I64" s="6" t="s">
        <v>24</v>
      </c>
      <c r="J64" s="6" t="s">
        <v>35</v>
      </c>
      <c r="K64" s="6" t="s">
        <v>23</v>
      </c>
      <c r="L64" s="6" t="s">
        <v>23</v>
      </c>
      <c r="M64" s="6" t="s">
        <v>23</v>
      </c>
      <c r="N64" s="6" t="s">
        <v>23</v>
      </c>
      <c r="O64" s="6" t="s">
        <v>23</v>
      </c>
      <c r="P64" s="6" t="s">
        <v>23</v>
      </c>
      <c r="Q64" s="6" t="s">
        <v>36</v>
      </c>
      <c r="R64" s="6" t="s">
        <v>23</v>
      </c>
      <c r="S64" s="6" t="s">
        <v>58</v>
      </c>
      <c r="T64" s="6" t="s">
        <v>23</v>
      </c>
      <c r="U64" s="7" t="s">
        <v>23</v>
      </c>
    </row>
    <row r="65" spans="1:21" x14ac:dyDescent="0.35">
      <c r="A65" s="8" t="s">
        <v>77</v>
      </c>
      <c r="B65" s="9">
        <v>95111800425</v>
      </c>
      <c r="C65" s="9" t="s">
        <v>23</v>
      </c>
      <c r="D65" s="9" t="s">
        <v>23</v>
      </c>
      <c r="E65" s="9" t="s">
        <v>23</v>
      </c>
      <c r="F65" s="9" t="s">
        <v>23</v>
      </c>
      <c r="G65" s="9" t="s">
        <v>27</v>
      </c>
      <c r="H65" s="9" t="s">
        <v>23</v>
      </c>
      <c r="I65" s="9" t="s">
        <v>40</v>
      </c>
      <c r="J65" s="9" t="s">
        <v>63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 t="s">
        <v>76</v>
      </c>
      <c r="R65" s="9" t="s">
        <v>23</v>
      </c>
      <c r="S65" s="9" t="s">
        <v>76</v>
      </c>
      <c r="T65" s="9" t="s">
        <v>75</v>
      </c>
      <c r="U65" s="10" t="s">
        <v>36</v>
      </c>
    </row>
    <row r="66" spans="1:21" x14ac:dyDescent="0.35">
      <c r="A66" s="5" t="s">
        <v>77</v>
      </c>
      <c r="B66" s="6">
        <v>95112902461</v>
      </c>
      <c r="C66" s="6" t="s">
        <v>23</v>
      </c>
      <c r="D66" s="6" t="s">
        <v>23</v>
      </c>
      <c r="E66" s="6" t="s">
        <v>23</v>
      </c>
      <c r="F66" s="6" t="s">
        <v>23</v>
      </c>
      <c r="G66" s="6" t="s">
        <v>23</v>
      </c>
      <c r="H66" s="6" t="s">
        <v>23</v>
      </c>
      <c r="I66" s="6" t="s">
        <v>49</v>
      </c>
      <c r="J66" s="6" t="s">
        <v>76</v>
      </c>
      <c r="K66" s="6" t="s">
        <v>23</v>
      </c>
      <c r="L66" s="6" t="s">
        <v>23</v>
      </c>
      <c r="M66" s="6" t="s">
        <v>23</v>
      </c>
      <c r="N66" s="6" t="s">
        <v>23</v>
      </c>
      <c r="O66" s="6" t="s">
        <v>23</v>
      </c>
      <c r="P66" s="6" t="s">
        <v>23</v>
      </c>
      <c r="Q66" s="6" t="s">
        <v>61</v>
      </c>
      <c r="R66" s="6" t="s">
        <v>90</v>
      </c>
      <c r="S66" s="6" t="s">
        <v>79</v>
      </c>
      <c r="T66" s="6" t="s">
        <v>32</v>
      </c>
      <c r="U66" s="7" t="s">
        <v>23</v>
      </c>
    </row>
    <row r="67" spans="1:21" x14ac:dyDescent="0.35">
      <c r="A67" s="8" t="s">
        <v>92</v>
      </c>
      <c r="B67" s="9">
        <v>94120209724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62</v>
      </c>
      <c r="J67" s="9" t="s">
        <v>33</v>
      </c>
      <c r="K67" s="9" t="s">
        <v>23</v>
      </c>
      <c r="L67" s="9" t="s">
        <v>23</v>
      </c>
      <c r="M67" s="9" t="s">
        <v>44</v>
      </c>
      <c r="N67" s="9" t="s">
        <v>23</v>
      </c>
      <c r="O67" s="9" t="s">
        <v>23</v>
      </c>
      <c r="P67" s="9" t="s">
        <v>23</v>
      </c>
      <c r="Q67" s="9" t="s">
        <v>61</v>
      </c>
      <c r="R67" s="9" t="s">
        <v>22</v>
      </c>
      <c r="S67" s="9" t="s">
        <v>93</v>
      </c>
      <c r="T67" s="9" t="s">
        <v>23</v>
      </c>
      <c r="U67" s="10" t="s">
        <v>23</v>
      </c>
    </row>
    <row r="68" spans="1:21" x14ac:dyDescent="0.35">
      <c r="A68" s="5" t="s">
        <v>92</v>
      </c>
      <c r="B68" s="6">
        <v>95011303864</v>
      </c>
      <c r="C68" s="6" t="s">
        <v>23</v>
      </c>
      <c r="D68" s="6" t="s">
        <v>23</v>
      </c>
      <c r="E68" s="6" t="s">
        <v>23</v>
      </c>
      <c r="F68" s="6" t="s">
        <v>89</v>
      </c>
      <c r="G68" s="6" t="s">
        <v>23</v>
      </c>
      <c r="H68" s="6" t="s">
        <v>23</v>
      </c>
      <c r="I68" s="6" t="s">
        <v>22</v>
      </c>
      <c r="J68" s="6" t="s">
        <v>23</v>
      </c>
      <c r="K68" s="6" t="s">
        <v>23</v>
      </c>
      <c r="L68" s="6" t="s">
        <v>23</v>
      </c>
      <c r="M68" s="6" t="s">
        <v>23</v>
      </c>
      <c r="N68" s="6" t="s">
        <v>23</v>
      </c>
      <c r="O68" s="6" t="s">
        <v>23</v>
      </c>
      <c r="P68" s="6" t="s">
        <v>23</v>
      </c>
      <c r="Q68" s="6" t="s">
        <v>61</v>
      </c>
      <c r="R68" s="6" t="s">
        <v>32</v>
      </c>
      <c r="S68" s="6" t="s">
        <v>81</v>
      </c>
      <c r="T68" s="6" t="s">
        <v>23</v>
      </c>
      <c r="U68" s="7" t="s">
        <v>23</v>
      </c>
    </row>
    <row r="69" spans="1:21" x14ac:dyDescent="0.35">
      <c r="A69" s="8" t="s">
        <v>92</v>
      </c>
      <c r="B69" s="9">
        <v>95012701920</v>
      </c>
      <c r="C69" s="9" t="s">
        <v>23</v>
      </c>
      <c r="D69" s="9" t="s">
        <v>23</v>
      </c>
      <c r="E69" s="9" t="s">
        <v>23</v>
      </c>
      <c r="F69" s="9" t="s">
        <v>52</v>
      </c>
      <c r="G69" s="9" t="s">
        <v>23</v>
      </c>
      <c r="H69" s="9" t="s">
        <v>23</v>
      </c>
      <c r="I69" s="9" t="s">
        <v>35</v>
      </c>
      <c r="J69" s="9" t="s">
        <v>27</v>
      </c>
      <c r="K69" s="9" t="s">
        <v>41</v>
      </c>
      <c r="L69" s="9" t="s">
        <v>23</v>
      </c>
      <c r="M69" s="9" t="s">
        <v>23</v>
      </c>
      <c r="N69" s="9" t="s">
        <v>23</v>
      </c>
      <c r="O69" s="9" t="s">
        <v>23</v>
      </c>
      <c r="P69" s="9" t="s">
        <v>23</v>
      </c>
      <c r="Q69" s="9" t="s">
        <v>76</v>
      </c>
      <c r="R69" s="9" t="s">
        <v>79</v>
      </c>
      <c r="S69" s="9" t="s">
        <v>67</v>
      </c>
      <c r="T69" s="9" t="s">
        <v>23</v>
      </c>
      <c r="U69" s="10" t="s">
        <v>23</v>
      </c>
    </row>
    <row r="70" spans="1:21" x14ac:dyDescent="0.35">
      <c r="A70" s="5" t="s">
        <v>92</v>
      </c>
      <c r="B70" s="6">
        <v>95012707551</v>
      </c>
      <c r="C70" s="6" t="s">
        <v>23</v>
      </c>
      <c r="D70" s="6" t="s">
        <v>23</v>
      </c>
      <c r="E70" s="6" t="s">
        <v>23</v>
      </c>
      <c r="F70" s="6" t="s">
        <v>68</v>
      </c>
      <c r="G70" s="6" t="s">
        <v>23</v>
      </c>
      <c r="H70" s="6" t="s">
        <v>23</v>
      </c>
      <c r="I70" s="6" t="s">
        <v>26</v>
      </c>
      <c r="J70" s="6" t="s">
        <v>23</v>
      </c>
      <c r="K70" s="6" t="s">
        <v>23</v>
      </c>
      <c r="L70" s="6" t="s">
        <v>23</v>
      </c>
      <c r="M70" s="6" t="s">
        <v>23</v>
      </c>
      <c r="N70" s="6" t="s">
        <v>23</v>
      </c>
      <c r="O70" s="6" t="s">
        <v>23</v>
      </c>
      <c r="P70" s="6" t="s">
        <v>23</v>
      </c>
      <c r="Q70" s="6" t="s">
        <v>71</v>
      </c>
      <c r="R70" s="6" t="s">
        <v>89</v>
      </c>
      <c r="S70" s="6" t="s">
        <v>93</v>
      </c>
      <c r="T70" s="6" t="s">
        <v>23</v>
      </c>
      <c r="U70" s="7" t="s">
        <v>23</v>
      </c>
    </row>
    <row r="71" spans="1:21" x14ac:dyDescent="0.35">
      <c r="A71" s="8" t="s">
        <v>92</v>
      </c>
      <c r="B71" s="9">
        <v>95021105139</v>
      </c>
      <c r="C71" s="9" t="s">
        <v>23</v>
      </c>
      <c r="D71" s="9" t="s">
        <v>23</v>
      </c>
      <c r="E71" s="9" t="s">
        <v>23</v>
      </c>
      <c r="F71" s="9" t="s">
        <v>53</v>
      </c>
      <c r="G71" s="9" t="s">
        <v>23</v>
      </c>
      <c r="H71" s="9" t="s">
        <v>23</v>
      </c>
      <c r="I71" s="9" t="s">
        <v>24</v>
      </c>
      <c r="J71" s="9" t="s">
        <v>80</v>
      </c>
      <c r="K71" s="9" t="s">
        <v>23</v>
      </c>
      <c r="L71" s="9" t="s">
        <v>23</v>
      </c>
      <c r="M71" s="9" t="s">
        <v>49</v>
      </c>
      <c r="N71" s="9" t="s">
        <v>23</v>
      </c>
      <c r="O71" s="9" t="s">
        <v>23</v>
      </c>
      <c r="P71" s="9" t="s">
        <v>23</v>
      </c>
      <c r="Q71" s="9" t="s">
        <v>49</v>
      </c>
      <c r="R71" s="9" t="s">
        <v>22</v>
      </c>
      <c r="S71" s="9" t="s">
        <v>94</v>
      </c>
      <c r="T71" s="9" t="s">
        <v>23</v>
      </c>
      <c r="U71" s="10" t="s">
        <v>23</v>
      </c>
    </row>
    <row r="72" spans="1:21" x14ac:dyDescent="0.35">
      <c r="A72" s="5" t="s">
        <v>92</v>
      </c>
      <c r="B72" s="6">
        <v>95021201255</v>
      </c>
      <c r="C72" s="6" t="s">
        <v>23</v>
      </c>
      <c r="D72" s="6" t="s">
        <v>23</v>
      </c>
      <c r="E72" s="6" t="s">
        <v>23</v>
      </c>
      <c r="F72" s="6" t="s">
        <v>41</v>
      </c>
      <c r="G72" s="6" t="s">
        <v>23</v>
      </c>
      <c r="H72" s="6" t="s">
        <v>23</v>
      </c>
      <c r="I72" s="6" t="s">
        <v>55</v>
      </c>
      <c r="J72" s="6" t="s">
        <v>23</v>
      </c>
      <c r="K72" s="6" t="s">
        <v>23</v>
      </c>
      <c r="L72" s="6" t="s">
        <v>23</v>
      </c>
      <c r="M72" s="6" t="s">
        <v>23</v>
      </c>
      <c r="N72" s="6" t="s">
        <v>23</v>
      </c>
      <c r="O72" s="6" t="s">
        <v>23</v>
      </c>
      <c r="P72" s="6" t="s">
        <v>23</v>
      </c>
      <c r="Q72" s="6" t="s">
        <v>22</v>
      </c>
      <c r="R72" s="6" t="s">
        <v>95</v>
      </c>
      <c r="S72" s="6" t="s">
        <v>50</v>
      </c>
      <c r="T72" s="6" t="s">
        <v>23</v>
      </c>
      <c r="U72" s="7" t="s">
        <v>23</v>
      </c>
    </row>
    <row r="73" spans="1:21" x14ac:dyDescent="0.35">
      <c r="A73" s="8" t="s">
        <v>92</v>
      </c>
      <c r="B73" s="9">
        <v>95021303223</v>
      </c>
      <c r="C73" s="9" t="s">
        <v>23</v>
      </c>
      <c r="D73" s="9" t="s">
        <v>23</v>
      </c>
      <c r="E73" s="9" t="s">
        <v>23</v>
      </c>
      <c r="F73" s="9" t="s">
        <v>36</v>
      </c>
      <c r="G73" s="9" t="s">
        <v>23</v>
      </c>
      <c r="H73" s="9" t="s">
        <v>23</v>
      </c>
      <c r="I73" s="9" t="s">
        <v>35</v>
      </c>
      <c r="J73" s="9" t="s">
        <v>23</v>
      </c>
      <c r="K73" s="9" t="s">
        <v>23</v>
      </c>
      <c r="L73" s="9" t="s">
        <v>23</v>
      </c>
      <c r="M73" s="9" t="s">
        <v>23</v>
      </c>
      <c r="N73" s="9" t="s">
        <v>23</v>
      </c>
      <c r="O73" s="9" t="s">
        <v>23</v>
      </c>
      <c r="P73" s="9" t="s">
        <v>23</v>
      </c>
      <c r="Q73" s="9" t="s">
        <v>33</v>
      </c>
      <c r="R73" s="9" t="s">
        <v>88</v>
      </c>
      <c r="S73" s="9" t="s">
        <v>75</v>
      </c>
      <c r="T73" s="9" t="s">
        <v>23</v>
      </c>
      <c r="U73" s="10" t="s">
        <v>23</v>
      </c>
    </row>
    <row r="74" spans="1:21" x14ac:dyDescent="0.35">
      <c r="A74" s="5" t="s">
        <v>92</v>
      </c>
      <c r="B74" s="6">
        <v>95030407844</v>
      </c>
      <c r="C74" s="6" t="s">
        <v>23</v>
      </c>
      <c r="D74" s="6" t="s">
        <v>23</v>
      </c>
      <c r="E74" s="6" t="s">
        <v>23</v>
      </c>
      <c r="F74" s="6" t="s">
        <v>33</v>
      </c>
      <c r="G74" s="6" t="s">
        <v>23</v>
      </c>
      <c r="H74" s="6" t="s">
        <v>23</v>
      </c>
      <c r="I74" s="6" t="s">
        <v>49</v>
      </c>
      <c r="J74" s="6" t="s">
        <v>55</v>
      </c>
      <c r="K74" s="6" t="s">
        <v>23</v>
      </c>
      <c r="L74" s="6" t="s">
        <v>23</v>
      </c>
      <c r="M74" s="6" t="s">
        <v>23</v>
      </c>
      <c r="N74" s="6" t="s">
        <v>23</v>
      </c>
      <c r="O74" s="6" t="s">
        <v>23</v>
      </c>
      <c r="P74" s="6" t="s">
        <v>38</v>
      </c>
      <c r="Q74" s="6" t="s">
        <v>26</v>
      </c>
      <c r="R74" s="6" t="s">
        <v>31</v>
      </c>
      <c r="S74" s="6" t="s">
        <v>70</v>
      </c>
      <c r="T74" s="6" t="s">
        <v>23</v>
      </c>
      <c r="U74" s="7" t="s">
        <v>23</v>
      </c>
    </row>
    <row r="75" spans="1:21" x14ac:dyDescent="0.35">
      <c r="A75" s="8" t="s">
        <v>92</v>
      </c>
      <c r="B75" s="9">
        <v>95040309147</v>
      </c>
      <c r="C75" s="9" t="s">
        <v>23</v>
      </c>
      <c r="D75" s="9" t="s">
        <v>23</v>
      </c>
      <c r="E75" s="9" t="s">
        <v>23</v>
      </c>
      <c r="F75" s="9" t="s">
        <v>84</v>
      </c>
      <c r="G75" s="9" t="s">
        <v>23</v>
      </c>
      <c r="H75" s="9" t="s">
        <v>23</v>
      </c>
      <c r="I75" s="9" t="s">
        <v>44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 t="s">
        <v>47</v>
      </c>
      <c r="R75" s="9" t="s">
        <v>23</v>
      </c>
      <c r="S75" s="9" t="s">
        <v>93</v>
      </c>
      <c r="T75" s="9" t="s">
        <v>23</v>
      </c>
      <c r="U75" s="10" t="s">
        <v>23</v>
      </c>
    </row>
    <row r="76" spans="1:21" x14ac:dyDescent="0.35">
      <c r="A76" s="5" t="s">
        <v>92</v>
      </c>
      <c r="B76" s="6">
        <v>95040502267</v>
      </c>
      <c r="C76" s="6" t="s">
        <v>23</v>
      </c>
      <c r="D76" s="6" t="s">
        <v>23</v>
      </c>
      <c r="E76" s="6" t="s">
        <v>23</v>
      </c>
      <c r="F76" s="6" t="s">
        <v>65</v>
      </c>
      <c r="G76" s="6" t="s">
        <v>23</v>
      </c>
      <c r="H76" s="6" t="s">
        <v>23</v>
      </c>
      <c r="I76" s="6" t="s">
        <v>23</v>
      </c>
      <c r="J76" s="6" t="s">
        <v>54</v>
      </c>
      <c r="K76" s="6" t="s">
        <v>23</v>
      </c>
      <c r="L76" s="6" t="s">
        <v>23</v>
      </c>
      <c r="M76" s="6" t="s">
        <v>23</v>
      </c>
      <c r="N76" s="6" t="s">
        <v>23</v>
      </c>
      <c r="O76" s="6" t="s">
        <v>48</v>
      </c>
      <c r="P76" s="6" t="s">
        <v>23</v>
      </c>
      <c r="Q76" s="6" t="s">
        <v>71</v>
      </c>
      <c r="R76" s="6" t="s">
        <v>70</v>
      </c>
      <c r="S76" s="6" t="s">
        <v>57</v>
      </c>
      <c r="T76" s="6" t="s">
        <v>23</v>
      </c>
      <c r="U76" s="7" t="s">
        <v>23</v>
      </c>
    </row>
    <row r="77" spans="1:21" x14ac:dyDescent="0.35">
      <c r="A77" s="8" t="s">
        <v>92</v>
      </c>
      <c r="B77" s="9">
        <v>95040601874</v>
      </c>
      <c r="C77" s="9" t="s">
        <v>23</v>
      </c>
      <c r="D77" s="9" t="s">
        <v>23</v>
      </c>
      <c r="E77" s="9" t="s">
        <v>23</v>
      </c>
      <c r="F77" s="9" t="s">
        <v>54</v>
      </c>
      <c r="G77" s="9" t="s">
        <v>23</v>
      </c>
      <c r="H77" s="9" t="s">
        <v>23</v>
      </c>
      <c r="I77" s="9" t="s">
        <v>40</v>
      </c>
      <c r="J77" s="9" t="s">
        <v>27</v>
      </c>
      <c r="K77" s="9" t="s">
        <v>27</v>
      </c>
      <c r="L77" s="9" t="s">
        <v>23</v>
      </c>
      <c r="M77" s="9" t="s">
        <v>23</v>
      </c>
      <c r="N77" s="9" t="s">
        <v>23</v>
      </c>
      <c r="O77" s="9" t="s">
        <v>23</v>
      </c>
      <c r="P77" s="9" t="s">
        <v>23</v>
      </c>
      <c r="Q77" s="9" t="s">
        <v>39</v>
      </c>
      <c r="R77" s="9" t="s">
        <v>70</v>
      </c>
      <c r="S77" s="9" t="s">
        <v>75</v>
      </c>
      <c r="T77" s="9" t="s">
        <v>23</v>
      </c>
      <c r="U77" s="10" t="s">
        <v>23</v>
      </c>
    </row>
    <row r="78" spans="1:21" x14ac:dyDescent="0.35">
      <c r="A78" s="5" t="s">
        <v>92</v>
      </c>
      <c r="B78" s="6">
        <v>95062703248</v>
      </c>
      <c r="C78" s="6" t="s">
        <v>23</v>
      </c>
      <c r="D78" s="6" t="s">
        <v>23</v>
      </c>
      <c r="E78" s="6" t="s">
        <v>23</v>
      </c>
      <c r="F78" s="6" t="s">
        <v>75</v>
      </c>
      <c r="G78" s="6" t="s">
        <v>23</v>
      </c>
      <c r="H78" s="6" t="s">
        <v>23</v>
      </c>
      <c r="I78" s="6" t="s">
        <v>26</v>
      </c>
      <c r="J78" s="6" t="s">
        <v>23</v>
      </c>
      <c r="K78" s="6" t="s">
        <v>23</v>
      </c>
      <c r="L78" s="6" t="s">
        <v>23</v>
      </c>
      <c r="M78" s="6" t="s">
        <v>23</v>
      </c>
      <c r="N78" s="6" t="s">
        <v>23</v>
      </c>
      <c r="O78" s="6" t="s">
        <v>23</v>
      </c>
      <c r="P78" s="6" t="s">
        <v>23</v>
      </c>
      <c r="Q78" s="6" t="s">
        <v>70</v>
      </c>
      <c r="R78" s="6" t="s">
        <v>23</v>
      </c>
      <c r="S78" s="6" t="s">
        <v>75</v>
      </c>
      <c r="T78" s="6" t="s">
        <v>59</v>
      </c>
      <c r="U78" s="7" t="s">
        <v>23</v>
      </c>
    </row>
    <row r="79" spans="1:21" x14ac:dyDescent="0.35">
      <c r="A79" s="8" t="s">
        <v>92</v>
      </c>
      <c r="B79" s="9">
        <v>95062704850</v>
      </c>
      <c r="C79" s="9" t="s">
        <v>23</v>
      </c>
      <c r="D79" s="9" t="s">
        <v>23</v>
      </c>
      <c r="E79" s="9" t="s">
        <v>23</v>
      </c>
      <c r="F79" s="9" t="s">
        <v>45</v>
      </c>
      <c r="G79" s="9" t="s">
        <v>23</v>
      </c>
      <c r="H79" s="9" t="s">
        <v>23</v>
      </c>
      <c r="I79" s="9" t="s">
        <v>83</v>
      </c>
      <c r="J79" s="9" t="s">
        <v>23</v>
      </c>
      <c r="K79" s="9" t="s">
        <v>23</v>
      </c>
      <c r="L79" s="9" t="s">
        <v>23</v>
      </c>
      <c r="M79" s="9" t="s">
        <v>23</v>
      </c>
      <c r="N79" s="9" t="s">
        <v>23</v>
      </c>
      <c r="O79" s="9" t="s">
        <v>23</v>
      </c>
      <c r="P79" s="9" t="s">
        <v>23</v>
      </c>
      <c r="Q79" s="9" t="s">
        <v>22</v>
      </c>
      <c r="R79" s="9" t="s">
        <v>23</v>
      </c>
      <c r="S79" s="9" t="s">
        <v>44</v>
      </c>
      <c r="T79" s="9" t="s">
        <v>23</v>
      </c>
      <c r="U79" s="10" t="s">
        <v>23</v>
      </c>
    </row>
    <row r="80" spans="1:21" x14ac:dyDescent="0.35">
      <c r="A80" s="5" t="s">
        <v>92</v>
      </c>
      <c r="B80" s="6">
        <v>95070400629</v>
      </c>
      <c r="C80" s="6" t="s">
        <v>23</v>
      </c>
      <c r="D80" s="6" t="s">
        <v>23</v>
      </c>
      <c r="E80" s="6" t="s">
        <v>23</v>
      </c>
      <c r="F80" s="6" t="s">
        <v>72</v>
      </c>
      <c r="G80" s="6" t="s">
        <v>23</v>
      </c>
      <c r="H80" s="6" t="s">
        <v>23</v>
      </c>
      <c r="I80" s="6" t="s">
        <v>74</v>
      </c>
      <c r="J80" s="6" t="s">
        <v>23</v>
      </c>
      <c r="K80" s="6" t="s">
        <v>23</v>
      </c>
      <c r="L80" s="6" t="s">
        <v>23</v>
      </c>
      <c r="M80" s="6" t="s">
        <v>23</v>
      </c>
      <c r="N80" s="6" t="s">
        <v>23</v>
      </c>
      <c r="O80" s="6" t="s">
        <v>23</v>
      </c>
      <c r="P80" s="6" t="s">
        <v>23</v>
      </c>
      <c r="Q80" s="6" t="s">
        <v>41</v>
      </c>
      <c r="R80" s="6" t="s">
        <v>81</v>
      </c>
      <c r="S80" s="6" t="s">
        <v>58</v>
      </c>
      <c r="T80" s="6" t="s">
        <v>23</v>
      </c>
      <c r="U80" s="7" t="s">
        <v>23</v>
      </c>
    </row>
    <row r="81" spans="1:21" x14ac:dyDescent="0.35">
      <c r="A81" s="8" t="s">
        <v>92</v>
      </c>
      <c r="B81" s="9">
        <v>95070600715</v>
      </c>
      <c r="C81" s="9" t="s">
        <v>23</v>
      </c>
      <c r="D81" s="9" t="s">
        <v>23</v>
      </c>
      <c r="E81" s="9" t="s">
        <v>23</v>
      </c>
      <c r="F81" s="9" t="s">
        <v>82</v>
      </c>
      <c r="G81" s="9" t="s">
        <v>23</v>
      </c>
      <c r="H81" s="9" t="s">
        <v>23</v>
      </c>
      <c r="I81" s="9" t="s">
        <v>24</v>
      </c>
      <c r="J81" s="9" t="s">
        <v>52</v>
      </c>
      <c r="K81" s="9" t="s">
        <v>23</v>
      </c>
      <c r="L81" s="9" t="s">
        <v>23</v>
      </c>
      <c r="M81" s="9" t="s">
        <v>23</v>
      </c>
      <c r="N81" s="9" t="s">
        <v>23</v>
      </c>
      <c r="O81" s="9" t="s">
        <v>23</v>
      </c>
      <c r="P81" s="9" t="s">
        <v>23</v>
      </c>
      <c r="Q81" s="9" t="s">
        <v>74</v>
      </c>
      <c r="R81" s="9" t="s">
        <v>84</v>
      </c>
      <c r="S81" s="9" t="s">
        <v>82</v>
      </c>
      <c r="T81" s="9" t="s">
        <v>23</v>
      </c>
      <c r="U81" s="10" t="s">
        <v>78</v>
      </c>
    </row>
    <row r="82" spans="1:21" x14ac:dyDescent="0.35">
      <c r="A82" s="5" t="s">
        <v>92</v>
      </c>
      <c r="B82" s="6">
        <v>95071306764</v>
      </c>
      <c r="C82" s="6" t="s">
        <v>23</v>
      </c>
      <c r="D82" s="6" t="s">
        <v>23</v>
      </c>
      <c r="E82" s="6" t="s">
        <v>23</v>
      </c>
      <c r="F82" s="6" t="s">
        <v>23</v>
      </c>
      <c r="G82" s="6" t="s">
        <v>23</v>
      </c>
      <c r="H82" s="6" t="s">
        <v>23</v>
      </c>
      <c r="I82" s="6" t="s">
        <v>40</v>
      </c>
      <c r="J82" s="6" t="s">
        <v>80</v>
      </c>
      <c r="K82" s="6" t="s">
        <v>23</v>
      </c>
      <c r="L82" s="6" t="s">
        <v>23</v>
      </c>
      <c r="M82" s="6" t="s">
        <v>23</v>
      </c>
      <c r="N82" s="6" t="s">
        <v>23</v>
      </c>
      <c r="O82" s="6" t="s">
        <v>23</v>
      </c>
      <c r="P82" s="6" t="s">
        <v>23</v>
      </c>
      <c r="Q82" s="6" t="s">
        <v>26</v>
      </c>
      <c r="R82" s="6" t="s">
        <v>32</v>
      </c>
      <c r="S82" s="6" t="s">
        <v>64</v>
      </c>
      <c r="T82" s="6" t="s">
        <v>23</v>
      </c>
      <c r="U82" s="7" t="s">
        <v>23</v>
      </c>
    </row>
    <row r="83" spans="1:21" x14ac:dyDescent="0.35">
      <c r="A83" s="8" t="s">
        <v>92</v>
      </c>
      <c r="B83" s="9">
        <v>95071307406</v>
      </c>
      <c r="C83" s="9" t="s">
        <v>23</v>
      </c>
      <c r="D83" s="9" t="s">
        <v>23</v>
      </c>
      <c r="E83" s="9" t="s">
        <v>23</v>
      </c>
      <c r="F83" s="9" t="s">
        <v>33</v>
      </c>
      <c r="G83" s="9" t="s">
        <v>23</v>
      </c>
      <c r="H83" s="9" t="s">
        <v>23</v>
      </c>
      <c r="I83" s="9" t="s">
        <v>48</v>
      </c>
      <c r="J83" s="9" t="s">
        <v>44</v>
      </c>
      <c r="K83" s="9" t="s">
        <v>23</v>
      </c>
      <c r="L83" s="9" t="s">
        <v>23</v>
      </c>
      <c r="M83" s="9" t="s">
        <v>23</v>
      </c>
      <c r="N83" s="9" t="s">
        <v>23</v>
      </c>
      <c r="O83" s="9" t="s">
        <v>23</v>
      </c>
      <c r="P83" s="9" t="s">
        <v>23</v>
      </c>
      <c r="Q83" s="9" t="s">
        <v>61</v>
      </c>
      <c r="R83" s="9" t="s">
        <v>23</v>
      </c>
      <c r="S83" s="9" t="s">
        <v>76</v>
      </c>
      <c r="T83" s="9" t="s">
        <v>62</v>
      </c>
      <c r="U83" s="10" t="s">
        <v>23</v>
      </c>
    </row>
    <row r="84" spans="1:21" x14ac:dyDescent="0.35">
      <c r="A84" s="5" t="s">
        <v>92</v>
      </c>
      <c r="B84" s="6">
        <v>95072805323</v>
      </c>
      <c r="C84" s="6" t="s">
        <v>23</v>
      </c>
      <c r="D84" s="6" t="s">
        <v>23</v>
      </c>
      <c r="E84" s="6" t="s">
        <v>23</v>
      </c>
      <c r="F84" s="6" t="s">
        <v>41</v>
      </c>
      <c r="G84" s="6" t="s">
        <v>23</v>
      </c>
      <c r="H84" s="6" t="s">
        <v>23</v>
      </c>
      <c r="I84" s="6" t="s">
        <v>43</v>
      </c>
      <c r="J84" s="6" t="s">
        <v>68</v>
      </c>
      <c r="K84" s="6" t="s">
        <v>23</v>
      </c>
      <c r="L84" s="6" t="s">
        <v>23</v>
      </c>
      <c r="M84" s="6" t="s">
        <v>23</v>
      </c>
      <c r="N84" s="6" t="s">
        <v>23</v>
      </c>
      <c r="O84" s="6" t="s">
        <v>23</v>
      </c>
      <c r="P84" s="6" t="s">
        <v>23</v>
      </c>
      <c r="Q84" s="6" t="s">
        <v>56</v>
      </c>
      <c r="R84" s="6" t="s">
        <v>47</v>
      </c>
      <c r="S84" s="6" t="s">
        <v>75</v>
      </c>
      <c r="T84" s="6" t="s">
        <v>68</v>
      </c>
      <c r="U84" s="7" t="s">
        <v>23</v>
      </c>
    </row>
    <row r="85" spans="1:21" x14ac:dyDescent="0.35">
      <c r="A85" s="8" t="s">
        <v>92</v>
      </c>
      <c r="B85" s="9">
        <v>95072901340</v>
      </c>
      <c r="C85" s="9" t="s">
        <v>23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25</v>
      </c>
      <c r="J85" s="9" t="s">
        <v>76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 t="s">
        <v>24</v>
      </c>
      <c r="R85" s="9" t="s">
        <v>76</v>
      </c>
      <c r="S85" s="9" t="s">
        <v>61</v>
      </c>
      <c r="T85" s="9" t="s">
        <v>33</v>
      </c>
      <c r="U85" s="10" t="s">
        <v>23</v>
      </c>
    </row>
    <row r="86" spans="1:21" x14ac:dyDescent="0.35">
      <c r="A86" s="5" t="s">
        <v>92</v>
      </c>
      <c r="B86" s="6">
        <v>95072901364</v>
      </c>
      <c r="C86" s="6" t="s">
        <v>23</v>
      </c>
      <c r="D86" s="6" t="s">
        <v>23</v>
      </c>
      <c r="E86" s="6" t="s">
        <v>23</v>
      </c>
      <c r="F86" s="6" t="s">
        <v>23</v>
      </c>
      <c r="G86" s="6" t="s">
        <v>23</v>
      </c>
      <c r="H86" s="6" t="s">
        <v>23</v>
      </c>
      <c r="I86" s="6" t="s">
        <v>24</v>
      </c>
      <c r="J86" s="6" t="s">
        <v>35</v>
      </c>
      <c r="K86" s="6" t="s">
        <v>71</v>
      </c>
      <c r="L86" s="6" t="s">
        <v>23</v>
      </c>
      <c r="M86" s="6" t="s">
        <v>23</v>
      </c>
      <c r="N86" s="6" t="s">
        <v>23</v>
      </c>
      <c r="O86" s="6" t="s">
        <v>23</v>
      </c>
      <c r="P86" s="6" t="s">
        <v>23</v>
      </c>
      <c r="Q86" s="6" t="s">
        <v>51</v>
      </c>
      <c r="R86" s="6" t="s">
        <v>22</v>
      </c>
      <c r="S86" s="6" t="s">
        <v>67</v>
      </c>
      <c r="T86" s="6" t="s">
        <v>23</v>
      </c>
      <c r="U86" s="7" t="s">
        <v>23</v>
      </c>
    </row>
    <row r="87" spans="1:21" x14ac:dyDescent="0.35">
      <c r="A87" s="8" t="s">
        <v>92</v>
      </c>
      <c r="B87" s="9">
        <v>95082206507</v>
      </c>
      <c r="C87" s="9" t="s">
        <v>23</v>
      </c>
      <c r="D87" s="9" t="s">
        <v>23</v>
      </c>
      <c r="E87" s="9" t="s">
        <v>23</v>
      </c>
      <c r="F87" s="9" t="s">
        <v>43</v>
      </c>
      <c r="G87" s="9" t="s">
        <v>23</v>
      </c>
      <c r="H87" s="9" t="s">
        <v>23</v>
      </c>
      <c r="I87" s="9" t="s">
        <v>40</v>
      </c>
      <c r="J87" s="9" t="s">
        <v>23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23</v>
      </c>
      <c r="Q87" s="9" t="s">
        <v>48</v>
      </c>
      <c r="R87" s="9" t="s">
        <v>38</v>
      </c>
      <c r="S87" s="9" t="s">
        <v>25</v>
      </c>
      <c r="T87" s="9" t="s">
        <v>23</v>
      </c>
      <c r="U87" s="10" t="s">
        <v>23</v>
      </c>
    </row>
    <row r="88" spans="1:21" x14ac:dyDescent="0.35">
      <c r="A88" s="5" t="s">
        <v>92</v>
      </c>
      <c r="B88" s="6">
        <v>95091103271</v>
      </c>
      <c r="C88" s="6" t="s">
        <v>23</v>
      </c>
      <c r="D88" s="6" t="s">
        <v>23</v>
      </c>
      <c r="E88" s="6" t="s">
        <v>23</v>
      </c>
      <c r="F88" s="6" t="s">
        <v>58</v>
      </c>
      <c r="G88" s="6" t="s">
        <v>23</v>
      </c>
      <c r="H88" s="6" t="s">
        <v>23</v>
      </c>
      <c r="I88" s="6" t="s">
        <v>60</v>
      </c>
      <c r="J88" s="6" t="s">
        <v>23</v>
      </c>
      <c r="K88" s="6" t="s">
        <v>23</v>
      </c>
      <c r="L88" s="6" t="s">
        <v>23</v>
      </c>
      <c r="M88" s="6" t="s">
        <v>23</v>
      </c>
      <c r="N88" s="6" t="s">
        <v>23</v>
      </c>
      <c r="O88" s="6" t="s">
        <v>23</v>
      </c>
      <c r="P88" s="6" t="s">
        <v>23</v>
      </c>
      <c r="Q88" s="6" t="s">
        <v>61</v>
      </c>
      <c r="R88" s="6" t="s">
        <v>32</v>
      </c>
      <c r="S88" s="6" t="s">
        <v>67</v>
      </c>
      <c r="T88" s="6" t="s">
        <v>23</v>
      </c>
      <c r="U88" s="7" t="s">
        <v>23</v>
      </c>
    </row>
    <row r="89" spans="1:21" x14ac:dyDescent="0.35">
      <c r="A89" s="8" t="s">
        <v>92</v>
      </c>
      <c r="B89" s="9">
        <v>95092301371</v>
      </c>
      <c r="C89" s="9" t="s">
        <v>23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49</v>
      </c>
      <c r="J89" s="9" t="s">
        <v>26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 t="s">
        <v>26</v>
      </c>
      <c r="R89" s="9" t="s">
        <v>78</v>
      </c>
      <c r="S89" s="9" t="s">
        <v>52</v>
      </c>
      <c r="T89" s="9" t="s">
        <v>23</v>
      </c>
      <c r="U89" s="10" t="s">
        <v>23</v>
      </c>
    </row>
    <row r="90" spans="1:21" x14ac:dyDescent="0.35">
      <c r="A90" s="5" t="s">
        <v>92</v>
      </c>
      <c r="B90" s="6">
        <v>95100703063</v>
      </c>
      <c r="C90" s="6" t="s">
        <v>23</v>
      </c>
      <c r="D90" s="6" t="s">
        <v>23</v>
      </c>
      <c r="E90" s="6" t="s">
        <v>23</v>
      </c>
      <c r="F90" s="6" t="s">
        <v>41</v>
      </c>
      <c r="G90" s="6" t="s">
        <v>23</v>
      </c>
      <c r="H90" s="6" t="s">
        <v>23</v>
      </c>
      <c r="I90" s="6" t="s">
        <v>49</v>
      </c>
      <c r="J90" s="6" t="s">
        <v>39</v>
      </c>
      <c r="K90" s="6" t="s">
        <v>23</v>
      </c>
      <c r="L90" s="6" t="s">
        <v>23</v>
      </c>
      <c r="M90" s="6" t="s">
        <v>23</v>
      </c>
      <c r="N90" s="6" t="s">
        <v>23</v>
      </c>
      <c r="O90" s="6" t="s">
        <v>48</v>
      </c>
      <c r="P90" s="6" t="s">
        <v>23</v>
      </c>
      <c r="Q90" s="6" t="s">
        <v>24</v>
      </c>
      <c r="R90" s="6" t="s">
        <v>67</v>
      </c>
      <c r="S90" s="6" t="s">
        <v>72</v>
      </c>
      <c r="T90" s="6" t="s">
        <v>23</v>
      </c>
      <c r="U90" s="7" t="s">
        <v>23</v>
      </c>
    </row>
    <row r="91" spans="1:21" x14ac:dyDescent="0.35">
      <c r="A91" s="8" t="s">
        <v>92</v>
      </c>
      <c r="B91" s="9">
        <v>95102509322</v>
      </c>
      <c r="C91" s="9" t="s">
        <v>23</v>
      </c>
      <c r="D91" s="9" t="s">
        <v>23</v>
      </c>
      <c r="E91" s="9" t="s">
        <v>23</v>
      </c>
      <c r="F91" s="9" t="s">
        <v>52</v>
      </c>
      <c r="G91" s="9" t="s">
        <v>23</v>
      </c>
      <c r="H91" s="9" t="s">
        <v>23</v>
      </c>
      <c r="I91" s="9" t="s">
        <v>71</v>
      </c>
      <c r="J91" s="9" t="s">
        <v>79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23</v>
      </c>
      <c r="P91" s="9" t="s">
        <v>23</v>
      </c>
      <c r="Q91" s="9" t="s">
        <v>39</v>
      </c>
      <c r="R91" s="9" t="s">
        <v>32</v>
      </c>
      <c r="S91" s="9" t="s">
        <v>36</v>
      </c>
      <c r="T91" s="9" t="s">
        <v>23</v>
      </c>
      <c r="U91" s="10" t="s">
        <v>23</v>
      </c>
    </row>
    <row r="92" spans="1:21" x14ac:dyDescent="0.35">
      <c r="A92" s="5" t="s">
        <v>92</v>
      </c>
      <c r="B92" s="6">
        <v>95121002200</v>
      </c>
      <c r="C92" s="6" t="s">
        <v>23</v>
      </c>
      <c r="D92" s="6" t="s">
        <v>23</v>
      </c>
      <c r="E92" s="6" t="s">
        <v>23</v>
      </c>
      <c r="F92" s="6" t="s">
        <v>27</v>
      </c>
      <c r="G92" s="6" t="s">
        <v>23</v>
      </c>
      <c r="H92" s="6" t="s">
        <v>23</v>
      </c>
      <c r="I92" s="6" t="s">
        <v>24</v>
      </c>
      <c r="J92" s="6" t="s">
        <v>74</v>
      </c>
      <c r="K92" s="6" t="s">
        <v>23</v>
      </c>
      <c r="L92" s="6" t="s">
        <v>23</v>
      </c>
      <c r="M92" s="6" t="s">
        <v>23</v>
      </c>
      <c r="N92" s="6" t="s">
        <v>23</v>
      </c>
      <c r="O92" s="6" t="s">
        <v>24</v>
      </c>
      <c r="P92" s="6" t="s">
        <v>23</v>
      </c>
      <c r="Q92" s="6" t="s">
        <v>56</v>
      </c>
      <c r="R92" s="6" t="s">
        <v>49</v>
      </c>
      <c r="S92" s="6" t="s">
        <v>75</v>
      </c>
      <c r="T92" s="6" t="s">
        <v>23</v>
      </c>
      <c r="U92" s="7" t="s">
        <v>23</v>
      </c>
    </row>
    <row r="93" spans="1:21" x14ac:dyDescent="0.35">
      <c r="A93" s="8" t="s">
        <v>92</v>
      </c>
      <c r="B93" s="9">
        <v>96010806327</v>
      </c>
      <c r="C93" s="9" t="s">
        <v>23</v>
      </c>
      <c r="D93" s="9" t="s">
        <v>23</v>
      </c>
      <c r="E93" s="9" t="s">
        <v>23</v>
      </c>
      <c r="F93" s="9" t="s">
        <v>74</v>
      </c>
      <c r="G93" s="9" t="s">
        <v>23</v>
      </c>
      <c r="H93" s="9" t="s">
        <v>23</v>
      </c>
      <c r="I93" s="9" t="s">
        <v>49</v>
      </c>
      <c r="J93" s="9" t="s">
        <v>37</v>
      </c>
      <c r="K93" s="9" t="s">
        <v>23</v>
      </c>
      <c r="L93" s="9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9" t="s">
        <v>41</v>
      </c>
      <c r="R93" s="9" t="s">
        <v>23</v>
      </c>
      <c r="S93" s="9" t="s">
        <v>94</v>
      </c>
      <c r="T93" s="9" t="s">
        <v>23</v>
      </c>
      <c r="U93" s="10" t="s">
        <v>23</v>
      </c>
    </row>
    <row r="94" spans="1:21" x14ac:dyDescent="0.35">
      <c r="A94" s="5" t="s">
        <v>96</v>
      </c>
      <c r="B94" s="6">
        <v>95010400678</v>
      </c>
      <c r="C94" s="6" t="s">
        <v>23</v>
      </c>
      <c r="D94" s="6" t="s">
        <v>23</v>
      </c>
      <c r="E94" s="6" t="s">
        <v>33</v>
      </c>
      <c r="F94" s="6" t="s">
        <v>23</v>
      </c>
      <c r="G94" s="6" t="s">
        <v>23</v>
      </c>
      <c r="H94" s="6" t="s">
        <v>23</v>
      </c>
      <c r="I94" s="6" t="s">
        <v>49</v>
      </c>
      <c r="J94" s="6" t="s">
        <v>30</v>
      </c>
      <c r="K94" s="6" t="s">
        <v>23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23</v>
      </c>
      <c r="Q94" s="6" t="s">
        <v>38</v>
      </c>
      <c r="R94" s="6" t="s">
        <v>33</v>
      </c>
      <c r="S94" s="6" t="s">
        <v>64</v>
      </c>
      <c r="T94" s="6" t="s">
        <v>23</v>
      </c>
      <c r="U94" s="7" t="s">
        <v>23</v>
      </c>
    </row>
    <row r="95" spans="1:21" x14ac:dyDescent="0.35">
      <c r="A95" s="8" t="s">
        <v>96</v>
      </c>
      <c r="B95" s="9">
        <v>95012402890</v>
      </c>
      <c r="C95" s="9" t="s">
        <v>23</v>
      </c>
      <c r="D95" s="9" t="s">
        <v>23</v>
      </c>
      <c r="E95" s="9" t="s">
        <v>82</v>
      </c>
      <c r="F95" s="9" t="s">
        <v>23</v>
      </c>
      <c r="G95" s="9" t="s">
        <v>23</v>
      </c>
      <c r="H95" s="9" t="s">
        <v>23</v>
      </c>
      <c r="I95" s="9" t="s">
        <v>48</v>
      </c>
      <c r="J95" s="9" t="s">
        <v>28</v>
      </c>
      <c r="K95" s="9" t="s">
        <v>23</v>
      </c>
      <c r="L95" s="9" t="s">
        <v>23</v>
      </c>
      <c r="M95" s="9" t="s">
        <v>23</v>
      </c>
      <c r="N95" s="9" t="s">
        <v>23</v>
      </c>
      <c r="O95" s="9" t="s">
        <v>23</v>
      </c>
      <c r="P95" s="9" t="s">
        <v>23</v>
      </c>
      <c r="Q95" s="9" t="s">
        <v>38</v>
      </c>
      <c r="R95" s="9" t="s">
        <v>32</v>
      </c>
      <c r="S95" s="9" t="s">
        <v>70</v>
      </c>
      <c r="T95" s="9" t="s">
        <v>23</v>
      </c>
      <c r="U95" s="10" t="s">
        <v>23</v>
      </c>
    </row>
    <row r="96" spans="1:21" x14ac:dyDescent="0.35">
      <c r="A96" s="5" t="s">
        <v>96</v>
      </c>
      <c r="B96" s="6">
        <v>95012801194</v>
      </c>
      <c r="C96" s="6" t="s">
        <v>23</v>
      </c>
      <c r="D96" s="6" t="s">
        <v>23</v>
      </c>
      <c r="E96" s="6" t="s">
        <v>46</v>
      </c>
      <c r="F96" s="6" t="s">
        <v>23</v>
      </c>
      <c r="G96" s="6" t="s">
        <v>23</v>
      </c>
      <c r="H96" s="6" t="s">
        <v>39</v>
      </c>
      <c r="I96" s="6" t="s">
        <v>40</v>
      </c>
      <c r="J96" s="6" t="s">
        <v>48</v>
      </c>
      <c r="K96" s="6" t="s">
        <v>23</v>
      </c>
      <c r="L96" s="6" t="s">
        <v>23</v>
      </c>
      <c r="M96" s="6" t="s">
        <v>23</v>
      </c>
      <c r="N96" s="6" t="s">
        <v>23</v>
      </c>
      <c r="O96" s="6" t="s">
        <v>23</v>
      </c>
      <c r="P96" s="6" t="s">
        <v>23</v>
      </c>
      <c r="Q96" s="6" t="s">
        <v>24</v>
      </c>
      <c r="R96" s="6" t="s">
        <v>38</v>
      </c>
      <c r="S96" s="6" t="s">
        <v>27</v>
      </c>
      <c r="T96" s="6" t="s">
        <v>23</v>
      </c>
      <c r="U96" s="7" t="s">
        <v>23</v>
      </c>
    </row>
    <row r="97" spans="1:21" x14ac:dyDescent="0.35">
      <c r="A97" s="8" t="s">
        <v>96</v>
      </c>
      <c r="B97" s="9">
        <v>95012904927</v>
      </c>
      <c r="C97" s="9" t="s">
        <v>23</v>
      </c>
      <c r="D97" s="9" t="s">
        <v>23</v>
      </c>
      <c r="E97" s="9" t="s">
        <v>74</v>
      </c>
      <c r="F97" s="9" t="s">
        <v>23</v>
      </c>
      <c r="G97" s="9" t="s">
        <v>23</v>
      </c>
      <c r="H97" s="9" t="s">
        <v>23</v>
      </c>
      <c r="I97" s="9" t="s">
        <v>24</v>
      </c>
      <c r="J97" s="9" t="s">
        <v>25</v>
      </c>
      <c r="K97" s="9" t="s">
        <v>23</v>
      </c>
      <c r="L97" s="9" t="s">
        <v>23</v>
      </c>
      <c r="M97" s="9" t="s">
        <v>23</v>
      </c>
      <c r="N97" s="9" t="s">
        <v>23</v>
      </c>
      <c r="O97" s="9" t="s">
        <v>23</v>
      </c>
      <c r="P97" s="9" t="s">
        <v>23</v>
      </c>
      <c r="Q97" s="9" t="s">
        <v>56</v>
      </c>
      <c r="R97" s="9" t="s">
        <v>27</v>
      </c>
      <c r="S97" s="9" t="s">
        <v>55</v>
      </c>
      <c r="T97" s="9" t="s">
        <v>23</v>
      </c>
      <c r="U97" s="10" t="s">
        <v>23</v>
      </c>
    </row>
    <row r="98" spans="1:21" x14ac:dyDescent="0.35">
      <c r="A98" s="5" t="s">
        <v>96</v>
      </c>
      <c r="B98" s="6">
        <v>95020904777</v>
      </c>
      <c r="C98" s="6" t="s">
        <v>23</v>
      </c>
      <c r="D98" s="6" t="s">
        <v>23</v>
      </c>
      <c r="E98" s="6" t="s">
        <v>88</v>
      </c>
      <c r="F98" s="6" t="s">
        <v>23</v>
      </c>
      <c r="G98" s="6" t="s">
        <v>23</v>
      </c>
      <c r="H98" s="6" t="s">
        <v>23</v>
      </c>
      <c r="I98" s="6" t="s">
        <v>48</v>
      </c>
      <c r="J98" s="6" t="s">
        <v>51</v>
      </c>
      <c r="K98" s="6" t="s">
        <v>23</v>
      </c>
      <c r="L98" s="6" t="s">
        <v>23</v>
      </c>
      <c r="M98" s="6" t="s">
        <v>23</v>
      </c>
      <c r="N98" s="6" t="s">
        <v>23</v>
      </c>
      <c r="O98" s="6" t="s">
        <v>23</v>
      </c>
      <c r="P98" s="6" t="s">
        <v>23</v>
      </c>
      <c r="Q98" s="6" t="s">
        <v>74</v>
      </c>
      <c r="R98" s="6" t="s">
        <v>23</v>
      </c>
      <c r="S98" s="6" t="s">
        <v>36</v>
      </c>
      <c r="T98" s="6" t="s">
        <v>97</v>
      </c>
      <c r="U98" s="7" t="s">
        <v>23</v>
      </c>
    </row>
    <row r="99" spans="1:21" x14ac:dyDescent="0.35">
      <c r="A99" s="8" t="s">
        <v>96</v>
      </c>
      <c r="B99" s="9">
        <v>95021601338</v>
      </c>
      <c r="C99" s="9" t="s">
        <v>23</v>
      </c>
      <c r="D99" s="9" t="s">
        <v>23</v>
      </c>
      <c r="E99" s="9" t="s">
        <v>52</v>
      </c>
      <c r="F99" s="9" t="s">
        <v>23</v>
      </c>
      <c r="G99" s="9" t="s">
        <v>23</v>
      </c>
      <c r="H99" s="9" t="s">
        <v>26</v>
      </c>
      <c r="I99" s="9" t="s">
        <v>40</v>
      </c>
      <c r="J99" s="9" t="s">
        <v>61</v>
      </c>
      <c r="K99" s="9" t="s">
        <v>23</v>
      </c>
      <c r="L99" s="9" t="s">
        <v>23</v>
      </c>
      <c r="M99" s="9" t="s">
        <v>23</v>
      </c>
      <c r="N99" s="9" t="s">
        <v>23</v>
      </c>
      <c r="O99" s="9" t="s">
        <v>23</v>
      </c>
      <c r="P99" s="9" t="s">
        <v>23</v>
      </c>
      <c r="Q99" s="9" t="s">
        <v>40</v>
      </c>
      <c r="R99" s="9" t="s">
        <v>41</v>
      </c>
      <c r="S99" s="9" t="s">
        <v>30</v>
      </c>
      <c r="T99" s="9" t="s">
        <v>23</v>
      </c>
      <c r="U99" s="10" t="s">
        <v>23</v>
      </c>
    </row>
    <row r="100" spans="1:21" x14ac:dyDescent="0.35">
      <c r="A100" s="5" t="s">
        <v>96</v>
      </c>
      <c r="B100" s="6">
        <v>95032801943</v>
      </c>
      <c r="C100" s="6" t="s">
        <v>23</v>
      </c>
      <c r="D100" s="6" t="s">
        <v>23</v>
      </c>
      <c r="E100" s="6" t="s">
        <v>33</v>
      </c>
      <c r="F100" s="6" t="s">
        <v>23</v>
      </c>
      <c r="G100" s="6" t="s">
        <v>23</v>
      </c>
      <c r="H100" s="6" t="s">
        <v>23</v>
      </c>
      <c r="I100" s="6" t="s">
        <v>86</v>
      </c>
      <c r="J100" s="6" t="s">
        <v>45</v>
      </c>
      <c r="K100" s="6" t="s">
        <v>23</v>
      </c>
      <c r="L100" s="6" t="s">
        <v>23</v>
      </c>
      <c r="M100" s="6" t="s">
        <v>23</v>
      </c>
      <c r="N100" s="6" t="s">
        <v>23</v>
      </c>
      <c r="O100" s="6" t="s">
        <v>23</v>
      </c>
      <c r="P100" s="6" t="s">
        <v>23</v>
      </c>
      <c r="Q100" s="6" t="s">
        <v>49</v>
      </c>
      <c r="R100" s="6" t="s">
        <v>39</v>
      </c>
      <c r="S100" s="6" t="s">
        <v>61</v>
      </c>
      <c r="T100" s="6" t="s">
        <v>23</v>
      </c>
      <c r="U100" s="7" t="s">
        <v>23</v>
      </c>
    </row>
    <row r="101" spans="1:21" x14ac:dyDescent="0.35">
      <c r="A101" s="8" t="s">
        <v>96</v>
      </c>
      <c r="B101" s="9">
        <v>95032801950</v>
      </c>
      <c r="C101" s="9" t="s">
        <v>23</v>
      </c>
      <c r="D101" s="9" t="s">
        <v>23</v>
      </c>
      <c r="E101" s="9" t="s">
        <v>88</v>
      </c>
      <c r="F101" s="9" t="s">
        <v>23</v>
      </c>
      <c r="G101" s="9" t="s">
        <v>23</v>
      </c>
      <c r="H101" s="9" t="s">
        <v>23</v>
      </c>
      <c r="I101" s="9" t="s">
        <v>62</v>
      </c>
      <c r="J101" s="9" t="s">
        <v>46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9" t="s">
        <v>23</v>
      </c>
      <c r="Q101" s="9" t="s">
        <v>71</v>
      </c>
      <c r="R101" s="9" t="s">
        <v>34</v>
      </c>
      <c r="S101" s="9" t="s">
        <v>67</v>
      </c>
      <c r="T101" s="9" t="s">
        <v>23</v>
      </c>
      <c r="U101" s="10" t="s">
        <v>23</v>
      </c>
    </row>
    <row r="102" spans="1:21" x14ac:dyDescent="0.35">
      <c r="A102" s="5" t="s">
        <v>96</v>
      </c>
      <c r="B102" s="6">
        <v>95040804338</v>
      </c>
      <c r="C102" s="6" t="s">
        <v>98</v>
      </c>
      <c r="D102" s="6" t="s">
        <v>23</v>
      </c>
      <c r="E102" s="6" t="s">
        <v>98</v>
      </c>
      <c r="F102" s="6" t="s">
        <v>23</v>
      </c>
      <c r="G102" s="6" t="s">
        <v>23</v>
      </c>
      <c r="H102" s="6" t="s">
        <v>23</v>
      </c>
      <c r="I102" s="6" t="s">
        <v>48</v>
      </c>
      <c r="J102" s="6" t="s">
        <v>55</v>
      </c>
      <c r="K102" s="6" t="s">
        <v>23</v>
      </c>
      <c r="L102" s="6" t="s">
        <v>23</v>
      </c>
      <c r="M102" s="6" t="s">
        <v>23</v>
      </c>
      <c r="N102" s="6" t="s">
        <v>23</v>
      </c>
      <c r="O102" s="6" t="s">
        <v>23</v>
      </c>
      <c r="P102" s="6" t="s">
        <v>23</v>
      </c>
      <c r="Q102" s="6" t="s">
        <v>56</v>
      </c>
      <c r="R102" s="6" t="s">
        <v>23</v>
      </c>
      <c r="S102" s="6" t="s">
        <v>82</v>
      </c>
      <c r="T102" s="6" t="s">
        <v>23</v>
      </c>
      <c r="U102" s="7" t="s">
        <v>23</v>
      </c>
    </row>
    <row r="103" spans="1:21" x14ac:dyDescent="0.35">
      <c r="A103" s="8" t="s">
        <v>96</v>
      </c>
      <c r="B103" s="9">
        <v>95050803734</v>
      </c>
      <c r="C103" s="9" t="s">
        <v>23</v>
      </c>
      <c r="D103" s="9" t="s">
        <v>23</v>
      </c>
      <c r="E103" s="9" t="s">
        <v>46</v>
      </c>
      <c r="F103" s="9" t="s">
        <v>23</v>
      </c>
      <c r="G103" s="9" t="s">
        <v>23</v>
      </c>
      <c r="H103" s="9" t="s">
        <v>23</v>
      </c>
      <c r="I103" s="9" t="s">
        <v>40</v>
      </c>
      <c r="J103" s="9" t="s">
        <v>49</v>
      </c>
      <c r="K103" s="9" t="s">
        <v>23</v>
      </c>
      <c r="L103" s="9" t="s">
        <v>23</v>
      </c>
      <c r="M103" s="9" t="s">
        <v>23</v>
      </c>
      <c r="N103" s="9" t="s">
        <v>23</v>
      </c>
      <c r="O103" s="9" t="s">
        <v>23</v>
      </c>
      <c r="P103" s="9" t="s">
        <v>23</v>
      </c>
      <c r="Q103" s="9" t="s">
        <v>55</v>
      </c>
      <c r="R103" s="9" t="s">
        <v>74</v>
      </c>
      <c r="S103" s="9" t="s">
        <v>31</v>
      </c>
      <c r="T103" s="9" t="s">
        <v>23</v>
      </c>
      <c r="U103" s="10" t="s">
        <v>23</v>
      </c>
    </row>
    <row r="104" spans="1:21" x14ac:dyDescent="0.35">
      <c r="A104" s="5" t="s">
        <v>96</v>
      </c>
      <c r="B104" s="6">
        <v>95052200645</v>
      </c>
      <c r="C104" s="6" t="s">
        <v>23</v>
      </c>
      <c r="D104" s="6" t="s">
        <v>23</v>
      </c>
      <c r="E104" s="6" t="s">
        <v>35</v>
      </c>
      <c r="F104" s="6" t="s">
        <v>23</v>
      </c>
      <c r="G104" s="6" t="s">
        <v>23</v>
      </c>
      <c r="H104" s="6" t="s">
        <v>23</v>
      </c>
      <c r="I104" s="6" t="s">
        <v>40</v>
      </c>
      <c r="J104" s="6" t="s">
        <v>56</v>
      </c>
      <c r="K104" s="6" t="s">
        <v>23</v>
      </c>
      <c r="L104" s="6" t="s">
        <v>23</v>
      </c>
      <c r="M104" s="6" t="s">
        <v>23</v>
      </c>
      <c r="N104" s="6" t="s">
        <v>23</v>
      </c>
      <c r="O104" s="6" t="s">
        <v>23</v>
      </c>
      <c r="P104" s="6" t="s">
        <v>23</v>
      </c>
      <c r="Q104" s="6" t="s">
        <v>49</v>
      </c>
      <c r="R104" s="6" t="s">
        <v>26</v>
      </c>
      <c r="S104" s="6" t="s">
        <v>52</v>
      </c>
      <c r="T104" s="6" t="s">
        <v>23</v>
      </c>
      <c r="U104" s="7" t="s">
        <v>23</v>
      </c>
    </row>
    <row r="105" spans="1:21" x14ac:dyDescent="0.35">
      <c r="A105" s="8" t="s">
        <v>96</v>
      </c>
      <c r="B105" s="9">
        <v>95052901713</v>
      </c>
      <c r="C105" s="9" t="s">
        <v>23</v>
      </c>
      <c r="D105" s="9" t="s">
        <v>23</v>
      </c>
      <c r="E105" s="9" t="s">
        <v>23</v>
      </c>
      <c r="F105" s="9" t="s">
        <v>69</v>
      </c>
      <c r="G105" s="9" t="s">
        <v>23</v>
      </c>
      <c r="H105" s="9" t="s">
        <v>23</v>
      </c>
      <c r="I105" s="9" t="s">
        <v>24</v>
      </c>
      <c r="J105" s="9" t="s">
        <v>27</v>
      </c>
      <c r="K105" s="9" t="s">
        <v>23</v>
      </c>
      <c r="L105" s="9" t="s">
        <v>23</v>
      </c>
      <c r="M105" s="9" t="s">
        <v>23</v>
      </c>
      <c r="N105" s="9" t="s">
        <v>23</v>
      </c>
      <c r="O105" s="9" t="s">
        <v>23</v>
      </c>
      <c r="P105" s="9" t="s">
        <v>23</v>
      </c>
      <c r="Q105" s="9" t="s">
        <v>39</v>
      </c>
      <c r="R105" s="9" t="s">
        <v>81</v>
      </c>
      <c r="S105" s="9" t="s">
        <v>73</v>
      </c>
      <c r="T105" s="9" t="s">
        <v>23</v>
      </c>
      <c r="U105" s="10" t="s">
        <v>23</v>
      </c>
    </row>
    <row r="106" spans="1:21" x14ac:dyDescent="0.35">
      <c r="A106" s="5" t="s">
        <v>96</v>
      </c>
      <c r="B106" s="6">
        <v>95060303600</v>
      </c>
      <c r="C106" s="6" t="s">
        <v>23</v>
      </c>
      <c r="D106" s="6" t="s">
        <v>23</v>
      </c>
      <c r="E106" s="6" t="s">
        <v>23</v>
      </c>
      <c r="F106" s="6" t="s">
        <v>23</v>
      </c>
      <c r="G106" s="6" t="s">
        <v>23</v>
      </c>
      <c r="H106" s="6" t="s">
        <v>23</v>
      </c>
      <c r="I106" s="6" t="s">
        <v>24</v>
      </c>
      <c r="J106" s="6" t="s">
        <v>49</v>
      </c>
      <c r="K106" s="6" t="s">
        <v>66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23</v>
      </c>
      <c r="Q106" s="6" t="s">
        <v>27</v>
      </c>
      <c r="R106" s="6" t="s">
        <v>51</v>
      </c>
      <c r="S106" s="6" t="s">
        <v>51</v>
      </c>
      <c r="T106" s="6" t="s">
        <v>23</v>
      </c>
      <c r="U106" s="7" t="s">
        <v>23</v>
      </c>
    </row>
    <row r="107" spans="1:21" x14ac:dyDescent="0.35">
      <c r="A107" s="8" t="s">
        <v>96</v>
      </c>
      <c r="B107" s="9">
        <v>95060705327</v>
      </c>
      <c r="C107" s="9" t="s">
        <v>23</v>
      </c>
      <c r="D107" s="9" t="s">
        <v>23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 t="s">
        <v>40</v>
      </c>
      <c r="J107" s="9" t="s">
        <v>39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23</v>
      </c>
      <c r="Q107" s="9" t="s">
        <v>70</v>
      </c>
      <c r="R107" s="9" t="s">
        <v>23</v>
      </c>
      <c r="S107" s="9" t="s">
        <v>67</v>
      </c>
      <c r="T107" s="9" t="s">
        <v>23</v>
      </c>
      <c r="U107" s="10" t="s">
        <v>23</v>
      </c>
    </row>
    <row r="108" spans="1:21" x14ac:dyDescent="0.35">
      <c r="A108" s="5" t="s">
        <v>96</v>
      </c>
      <c r="B108" s="6">
        <v>95060913018</v>
      </c>
      <c r="C108" s="6" t="s">
        <v>23</v>
      </c>
      <c r="D108" s="6" t="s">
        <v>23</v>
      </c>
      <c r="E108" s="6" t="s">
        <v>71</v>
      </c>
      <c r="F108" s="6" t="s">
        <v>23</v>
      </c>
      <c r="G108" s="6" t="s">
        <v>23</v>
      </c>
      <c r="H108" s="6" t="s">
        <v>23</v>
      </c>
      <c r="I108" s="6" t="s">
        <v>40</v>
      </c>
      <c r="J108" s="6" t="s">
        <v>63</v>
      </c>
      <c r="K108" s="6" t="s">
        <v>23</v>
      </c>
      <c r="L108" s="6" t="s">
        <v>23</v>
      </c>
      <c r="M108" s="6" t="s">
        <v>23</v>
      </c>
      <c r="N108" s="6" t="s">
        <v>23</v>
      </c>
      <c r="O108" s="6" t="s">
        <v>23</v>
      </c>
      <c r="P108" s="6" t="s">
        <v>23</v>
      </c>
      <c r="Q108" s="6" t="s">
        <v>24</v>
      </c>
      <c r="R108" s="6" t="s">
        <v>39</v>
      </c>
      <c r="S108" s="6" t="s">
        <v>70</v>
      </c>
      <c r="T108" s="6" t="s">
        <v>23</v>
      </c>
      <c r="U108" s="7" t="s">
        <v>23</v>
      </c>
    </row>
    <row r="109" spans="1:21" x14ac:dyDescent="0.35">
      <c r="A109" s="8" t="s">
        <v>96</v>
      </c>
      <c r="B109" s="9">
        <v>95072510054</v>
      </c>
      <c r="C109" s="9" t="s">
        <v>23</v>
      </c>
      <c r="D109" s="9" t="s">
        <v>23</v>
      </c>
      <c r="E109" s="9" t="s">
        <v>42</v>
      </c>
      <c r="F109" s="9" t="s">
        <v>23</v>
      </c>
      <c r="G109" s="9" t="s">
        <v>23</v>
      </c>
      <c r="H109" s="9" t="s">
        <v>23</v>
      </c>
      <c r="I109" s="9" t="s">
        <v>24</v>
      </c>
      <c r="J109" s="9" t="s">
        <v>46</v>
      </c>
      <c r="K109" s="9" t="s">
        <v>23</v>
      </c>
      <c r="L109" s="9" t="s">
        <v>23</v>
      </c>
      <c r="M109" s="9" t="s">
        <v>23</v>
      </c>
      <c r="N109" s="9" t="s">
        <v>23</v>
      </c>
      <c r="O109" s="9" t="s">
        <v>23</v>
      </c>
      <c r="P109" s="9" t="s">
        <v>23</v>
      </c>
      <c r="Q109" s="9" t="s">
        <v>35</v>
      </c>
      <c r="R109" s="9" t="s">
        <v>84</v>
      </c>
      <c r="S109" s="9" t="s">
        <v>51</v>
      </c>
      <c r="T109" s="9" t="s">
        <v>23</v>
      </c>
      <c r="U109" s="10" t="s">
        <v>23</v>
      </c>
    </row>
    <row r="110" spans="1:21" x14ac:dyDescent="0.35">
      <c r="A110" s="5" t="s">
        <v>96</v>
      </c>
      <c r="B110" s="6">
        <v>95080407818</v>
      </c>
      <c r="C110" s="6" t="s">
        <v>23</v>
      </c>
      <c r="D110" s="6" t="s">
        <v>23</v>
      </c>
      <c r="E110" s="6" t="s">
        <v>23</v>
      </c>
      <c r="F110" s="6" t="s">
        <v>23</v>
      </c>
      <c r="G110" s="6" t="s">
        <v>23</v>
      </c>
      <c r="H110" s="6" t="s">
        <v>33</v>
      </c>
      <c r="I110" s="6" t="s">
        <v>40</v>
      </c>
      <c r="J110" s="6" t="s">
        <v>63</v>
      </c>
      <c r="K110" s="6" t="s">
        <v>23</v>
      </c>
      <c r="L110" s="6" t="s">
        <v>23</v>
      </c>
      <c r="M110" s="6" t="s">
        <v>23</v>
      </c>
      <c r="N110" s="6" t="s">
        <v>23</v>
      </c>
      <c r="O110" s="6" t="s">
        <v>23</v>
      </c>
      <c r="P110" s="6" t="s">
        <v>23</v>
      </c>
      <c r="Q110" s="6" t="s">
        <v>49</v>
      </c>
      <c r="R110" s="6" t="s">
        <v>42</v>
      </c>
      <c r="S110" s="6" t="s">
        <v>64</v>
      </c>
      <c r="T110" s="6" t="s">
        <v>23</v>
      </c>
      <c r="U110" s="7" t="s">
        <v>23</v>
      </c>
    </row>
    <row r="111" spans="1:21" x14ac:dyDescent="0.35">
      <c r="A111" s="8" t="s">
        <v>96</v>
      </c>
      <c r="B111" s="9">
        <v>95080805098</v>
      </c>
      <c r="C111" s="9" t="s">
        <v>23</v>
      </c>
      <c r="D111" s="9" t="s">
        <v>23</v>
      </c>
      <c r="E111" s="9" t="s">
        <v>47</v>
      </c>
      <c r="F111" s="9" t="s">
        <v>23</v>
      </c>
      <c r="G111" s="9" t="s">
        <v>23</v>
      </c>
      <c r="H111" s="9" t="s">
        <v>23</v>
      </c>
      <c r="I111" s="9" t="s">
        <v>55</v>
      </c>
      <c r="J111" s="9" t="s">
        <v>99</v>
      </c>
      <c r="K111" s="9" t="s">
        <v>23</v>
      </c>
      <c r="L111" s="9" t="s">
        <v>23</v>
      </c>
      <c r="M111" s="9" t="s">
        <v>23</v>
      </c>
      <c r="N111" s="9" t="s">
        <v>23</v>
      </c>
      <c r="O111" s="9" t="s">
        <v>23</v>
      </c>
      <c r="P111" s="9" t="s">
        <v>23</v>
      </c>
      <c r="Q111" s="9" t="s">
        <v>26</v>
      </c>
      <c r="R111" s="9" t="s">
        <v>41</v>
      </c>
      <c r="S111" s="9" t="s">
        <v>44</v>
      </c>
      <c r="T111" s="9" t="s">
        <v>23</v>
      </c>
      <c r="U111" s="10" t="s">
        <v>23</v>
      </c>
    </row>
    <row r="112" spans="1:21" x14ac:dyDescent="0.35">
      <c r="A112" s="5" t="s">
        <v>96</v>
      </c>
      <c r="B112" s="6">
        <v>95081600791</v>
      </c>
      <c r="C112" s="6" t="s">
        <v>23</v>
      </c>
      <c r="D112" s="6" t="s">
        <v>23</v>
      </c>
      <c r="E112" s="6" t="s">
        <v>42</v>
      </c>
      <c r="F112" s="6" t="s">
        <v>23</v>
      </c>
      <c r="G112" s="6" t="s">
        <v>23</v>
      </c>
      <c r="H112" s="6" t="s">
        <v>23</v>
      </c>
      <c r="I112" s="6" t="s">
        <v>40</v>
      </c>
      <c r="J112" s="6" t="s">
        <v>63</v>
      </c>
      <c r="K112" s="6" t="s">
        <v>23</v>
      </c>
      <c r="L112" s="6" t="s">
        <v>23</v>
      </c>
      <c r="M112" s="6" t="s">
        <v>23</v>
      </c>
      <c r="N112" s="6" t="s">
        <v>23</v>
      </c>
      <c r="O112" s="6" t="s">
        <v>23</v>
      </c>
      <c r="P112" s="6" t="s">
        <v>23</v>
      </c>
      <c r="Q112" s="6" t="s">
        <v>24</v>
      </c>
      <c r="R112" s="6" t="s">
        <v>76</v>
      </c>
      <c r="S112" s="6" t="s">
        <v>44</v>
      </c>
      <c r="T112" s="6" t="s">
        <v>23</v>
      </c>
      <c r="U112" s="7" t="s">
        <v>23</v>
      </c>
    </row>
    <row r="113" spans="1:21" x14ac:dyDescent="0.35">
      <c r="A113" s="8" t="s">
        <v>96</v>
      </c>
      <c r="B113" s="9">
        <v>95082906797</v>
      </c>
      <c r="C113" s="9" t="s">
        <v>23</v>
      </c>
      <c r="D113" s="9" t="s">
        <v>23</v>
      </c>
      <c r="E113" s="9" t="s">
        <v>28</v>
      </c>
      <c r="F113" s="9" t="s">
        <v>23</v>
      </c>
      <c r="G113" s="9" t="s">
        <v>23</v>
      </c>
      <c r="H113" s="9" t="s">
        <v>23</v>
      </c>
      <c r="I113" s="9" t="s">
        <v>24</v>
      </c>
      <c r="J113" s="9" t="s">
        <v>53</v>
      </c>
      <c r="K113" s="9" t="s">
        <v>23</v>
      </c>
      <c r="L113" s="9" t="s">
        <v>23</v>
      </c>
      <c r="M113" s="9" t="s">
        <v>23</v>
      </c>
      <c r="N113" s="9" t="s">
        <v>23</v>
      </c>
      <c r="O113" s="9" t="s">
        <v>23</v>
      </c>
      <c r="P113" s="9" t="s">
        <v>23</v>
      </c>
      <c r="Q113" s="9" t="s">
        <v>35</v>
      </c>
      <c r="R113" s="9" t="s">
        <v>33</v>
      </c>
      <c r="S113" s="9" t="s">
        <v>75</v>
      </c>
      <c r="T113" s="9" t="s">
        <v>23</v>
      </c>
      <c r="U113" s="10" t="s">
        <v>23</v>
      </c>
    </row>
    <row r="114" spans="1:21" x14ac:dyDescent="0.35">
      <c r="A114" s="5" t="s">
        <v>96</v>
      </c>
      <c r="B114" s="6">
        <v>95083100398</v>
      </c>
      <c r="C114" s="6" t="s">
        <v>23</v>
      </c>
      <c r="D114" s="6" t="s">
        <v>23</v>
      </c>
      <c r="E114" s="6" t="s">
        <v>28</v>
      </c>
      <c r="F114" s="6" t="s">
        <v>23</v>
      </c>
      <c r="G114" s="6" t="s">
        <v>23</v>
      </c>
      <c r="H114" s="6" t="s">
        <v>23</v>
      </c>
      <c r="I114" s="6" t="s">
        <v>24</v>
      </c>
      <c r="J114" s="6" t="s">
        <v>39</v>
      </c>
      <c r="K114" s="6" t="s">
        <v>23</v>
      </c>
      <c r="L114" s="6" t="s">
        <v>23</v>
      </c>
      <c r="M114" s="6" t="s">
        <v>23</v>
      </c>
      <c r="N114" s="6" t="s">
        <v>23</v>
      </c>
      <c r="O114" s="6" t="s">
        <v>23</v>
      </c>
      <c r="P114" s="6" t="s">
        <v>23</v>
      </c>
      <c r="Q114" s="6" t="s">
        <v>40</v>
      </c>
      <c r="R114" s="6" t="s">
        <v>41</v>
      </c>
      <c r="S114" s="6" t="s">
        <v>75</v>
      </c>
      <c r="T114" s="6" t="s">
        <v>23</v>
      </c>
      <c r="U114" s="7" t="s">
        <v>23</v>
      </c>
    </row>
    <row r="115" spans="1:21" x14ac:dyDescent="0.35">
      <c r="A115" s="8" t="s">
        <v>96</v>
      </c>
      <c r="B115" s="9">
        <v>95091803737</v>
      </c>
      <c r="C115" s="9" t="s">
        <v>23</v>
      </c>
      <c r="D115" s="9" t="s">
        <v>23</v>
      </c>
      <c r="E115" s="9" t="s">
        <v>23</v>
      </c>
      <c r="F115" s="9" t="s">
        <v>23</v>
      </c>
      <c r="G115" s="9" t="s">
        <v>23</v>
      </c>
      <c r="H115" s="9" t="s">
        <v>40</v>
      </c>
      <c r="I115" s="9" t="s">
        <v>66</v>
      </c>
      <c r="J115" s="9" t="s">
        <v>55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23</v>
      </c>
      <c r="Q115" s="9" t="s">
        <v>48</v>
      </c>
      <c r="R115" s="9" t="s">
        <v>35</v>
      </c>
      <c r="S115" s="9" t="s">
        <v>76</v>
      </c>
      <c r="T115" s="9" t="s">
        <v>23</v>
      </c>
      <c r="U115" s="10" t="s">
        <v>23</v>
      </c>
    </row>
    <row r="116" spans="1:21" x14ac:dyDescent="0.35">
      <c r="A116" s="5" t="s">
        <v>96</v>
      </c>
      <c r="B116" s="6">
        <v>95100400649</v>
      </c>
      <c r="C116" s="6" t="s">
        <v>23</v>
      </c>
      <c r="D116" s="6" t="s">
        <v>23</v>
      </c>
      <c r="E116" s="6" t="s">
        <v>23</v>
      </c>
      <c r="F116" s="6" t="s">
        <v>23</v>
      </c>
      <c r="G116" s="6" t="s">
        <v>23</v>
      </c>
      <c r="H116" s="6" t="s">
        <v>23</v>
      </c>
      <c r="I116" s="6" t="s">
        <v>48</v>
      </c>
      <c r="J116" s="6" t="s">
        <v>56</v>
      </c>
      <c r="K116" s="6" t="s">
        <v>23</v>
      </c>
      <c r="L116" s="6" t="s">
        <v>23</v>
      </c>
      <c r="M116" s="6" t="s">
        <v>23</v>
      </c>
      <c r="N116" s="6" t="s">
        <v>23</v>
      </c>
      <c r="O116" s="6" t="s">
        <v>23</v>
      </c>
      <c r="P116" s="6" t="s">
        <v>23</v>
      </c>
      <c r="Q116" s="6" t="s">
        <v>49</v>
      </c>
      <c r="R116" s="6" t="s">
        <v>36</v>
      </c>
      <c r="S116" s="6" t="s">
        <v>57</v>
      </c>
      <c r="T116" s="6" t="s">
        <v>23</v>
      </c>
      <c r="U116" s="7" t="s">
        <v>23</v>
      </c>
    </row>
    <row r="117" spans="1:21" x14ac:dyDescent="0.35">
      <c r="A117" s="8" t="s">
        <v>96</v>
      </c>
      <c r="B117" s="9">
        <v>95101104184</v>
      </c>
      <c r="C117" s="9" t="s">
        <v>23</v>
      </c>
      <c r="D117" s="9" t="s">
        <v>23</v>
      </c>
      <c r="E117" s="9" t="s">
        <v>68</v>
      </c>
      <c r="F117" s="9" t="s">
        <v>23</v>
      </c>
      <c r="G117" s="9" t="s">
        <v>23</v>
      </c>
      <c r="H117" s="9" t="s">
        <v>23</v>
      </c>
      <c r="I117" s="9" t="s">
        <v>86</v>
      </c>
      <c r="J117" s="9" t="s">
        <v>35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 t="s">
        <v>49</v>
      </c>
      <c r="R117" s="9" t="s">
        <v>39</v>
      </c>
      <c r="S117" s="9" t="s">
        <v>75</v>
      </c>
      <c r="T117" s="9" t="s">
        <v>23</v>
      </c>
      <c r="U117" s="10" t="s">
        <v>23</v>
      </c>
    </row>
    <row r="118" spans="1:21" x14ac:dyDescent="0.35">
      <c r="A118" s="5" t="s">
        <v>96</v>
      </c>
      <c r="B118" s="6">
        <v>95101303842</v>
      </c>
      <c r="C118" s="6" t="s">
        <v>23</v>
      </c>
      <c r="D118" s="6" t="s">
        <v>23</v>
      </c>
      <c r="E118" s="6" t="s">
        <v>39</v>
      </c>
      <c r="F118" s="6" t="s">
        <v>23</v>
      </c>
      <c r="G118" s="6" t="s">
        <v>23</v>
      </c>
      <c r="H118" s="6" t="s">
        <v>23</v>
      </c>
      <c r="I118" s="6" t="s">
        <v>40</v>
      </c>
      <c r="J118" s="6" t="s">
        <v>53</v>
      </c>
      <c r="K118" s="6" t="s">
        <v>23</v>
      </c>
      <c r="L118" s="6" t="s">
        <v>23</v>
      </c>
      <c r="M118" s="6" t="s">
        <v>23</v>
      </c>
      <c r="N118" s="6" t="s">
        <v>23</v>
      </c>
      <c r="O118" s="6" t="s">
        <v>23</v>
      </c>
      <c r="P118" s="6" t="s">
        <v>23</v>
      </c>
      <c r="Q118" s="6" t="s">
        <v>24</v>
      </c>
      <c r="R118" s="6" t="s">
        <v>35</v>
      </c>
      <c r="S118" s="6" t="s">
        <v>33</v>
      </c>
      <c r="T118" s="6" t="s">
        <v>23</v>
      </c>
      <c r="U118" s="7" t="s">
        <v>23</v>
      </c>
    </row>
    <row r="119" spans="1:21" x14ac:dyDescent="0.35">
      <c r="A119" s="8" t="s">
        <v>96</v>
      </c>
      <c r="B119" s="9">
        <v>95101902775</v>
      </c>
      <c r="C119" s="9" t="s">
        <v>23</v>
      </c>
      <c r="D119" s="9" t="s">
        <v>23</v>
      </c>
      <c r="E119" s="9" t="s">
        <v>23</v>
      </c>
      <c r="F119" s="9" t="s">
        <v>23</v>
      </c>
      <c r="G119" s="9" t="s">
        <v>23</v>
      </c>
      <c r="H119" s="9" t="s">
        <v>22</v>
      </c>
      <c r="I119" s="9" t="s">
        <v>48</v>
      </c>
      <c r="J119" s="9" t="s">
        <v>41</v>
      </c>
      <c r="K119" s="9" t="s">
        <v>23</v>
      </c>
      <c r="L119" s="9" t="s">
        <v>23</v>
      </c>
      <c r="M119" s="9" t="s">
        <v>23</v>
      </c>
      <c r="N119" s="9" t="s">
        <v>23</v>
      </c>
      <c r="O119" s="9" t="s">
        <v>23</v>
      </c>
      <c r="P119" s="9" t="s">
        <v>23</v>
      </c>
      <c r="Q119" s="9" t="s">
        <v>49</v>
      </c>
      <c r="R119" s="9" t="s">
        <v>31</v>
      </c>
      <c r="S119" s="9" t="s">
        <v>57</v>
      </c>
      <c r="T119" s="9" t="s">
        <v>23</v>
      </c>
      <c r="U119" s="10" t="s">
        <v>23</v>
      </c>
    </row>
    <row r="120" spans="1:21" x14ac:dyDescent="0.35">
      <c r="A120" s="5" t="s">
        <v>96</v>
      </c>
      <c r="B120" s="6">
        <v>95102002757</v>
      </c>
      <c r="C120" s="6" t="s">
        <v>23</v>
      </c>
      <c r="D120" s="6" t="s">
        <v>23</v>
      </c>
      <c r="E120" s="6" t="s">
        <v>33</v>
      </c>
      <c r="F120" s="6" t="s">
        <v>23</v>
      </c>
      <c r="G120" s="6" t="s">
        <v>23</v>
      </c>
      <c r="H120" s="6" t="s">
        <v>23</v>
      </c>
      <c r="I120" s="6" t="s">
        <v>24</v>
      </c>
      <c r="J120" s="6" t="s">
        <v>56</v>
      </c>
      <c r="K120" s="6" t="s">
        <v>23</v>
      </c>
      <c r="L120" s="6" t="s">
        <v>23</v>
      </c>
      <c r="M120" s="6" t="s">
        <v>23</v>
      </c>
      <c r="N120" s="6" t="s">
        <v>23</v>
      </c>
      <c r="O120" s="6" t="s">
        <v>23</v>
      </c>
      <c r="P120" s="6" t="s">
        <v>23</v>
      </c>
      <c r="Q120" s="6" t="s">
        <v>40</v>
      </c>
      <c r="R120" s="6" t="s">
        <v>39</v>
      </c>
      <c r="S120" s="6" t="s">
        <v>38</v>
      </c>
      <c r="T120" s="6" t="s">
        <v>23</v>
      </c>
      <c r="U120" s="7" t="s">
        <v>23</v>
      </c>
    </row>
    <row r="121" spans="1:21" x14ac:dyDescent="0.35">
      <c r="A121" s="8" t="s">
        <v>96</v>
      </c>
      <c r="B121" s="9">
        <v>95102301894</v>
      </c>
      <c r="C121" s="9" t="s">
        <v>23</v>
      </c>
      <c r="D121" s="9" t="s">
        <v>23</v>
      </c>
      <c r="E121" s="9" t="s">
        <v>88</v>
      </c>
      <c r="F121" s="9" t="s">
        <v>23</v>
      </c>
      <c r="G121" s="9" t="s">
        <v>23</v>
      </c>
      <c r="H121" s="9" t="s">
        <v>23</v>
      </c>
      <c r="I121" s="9" t="s">
        <v>48</v>
      </c>
      <c r="J121" s="9" t="s">
        <v>39</v>
      </c>
      <c r="K121" s="9" t="s">
        <v>23</v>
      </c>
      <c r="L121" s="9" t="s">
        <v>23</v>
      </c>
      <c r="M121" s="9" t="s">
        <v>23</v>
      </c>
      <c r="N121" s="9" t="s">
        <v>23</v>
      </c>
      <c r="O121" s="9" t="s">
        <v>23</v>
      </c>
      <c r="P121" s="9" t="s">
        <v>23</v>
      </c>
      <c r="Q121" s="9" t="s">
        <v>38</v>
      </c>
      <c r="R121" s="9" t="s">
        <v>51</v>
      </c>
      <c r="S121" s="9" t="s">
        <v>51</v>
      </c>
      <c r="T121" s="9" t="s">
        <v>23</v>
      </c>
      <c r="U121" s="10" t="s">
        <v>23</v>
      </c>
    </row>
    <row r="122" spans="1:21" x14ac:dyDescent="0.35">
      <c r="A122" s="5" t="s">
        <v>96</v>
      </c>
      <c r="B122" s="6">
        <v>95112306692</v>
      </c>
      <c r="C122" s="6" t="s">
        <v>23</v>
      </c>
      <c r="D122" s="6" t="s">
        <v>23</v>
      </c>
      <c r="E122" s="6" t="s">
        <v>46</v>
      </c>
      <c r="F122" s="6" t="s">
        <v>23</v>
      </c>
      <c r="G122" s="6" t="s">
        <v>23</v>
      </c>
      <c r="H122" s="6" t="s">
        <v>23</v>
      </c>
      <c r="I122" s="6" t="s">
        <v>24</v>
      </c>
      <c r="J122" s="6" t="s">
        <v>70</v>
      </c>
      <c r="K122" s="6" t="s">
        <v>23</v>
      </c>
      <c r="L122" s="6" t="s">
        <v>23</v>
      </c>
      <c r="M122" s="6" t="s">
        <v>23</v>
      </c>
      <c r="N122" s="6" t="s">
        <v>23</v>
      </c>
      <c r="O122" s="6" t="s">
        <v>23</v>
      </c>
      <c r="P122" s="6" t="s">
        <v>23</v>
      </c>
      <c r="Q122" s="6" t="s">
        <v>35</v>
      </c>
      <c r="R122" s="6" t="s">
        <v>51</v>
      </c>
      <c r="S122" s="6" t="s">
        <v>33</v>
      </c>
      <c r="T122" s="6" t="s">
        <v>23</v>
      </c>
      <c r="U122" s="7" t="s">
        <v>23</v>
      </c>
    </row>
    <row r="123" spans="1:21" x14ac:dyDescent="0.35">
      <c r="A123" s="8" t="s">
        <v>96</v>
      </c>
      <c r="B123" s="9">
        <v>95112702337</v>
      </c>
      <c r="C123" s="9" t="s">
        <v>23</v>
      </c>
      <c r="D123" s="9" t="s">
        <v>23</v>
      </c>
      <c r="E123" s="9" t="s">
        <v>75</v>
      </c>
      <c r="F123" s="9" t="s">
        <v>23</v>
      </c>
      <c r="G123" s="9" t="s">
        <v>23</v>
      </c>
      <c r="H123" s="9" t="s">
        <v>23</v>
      </c>
      <c r="I123" s="9" t="s">
        <v>48</v>
      </c>
      <c r="J123" s="9" t="s">
        <v>23</v>
      </c>
      <c r="K123" s="9" t="s">
        <v>23</v>
      </c>
      <c r="L123" s="9" t="s">
        <v>23</v>
      </c>
      <c r="M123" s="9" t="s">
        <v>23</v>
      </c>
      <c r="N123" s="9" t="s">
        <v>23</v>
      </c>
      <c r="O123" s="9" t="s">
        <v>23</v>
      </c>
      <c r="P123" s="9" t="s">
        <v>23</v>
      </c>
      <c r="Q123" s="9" t="s">
        <v>48</v>
      </c>
      <c r="R123" s="9" t="s">
        <v>35</v>
      </c>
      <c r="S123" s="9" t="s">
        <v>28</v>
      </c>
      <c r="T123" s="9" t="s">
        <v>23</v>
      </c>
      <c r="U123" s="10" t="s">
        <v>23</v>
      </c>
    </row>
    <row r="124" spans="1:21" x14ac:dyDescent="0.35">
      <c r="A124" s="5" t="s">
        <v>96</v>
      </c>
      <c r="B124" s="6">
        <v>95122110962</v>
      </c>
      <c r="C124" s="6" t="s">
        <v>23</v>
      </c>
      <c r="D124" s="6" t="s">
        <v>23</v>
      </c>
      <c r="E124" s="6" t="s">
        <v>23</v>
      </c>
      <c r="F124" s="6" t="s">
        <v>23</v>
      </c>
      <c r="G124" s="6" t="s">
        <v>23</v>
      </c>
      <c r="H124" s="6" t="s">
        <v>23</v>
      </c>
      <c r="I124" s="6" t="s">
        <v>40</v>
      </c>
      <c r="J124" s="6" t="s">
        <v>45</v>
      </c>
      <c r="K124" s="6" t="s">
        <v>23</v>
      </c>
      <c r="L124" s="6" t="s">
        <v>23</v>
      </c>
      <c r="M124" s="6" t="s">
        <v>23</v>
      </c>
      <c r="N124" s="6" t="s">
        <v>23</v>
      </c>
      <c r="O124" s="6" t="s">
        <v>23</v>
      </c>
      <c r="P124" s="6" t="s">
        <v>23</v>
      </c>
      <c r="Q124" s="6" t="s">
        <v>49</v>
      </c>
      <c r="R124" s="6" t="s">
        <v>41</v>
      </c>
      <c r="S124" s="6" t="s">
        <v>80</v>
      </c>
      <c r="T124" s="6" t="s">
        <v>23</v>
      </c>
      <c r="U124" s="7" t="s">
        <v>23</v>
      </c>
    </row>
    <row r="125" spans="1:21" x14ac:dyDescent="0.35">
      <c r="A125" s="8" t="s">
        <v>96</v>
      </c>
      <c r="B125" s="9">
        <v>95123001771</v>
      </c>
      <c r="C125" s="9" t="s">
        <v>23</v>
      </c>
      <c r="D125" s="9" t="s">
        <v>23</v>
      </c>
      <c r="E125" s="9" t="s">
        <v>23</v>
      </c>
      <c r="F125" s="9" t="s">
        <v>23</v>
      </c>
      <c r="G125" s="9" t="s">
        <v>23</v>
      </c>
      <c r="H125" s="9" t="s">
        <v>23</v>
      </c>
      <c r="I125" s="9" t="s">
        <v>40</v>
      </c>
      <c r="J125" s="9" t="s">
        <v>55</v>
      </c>
      <c r="K125" s="9" t="s">
        <v>23</v>
      </c>
      <c r="L125" s="9" t="s">
        <v>23</v>
      </c>
      <c r="M125" s="9" t="s">
        <v>23</v>
      </c>
      <c r="N125" s="9" t="s">
        <v>23</v>
      </c>
      <c r="O125" s="9" t="s">
        <v>23</v>
      </c>
      <c r="P125" s="9" t="s">
        <v>23</v>
      </c>
      <c r="Q125" s="9" t="s">
        <v>74</v>
      </c>
      <c r="R125" s="9" t="s">
        <v>67</v>
      </c>
      <c r="S125" s="9" t="s">
        <v>30</v>
      </c>
      <c r="T125" s="9" t="s">
        <v>23</v>
      </c>
      <c r="U125" s="10" t="s">
        <v>23</v>
      </c>
    </row>
    <row r="126" spans="1:21" x14ac:dyDescent="0.35">
      <c r="A126" s="5" t="s">
        <v>96</v>
      </c>
      <c r="B126" s="6">
        <v>96011200502</v>
      </c>
      <c r="C126" s="6" t="s">
        <v>23</v>
      </c>
      <c r="D126" s="6" t="s">
        <v>23</v>
      </c>
      <c r="E126" s="6" t="s">
        <v>52</v>
      </c>
      <c r="F126" s="6" t="s">
        <v>23</v>
      </c>
      <c r="G126" s="6" t="s">
        <v>23</v>
      </c>
      <c r="H126" s="6" t="s">
        <v>23</v>
      </c>
      <c r="I126" s="6" t="s">
        <v>49</v>
      </c>
      <c r="J126" s="6" t="s">
        <v>56</v>
      </c>
      <c r="K126" s="6" t="s">
        <v>23</v>
      </c>
      <c r="L126" s="6" t="s">
        <v>23</v>
      </c>
      <c r="M126" s="6" t="s">
        <v>23</v>
      </c>
      <c r="N126" s="6" t="s">
        <v>23</v>
      </c>
      <c r="O126" s="6" t="s">
        <v>23</v>
      </c>
      <c r="P126" s="6" t="s">
        <v>23</v>
      </c>
      <c r="Q126" s="6" t="s">
        <v>40</v>
      </c>
      <c r="R126" s="6" t="s">
        <v>70</v>
      </c>
      <c r="S126" s="6" t="s">
        <v>64</v>
      </c>
      <c r="T126" s="6" t="s">
        <v>23</v>
      </c>
      <c r="U126" s="7" t="s">
        <v>23</v>
      </c>
    </row>
    <row r="127" spans="1:21" x14ac:dyDescent="0.35">
      <c r="A127" s="8" t="s">
        <v>100</v>
      </c>
      <c r="B127" s="9">
        <v>94011110436</v>
      </c>
      <c r="C127" s="9" t="s">
        <v>23</v>
      </c>
      <c r="D127" s="9" t="s">
        <v>23</v>
      </c>
      <c r="E127" s="9" t="s">
        <v>23</v>
      </c>
      <c r="F127" s="9" t="s">
        <v>23</v>
      </c>
      <c r="G127" s="9" t="s">
        <v>23</v>
      </c>
      <c r="H127" s="9" t="s">
        <v>23</v>
      </c>
      <c r="I127" s="9" t="s">
        <v>48</v>
      </c>
      <c r="J127" s="9" t="s">
        <v>23</v>
      </c>
      <c r="K127" s="9" t="s">
        <v>23</v>
      </c>
      <c r="L127" s="9" t="s">
        <v>23</v>
      </c>
      <c r="M127" s="9" t="s">
        <v>86</v>
      </c>
      <c r="N127" s="9" t="s">
        <v>30</v>
      </c>
      <c r="O127" s="9" t="s">
        <v>23</v>
      </c>
      <c r="P127" s="9" t="s">
        <v>23</v>
      </c>
      <c r="Q127" s="9" t="s">
        <v>34</v>
      </c>
      <c r="R127" s="9" t="s">
        <v>23</v>
      </c>
      <c r="S127" s="9" t="s">
        <v>83</v>
      </c>
      <c r="T127" s="9" t="s">
        <v>45</v>
      </c>
      <c r="U127" s="10" t="s">
        <v>23</v>
      </c>
    </row>
    <row r="128" spans="1:21" x14ac:dyDescent="0.35">
      <c r="A128" s="5" t="s">
        <v>100</v>
      </c>
      <c r="B128" s="6">
        <v>94013113642</v>
      </c>
      <c r="C128" s="6" t="s">
        <v>23</v>
      </c>
      <c r="D128" s="6" t="s">
        <v>23</v>
      </c>
      <c r="E128" s="6" t="s">
        <v>23</v>
      </c>
      <c r="F128" s="6" t="s">
        <v>23</v>
      </c>
      <c r="G128" s="6" t="s">
        <v>23</v>
      </c>
      <c r="H128" s="6" t="s">
        <v>23</v>
      </c>
      <c r="I128" s="6" t="s">
        <v>48</v>
      </c>
      <c r="J128" s="6" t="s">
        <v>23</v>
      </c>
      <c r="K128" s="6" t="s">
        <v>23</v>
      </c>
      <c r="L128" s="6" t="s">
        <v>23</v>
      </c>
      <c r="M128" s="6" t="s">
        <v>65</v>
      </c>
      <c r="N128" s="6" t="s">
        <v>37</v>
      </c>
      <c r="O128" s="6" t="s">
        <v>23</v>
      </c>
      <c r="P128" s="6" t="s">
        <v>23</v>
      </c>
      <c r="Q128" s="6" t="s">
        <v>41</v>
      </c>
      <c r="R128" s="6" t="s">
        <v>23</v>
      </c>
      <c r="S128" s="6" t="s">
        <v>83</v>
      </c>
      <c r="T128" s="6" t="s">
        <v>34</v>
      </c>
      <c r="U128" s="7" t="s">
        <v>23</v>
      </c>
    </row>
    <row r="129" spans="1:21" x14ac:dyDescent="0.35">
      <c r="A129" s="8" t="s">
        <v>100</v>
      </c>
      <c r="B129" s="9">
        <v>94020211283</v>
      </c>
      <c r="C129" s="9" t="s">
        <v>23</v>
      </c>
      <c r="D129" s="9" t="s">
        <v>23</v>
      </c>
      <c r="E129" s="9" t="s">
        <v>23</v>
      </c>
      <c r="F129" s="9" t="s">
        <v>23</v>
      </c>
      <c r="G129" s="9" t="s">
        <v>23</v>
      </c>
      <c r="H129" s="9" t="s">
        <v>23</v>
      </c>
      <c r="I129" s="9" t="s">
        <v>26</v>
      </c>
      <c r="J129" s="9" t="s">
        <v>23</v>
      </c>
      <c r="K129" s="9" t="s">
        <v>23</v>
      </c>
      <c r="L129" s="9" t="s">
        <v>23</v>
      </c>
      <c r="M129" s="9" t="s">
        <v>38</v>
      </c>
      <c r="N129" s="9" t="s">
        <v>45</v>
      </c>
      <c r="O129" s="9" t="s">
        <v>23</v>
      </c>
      <c r="P129" s="9" t="s">
        <v>23</v>
      </c>
      <c r="Q129" s="9" t="s">
        <v>72</v>
      </c>
      <c r="R129" s="9" t="s">
        <v>23</v>
      </c>
      <c r="S129" s="9" t="s">
        <v>80</v>
      </c>
      <c r="T129" s="9" t="s">
        <v>34</v>
      </c>
      <c r="U129" s="10" t="s">
        <v>23</v>
      </c>
    </row>
    <row r="130" spans="1:21" x14ac:dyDescent="0.35">
      <c r="A130" s="5" t="s">
        <v>100</v>
      </c>
      <c r="B130" s="6">
        <v>94021306625</v>
      </c>
      <c r="C130" s="6" t="s">
        <v>23</v>
      </c>
      <c r="D130" s="6" t="s">
        <v>23</v>
      </c>
      <c r="E130" s="6" t="s">
        <v>23</v>
      </c>
      <c r="F130" s="6" t="s">
        <v>23</v>
      </c>
      <c r="G130" s="6" t="s">
        <v>23</v>
      </c>
      <c r="H130" s="6" t="s">
        <v>23</v>
      </c>
      <c r="I130" s="6" t="s">
        <v>38</v>
      </c>
      <c r="J130" s="6" t="s">
        <v>23</v>
      </c>
      <c r="K130" s="6" t="s">
        <v>23</v>
      </c>
      <c r="L130" s="6" t="s">
        <v>23</v>
      </c>
      <c r="M130" s="6" t="s">
        <v>55</v>
      </c>
      <c r="N130" s="6" t="s">
        <v>41</v>
      </c>
      <c r="O130" s="6" t="s">
        <v>23</v>
      </c>
      <c r="P130" s="6" t="s">
        <v>23</v>
      </c>
      <c r="Q130" s="6" t="s">
        <v>34</v>
      </c>
      <c r="R130" s="6" t="s">
        <v>23</v>
      </c>
      <c r="S130" s="6" t="s">
        <v>61</v>
      </c>
      <c r="T130" s="6" t="s">
        <v>26</v>
      </c>
      <c r="U130" s="7" t="s">
        <v>23</v>
      </c>
    </row>
    <row r="131" spans="1:21" x14ac:dyDescent="0.35">
      <c r="A131" s="8" t="s">
        <v>100</v>
      </c>
      <c r="B131" s="9">
        <v>94030804224</v>
      </c>
      <c r="C131" s="9" t="s">
        <v>23</v>
      </c>
      <c r="D131" s="9" t="s">
        <v>23</v>
      </c>
      <c r="E131" s="9" t="s">
        <v>23</v>
      </c>
      <c r="F131" s="9" t="s">
        <v>53</v>
      </c>
      <c r="G131" s="9" t="s">
        <v>23</v>
      </c>
      <c r="H131" s="9" t="s">
        <v>23</v>
      </c>
      <c r="I131" s="9" t="s">
        <v>23</v>
      </c>
      <c r="J131" s="9" t="s">
        <v>62</v>
      </c>
      <c r="K131" s="9" t="s">
        <v>23</v>
      </c>
      <c r="L131" s="9" t="s">
        <v>23</v>
      </c>
      <c r="M131" s="9" t="s">
        <v>24</v>
      </c>
      <c r="N131" s="9" t="s">
        <v>23</v>
      </c>
      <c r="O131" s="9" t="s">
        <v>23</v>
      </c>
      <c r="P131" s="9" t="s">
        <v>23</v>
      </c>
      <c r="Q131" s="9" t="s">
        <v>74</v>
      </c>
      <c r="R131" s="9" t="s">
        <v>23</v>
      </c>
      <c r="S131" s="9" t="s">
        <v>30</v>
      </c>
      <c r="T131" s="9" t="s">
        <v>26</v>
      </c>
      <c r="U131" s="10" t="s">
        <v>23</v>
      </c>
    </row>
    <row r="132" spans="1:21" x14ac:dyDescent="0.35">
      <c r="A132" s="5" t="s">
        <v>100</v>
      </c>
      <c r="B132" s="6">
        <v>94031410644</v>
      </c>
      <c r="C132" s="6" t="s">
        <v>23</v>
      </c>
      <c r="D132" s="6" t="s">
        <v>23</v>
      </c>
      <c r="E132" s="6" t="s">
        <v>23</v>
      </c>
      <c r="F132" s="6" t="s">
        <v>23</v>
      </c>
      <c r="G132" s="6" t="s">
        <v>23</v>
      </c>
      <c r="H132" s="6" t="s">
        <v>23</v>
      </c>
      <c r="I132" s="6" t="s">
        <v>48</v>
      </c>
      <c r="J132" s="6" t="s">
        <v>23</v>
      </c>
      <c r="K132" s="6" t="s">
        <v>23</v>
      </c>
      <c r="L132" s="6" t="s">
        <v>23</v>
      </c>
      <c r="M132" s="6" t="s">
        <v>23</v>
      </c>
      <c r="N132" s="6" t="s">
        <v>69</v>
      </c>
      <c r="O132" s="6" t="s">
        <v>23</v>
      </c>
      <c r="P132" s="6" t="s">
        <v>23</v>
      </c>
      <c r="Q132" s="6" t="s">
        <v>51</v>
      </c>
      <c r="R132" s="6" t="s">
        <v>23</v>
      </c>
      <c r="S132" s="6" t="s">
        <v>37</v>
      </c>
      <c r="T132" s="6" t="s">
        <v>65</v>
      </c>
      <c r="U132" s="7" t="s">
        <v>23</v>
      </c>
    </row>
    <row r="133" spans="1:21" x14ac:dyDescent="0.35">
      <c r="A133" s="8" t="s">
        <v>100</v>
      </c>
      <c r="B133" s="9">
        <v>94040607118</v>
      </c>
      <c r="C133" s="9" t="s">
        <v>23</v>
      </c>
      <c r="D133" s="9" t="s">
        <v>23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49</v>
      </c>
      <c r="J133" s="9" t="s">
        <v>63</v>
      </c>
      <c r="K133" s="9" t="s">
        <v>23</v>
      </c>
      <c r="L133" s="9" t="s">
        <v>23</v>
      </c>
      <c r="M133" s="9" t="s">
        <v>23</v>
      </c>
      <c r="N133" s="9" t="s">
        <v>63</v>
      </c>
      <c r="O133" s="9" t="s">
        <v>23</v>
      </c>
      <c r="P133" s="9" t="s">
        <v>23</v>
      </c>
      <c r="Q133" s="9" t="s">
        <v>70</v>
      </c>
      <c r="R133" s="9" t="s">
        <v>23</v>
      </c>
      <c r="S133" s="9" t="s">
        <v>51</v>
      </c>
      <c r="T133" s="9" t="s">
        <v>82</v>
      </c>
      <c r="U133" s="10" t="s">
        <v>23</v>
      </c>
    </row>
    <row r="134" spans="1:21" x14ac:dyDescent="0.35">
      <c r="A134" s="5" t="s">
        <v>100</v>
      </c>
      <c r="B134" s="6">
        <v>94042912726</v>
      </c>
      <c r="C134" s="6" t="s">
        <v>23</v>
      </c>
      <c r="D134" s="6" t="s">
        <v>23</v>
      </c>
      <c r="E134" s="6" t="s">
        <v>23</v>
      </c>
      <c r="F134" s="6" t="s">
        <v>84</v>
      </c>
      <c r="G134" s="6" t="s">
        <v>23</v>
      </c>
      <c r="H134" s="6" t="s">
        <v>23</v>
      </c>
      <c r="I134" s="6" t="s">
        <v>43</v>
      </c>
      <c r="J134" s="6" t="s">
        <v>83</v>
      </c>
      <c r="K134" s="6" t="s">
        <v>23</v>
      </c>
      <c r="L134" s="6" t="s">
        <v>23</v>
      </c>
      <c r="M134" s="6" t="s">
        <v>23</v>
      </c>
      <c r="N134" s="6" t="s">
        <v>71</v>
      </c>
      <c r="O134" s="6" t="s">
        <v>23</v>
      </c>
      <c r="P134" s="6" t="s">
        <v>23</v>
      </c>
      <c r="Q134" s="6" t="s">
        <v>31</v>
      </c>
      <c r="R134" s="6" t="s">
        <v>23</v>
      </c>
      <c r="S134" s="6" t="s">
        <v>67</v>
      </c>
      <c r="T134" s="6" t="s">
        <v>36</v>
      </c>
      <c r="U134" s="7" t="s">
        <v>23</v>
      </c>
    </row>
    <row r="135" spans="1:21" x14ac:dyDescent="0.35">
      <c r="A135" s="8" t="s">
        <v>100</v>
      </c>
      <c r="B135" s="9">
        <v>94060604247</v>
      </c>
      <c r="C135" s="9" t="s">
        <v>42</v>
      </c>
      <c r="D135" s="9" t="s">
        <v>87</v>
      </c>
      <c r="E135" s="9" t="s">
        <v>23</v>
      </c>
      <c r="F135" s="9" t="s">
        <v>23</v>
      </c>
      <c r="G135" s="9" t="s">
        <v>23</v>
      </c>
      <c r="H135" s="9" t="s">
        <v>23</v>
      </c>
      <c r="I135" s="9" t="s">
        <v>86</v>
      </c>
      <c r="J135" s="9" t="s">
        <v>23</v>
      </c>
      <c r="K135" s="9" t="s">
        <v>23</v>
      </c>
      <c r="L135" s="9" t="s">
        <v>23</v>
      </c>
      <c r="M135" s="9" t="s">
        <v>35</v>
      </c>
      <c r="N135" s="9" t="s">
        <v>22</v>
      </c>
      <c r="O135" s="9" t="s">
        <v>23</v>
      </c>
      <c r="P135" s="9" t="s">
        <v>23</v>
      </c>
      <c r="Q135" s="9" t="s">
        <v>31</v>
      </c>
      <c r="R135" s="9" t="s">
        <v>23</v>
      </c>
      <c r="S135" s="9" t="s">
        <v>28</v>
      </c>
      <c r="T135" s="9" t="s">
        <v>23</v>
      </c>
      <c r="U135" s="10" t="s">
        <v>23</v>
      </c>
    </row>
    <row r="136" spans="1:21" x14ac:dyDescent="0.35">
      <c r="A136" s="5" t="s">
        <v>100</v>
      </c>
      <c r="B136" s="6">
        <v>94062703166</v>
      </c>
      <c r="C136" s="6" t="s">
        <v>23</v>
      </c>
      <c r="D136" s="6" t="s">
        <v>23</v>
      </c>
      <c r="E136" s="6" t="s">
        <v>23</v>
      </c>
      <c r="F136" s="6" t="s">
        <v>72</v>
      </c>
      <c r="G136" s="6" t="s">
        <v>23</v>
      </c>
      <c r="H136" s="6" t="s">
        <v>23</v>
      </c>
      <c r="I136" s="6" t="s">
        <v>35</v>
      </c>
      <c r="J136" s="6" t="s">
        <v>23</v>
      </c>
      <c r="K136" s="6" t="s">
        <v>23</v>
      </c>
      <c r="L136" s="6" t="s">
        <v>23</v>
      </c>
      <c r="M136" s="6" t="s">
        <v>55</v>
      </c>
      <c r="N136" s="6" t="s">
        <v>75</v>
      </c>
      <c r="O136" s="6" t="s">
        <v>23</v>
      </c>
      <c r="P136" s="6" t="s">
        <v>23</v>
      </c>
      <c r="Q136" s="6" t="s">
        <v>67</v>
      </c>
      <c r="R136" s="6" t="s">
        <v>23</v>
      </c>
      <c r="S136" s="6" t="s">
        <v>36</v>
      </c>
      <c r="T136" s="6" t="s">
        <v>23</v>
      </c>
      <c r="U136" s="7" t="s">
        <v>23</v>
      </c>
    </row>
    <row r="137" spans="1:21" x14ac:dyDescent="0.35">
      <c r="A137" s="8" t="s">
        <v>100</v>
      </c>
      <c r="B137" s="9">
        <v>94063002080</v>
      </c>
      <c r="C137" s="9" t="s">
        <v>23</v>
      </c>
      <c r="D137" s="9" t="s">
        <v>23</v>
      </c>
      <c r="E137" s="9" t="s">
        <v>23</v>
      </c>
      <c r="F137" s="9" t="s">
        <v>74</v>
      </c>
      <c r="G137" s="9" t="s">
        <v>23</v>
      </c>
      <c r="H137" s="9" t="s">
        <v>23</v>
      </c>
      <c r="I137" s="9" t="s">
        <v>24</v>
      </c>
      <c r="J137" s="9" t="s">
        <v>23</v>
      </c>
      <c r="K137" s="9" t="s">
        <v>23</v>
      </c>
      <c r="L137" s="9" t="s">
        <v>23</v>
      </c>
      <c r="M137" s="9" t="s">
        <v>24</v>
      </c>
      <c r="N137" s="9" t="s">
        <v>23</v>
      </c>
      <c r="O137" s="9" t="s">
        <v>23</v>
      </c>
      <c r="P137" s="9" t="s">
        <v>23</v>
      </c>
      <c r="Q137" s="9" t="s">
        <v>24</v>
      </c>
      <c r="R137" s="9" t="s">
        <v>76</v>
      </c>
      <c r="S137" s="9" t="s">
        <v>30</v>
      </c>
      <c r="T137" s="9" t="s">
        <v>53</v>
      </c>
      <c r="U137" s="10" t="s">
        <v>23</v>
      </c>
    </row>
    <row r="138" spans="1:21" x14ac:dyDescent="0.35">
      <c r="A138" s="5" t="s">
        <v>100</v>
      </c>
      <c r="B138" s="6">
        <v>94081102166</v>
      </c>
      <c r="C138" s="6" t="s">
        <v>23</v>
      </c>
      <c r="D138" s="6" t="s">
        <v>23</v>
      </c>
      <c r="E138" s="6" t="s">
        <v>23</v>
      </c>
      <c r="F138" s="6" t="s">
        <v>23</v>
      </c>
      <c r="G138" s="6" t="s">
        <v>23</v>
      </c>
      <c r="H138" s="6" t="s">
        <v>23</v>
      </c>
      <c r="I138" s="6" t="s">
        <v>48</v>
      </c>
      <c r="J138" s="6" t="s">
        <v>23</v>
      </c>
      <c r="K138" s="6" t="s">
        <v>23</v>
      </c>
      <c r="L138" s="6" t="s">
        <v>23</v>
      </c>
      <c r="M138" s="6" t="s">
        <v>23</v>
      </c>
      <c r="N138" s="6" t="s">
        <v>63</v>
      </c>
      <c r="O138" s="6" t="s">
        <v>23</v>
      </c>
      <c r="P138" s="6" t="s">
        <v>23</v>
      </c>
      <c r="Q138" s="6" t="s">
        <v>31</v>
      </c>
      <c r="R138" s="6" t="s">
        <v>23</v>
      </c>
      <c r="S138" s="6" t="s">
        <v>80</v>
      </c>
      <c r="T138" s="6" t="s">
        <v>65</v>
      </c>
      <c r="U138" s="7" t="s">
        <v>23</v>
      </c>
    </row>
    <row r="139" spans="1:21" x14ac:dyDescent="0.35">
      <c r="A139" s="8" t="s">
        <v>100</v>
      </c>
      <c r="B139" s="9">
        <v>94082703588</v>
      </c>
      <c r="C139" s="9" t="s">
        <v>23</v>
      </c>
      <c r="D139" s="9" t="s">
        <v>23</v>
      </c>
      <c r="E139" s="9" t="s">
        <v>23</v>
      </c>
      <c r="F139" s="9" t="s">
        <v>23</v>
      </c>
      <c r="G139" s="9" t="s">
        <v>76</v>
      </c>
      <c r="H139" s="9" t="s">
        <v>23</v>
      </c>
      <c r="I139" s="9" t="s">
        <v>49</v>
      </c>
      <c r="J139" s="9" t="s">
        <v>54</v>
      </c>
      <c r="K139" s="9" t="s">
        <v>23</v>
      </c>
      <c r="L139" s="9" t="s">
        <v>23</v>
      </c>
      <c r="M139" s="9" t="s">
        <v>23</v>
      </c>
      <c r="N139" s="9" t="s">
        <v>65</v>
      </c>
      <c r="O139" s="9" t="s">
        <v>23</v>
      </c>
      <c r="P139" s="9" t="s">
        <v>23</v>
      </c>
      <c r="Q139" s="9" t="s">
        <v>39</v>
      </c>
      <c r="R139" s="9" t="s">
        <v>23</v>
      </c>
      <c r="S139" s="9" t="s">
        <v>38</v>
      </c>
      <c r="T139" s="9" t="s">
        <v>24</v>
      </c>
      <c r="U139" s="10" t="s">
        <v>23</v>
      </c>
    </row>
    <row r="140" spans="1:21" x14ac:dyDescent="0.35">
      <c r="A140" s="5" t="s">
        <v>100</v>
      </c>
      <c r="B140" s="6">
        <v>94082901146</v>
      </c>
      <c r="C140" s="6" t="s">
        <v>23</v>
      </c>
      <c r="D140" s="6" t="s">
        <v>23</v>
      </c>
      <c r="E140" s="6" t="s">
        <v>23</v>
      </c>
      <c r="F140" s="6" t="s">
        <v>46</v>
      </c>
      <c r="G140" s="6" t="s">
        <v>23</v>
      </c>
      <c r="H140" s="6" t="s">
        <v>23</v>
      </c>
      <c r="I140" s="6" t="s">
        <v>66</v>
      </c>
      <c r="J140" s="6" t="s">
        <v>65</v>
      </c>
      <c r="K140" s="6" t="s">
        <v>23</v>
      </c>
      <c r="L140" s="6" t="s">
        <v>23</v>
      </c>
      <c r="M140" s="6" t="s">
        <v>24</v>
      </c>
      <c r="N140" s="6" t="s">
        <v>23</v>
      </c>
      <c r="O140" s="6" t="s">
        <v>23</v>
      </c>
      <c r="P140" s="6" t="s">
        <v>23</v>
      </c>
      <c r="Q140" s="6" t="s">
        <v>39</v>
      </c>
      <c r="R140" s="6" t="s">
        <v>73</v>
      </c>
      <c r="S140" s="6" t="s">
        <v>63</v>
      </c>
      <c r="T140" s="6" t="s">
        <v>27</v>
      </c>
      <c r="U140" s="7" t="s">
        <v>23</v>
      </c>
    </row>
    <row r="141" spans="1:21" x14ac:dyDescent="0.35">
      <c r="A141" s="8" t="s">
        <v>100</v>
      </c>
      <c r="B141" s="9">
        <v>94082905447</v>
      </c>
      <c r="C141" s="9" t="s">
        <v>23</v>
      </c>
      <c r="D141" s="9" t="s">
        <v>23</v>
      </c>
      <c r="E141" s="9" t="s">
        <v>23</v>
      </c>
      <c r="F141" s="9" t="s">
        <v>23</v>
      </c>
      <c r="G141" s="9" t="s">
        <v>23</v>
      </c>
      <c r="H141" s="9" t="s">
        <v>23</v>
      </c>
      <c r="I141" s="9" t="s">
        <v>48</v>
      </c>
      <c r="J141" s="9" t="s">
        <v>23</v>
      </c>
      <c r="K141" s="9" t="s">
        <v>23</v>
      </c>
      <c r="L141" s="9" t="s">
        <v>23</v>
      </c>
      <c r="M141" s="9" t="s">
        <v>40</v>
      </c>
      <c r="N141" s="9" t="s">
        <v>48</v>
      </c>
      <c r="O141" s="9" t="s">
        <v>23</v>
      </c>
      <c r="P141" s="9" t="s">
        <v>23</v>
      </c>
      <c r="Q141" s="9" t="s">
        <v>79</v>
      </c>
      <c r="R141" s="9" t="s">
        <v>23</v>
      </c>
      <c r="S141" s="9" t="s">
        <v>83</v>
      </c>
      <c r="T141" s="9" t="s">
        <v>23</v>
      </c>
      <c r="U141" s="10" t="s">
        <v>23</v>
      </c>
    </row>
    <row r="142" spans="1:21" x14ac:dyDescent="0.35">
      <c r="A142" s="5" t="s">
        <v>100</v>
      </c>
      <c r="B142" s="6">
        <v>94083000868</v>
      </c>
      <c r="C142" s="6" t="s">
        <v>23</v>
      </c>
      <c r="D142" s="6" t="s">
        <v>23</v>
      </c>
      <c r="E142" s="6" t="s">
        <v>23</v>
      </c>
      <c r="F142" s="6" t="s">
        <v>23</v>
      </c>
      <c r="G142" s="6" t="s">
        <v>90</v>
      </c>
      <c r="H142" s="6" t="s">
        <v>23</v>
      </c>
      <c r="I142" s="6" t="s">
        <v>24</v>
      </c>
      <c r="J142" s="6" t="s">
        <v>75</v>
      </c>
      <c r="K142" s="6" t="s">
        <v>23</v>
      </c>
      <c r="L142" s="6" t="s">
        <v>23</v>
      </c>
      <c r="M142" s="6" t="s">
        <v>23</v>
      </c>
      <c r="N142" s="6" t="s">
        <v>37</v>
      </c>
      <c r="O142" s="6" t="s">
        <v>23</v>
      </c>
      <c r="P142" s="6" t="s">
        <v>23</v>
      </c>
      <c r="Q142" s="6" t="s">
        <v>32</v>
      </c>
      <c r="R142" s="6" t="s">
        <v>23</v>
      </c>
      <c r="S142" s="6" t="s">
        <v>61</v>
      </c>
      <c r="T142" s="6" t="s">
        <v>34</v>
      </c>
      <c r="U142" s="7" t="s">
        <v>101</v>
      </c>
    </row>
    <row r="143" spans="1:21" x14ac:dyDescent="0.35">
      <c r="A143" s="8" t="s">
        <v>100</v>
      </c>
      <c r="B143" s="9">
        <v>94090909307</v>
      </c>
      <c r="C143" s="9" t="s">
        <v>23</v>
      </c>
      <c r="D143" s="9" t="s">
        <v>23</v>
      </c>
      <c r="E143" s="9" t="s">
        <v>23</v>
      </c>
      <c r="F143" s="9" t="s">
        <v>23</v>
      </c>
      <c r="G143" s="9" t="s">
        <v>71</v>
      </c>
      <c r="H143" s="9" t="s">
        <v>23</v>
      </c>
      <c r="I143" s="9" t="s">
        <v>40</v>
      </c>
      <c r="J143" s="9" t="s">
        <v>61</v>
      </c>
      <c r="K143" s="9" t="s">
        <v>23</v>
      </c>
      <c r="L143" s="9" t="s">
        <v>23</v>
      </c>
      <c r="M143" s="9" t="s">
        <v>23</v>
      </c>
      <c r="N143" s="9" t="s">
        <v>52</v>
      </c>
      <c r="O143" s="9" t="s">
        <v>23</v>
      </c>
      <c r="P143" s="9" t="s">
        <v>23</v>
      </c>
      <c r="Q143" s="9" t="s">
        <v>70</v>
      </c>
      <c r="R143" s="9" t="s">
        <v>23</v>
      </c>
      <c r="S143" s="9" t="s">
        <v>63</v>
      </c>
      <c r="T143" s="9" t="s">
        <v>46</v>
      </c>
      <c r="U143" s="10" t="s">
        <v>78</v>
      </c>
    </row>
    <row r="144" spans="1:21" x14ac:dyDescent="0.35">
      <c r="A144" s="5" t="s">
        <v>100</v>
      </c>
      <c r="B144" s="6">
        <v>94091301085</v>
      </c>
      <c r="C144" s="6" t="s">
        <v>23</v>
      </c>
      <c r="D144" s="6" t="s">
        <v>23</v>
      </c>
      <c r="E144" s="6" t="s">
        <v>23</v>
      </c>
      <c r="F144" s="6" t="s">
        <v>23</v>
      </c>
      <c r="G144" s="6" t="s">
        <v>23</v>
      </c>
      <c r="H144" s="6" t="s">
        <v>23</v>
      </c>
      <c r="I144" s="6" t="s">
        <v>48</v>
      </c>
      <c r="J144" s="6" t="s">
        <v>94</v>
      </c>
      <c r="K144" s="6" t="s">
        <v>23</v>
      </c>
      <c r="L144" s="6" t="s">
        <v>23</v>
      </c>
      <c r="M144" s="6" t="s">
        <v>23</v>
      </c>
      <c r="N144" s="6" t="s">
        <v>33</v>
      </c>
      <c r="O144" s="6" t="s">
        <v>23</v>
      </c>
      <c r="P144" s="6" t="s">
        <v>23</v>
      </c>
      <c r="Q144" s="6" t="s">
        <v>32</v>
      </c>
      <c r="R144" s="6" t="s">
        <v>23</v>
      </c>
      <c r="S144" s="6" t="s">
        <v>98</v>
      </c>
      <c r="T144" s="6" t="s">
        <v>68</v>
      </c>
      <c r="U144" s="7" t="s">
        <v>23</v>
      </c>
    </row>
    <row r="145" spans="1:21" x14ac:dyDescent="0.35">
      <c r="A145" s="8" t="s">
        <v>100</v>
      </c>
      <c r="B145" s="9">
        <v>94092207960</v>
      </c>
      <c r="C145" s="9" t="s">
        <v>23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 t="s">
        <v>60</v>
      </c>
      <c r="K145" s="9" t="s">
        <v>23</v>
      </c>
      <c r="L145" s="9" t="s">
        <v>23</v>
      </c>
      <c r="M145" s="9" t="s">
        <v>48</v>
      </c>
      <c r="N145" s="9" t="s">
        <v>23</v>
      </c>
      <c r="O145" s="9" t="s">
        <v>23</v>
      </c>
      <c r="P145" s="9" t="s">
        <v>23</v>
      </c>
      <c r="Q145" s="9" t="s">
        <v>31</v>
      </c>
      <c r="R145" s="9" t="s">
        <v>23</v>
      </c>
      <c r="S145" s="9" t="s">
        <v>57</v>
      </c>
      <c r="T145" s="9" t="s">
        <v>75</v>
      </c>
      <c r="U145" s="10" t="s">
        <v>23</v>
      </c>
    </row>
    <row r="146" spans="1:21" x14ac:dyDescent="0.35">
      <c r="A146" s="5" t="s">
        <v>100</v>
      </c>
      <c r="B146" s="6">
        <v>94100706007</v>
      </c>
      <c r="C146" s="6" t="s">
        <v>23</v>
      </c>
      <c r="D146" s="6" t="s">
        <v>23</v>
      </c>
      <c r="E146" s="6" t="s">
        <v>23</v>
      </c>
      <c r="F146" s="6" t="s">
        <v>23</v>
      </c>
      <c r="G146" s="6" t="s">
        <v>23</v>
      </c>
      <c r="H146" s="6" t="s">
        <v>23</v>
      </c>
      <c r="I146" s="6" t="s">
        <v>23</v>
      </c>
      <c r="J146" s="6" t="s">
        <v>51</v>
      </c>
      <c r="K146" s="6" t="s">
        <v>23</v>
      </c>
      <c r="L146" s="6" t="s">
        <v>23</v>
      </c>
      <c r="M146" s="6" t="s">
        <v>40</v>
      </c>
      <c r="N146" s="6" t="s">
        <v>23</v>
      </c>
      <c r="O146" s="6" t="s">
        <v>23</v>
      </c>
      <c r="P146" s="6" t="s">
        <v>23</v>
      </c>
      <c r="Q146" s="6" t="s">
        <v>76</v>
      </c>
      <c r="R146" s="6" t="s">
        <v>23</v>
      </c>
      <c r="S146" s="6" t="s">
        <v>31</v>
      </c>
      <c r="T146" s="6" t="s">
        <v>23</v>
      </c>
      <c r="U146" s="7" t="s">
        <v>23</v>
      </c>
    </row>
    <row r="147" spans="1:21" x14ac:dyDescent="0.35">
      <c r="A147" s="8" t="s">
        <v>100</v>
      </c>
      <c r="B147" s="9">
        <v>94102604723</v>
      </c>
      <c r="C147" s="9" t="s">
        <v>23</v>
      </c>
      <c r="D147" s="9" t="s">
        <v>23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  <c r="L147" s="9" t="s">
        <v>30</v>
      </c>
      <c r="M147" s="9" t="s">
        <v>40</v>
      </c>
      <c r="N147" s="9" t="s">
        <v>74</v>
      </c>
      <c r="O147" s="9" t="s">
        <v>23</v>
      </c>
      <c r="P147" s="9" t="s">
        <v>23</v>
      </c>
      <c r="Q147" s="9" t="s">
        <v>41</v>
      </c>
      <c r="R147" s="9" t="s">
        <v>23</v>
      </c>
      <c r="S147" s="9" t="s">
        <v>72</v>
      </c>
      <c r="T147" s="9" t="s">
        <v>33</v>
      </c>
      <c r="U147" s="10" t="s">
        <v>23</v>
      </c>
    </row>
    <row r="148" spans="1:21" x14ac:dyDescent="0.35">
      <c r="A148" s="5" t="s">
        <v>100</v>
      </c>
      <c r="B148" s="6">
        <v>94103100907</v>
      </c>
      <c r="C148" s="6" t="s">
        <v>102</v>
      </c>
      <c r="D148" s="6" t="s">
        <v>103</v>
      </c>
      <c r="E148" s="6" t="s">
        <v>23</v>
      </c>
      <c r="F148" s="6" t="s">
        <v>23</v>
      </c>
      <c r="G148" s="6" t="s">
        <v>23</v>
      </c>
      <c r="H148" s="6" t="s">
        <v>23</v>
      </c>
      <c r="I148" s="6" t="s">
        <v>33</v>
      </c>
      <c r="J148" s="6" t="s">
        <v>23</v>
      </c>
      <c r="K148" s="6" t="s">
        <v>23</v>
      </c>
      <c r="L148" s="6" t="s">
        <v>23</v>
      </c>
      <c r="M148" s="6" t="s">
        <v>34</v>
      </c>
      <c r="N148" s="6" t="s">
        <v>23</v>
      </c>
      <c r="O148" s="6" t="s">
        <v>23</v>
      </c>
      <c r="P148" s="6" t="s">
        <v>23</v>
      </c>
      <c r="Q148" s="6" t="s">
        <v>34</v>
      </c>
      <c r="R148" s="6" t="s">
        <v>23</v>
      </c>
      <c r="S148" s="6" t="s">
        <v>59</v>
      </c>
      <c r="T148" s="6" t="s">
        <v>23</v>
      </c>
      <c r="U148" s="7" t="s">
        <v>23</v>
      </c>
    </row>
    <row r="149" spans="1:21" x14ac:dyDescent="0.35">
      <c r="A149" s="8" t="s">
        <v>100</v>
      </c>
      <c r="B149" s="9">
        <v>94110205866</v>
      </c>
      <c r="C149" s="9" t="s">
        <v>23</v>
      </c>
      <c r="D149" s="9" t="s">
        <v>23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 t="s">
        <v>39</v>
      </c>
      <c r="K149" s="9" t="s">
        <v>23</v>
      </c>
      <c r="L149" s="9" t="s">
        <v>23</v>
      </c>
      <c r="M149" s="9" t="s">
        <v>24</v>
      </c>
      <c r="N149" s="9" t="s">
        <v>23</v>
      </c>
      <c r="O149" s="9" t="s">
        <v>23</v>
      </c>
      <c r="P149" s="9" t="s">
        <v>23</v>
      </c>
      <c r="Q149" s="9" t="s">
        <v>48</v>
      </c>
      <c r="R149" s="9" t="s">
        <v>32</v>
      </c>
      <c r="S149" s="9" t="s">
        <v>27</v>
      </c>
      <c r="T149" s="9" t="s">
        <v>23</v>
      </c>
      <c r="U149" s="10" t="s">
        <v>23</v>
      </c>
    </row>
    <row r="150" spans="1:21" x14ac:dyDescent="0.35">
      <c r="A150" s="5" t="s">
        <v>100</v>
      </c>
      <c r="B150" s="6">
        <v>94121203482</v>
      </c>
      <c r="C150" s="6" t="s">
        <v>23</v>
      </c>
      <c r="D150" s="6" t="s">
        <v>23</v>
      </c>
      <c r="E150" s="6" t="s">
        <v>23</v>
      </c>
      <c r="F150" s="6" t="s">
        <v>23</v>
      </c>
      <c r="G150" s="6" t="s">
        <v>23</v>
      </c>
      <c r="H150" s="6" t="s">
        <v>23</v>
      </c>
      <c r="I150" s="6" t="s">
        <v>38</v>
      </c>
      <c r="J150" s="6" t="s">
        <v>23</v>
      </c>
      <c r="K150" s="6" t="s">
        <v>23</v>
      </c>
      <c r="L150" s="6" t="s">
        <v>23</v>
      </c>
      <c r="M150" s="6" t="s">
        <v>35</v>
      </c>
      <c r="N150" s="6" t="s">
        <v>94</v>
      </c>
      <c r="O150" s="6" t="s">
        <v>23</v>
      </c>
      <c r="P150" s="6" t="s">
        <v>23</v>
      </c>
      <c r="Q150" s="6" t="s">
        <v>84</v>
      </c>
      <c r="R150" s="6" t="s">
        <v>23</v>
      </c>
      <c r="S150" s="6" t="s">
        <v>58</v>
      </c>
      <c r="T150" s="6" t="s">
        <v>34</v>
      </c>
      <c r="U150" s="7" t="s">
        <v>23</v>
      </c>
    </row>
    <row r="151" spans="1:21" x14ac:dyDescent="0.35">
      <c r="A151" s="8" t="s">
        <v>100</v>
      </c>
      <c r="B151" s="9">
        <v>94121709025</v>
      </c>
      <c r="C151" s="9" t="s">
        <v>23</v>
      </c>
      <c r="D151" s="9" t="s">
        <v>23</v>
      </c>
      <c r="E151" s="9" t="s">
        <v>23</v>
      </c>
      <c r="F151" s="9" t="s">
        <v>82</v>
      </c>
      <c r="G151" s="9" t="s">
        <v>23</v>
      </c>
      <c r="H151" s="9" t="s">
        <v>23</v>
      </c>
      <c r="I151" s="9" t="s">
        <v>40</v>
      </c>
      <c r="J151" s="9" t="s">
        <v>76</v>
      </c>
      <c r="K151" s="9" t="s">
        <v>23</v>
      </c>
      <c r="L151" s="9" t="s">
        <v>23</v>
      </c>
      <c r="M151" s="9" t="s">
        <v>23</v>
      </c>
      <c r="N151" s="9" t="s">
        <v>28</v>
      </c>
      <c r="O151" s="9" t="s">
        <v>23</v>
      </c>
      <c r="P151" s="9" t="s">
        <v>23</v>
      </c>
      <c r="Q151" s="9" t="s">
        <v>42</v>
      </c>
      <c r="R151" s="9" t="s">
        <v>23</v>
      </c>
      <c r="S151" s="9" t="s">
        <v>94</v>
      </c>
      <c r="T151" s="9" t="s">
        <v>75</v>
      </c>
      <c r="U151" s="10" t="s">
        <v>23</v>
      </c>
    </row>
    <row r="152" spans="1:21" x14ac:dyDescent="0.35">
      <c r="A152" s="5" t="s">
        <v>100</v>
      </c>
      <c r="B152" s="6">
        <v>95011300625</v>
      </c>
      <c r="C152" s="6" t="s">
        <v>23</v>
      </c>
      <c r="D152" s="6" t="s">
        <v>23</v>
      </c>
      <c r="E152" s="6" t="s">
        <v>23</v>
      </c>
      <c r="F152" s="6" t="s">
        <v>22</v>
      </c>
      <c r="G152" s="6" t="s">
        <v>23</v>
      </c>
      <c r="H152" s="6" t="s">
        <v>23</v>
      </c>
      <c r="I152" s="6" t="s">
        <v>40</v>
      </c>
      <c r="J152" s="6" t="s">
        <v>23</v>
      </c>
      <c r="K152" s="6" t="s">
        <v>23</v>
      </c>
      <c r="L152" s="6" t="s">
        <v>23</v>
      </c>
      <c r="M152" s="6" t="s">
        <v>54</v>
      </c>
      <c r="N152" s="6" t="s">
        <v>33</v>
      </c>
      <c r="O152" s="6" t="s">
        <v>23</v>
      </c>
      <c r="P152" s="6" t="s">
        <v>23</v>
      </c>
      <c r="Q152" s="6" t="s">
        <v>34</v>
      </c>
      <c r="R152" s="6" t="s">
        <v>81</v>
      </c>
      <c r="S152" s="6" t="s">
        <v>85</v>
      </c>
      <c r="T152" s="6" t="s">
        <v>23</v>
      </c>
      <c r="U152" s="7" t="s">
        <v>23</v>
      </c>
    </row>
    <row r="153" spans="1:21" x14ac:dyDescent="0.35">
      <c r="A153" s="11" t="s">
        <v>100</v>
      </c>
      <c r="B153" s="1">
        <v>95032804489</v>
      </c>
      <c r="C153" s="1" t="s">
        <v>59</v>
      </c>
      <c r="D153" s="1" t="s">
        <v>59</v>
      </c>
      <c r="E153" s="1" t="s">
        <v>23</v>
      </c>
      <c r="F153" s="1" t="s">
        <v>23</v>
      </c>
      <c r="G153" s="1" t="s">
        <v>23</v>
      </c>
      <c r="H153" s="1" t="s">
        <v>23</v>
      </c>
      <c r="I153" s="1" t="s">
        <v>62</v>
      </c>
      <c r="J153" s="1" t="s">
        <v>23</v>
      </c>
      <c r="K153" s="1" t="s">
        <v>23</v>
      </c>
      <c r="L153" s="1" t="s">
        <v>23</v>
      </c>
      <c r="M153" s="1" t="s">
        <v>23</v>
      </c>
      <c r="N153" s="1" t="s">
        <v>33</v>
      </c>
      <c r="O153" s="1" t="s">
        <v>23</v>
      </c>
      <c r="P153" s="1" t="s">
        <v>23</v>
      </c>
      <c r="Q153" s="1" t="s">
        <v>42</v>
      </c>
      <c r="R153" s="1" t="s">
        <v>23</v>
      </c>
      <c r="S153" s="1" t="s">
        <v>64</v>
      </c>
      <c r="T153" s="1" t="s">
        <v>23</v>
      </c>
      <c r="U153" s="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9D4B-0944-47EC-98D6-0775C5F495E5}">
  <dimension ref="A1:AO153"/>
  <sheetViews>
    <sheetView topLeftCell="Q1" zoomScale="53" workbookViewId="0">
      <selection sqref="A1:B5"/>
    </sheetView>
  </sheetViews>
  <sheetFormatPr defaultRowHeight="14.5" x14ac:dyDescent="0.35"/>
  <cols>
    <col min="1" max="1" width="8.26953125" bestFit="1" customWidth="1"/>
    <col min="2" max="2" width="11.81640625" bestFit="1" customWidth="1"/>
    <col min="3" max="3" width="11.36328125" bestFit="1" customWidth="1"/>
    <col min="4" max="4" width="11.08984375" bestFit="1" customWidth="1"/>
    <col min="5" max="5" width="9.90625" bestFit="1" customWidth="1"/>
    <col min="6" max="6" width="12.90625" bestFit="1" customWidth="1"/>
    <col min="7" max="7" width="11.36328125" bestFit="1" customWidth="1"/>
    <col min="8" max="8" width="15.26953125" bestFit="1" customWidth="1"/>
    <col min="9" max="10" width="12.1796875" bestFit="1" customWidth="1"/>
    <col min="11" max="12" width="12.7265625" bestFit="1" customWidth="1"/>
    <col min="13" max="14" width="13.6328125" bestFit="1" customWidth="1"/>
    <col min="15" max="16" width="12.90625" bestFit="1" customWidth="1"/>
    <col min="17" max="18" width="15.6328125" bestFit="1" customWidth="1"/>
    <col min="19" max="20" width="9.7265625" bestFit="1" customWidth="1"/>
    <col min="21" max="21" width="8.90625" bestFit="1" customWidth="1"/>
    <col min="41" max="41" width="26" bestFit="1" customWidth="1"/>
  </cols>
  <sheetData>
    <row r="1" spans="1:4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AO1" t="s">
        <v>104</v>
      </c>
    </row>
    <row r="2" spans="1:41" x14ac:dyDescent="0.35">
      <c r="A2" s="8" t="s">
        <v>21</v>
      </c>
      <c r="B2" s="9">
        <v>95052600643</v>
      </c>
      <c r="C2" s="9" t="s">
        <v>23</v>
      </c>
      <c r="D2" s="9" t="s">
        <v>23</v>
      </c>
      <c r="E2" s="9" t="s">
        <v>23</v>
      </c>
      <c r="F2" s="9" t="s">
        <v>38</v>
      </c>
      <c r="G2" s="9" t="s">
        <v>23</v>
      </c>
      <c r="H2" s="9" t="s">
        <v>23</v>
      </c>
      <c r="I2" s="9" t="s">
        <v>24</v>
      </c>
      <c r="J2" s="9" t="s">
        <v>24</v>
      </c>
      <c r="K2" s="9" t="s">
        <v>23</v>
      </c>
      <c r="L2" s="9" t="s">
        <v>23</v>
      </c>
      <c r="M2" s="9" t="s">
        <v>23</v>
      </c>
      <c r="N2" s="9" t="s">
        <v>23</v>
      </c>
      <c r="O2" s="9" t="s">
        <v>24</v>
      </c>
      <c r="P2" s="9" t="s">
        <v>23</v>
      </c>
      <c r="Q2" s="9" t="s">
        <v>40</v>
      </c>
      <c r="R2" s="9" t="s">
        <v>56</v>
      </c>
      <c r="S2" s="9" t="s">
        <v>27</v>
      </c>
      <c r="T2" s="9" t="s">
        <v>23</v>
      </c>
      <c r="U2" s="10" t="s">
        <v>23</v>
      </c>
      <c r="V2">
        <f>IF(C2="100.00",1,0)</f>
        <v>0</v>
      </c>
      <c r="W2">
        <f>IF(D2="100.00",1,0)</f>
        <v>0</v>
      </c>
      <c r="X2">
        <f>IF(E2="100.00",1,0)</f>
        <v>0</v>
      </c>
      <c r="Y2">
        <f>IF(F2="100.00",1,0)</f>
        <v>0</v>
      </c>
      <c r="Z2">
        <f>IF(G2="100.00",1,0)</f>
        <v>0</v>
      </c>
      <c r="AA2">
        <f>IF(H2="100.00",1,0)</f>
        <v>0</v>
      </c>
      <c r="AB2">
        <f>IF(I2="100.00",1,0)</f>
        <v>1</v>
      </c>
      <c r="AC2">
        <f>IF(J2="100.00",1,0)</f>
        <v>1</v>
      </c>
      <c r="AD2">
        <f>IF(K2="100.00",1,0)</f>
        <v>0</v>
      </c>
      <c r="AE2">
        <f>IF(L2="100.00",1,0)</f>
        <v>0</v>
      </c>
      <c r="AF2">
        <f>IF(M2="100.00",1,0)</f>
        <v>0</v>
      </c>
      <c r="AG2">
        <f>IF(N2="100.00",1,0)</f>
        <v>0</v>
      </c>
      <c r="AH2">
        <f>IF(O2="100.00",1,0)</f>
        <v>1</v>
      </c>
      <c r="AI2">
        <f>IF(P2="100.00",1,0)</f>
        <v>0</v>
      </c>
      <c r="AJ2">
        <f>IF(Q2="100.00",1,0)</f>
        <v>0</v>
      </c>
      <c r="AK2">
        <f>IF(R2="100.00",1,0)</f>
        <v>0</v>
      </c>
      <c r="AL2">
        <f>IF(S2="100.00",1,0)</f>
        <v>0</v>
      </c>
      <c r="AM2">
        <f>IF(T2="100.00",1,0)</f>
        <v>0</v>
      </c>
      <c r="AN2">
        <f>IF(U2="100.00",1,0)</f>
        <v>0</v>
      </c>
      <c r="AO2">
        <f>SUM(V2:AN2)</f>
        <v>3</v>
      </c>
    </row>
    <row r="3" spans="1:41" x14ac:dyDescent="0.35">
      <c r="A3" s="8" t="s">
        <v>100</v>
      </c>
      <c r="B3" s="9">
        <v>94063002080</v>
      </c>
      <c r="C3" s="9" t="s">
        <v>23</v>
      </c>
      <c r="D3" s="9" t="s">
        <v>23</v>
      </c>
      <c r="E3" s="9" t="s">
        <v>23</v>
      </c>
      <c r="F3" s="9" t="s">
        <v>74</v>
      </c>
      <c r="G3" s="9" t="s">
        <v>23</v>
      </c>
      <c r="H3" s="9" t="s">
        <v>23</v>
      </c>
      <c r="I3" s="9" t="s">
        <v>24</v>
      </c>
      <c r="J3" s="9" t="s">
        <v>23</v>
      </c>
      <c r="K3" s="9" t="s">
        <v>23</v>
      </c>
      <c r="L3" s="9" t="s">
        <v>23</v>
      </c>
      <c r="M3" s="9" t="s">
        <v>24</v>
      </c>
      <c r="N3" s="9" t="s">
        <v>23</v>
      </c>
      <c r="O3" s="9" t="s">
        <v>23</v>
      </c>
      <c r="P3" s="9" t="s">
        <v>23</v>
      </c>
      <c r="Q3" s="9" t="s">
        <v>24</v>
      </c>
      <c r="R3" s="9" t="s">
        <v>76</v>
      </c>
      <c r="S3" s="9" t="s">
        <v>30</v>
      </c>
      <c r="T3" s="9" t="s">
        <v>53</v>
      </c>
      <c r="U3" s="10" t="s">
        <v>23</v>
      </c>
      <c r="V3">
        <f>IF(C3="100.00",1,0)</f>
        <v>0</v>
      </c>
      <c r="W3">
        <f>IF(D3="100.00",1,0)</f>
        <v>0</v>
      </c>
      <c r="X3">
        <f>IF(E3="100.00",1,0)</f>
        <v>0</v>
      </c>
      <c r="Y3">
        <f>IF(F3="100.00",1,0)</f>
        <v>0</v>
      </c>
      <c r="Z3">
        <f>IF(G3="100.00",1,0)</f>
        <v>0</v>
      </c>
      <c r="AA3">
        <f>IF(H3="100.00",1,0)</f>
        <v>0</v>
      </c>
      <c r="AB3">
        <f>IF(I3="100.00",1,0)</f>
        <v>1</v>
      </c>
      <c r="AC3">
        <f>IF(J3="100.00",1,0)</f>
        <v>0</v>
      </c>
      <c r="AD3">
        <f>IF(K3="100.00",1,0)</f>
        <v>0</v>
      </c>
      <c r="AE3">
        <f>IF(L3="100.00",1,0)</f>
        <v>0</v>
      </c>
      <c r="AF3">
        <f>IF(M3="100.00",1,0)</f>
        <v>1</v>
      </c>
      <c r="AG3">
        <f>IF(N3="100.00",1,0)</f>
        <v>0</v>
      </c>
      <c r="AH3">
        <f>IF(O3="100.00",1,0)</f>
        <v>0</v>
      </c>
      <c r="AI3">
        <f>IF(P3="100.00",1,0)</f>
        <v>0</v>
      </c>
      <c r="AJ3">
        <f>IF(Q3="100.00",1,0)</f>
        <v>1</v>
      </c>
      <c r="AK3">
        <f>IF(R3="100.00",1,0)</f>
        <v>0</v>
      </c>
      <c r="AL3">
        <f>IF(S3="100.00",1,0)</f>
        <v>0</v>
      </c>
      <c r="AM3">
        <f>IF(T3="100.00",1,0)</f>
        <v>0</v>
      </c>
      <c r="AN3">
        <f>IF(U3="100.00",1,0)</f>
        <v>0</v>
      </c>
      <c r="AO3">
        <f>SUM(V3:AN3)</f>
        <v>3</v>
      </c>
    </row>
    <row r="4" spans="1:41" x14ac:dyDescent="0.35">
      <c r="A4" s="8" t="s">
        <v>77</v>
      </c>
      <c r="B4" s="9">
        <v>95100700282</v>
      </c>
      <c r="C4" s="9" t="s">
        <v>23</v>
      </c>
      <c r="D4" s="9" t="s">
        <v>23</v>
      </c>
      <c r="E4" s="9" t="s">
        <v>23</v>
      </c>
      <c r="F4" s="9" t="s">
        <v>23</v>
      </c>
      <c r="G4" s="9" t="s">
        <v>61</v>
      </c>
      <c r="H4" s="9" t="s">
        <v>23</v>
      </c>
      <c r="I4" s="9" t="s">
        <v>24</v>
      </c>
      <c r="J4" s="9" t="s">
        <v>38</v>
      </c>
      <c r="K4" s="9" t="s">
        <v>23</v>
      </c>
      <c r="L4" s="9" t="s">
        <v>23</v>
      </c>
      <c r="M4" s="9" t="s">
        <v>23</v>
      </c>
      <c r="N4" s="9" t="s">
        <v>23</v>
      </c>
      <c r="O4" s="9" t="s">
        <v>24</v>
      </c>
      <c r="P4" s="9" t="s">
        <v>23</v>
      </c>
      <c r="Q4" s="9" t="s">
        <v>39</v>
      </c>
      <c r="R4" s="9" t="s">
        <v>23</v>
      </c>
      <c r="S4" s="9" t="s">
        <v>76</v>
      </c>
      <c r="T4" s="9" t="s">
        <v>46</v>
      </c>
      <c r="U4" s="10" t="s">
        <v>23</v>
      </c>
      <c r="V4">
        <f>IF(C4="100.00",1,0)</f>
        <v>0</v>
      </c>
      <c r="W4">
        <f>IF(D4="100.00",1,0)</f>
        <v>0</v>
      </c>
      <c r="X4">
        <f>IF(E4="100.00",1,0)</f>
        <v>0</v>
      </c>
      <c r="Y4">
        <f>IF(F4="100.00",1,0)</f>
        <v>0</v>
      </c>
      <c r="Z4">
        <f>IF(G4="100.00",1,0)</f>
        <v>0</v>
      </c>
      <c r="AA4">
        <f>IF(H4="100.00",1,0)</f>
        <v>0</v>
      </c>
      <c r="AB4">
        <f>IF(I4="100.00",1,0)</f>
        <v>1</v>
      </c>
      <c r="AC4">
        <f>IF(J4="100.00",1,0)</f>
        <v>0</v>
      </c>
      <c r="AD4">
        <f>IF(K4="100.00",1,0)</f>
        <v>0</v>
      </c>
      <c r="AE4">
        <f>IF(L4="100.00",1,0)</f>
        <v>0</v>
      </c>
      <c r="AF4">
        <f>IF(M4="100.00",1,0)</f>
        <v>0</v>
      </c>
      <c r="AG4">
        <f>IF(N4="100.00",1,0)</f>
        <v>0</v>
      </c>
      <c r="AH4">
        <f>IF(O4="100.00",1,0)</f>
        <v>1</v>
      </c>
      <c r="AI4">
        <f>IF(P4="100.00",1,0)</f>
        <v>0</v>
      </c>
      <c r="AJ4">
        <f>IF(Q4="100.00",1,0)</f>
        <v>0</v>
      </c>
      <c r="AK4">
        <f>IF(R4="100.00",1,0)</f>
        <v>0</v>
      </c>
      <c r="AL4">
        <f>IF(S4="100.00",1,0)</f>
        <v>0</v>
      </c>
      <c r="AM4">
        <f>IF(T4="100.00",1,0)</f>
        <v>0</v>
      </c>
      <c r="AN4">
        <f>IF(U4="100.00",1,0)</f>
        <v>0</v>
      </c>
      <c r="AO4">
        <f>SUM(V4:AN4)</f>
        <v>2</v>
      </c>
    </row>
    <row r="5" spans="1:41" x14ac:dyDescent="0.35">
      <c r="A5" s="5" t="s">
        <v>92</v>
      </c>
      <c r="B5" s="6">
        <v>95121002200</v>
      </c>
      <c r="C5" s="6" t="s">
        <v>23</v>
      </c>
      <c r="D5" s="6" t="s">
        <v>23</v>
      </c>
      <c r="E5" s="6" t="s">
        <v>23</v>
      </c>
      <c r="F5" s="6" t="s">
        <v>27</v>
      </c>
      <c r="G5" s="6" t="s">
        <v>23</v>
      </c>
      <c r="H5" s="6" t="s">
        <v>23</v>
      </c>
      <c r="I5" s="6" t="s">
        <v>24</v>
      </c>
      <c r="J5" s="6" t="s">
        <v>74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24</v>
      </c>
      <c r="P5" s="6" t="s">
        <v>23</v>
      </c>
      <c r="Q5" s="6" t="s">
        <v>56</v>
      </c>
      <c r="R5" s="6" t="s">
        <v>49</v>
      </c>
      <c r="S5" s="6" t="s">
        <v>75</v>
      </c>
      <c r="T5" s="6" t="s">
        <v>23</v>
      </c>
      <c r="U5" s="7" t="s">
        <v>23</v>
      </c>
      <c r="V5">
        <f>IF(C5="100.00",1,0)</f>
        <v>0</v>
      </c>
      <c r="W5">
        <f>IF(D5="100.00",1,0)</f>
        <v>0</v>
      </c>
      <c r="X5">
        <f>IF(E5="100.00",1,0)</f>
        <v>0</v>
      </c>
      <c r="Y5">
        <f>IF(F5="100.00",1,0)</f>
        <v>0</v>
      </c>
      <c r="Z5">
        <f>IF(G5="100.00",1,0)</f>
        <v>0</v>
      </c>
      <c r="AA5">
        <f>IF(H5="100.00",1,0)</f>
        <v>0</v>
      </c>
      <c r="AB5">
        <f>IF(I5="100.00",1,0)</f>
        <v>1</v>
      </c>
      <c r="AC5">
        <f>IF(J5="100.00",1,0)</f>
        <v>0</v>
      </c>
      <c r="AD5">
        <f>IF(K5="100.00",1,0)</f>
        <v>0</v>
      </c>
      <c r="AE5">
        <f>IF(L5="100.00",1,0)</f>
        <v>0</v>
      </c>
      <c r="AF5">
        <f>IF(M5="100.00",1,0)</f>
        <v>0</v>
      </c>
      <c r="AG5">
        <f>IF(N5="100.00",1,0)</f>
        <v>0</v>
      </c>
      <c r="AH5">
        <f>IF(O5="100.00",1,0)</f>
        <v>1</v>
      </c>
      <c r="AI5">
        <f>IF(P5="100.00",1,0)</f>
        <v>0</v>
      </c>
      <c r="AJ5">
        <f>IF(Q5="100.00",1,0)</f>
        <v>0</v>
      </c>
      <c r="AK5">
        <f>IF(R5="100.00",1,0)</f>
        <v>0</v>
      </c>
      <c r="AL5">
        <f>IF(S5="100.00",1,0)</f>
        <v>0</v>
      </c>
      <c r="AM5">
        <f>IF(T5="100.00",1,0)</f>
        <v>0</v>
      </c>
      <c r="AN5">
        <f>IF(U5="100.00",1,0)</f>
        <v>0</v>
      </c>
      <c r="AO5">
        <f>SUM(V5:AN5)</f>
        <v>2</v>
      </c>
    </row>
    <row r="6" spans="1:41" x14ac:dyDescent="0.35">
      <c r="A6" s="5" t="s">
        <v>21</v>
      </c>
      <c r="B6" s="6">
        <v>95010405222</v>
      </c>
      <c r="C6" s="6" t="s">
        <v>22</v>
      </c>
      <c r="D6" s="6" t="s">
        <v>23</v>
      </c>
      <c r="E6" s="6" t="s">
        <v>23</v>
      </c>
      <c r="F6" s="6" t="s">
        <v>23</v>
      </c>
      <c r="G6" s="6" t="s">
        <v>23</v>
      </c>
      <c r="H6" s="6" t="s">
        <v>23</v>
      </c>
      <c r="I6" s="6" t="s">
        <v>24</v>
      </c>
      <c r="J6" s="6" t="s">
        <v>25</v>
      </c>
      <c r="K6" s="6" t="s">
        <v>23</v>
      </c>
      <c r="L6" s="6" t="s">
        <v>26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27</v>
      </c>
      <c r="R6" s="6" t="s">
        <v>23</v>
      </c>
      <c r="S6" s="6" t="s">
        <v>28</v>
      </c>
      <c r="T6" s="6" t="s">
        <v>23</v>
      </c>
      <c r="U6" s="7" t="s">
        <v>23</v>
      </c>
      <c r="V6">
        <f>IF(C6="100.00",1,0)</f>
        <v>0</v>
      </c>
      <c r="W6">
        <f>IF(D6="100.00",1,0)</f>
        <v>0</v>
      </c>
      <c r="X6">
        <f>IF(E6="100.00",1,0)</f>
        <v>0</v>
      </c>
      <c r="Y6">
        <f>IF(F6="100.00",1,0)</f>
        <v>0</v>
      </c>
      <c r="Z6">
        <f>IF(G6="100.00",1,0)</f>
        <v>0</v>
      </c>
      <c r="AA6">
        <f>IF(H6="100.00",1,0)</f>
        <v>0</v>
      </c>
      <c r="AB6">
        <f>IF(I6="100.00",1,0)</f>
        <v>1</v>
      </c>
      <c r="AC6">
        <f>IF(J6="100.00",1,0)</f>
        <v>0</v>
      </c>
      <c r="AD6">
        <f>IF(K6="100.00",1,0)</f>
        <v>0</v>
      </c>
      <c r="AE6">
        <f>IF(L6="100.00",1,0)</f>
        <v>0</v>
      </c>
      <c r="AF6">
        <f>IF(M6="100.00",1,0)</f>
        <v>0</v>
      </c>
      <c r="AG6">
        <f>IF(N6="100.00",1,0)</f>
        <v>0</v>
      </c>
      <c r="AH6">
        <f>IF(O6="100.00",1,0)</f>
        <v>0</v>
      </c>
      <c r="AI6">
        <f>IF(P6="100.00",1,0)</f>
        <v>0</v>
      </c>
      <c r="AJ6">
        <f>IF(Q6="100.00",1,0)</f>
        <v>0</v>
      </c>
      <c r="AK6">
        <f>IF(R6="100.00",1,0)</f>
        <v>0</v>
      </c>
      <c r="AL6">
        <f>IF(S6="100.00",1,0)</f>
        <v>0</v>
      </c>
      <c r="AM6">
        <f>IF(T6="100.00",1,0)</f>
        <v>0</v>
      </c>
      <c r="AN6">
        <f>IF(U6="100.00",1,0)</f>
        <v>0</v>
      </c>
      <c r="AO6">
        <f>SUM(V6:AN6)</f>
        <v>1</v>
      </c>
    </row>
    <row r="7" spans="1:41" x14ac:dyDescent="0.35">
      <c r="A7" s="5" t="s">
        <v>21</v>
      </c>
      <c r="B7" s="6">
        <v>95090501360</v>
      </c>
      <c r="C7" s="6" t="s">
        <v>65</v>
      </c>
      <c r="D7" s="6" t="s">
        <v>72</v>
      </c>
      <c r="E7" s="6" t="s">
        <v>23</v>
      </c>
      <c r="F7" s="6" t="s">
        <v>23</v>
      </c>
      <c r="G7" s="6" t="s">
        <v>23</v>
      </c>
      <c r="H7" s="6" t="s">
        <v>23</v>
      </c>
      <c r="I7" s="6" t="s">
        <v>24</v>
      </c>
      <c r="J7" s="6" t="s">
        <v>65</v>
      </c>
      <c r="K7" s="6" t="s">
        <v>23</v>
      </c>
      <c r="L7" s="6" t="s">
        <v>23</v>
      </c>
      <c r="M7" s="6" t="s">
        <v>23</v>
      </c>
      <c r="N7" s="6" t="s">
        <v>23</v>
      </c>
      <c r="O7" s="6" t="s">
        <v>23</v>
      </c>
      <c r="P7" s="6" t="s">
        <v>23</v>
      </c>
      <c r="Q7" s="6" t="s">
        <v>42</v>
      </c>
      <c r="R7" s="6" t="s">
        <v>23</v>
      </c>
      <c r="S7" s="6" t="s">
        <v>61</v>
      </c>
      <c r="T7" s="6" t="s">
        <v>23</v>
      </c>
      <c r="U7" s="7" t="s">
        <v>23</v>
      </c>
      <c r="V7">
        <f>IF(C7="100.00",1,0)</f>
        <v>0</v>
      </c>
      <c r="W7">
        <f>IF(D7="100.00",1,0)</f>
        <v>0</v>
      </c>
      <c r="X7">
        <f>IF(E7="100.00",1,0)</f>
        <v>0</v>
      </c>
      <c r="Y7">
        <f>IF(F7="100.00",1,0)</f>
        <v>0</v>
      </c>
      <c r="Z7">
        <f>IF(G7="100.00",1,0)</f>
        <v>0</v>
      </c>
      <c r="AA7">
        <f>IF(H7="100.00",1,0)</f>
        <v>0</v>
      </c>
      <c r="AB7">
        <f>IF(I7="100.00",1,0)</f>
        <v>1</v>
      </c>
      <c r="AC7">
        <f>IF(J7="100.00",1,0)</f>
        <v>0</v>
      </c>
      <c r="AD7">
        <f>IF(K7="100.00",1,0)</f>
        <v>0</v>
      </c>
      <c r="AE7">
        <f>IF(L7="100.00",1,0)</f>
        <v>0</v>
      </c>
      <c r="AF7">
        <f>IF(M7="100.00",1,0)</f>
        <v>0</v>
      </c>
      <c r="AG7">
        <f>IF(N7="100.00",1,0)</f>
        <v>0</v>
      </c>
      <c r="AH7">
        <f>IF(O7="100.00",1,0)</f>
        <v>0</v>
      </c>
      <c r="AI7">
        <f>IF(P7="100.00",1,0)</f>
        <v>0</v>
      </c>
      <c r="AJ7">
        <f>IF(Q7="100.00",1,0)</f>
        <v>0</v>
      </c>
      <c r="AK7">
        <f>IF(R7="100.00",1,0)</f>
        <v>0</v>
      </c>
      <c r="AL7">
        <f>IF(S7="100.00",1,0)</f>
        <v>0</v>
      </c>
      <c r="AM7">
        <f>IF(T7="100.00",1,0)</f>
        <v>0</v>
      </c>
      <c r="AN7">
        <f>IF(U7="100.00",1,0)</f>
        <v>0</v>
      </c>
      <c r="AO7">
        <f>SUM(V7:AN7)</f>
        <v>1</v>
      </c>
    </row>
    <row r="8" spans="1:41" x14ac:dyDescent="0.35">
      <c r="A8" s="5" t="s">
        <v>21</v>
      </c>
      <c r="B8" s="6">
        <v>95120101108</v>
      </c>
      <c r="C8" s="6" t="s">
        <v>54</v>
      </c>
      <c r="D8" s="6" t="s">
        <v>26</v>
      </c>
      <c r="E8" s="6" t="s">
        <v>23</v>
      </c>
      <c r="F8" s="6" t="s">
        <v>23</v>
      </c>
      <c r="G8" s="6" t="s">
        <v>23</v>
      </c>
      <c r="H8" s="6" t="s">
        <v>23</v>
      </c>
      <c r="I8" s="6" t="s">
        <v>24</v>
      </c>
      <c r="J8" s="6" t="s">
        <v>61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35</v>
      </c>
      <c r="R8" s="6" t="s">
        <v>23</v>
      </c>
      <c r="S8" s="6" t="s">
        <v>61</v>
      </c>
      <c r="T8" s="6" t="s">
        <v>23</v>
      </c>
      <c r="U8" s="7" t="s">
        <v>23</v>
      </c>
      <c r="V8">
        <f>IF(C8="100.00",1,0)</f>
        <v>0</v>
      </c>
      <c r="W8">
        <f>IF(D8="100.00",1,0)</f>
        <v>0</v>
      </c>
      <c r="X8">
        <f>IF(E8="100.00",1,0)</f>
        <v>0</v>
      </c>
      <c r="Y8">
        <f>IF(F8="100.00",1,0)</f>
        <v>0</v>
      </c>
      <c r="Z8">
        <f>IF(G8="100.00",1,0)</f>
        <v>0</v>
      </c>
      <c r="AA8">
        <f>IF(H8="100.00",1,0)</f>
        <v>0</v>
      </c>
      <c r="AB8">
        <f>IF(I8="100.00",1,0)</f>
        <v>1</v>
      </c>
      <c r="AC8">
        <f>IF(J8="100.00",1,0)</f>
        <v>0</v>
      </c>
      <c r="AD8">
        <f>IF(K8="100.00",1,0)</f>
        <v>0</v>
      </c>
      <c r="AE8">
        <f>IF(L8="100.00",1,0)</f>
        <v>0</v>
      </c>
      <c r="AF8">
        <f>IF(M8="100.00",1,0)</f>
        <v>0</v>
      </c>
      <c r="AG8">
        <f>IF(N8="100.00",1,0)</f>
        <v>0</v>
      </c>
      <c r="AH8">
        <f>IF(O8="100.00",1,0)</f>
        <v>0</v>
      </c>
      <c r="AI8">
        <f>IF(P8="100.00",1,0)</f>
        <v>0</v>
      </c>
      <c r="AJ8">
        <f>IF(Q8="100.00",1,0)</f>
        <v>0</v>
      </c>
      <c r="AK8">
        <f>IF(R8="100.00",1,0)</f>
        <v>0</v>
      </c>
      <c r="AL8">
        <f>IF(S8="100.00",1,0)</f>
        <v>0</v>
      </c>
      <c r="AM8">
        <f>IF(T8="100.00",1,0)</f>
        <v>0</v>
      </c>
      <c r="AN8">
        <f>IF(U8="100.00",1,0)</f>
        <v>0</v>
      </c>
      <c r="AO8">
        <f>SUM(V8:AN8)</f>
        <v>1</v>
      </c>
    </row>
    <row r="9" spans="1:41" x14ac:dyDescent="0.35">
      <c r="A9" s="8" t="s">
        <v>21</v>
      </c>
      <c r="B9" s="9">
        <v>95122401008</v>
      </c>
      <c r="C9" s="9" t="s">
        <v>43</v>
      </c>
      <c r="D9" s="9" t="s">
        <v>23</v>
      </c>
      <c r="E9" s="9" t="s">
        <v>23</v>
      </c>
      <c r="F9" s="9" t="s">
        <v>23</v>
      </c>
      <c r="G9" s="9" t="s">
        <v>23</v>
      </c>
      <c r="H9" s="9" t="s">
        <v>23</v>
      </c>
      <c r="I9" s="9" t="s">
        <v>24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 t="s">
        <v>74</v>
      </c>
      <c r="R9" s="9" t="s">
        <v>23</v>
      </c>
      <c r="S9" s="9" t="s">
        <v>63</v>
      </c>
      <c r="T9" s="9" t="s">
        <v>30</v>
      </c>
      <c r="U9" s="10" t="s">
        <v>70</v>
      </c>
      <c r="V9">
        <f>IF(C9="100.00",1,0)</f>
        <v>0</v>
      </c>
      <c r="W9">
        <f>IF(D9="100.00",1,0)</f>
        <v>0</v>
      </c>
      <c r="X9">
        <f>IF(E9="100.00",1,0)</f>
        <v>0</v>
      </c>
      <c r="Y9">
        <f>IF(F9="100.00",1,0)</f>
        <v>0</v>
      </c>
      <c r="Z9">
        <f>IF(G9="100.00",1,0)</f>
        <v>0</v>
      </c>
      <c r="AA9">
        <f>IF(H9="100.00",1,0)</f>
        <v>0</v>
      </c>
      <c r="AB9">
        <f>IF(I9="100.00",1,0)</f>
        <v>1</v>
      </c>
      <c r="AC9">
        <f>IF(J9="100.00",1,0)</f>
        <v>0</v>
      </c>
      <c r="AD9">
        <f>IF(K9="100.00",1,0)</f>
        <v>0</v>
      </c>
      <c r="AE9">
        <f>IF(L9="100.00",1,0)</f>
        <v>0</v>
      </c>
      <c r="AF9">
        <f>IF(M9="100.00",1,0)</f>
        <v>0</v>
      </c>
      <c r="AG9">
        <f>IF(N9="100.00",1,0)</f>
        <v>0</v>
      </c>
      <c r="AH9">
        <f>IF(O9="100.00",1,0)</f>
        <v>0</v>
      </c>
      <c r="AI9">
        <f>IF(P9="100.00",1,0)</f>
        <v>0</v>
      </c>
      <c r="AJ9">
        <f>IF(Q9="100.00",1,0)</f>
        <v>0</v>
      </c>
      <c r="AK9">
        <f>IF(R9="100.00",1,0)</f>
        <v>0</v>
      </c>
      <c r="AL9">
        <f>IF(S9="100.00",1,0)</f>
        <v>0</v>
      </c>
      <c r="AM9">
        <f>IF(T9="100.00",1,0)</f>
        <v>0</v>
      </c>
      <c r="AN9">
        <f>IF(U9="100.00",1,0)</f>
        <v>0</v>
      </c>
      <c r="AO9">
        <f>SUM(V9:AN9)</f>
        <v>1</v>
      </c>
    </row>
    <row r="10" spans="1:41" x14ac:dyDescent="0.35">
      <c r="A10" s="5" t="s">
        <v>77</v>
      </c>
      <c r="B10" s="6">
        <v>95020804428</v>
      </c>
      <c r="C10" s="6" t="s">
        <v>23</v>
      </c>
      <c r="D10" s="6" t="s">
        <v>23</v>
      </c>
      <c r="E10" s="6" t="s">
        <v>23</v>
      </c>
      <c r="F10" s="6" t="s">
        <v>23</v>
      </c>
      <c r="G10" s="6" t="s">
        <v>35</v>
      </c>
      <c r="H10" s="6" t="s">
        <v>23</v>
      </c>
      <c r="I10" s="6" t="s">
        <v>24</v>
      </c>
      <c r="J10" s="6" t="s">
        <v>80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26</v>
      </c>
      <c r="R10" s="6" t="s">
        <v>23</v>
      </c>
      <c r="S10" s="6" t="s">
        <v>57</v>
      </c>
      <c r="T10" s="6" t="s">
        <v>33</v>
      </c>
      <c r="U10" s="7" t="s">
        <v>23</v>
      </c>
      <c r="V10">
        <f>IF(C10="100.00",1,0)</f>
        <v>0</v>
      </c>
      <c r="W10">
        <f>IF(D10="100.00",1,0)</f>
        <v>0</v>
      </c>
      <c r="X10">
        <f>IF(E10="100.00",1,0)</f>
        <v>0</v>
      </c>
      <c r="Y10">
        <f>IF(F10="100.00",1,0)</f>
        <v>0</v>
      </c>
      <c r="Z10">
        <f>IF(G10="100.00",1,0)</f>
        <v>0</v>
      </c>
      <c r="AA10">
        <f>IF(H10="100.00",1,0)</f>
        <v>0</v>
      </c>
      <c r="AB10">
        <f>IF(I10="100.00",1,0)</f>
        <v>1</v>
      </c>
      <c r="AC10">
        <f>IF(J10="100.00",1,0)</f>
        <v>0</v>
      </c>
      <c r="AD10">
        <f>IF(K10="100.00",1,0)</f>
        <v>0</v>
      </c>
      <c r="AE10">
        <f>IF(L10="100.00",1,0)</f>
        <v>0</v>
      </c>
      <c r="AF10">
        <f>IF(M10="100.00",1,0)</f>
        <v>0</v>
      </c>
      <c r="AG10">
        <f>IF(N10="100.00",1,0)</f>
        <v>0</v>
      </c>
      <c r="AH10">
        <f>IF(O10="100.00",1,0)</f>
        <v>0</v>
      </c>
      <c r="AI10">
        <f>IF(P10="100.00",1,0)</f>
        <v>0</v>
      </c>
      <c r="AJ10">
        <f>IF(Q10="100.00",1,0)</f>
        <v>0</v>
      </c>
      <c r="AK10">
        <f>IF(R10="100.00",1,0)</f>
        <v>0</v>
      </c>
      <c r="AL10">
        <f>IF(S10="100.00",1,0)</f>
        <v>0</v>
      </c>
      <c r="AM10">
        <f>IF(T10="100.00",1,0)</f>
        <v>0</v>
      </c>
      <c r="AN10">
        <f>IF(U10="100.00",1,0)</f>
        <v>0</v>
      </c>
      <c r="AO10">
        <f>SUM(V10:AN10)</f>
        <v>1</v>
      </c>
    </row>
    <row r="11" spans="1:41" x14ac:dyDescent="0.35">
      <c r="A11" s="8" t="s">
        <v>77</v>
      </c>
      <c r="B11" s="9">
        <v>95021807901</v>
      </c>
      <c r="C11" s="9" t="s">
        <v>23</v>
      </c>
      <c r="D11" s="9" t="s">
        <v>23</v>
      </c>
      <c r="E11" s="9" t="s">
        <v>23</v>
      </c>
      <c r="F11" s="9" t="s">
        <v>23</v>
      </c>
      <c r="G11" s="9" t="s">
        <v>56</v>
      </c>
      <c r="H11" s="9" t="s">
        <v>23</v>
      </c>
      <c r="I11" s="9" t="s">
        <v>24</v>
      </c>
      <c r="J11" s="9" t="s">
        <v>38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 t="s">
        <v>33</v>
      </c>
      <c r="R11" s="9" t="s">
        <v>23</v>
      </c>
      <c r="S11" s="9" t="s">
        <v>31</v>
      </c>
      <c r="T11" s="9" t="s">
        <v>41</v>
      </c>
      <c r="U11" s="10" t="s">
        <v>39</v>
      </c>
      <c r="V11">
        <f>IF(C11="100.00",1,0)</f>
        <v>0</v>
      </c>
      <c r="W11">
        <f>IF(D11="100.00",1,0)</f>
        <v>0</v>
      </c>
      <c r="X11">
        <f>IF(E11="100.00",1,0)</f>
        <v>0</v>
      </c>
      <c r="Y11">
        <f>IF(F11="100.00",1,0)</f>
        <v>0</v>
      </c>
      <c r="Z11">
        <f>IF(G11="100.00",1,0)</f>
        <v>0</v>
      </c>
      <c r="AA11">
        <f>IF(H11="100.00",1,0)</f>
        <v>0</v>
      </c>
      <c r="AB11">
        <f>IF(I11="100.00",1,0)</f>
        <v>1</v>
      </c>
      <c r="AC11">
        <f>IF(J11="100.00",1,0)</f>
        <v>0</v>
      </c>
      <c r="AD11">
        <f>IF(K11="100.00",1,0)</f>
        <v>0</v>
      </c>
      <c r="AE11">
        <f>IF(L11="100.00",1,0)</f>
        <v>0</v>
      </c>
      <c r="AF11">
        <f>IF(M11="100.00",1,0)</f>
        <v>0</v>
      </c>
      <c r="AG11">
        <f>IF(N11="100.00",1,0)</f>
        <v>0</v>
      </c>
      <c r="AH11">
        <f>IF(O11="100.00",1,0)</f>
        <v>0</v>
      </c>
      <c r="AI11">
        <f>IF(P11="100.00",1,0)</f>
        <v>0</v>
      </c>
      <c r="AJ11">
        <f>IF(Q11="100.00",1,0)</f>
        <v>0</v>
      </c>
      <c r="AK11">
        <f>IF(R11="100.00",1,0)</f>
        <v>0</v>
      </c>
      <c r="AL11">
        <f>IF(S11="100.00",1,0)</f>
        <v>0</v>
      </c>
      <c r="AM11">
        <f>IF(T11="100.00",1,0)</f>
        <v>0</v>
      </c>
      <c r="AN11">
        <f>IF(U11="100.00",1,0)</f>
        <v>0</v>
      </c>
      <c r="AO11">
        <f>SUM(V11:AN11)</f>
        <v>1</v>
      </c>
    </row>
    <row r="12" spans="1:41" x14ac:dyDescent="0.35">
      <c r="A12" s="5" t="s">
        <v>77</v>
      </c>
      <c r="B12" s="6">
        <v>95022105039</v>
      </c>
      <c r="C12" s="6" t="s">
        <v>23</v>
      </c>
      <c r="D12" s="6" t="s">
        <v>23</v>
      </c>
      <c r="E12" s="6" t="s">
        <v>23</v>
      </c>
      <c r="F12" s="6" t="s">
        <v>23</v>
      </c>
      <c r="G12" s="6" t="s">
        <v>38</v>
      </c>
      <c r="H12" s="6" t="s">
        <v>23</v>
      </c>
      <c r="I12" s="6" t="s">
        <v>48</v>
      </c>
      <c r="J12" s="6" t="s">
        <v>54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56</v>
      </c>
      <c r="R12" s="6" t="s">
        <v>81</v>
      </c>
      <c r="S12" s="6" t="s">
        <v>82</v>
      </c>
      <c r="T12" s="6" t="s">
        <v>30</v>
      </c>
      <c r="U12" s="7" t="s">
        <v>24</v>
      </c>
      <c r="V12">
        <f>IF(C12="100.00",1,0)</f>
        <v>0</v>
      </c>
      <c r="W12">
        <f>IF(D12="100.00",1,0)</f>
        <v>0</v>
      </c>
      <c r="X12">
        <f>IF(E12="100.00",1,0)</f>
        <v>0</v>
      </c>
      <c r="Y12">
        <f>IF(F12="100.00",1,0)</f>
        <v>0</v>
      </c>
      <c r="Z12">
        <f>IF(G12="100.00",1,0)</f>
        <v>0</v>
      </c>
      <c r="AA12">
        <f>IF(H12="100.00",1,0)</f>
        <v>0</v>
      </c>
      <c r="AB12">
        <f>IF(I12="100.00",1,0)</f>
        <v>0</v>
      </c>
      <c r="AC12">
        <f>IF(J12="100.00",1,0)</f>
        <v>0</v>
      </c>
      <c r="AD12">
        <f>IF(K12="100.00",1,0)</f>
        <v>0</v>
      </c>
      <c r="AE12">
        <f>IF(L12="100.00",1,0)</f>
        <v>0</v>
      </c>
      <c r="AF12">
        <f>IF(M12="100.00",1,0)</f>
        <v>0</v>
      </c>
      <c r="AG12">
        <f>IF(N12="100.00",1,0)</f>
        <v>0</v>
      </c>
      <c r="AH12">
        <f>IF(O12="100.00",1,0)</f>
        <v>0</v>
      </c>
      <c r="AI12">
        <f>IF(P12="100.00",1,0)</f>
        <v>0</v>
      </c>
      <c r="AJ12">
        <f>IF(Q12="100.00",1,0)</f>
        <v>0</v>
      </c>
      <c r="AK12">
        <f>IF(R12="100.00",1,0)</f>
        <v>0</v>
      </c>
      <c r="AL12">
        <f>IF(S12="100.00",1,0)</f>
        <v>0</v>
      </c>
      <c r="AM12">
        <f>IF(T12="100.00",1,0)</f>
        <v>0</v>
      </c>
      <c r="AN12">
        <f>IF(U12="100.00",1,0)</f>
        <v>1</v>
      </c>
      <c r="AO12">
        <f>SUM(V12:AN12)</f>
        <v>1</v>
      </c>
    </row>
    <row r="13" spans="1:41" x14ac:dyDescent="0.35">
      <c r="A13" s="5" t="s">
        <v>77</v>
      </c>
      <c r="B13" s="6">
        <v>95050904503</v>
      </c>
      <c r="C13" s="6" t="s">
        <v>23</v>
      </c>
      <c r="D13" s="6" t="s">
        <v>23</v>
      </c>
      <c r="E13" s="6" t="s">
        <v>23</v>
      </c>
      <c r="F13" s="6" t="s">
        <v>23</v>
      </c>
      <c r="G13" s="6" t="s">
        <v>23</v>
      </c>
      <c r="H13" s="6" t="s">
        <v>23</v>
      </c>
      <c r="I13" s="6" t="s">
        <v>24</v>
      </c>
      <c r="J13" s="6" t="s">
        <v>35</v>
      </c>
      <c r="K13" s="6" t="s">
        <v>23</v>
      </c>
      <c r="L13" s="6" t="s">
        <v>23</v>
      </c>
      <c r="M13" s="6" t="s">
        <v>23</v>
      </c>
      <c r="N13" s="6" t="s">
        <v>23</v>
      </c>
      <c r="O13" s="6" t="s">
        <v>23</v>
      </c>
      <c r="P13" s="6" t="s">
        <v>23</v>
      </c>
      <c r="Q13" s="6" t="s">
        <v>33</v>
      </c>
      <c r="R13" s="6" t="s">
        <v>23</v>
      </c>
      <c r="S13" s="6" t="s">
        <v>75</v>
      </c>
      <c r="T13" s="6" t="s">
        <v>69</v>
      </c>
      <c r="U13" s="7" t="s">
        <v>23</v>
      </c>
      <c r="V13">
        <f>IF(C13="100.00",1,0)</f>
        <v>0</v>
      </c>
      <c r="W13">
        <f>IF(D13="100.00",1,0)</f>
        <v>0</v>
      </c>
      <c r="X13">
        <f>IF(E13="100.00",1,0)</f>
        <v>0</v>
      </c>
      <c r="Y13">
        <f>IF(F13="100.00",1,0)</f>
        <v>0</v>
      </c>
      <c r="Z13">
        <f>IF(G13="100.00",1,0)</f>
        <v>0</v>
      </c>
      <c r="AA13">
        <f>IF(H13="100.00",1,0)</f>
        <v>0</v>
      </c>
      <c r="AB13">
        <f>IF(I13="100.00",1,0)</f>
        <v>1</v>
      </c>
      <c r="AC13">
        <f>IF(J13="100.00",1,0)</f>
        <v>0</v>
      </c>
      <c r="AD13">
        <f>IF(K13="100.00",1,0)</f>
        <v>0</v>
      </c>
      <c r="AE13">
        <f>IF(L13="100.00",1,0)</f>
        <v>0</v>
      </c>
      <c r="AF13">
        <f>IF(M13="100.00",1,0)</f>
        <v>0</v>
      </c>
      <c r="AG13">
        <f>IF(N13="100.00",1,0)</f>
        <v>0</v>
      </c>
      <c r="AH13">
        <f>IF(O13="100.00",1,0)</f>
        <v>0</v>
      </c>
      <c r="AI13">
        <f>IF(P13="100.00",1,0)</f>
        <v>0</v>
      </c>
      <c r="AJ13">
        <f>IF(Q13="100.00",1,0)</f>
        <v>0</v>
      </c>
      <c r="AK13">
        <f>IF(R13="100.00",1,0)</f>
        <v>0</v>
      </c>
      <c r="AL13">
        <f>IF(S13="100.00",1,0)</f>
        <v>0</v>
      </c>
      <c r="AM13">
        <f>IF(T13="100.00",1,0)</f>
        <v>0</v>
      </c>
      <c r="AN13">
        <f>IF(U13="100.00",1,0)</f>
        <v>0</v>
      </c>
      <c r="AO13">
        <f>SUM(V13:AN13)</f>
        <v>1</v>
      </c>
    </row>
    <row r="14" spans="1:41" x14ac:dyDescent="0.35">
      <c r="A14" s="5" t="s">
        <v>77</v>
      </c>
      <c r="B14" s="6">
        <v>95110704362</v>
      </c>
      <c r="C14" s="6" t="s">
        <v>47</v>
      </c>
      <c r="D14" s="6" t="s">
        <v>91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24</v>
      </c>
      <c r="J14" s="6" t="s">
        <v>35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36</v>
      </c>
      <c r="R14" s="6" t="s">
        <v>23</v>
      </c>
      <c r="S14" s="6" t="s">
        <v>58</v>
      </c>
      <c r="T14" s="6" t="s">
        <v>23</v>
      </c>
      <c r="U14" s="7" t="s">
        <v>23</v>
      </c>
      <c r="V14">
        <f>IF(C14="100.00",1,0)</f>
        <v>0</v>
      </c>
      <c r="W14">
        <f>IF(D14="100.00",1,0)</f>
        <v>0</v>
      </c>
      <c r="X14">
        <f>IF(E14="100.00",1,0)</f>
        <v>0</v>
      </c>
      <c r="Y14">
        <f>IF(F14="100.00",1,0)</f>
        <v>0</v>
      </c>
      <c r="Z14">
        <f>IF(G14="100.00",1,0)</f>
        <v>0</v>
      </c>
      <c r="AA14">
        <f>IF(H14="100.00",1,0)</f>
        <v>0</v>
      </c>
      <c r="AB14">
        <f>IF(I14="100.00",1,0)</f>
        <v>1</v>
      </c>
      <c r="AC14">
        <f>IF(J14="100.00",1,0)</f>
        <v>0</v>
      </c>
      <c r="AD14">
        <f>IF(K14="100.00",1,0)</f>
        <v>0</v>
      </c>
      <c r="AE14">
        <f>IF(L14="100.00",1,0)</f>
        <v>0</v>
      </c>
      <c r="AF14">
        <f>IF(M14="100.00",1,0)</f>
        <v>0</v>
      </c>
      <c r="AG14">
        <f>IF(N14="100.00",1,0)</f>
        <v>0</v>
      </c>
      <c r="AH14">
        <f>IF(O14="100.00",1,0)</f>
        <v>0</v>
      </c>
      <c r="AI14">
        <f>IF(P14="100.00",1,0)</f>
        <v>0</v>
      </c>
      <c r="AJ14">
        <f>IF(Q14="100.00",1,0)</f>
        <v>0</v>
      </c>
      <c r="AK14">
        <f>IF(R14="100.00",1,0)</f>
        <v>0</v>
      </c>
      <c r="AL14">
        <f>IF(S14="100.00",1,0)</f>
        <v>0</v>
      </c>
      <c r="AM14">
        <f>IF(T14="100.00",1,0)</f>
        <v>0</v>
      </c>
      <c r="AN14">
        <f>IF(U14="100.00",1,0)</f>
        <v>0</v>
      </c>
      <c r="AO14">
        <f>SUM(V14:AN14)</f>
        <v>1</v>
      </c>
    </row>
    <row r="15" spans="1:41" x14ac:dyDescent="0.35">
      <c r="A15" s="8" t="s">
        <v>92</v>
      </c>
      <c r="B15" s="9">
        <v>95021105139</v>
      </c>
      <c r="C15" s="9" t="s">
        <v>23</v>
      </c>
      <c r="D15" s="9" t="s">
        <v>23</v>
      </c>
      <c r="E15" s="9" t="s">
        <v>23</v>
      </c>
      <c r="F15" s="9" t="s">
        <v>53</v>
      </c>
      <c r="G15" s="9" t="s">
        <v>23</v>
      </c>
      <c r="H15" s="9" t="s">
        <v>23</v>
      </c>
      <c r="I15" s="9" t="s">
        <v>24</v>
      </c>
      <c r="J15" s="9" t="s">
        <v>80</v>
      </c>
      <c r="K15" s="9" t="s">
        <v>23</v>
      </c>
      <c r="L15" s="9" t="s">
        <v>23</v>
      </c>
      <c r="M15" s="9" t="s">
        <v>49</v>
      </c>
      <c r="N15" s="9" t="s">
        <v>23</v>
      </c>
      <c r="O15" s="9" t="s">
        <v>23</v>
      </c>
      <c r="P15" s="9" t="s">
        <v>23</v>
      </c>
      <c r="Q15" s="9" t="s">
        <v>49</v>
      </c>
      <c r="R15" s="9" t="s">
        <v>22</v>
      </c>
      <c r="S15" s="9" t="s">
        <v>94</v>
      </c>
      <c r="T15" s="9" t="s">
        <v>23</v>
      </c>
      <c r="U15" s="10" t="s">
        <v>23</v>
      </c>
      <c r="V15">
        <f>IF(C15="100.00",1,0)</f>
        <v>0</v>
      </c>
      <c r="W15">
        <f>IF(D15="100.00",1,0)</f>
        <v>0</v>
      </c>
      <c r="X15">
        <f>IF(E15="100.00",1,0)</f>
        <v>0</v>
      </c>
      <c r="Y15">
        <f>IF(F15="100.00",1,0)</f>
        <v>0</v>
      </c>
      <c r="Z15">
        <f>IF(G15="100.00",1,0)</f>
        <v>0</v>
      </c>
      <c r="AA15">
        <f>IF(H15="100.00",1,0)</f>
        <v>0</v>
      </c>
      <c r="AB15">
        <f>IF(I15="100.00",1,0)</f>
        <v>1</v>
      </c>
      <c r="AC15">
        <f>IF(J15="100.00",1,0)</f>
        <v>0</v>
      </c>
      <c r="AD15">
        <f>IF(K15="100.00",1,0)</f>
        <v>0</v>
      </c>
      <c r="AE15">
        <f>IF(L15="100.00",1,0)</f>
        <v>0</v>
      </c>
      <c r="AF15">
        <f>IF(M15="100.00",1,0)</f>
        <v>0</v>
      </c>
      <c r="AG15">
        <f>IF(N15="100.00",1,0)</f>
        <v>0</v>
      </c>
      <c r="AH15">
        <f>IF(O15="100.00",1,0)</f>
        <v>0</v>
      </c>
      <c r="AI15">
        <f>IF(P15="100.00",1,0)</f>
        <v>0</v>
      </c>
      <c r="AJ15">
        <f>IF(Q15="100.00",1,0)</f>
        <v>0</v>
      </c>
      <c r="AK15">
        <f>IF(R15="100.00",1,0)</f>
        <v>0</v>
      </c>
      <c r="AL15">
        <f>IF(S15="100.00",1,0)</f>
        <v>0</v>
      </c>
      <c r="AM15">
        <f>IF(T15="100.00",1,0)</f>
        <v>0</v>
      </c>
      <c r="AN15">
        <f>IF(U15="100.00",1,0)</f>
        <v>0</v>
      </c>
      <c r="AO15">
        <f>SUM(V15:AN15)</f>
        <v>1</v>
      </c>
    </row>
    <row r="16" spans="1:41" x14ac:dyDescent="0.35">
      <c r="A16" s="8" t="s">
        <v>92</v>
      </c>
      <c r="B16" s="9">
        <v>95070600715</v>
      </c>
      <c r="C16" s="9" t="s">
        <v>23</v>
      </c>
      <c r="D16" s="9" t="s">
        <v>23</v>
      </c>
      <c r="E16" s="9" t="s">
        <v>23</v>
      </c>
      <c r="F16" s="9" t="s">
        <v>82</v>
      </c>
      <c r="G16" s="9" t="s">
        <v>23</v>
      </c>
      <c r="H16" s="9" t="s">
        <v>23</v>
      </c>
      <c r="I16" s="9" t="s">
        <v>24</v>
      </c>
      <c r="J16" s="9" t="s">
        <v>52</v>
      </c>
      <c r="K16" s="9" t="s">
        <v>23</v>
      </c>
      <c r="L16" s="9" t="s">
        <v>23</v>
      </c>
      <c r="M16" s="9" t="s">
        <v>23</v>
      </c>
      <c r="N16" s="9" t="s">
        <v>23</v>
      </c>
      <c r="O16" s="9" t="s">
        <v>23</v>
      </c>
      <c r="P16" s="9" t="s">
        <v>23</v>
      </c>
      <c r="Q16" s="9" t="s">
        <v>74</v>
      </c>
      <c r="R16" s="9" t="s">
        <v>84</v>
      </c>
      <c r="S16" s="9" t="s">
        <v>82</v>
      </c>
      <c r="T16" s="9" t="s">
        <v>23</v>
      </c>
      <c r="U16" s="10" t="s">
        <v>78</v>
      </c>
      <c r="V16">
        <f>IF(C16="100.00",1,0)</f>
        <v>0</v>
      </c>
      <c r="W16">
        <f>IF(D16="100.00",1,0)</f>
        <v>0</v>
      </c>
      <c r="X16">
        <f>IF(E16="100.00",1,0)</f>
        <v>0</v>
      </c>
      <c r="Y16">
        <f>IF(F16="100.00",1,0)</f>
        <v>0</v>
      </c>
      <c r="Z16">
        <f>IF(G16="100.00",1,0)</f>
        <v>0</v>
      </c>
      <c r="AA16">
        <f>IF(H16="100.00",1,0)</f>
        <v>0</v>
      </c>
      <c r="AB16">
        <f>IF(I16="100.00",1,0)</f>
        <v>1</v>
      </c>
      <c r="AC16">
        <f>IF(J16="100.00",1,0)</f>
        <v>0</v>
      </c>
      <c r="AD16">
        <f>IF(K16="100.00",1,0)</f>
        <v>0</v>
      </c>
      <c r="AE16">
        <f>IF(L16="100.00",1,0)</f>
        <v>0</v>
      </c>
      <c r="AF16">
        <f>IF(M16="100.00",1,0)</f>
        <v>0</v>
      </c>
      <c r="AG16">
        <f>IF(N16="100.00",1,0)</f>
        <v>0</v>
      </c>
      <c r="AH16">
        <f>IF(O16="100.00",1,0)</f>
        <v>0</v>
      </c>
      <c r="AI16">
        <f>IF(P16="100.00",1,0)</f>
        <v>0</v>
      </c>
      <c r="AJ16">
        <f>IF(Q16="100.00",1,0)</f>
        <v>0</v>
      </c>
      <c r="AK16">
        <f>IF(R16="100.00",1,0)</f>
        <v>0</v>
      </c>
      <c r="AL16">
        <f>IF(S16="100.00",1,0)</f>
        <v>0</v>
      </c>
      <c r="AM16">
        <f>IF(T16="100.00",1,0)</f>
        <v>0</v>
      </c>
      <c r="AN16">
        <f>IF(U16="100.00",1,0)</f>
        <v>0</v>
      </c>
      <c r="AO16">
        <f>SUM(V16:AN16)</f>
        <v>1</v>
      </c>
    </row>
    <row r="17" spans="1:41" x14ac:dyDescent="0.35">
      <c r="A17" s="8" t="s">
        <v>92</v>
      </c>
      <c r="B17" s="9">
        <v>95072901340</v>
      </c>
      <c r="C17" s="9" t="s">
        <v>23</v>
      </c>
      <c r="D17" s="9" t="s">
        <v>23</v>
      </c>
      <c r="E17" s="9" t="s">
        <v>23</v>
      </c>
      <c r="F17" s="9" t="s">
        <v>23</v>
      </c>
      <c r="G17" s="9" t="s">
        <v>23</v>
      </c>
      <c r="H17" s="9" t="s">
        <v>23</v>
      </c>
      <c r="I17" s="9" t="s">
        <v>25</v>
      </c>
      <c r="J17" s="9" t="s">
        <v>76</v>
      </c>
      <c r="K17" s="9" t="s">
        <v>23</v>
      </c>
      <c r="L17" s="9" t="s">
        <v>23</v>
      </c>
      <c r="M17" s="9" t="s">
        <v>23</v>
      </c>
      <c r="N17" s="9" t="s">
        <v>23</v>
      </c>
      <c r="O17" s="9" t="s">
        <v>23</v>
      </c>
      <c r="P17" s="9" t="s">
        <v>23</v>
      </c>
      <c r="Q17" s="9" t="s">
        <v>24</v>
      </c>
      <c r="R17" s="9" t="s">
        <v>76</v>
      </c>
      <c r="S17" s="9" t="s">
        <v>61</v>
      </c>
      <c r="T17" s="9" t="s">
        <v>33</v>
      </c>
      <c r="U17" s="10" t="s">
        <v>23</v>
      </c>
      <c r="V17">
        <f>IF(C17="100.00",1,0)</f>
        <v>0</v>
      </c>
      <c r="W17">
        <f>IF(D17="100.00",1,0)</f>
        <v>0</v>
      </c>
      <c r="X17">
        <f>IF(E17="100.00",1,0)</f>
        <v>0</v>
      </c>
      <c r="Y17">
        <f>IF(F17="100.00",1,0)</f>
        <v>0</v>
      </c>
      <c r="Z17">
        <f>IF(G17="100.00",1,0)</f>
        <v>0</v>
      </c>
      <c r="AA17">
        <f>IF(H17="100.00",1,0)</f>
        <v>0</v>
      </c>
      <c r="AB17">
        <f>IF(I17="100.00",1,0)</f>
        <v>0</v>
      </c>
      <c r="AC17">
        <f>IF(J17="100.00",1,0)</f>
        <v>0</v>
      </c>
      <c r="AD17">
        <f>IF(K17="100.00",1,0)</f>
        <v>0</v>
      </c>
      <c r="AE17">
        <f>IF(L17="100.00",1,0)</f>
        <v>0</v>
      </c>
      <c r="AF17">
        <f>IF(M17="100.00",1,0)</f>
        <v>0</v>
      </c>
      <c r="AG17">
        <f>IF(N17="100.00",1,0)</f>
        <v>0</v>
      </c>
      <c r="AH17">
        <f>IF(O17="100.00",1,0)</f>
        <v>0</v>
      </c>
      <c r="AI17">
        <f>IF(P17="100.00",1,0)</f>
        <v>0</v>
      </c>
      <c r="AJ17">
        <f>IF(Q17="100.00",1,0)</f>
        <v>1</v>
      </c>
      <c r="AK17">
        <f>IF(R17="100.00",1,0)</f>
        <v>0</v>
      </c>
      <c r="AL17">
        <f>IF(S17="100.00",1,0)</f>
        <v>0</v>
      </c>
      <c r="AM17">
        <f>IF(T17="100.00",1,0)</f>
        <v>0</v>
      </c>
      <c r="AN17">
        <f>IF(U17="100.00",1,0)</f>
        <v>0</v>
      </c>
      <c r="AO17">
        <f>SUM(V17:AN17)</f>
        <v>1</v>
      </c>
    </row>
    <row r="18" spans="1:41" x14ac:dyDescent="0.35">
      <c r="A18" s="5" t="s">
        <v>92</v>
      </c>
      <c r="B18" s="6">
        <v>95072901364</v>
      </c>
      <c r="C18" s="6" t="s">
        <v>23</v>
      </c>
      <c r="D18" s="6" t="s">
        <v>23</v>
      </c>
      <c r="E18" s="6" t="s">
        <v>23</v>
      </c>
      <c r="F18" s="6" t="s">
        <v>23</v>
      </c>
      <c r="G18" s="6" t="s">
        <v>23</v>
      </c>
      <c r="H18" s="6" t="s">
        <v>23</v>
      </c>
      <c r="I18" s="6" t="s">
        <v>24</v>
      </c>
      <c r="J18" s="6" t="s">
        <v>35</v>
      </c>
      <c r="K18" s="6" t="s">
        <v>71</v>
      </c>
      <c r="L18" s="6" t="s">
        <v>23</v>
      </c>
      <c r="M18" s="6" t="s">
        <v>23</v>
      </c>
      <c r="N18" s="6" t="s">
        <v>23</v>
      </c>
      <c r="O18" s="6" t="s">
        <v>23</v>
      </c>
      <c r="P18" s="6" t="s">
        <v>23</v>
      </c>
      <c r="Q18" s="6" t="s">
        <v>51</v>
      </c>
      <c r="R18" s="6" t="s">
        <v>22</v>
      </c>
      <c r="S18" s="6" t="s">
        <v>67</v>
      </c>
      <c r="T18" s="6" t="s">
        <v>23</v>
      </c>
      <c r="U18" s="7" t="s">
        <v>23</v>
      </c>
      <c r="V18">
        <f>IF(C18="100.00",1,0)</f>
        <v>0</v>
      </c>
      <c r="W18">
        <f>IF(D18="100.00",1,0)</f>
        <v>0</v>
      </c>
      <c r="X18">
        <f>IF(E18="100.00",1,0)</f>
        <v>0</v>
      </c>
      <c r="Y18">
        <f>IF(F18="100.00",1,0)</f>
        <v>0</v>
      </c>
      <c r="Z18">
        <f>IF(G18="100.00",1,0)</f>
        <v>0</v>
      </c>
      <c r="AA18">
        <f>IF(H18="100.00",1,0)</f>
        <v>0</v>
      </c>
      <c r="AB18">
        <f>IF(I18="100.00",1,0)</f>
        <v>1</v>
      </c>
      <c r="AC18">
        <f>IF(J18="100.00",1,0)</f>
        <v>0</v>
      </c>
      <c r="AD18">
        <f>IF(K18="100.00",1,0)</f>
        <v>0</v>
      </c>
      <c r="AE18">
        <f>IF(L18="100.00",1,0)</f>
        <v>0</v>
      </c>
      <c r="AF18">
        <f>IF(M18="100.00",1,0)</f>
        <v>0</v>
      </c>
      <c r="AG18">
        <f>IF(N18="100.00",1,0)</f>
        <v>0</v>
      </c>
      <c r="AH18">
        <f>IF(O18="100.00",1,0)</f>
        <v>0</v>
      </c>
      <c r="AI18">
        <f>IF(P18="100.00",1,0)</f>
        <v>0</v>
      </c>
      <c r="AJ18">
        <f>IF(Q18="100.00",1,0)</f>
        <v>0</v>
      </c>
      <c r="AK18">
        <f>IF(R18="100.00",1,0)</f>
        <v>0</v>
      </c>
      <c r="AL18">
        <f>IF(S18="100.00",1,0)</f>
        <v>0</v>
      </c>
      <c r="AM18">
        <f>IF(T18="100.00",1,0)</f>
        <v>0</v>
      </c>
      <c r="AN18">
        <f>IF(U18="100.00",1,0)</f>
        <v>0</v>
      </c>
      <c r="AO18">
        <f>SUM(V18:AN18)</f>
        <v>1</v>
      </c>
    </row>
    <row r="19" spans="1:41" x14ac:dyDescent="0.35">
      <c r="A19" s="5" t="s">
        <v>92</v>
      </c>
      <c r="B19" s="6">
        <v>95100703063</v>
      </c>
      <c r="C19" s="6" t="s">
        <v>23</v>
      </c>
      <c r="D19" s="6" t="s">
        <v>23</v>
      </c>
      <c r="E19" s="6" t="s">
        <v>23</v>
      </c>
      <c r="F19" s="6" t="s">
        <v>41</v>
      </c>
      <c r="G19" s="6" t="s">
        <v>23</v>
      </c>
      <c r="H19" s="6" t="s">
        <v>23</v>
      </c>
      <c r="I19" s="6" t="s">
        <v>49</v>
      </c>
      <c r="J19" s="6" t="s">
        <v>39</v>
      </c>
      <c r="K19" s="6" t="s">
        <v>23</v>
      </c>
      <c r="L19" s="6" t="s">
        <v>23</v>
      </c>
      <c r="M19" s="6" t="s">
        <v>23</v>
      </c>
      <c r="N19" s="6" t="s">
        <v>23</v>
      </c>
      <c r="O19" s="6" t="s">
        <v>48</v>
      </c>
      <c r="P19" s="6" t="s">
        <v>23</v>
      </c>
      <c r="Q19" s="6" t="s">
        <v>24</v>
      </c>
      <c r="R19" s="6" t="s">
        <v>67</v>
      </c>
      <c r="S19" s="6" t="s">
        <v>72</v>
      </c>
      <c r="T19" s="6" t="s">
        <v>23</v>
      </c>
      <c r="U19" s="7" t="s">
        <v>23</v>
      </c>
      <c r="V19">
        <f>IF(C19="100.00",1,0)</f>
        <v>0</v>
      </c>
      <c r="W19">
        <f>IF(D19="100.00",1,0)</f>
        <v>0</v>
      </c>
      <c r="X19">
        <f>IF(E19="100.00",1,0)</f>
        <v>0</v>
      </c>
      <c r="Y19">
        <f>IF(F19="100.00",1,0)</f>
        <v>0</v>
      </c>
      <c r="Z19">
        <f>IF(G19="100.00",1,0)</f>
        <v>0</v>
      </c>
      <c r="AA19">
        <f>IF(H19="100.00",1,0)</f>
        <v>0</v>
      </c>
      <c r="AB19">
        <f>IF(I19="100.00",1,0)</f>
        <v>0</v>
      </c>
      <c r="AC19">
        <f>IF(J19="100.00",1,0)</f>
        <v>0</v>
      </c>
      <c r="AD19">
        <f>IF(K19="100.00",1,0)</f>
        <v>0</v>
      </c>
      <c r="AE19">
        <f>IF(L19="100.00",1,0)</f>
        <v>0</v>
      </c>
      <c r="AF19">
        <f>IF(M19="100.00",1,0)</f>
        <v>0</v>
      </c>
      <c r="AG19">
        <f>IF(N19="100.00",1,0)</f>
        <v>0</v>
      </c>
      <c r="AH19">
        <f>IF(O19="100.00",1,0)</f>
        <v>0</v>
      </c>
      <c r="AI19">
        <f>IF(P19="100.00",1,0)</f>
        <v>0</v>
      </c>
      <c r="AJ19">
        <f>IF(Q19="100.00",1,0)</f>
        <v>1</v>
      </c>
      <c r="AK19">
        <f>IF(R19="100.00",1,0)</f>
        <v>0</v>
      </c>
      <c r="AL19">
        <f>IF(S19="100.00",1,0)</f>
        <v>0</v>
      </c>
      <c r="AM19">
        <f>IF(T19="100.00",1,0)</f>
        <v>0</v>
      </c>
      <c r="AN19">
        <f>IF(U19="100.00",1,0)</f>
        <v>0</v>
      </c>
      <c r="AO19">
        <f>SUM(V19:AN19)</f>
        <v>1</v>
      </c>
    </row>
    <row r="20" spans="1:41" x14ac:dyDescent="0.35">
      <c r="A20" s="5" t="s">
        <v>96</v>
      </c>
      <c r="B20" s="6">
        <v>95012801194</v>
      </c>
      <c r="C20" s="6" t="s">
        <v>23</v>
      </c>
      <c r="D20" s="6" t="s">
        <v>23</v>
      </c>
      <c r="E20" s="6" t="s">
        <v>46</v>
      </c>
      <c r="F20" s="6" t="s">
        <v>23</v>
      </c>
      <c r="G20" s="6" t="s">
        <v>23</v>
      </c>
      <c r="H20" s="6" t="s">
        <v>39</v>
      </c>
      <c r="I20" s="6" t="s">
        <v>40</v>
      </c>
      <c r="J20" s="6" t="s">
        <v>48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 t="s">
        <v>24</v>
      </c>
      <c r="R20" s="6" t="s">
        <v>38</v>
      </c>
      <c r="S20" s="6" t="s">
        <v>27</v>
      </c>
      <c r="T20" s="6" t="s">
        <v>23</v>
      </c>
      <c r="U20" s="7" t="s">
        <v>23</v>
      </c>
      <c r="V20">
        <f>IF(C20="100.00",1,0)</f>
        <v>0</v>
      </c>
      <c r="W20">
        <f>IF(D20="100.00",1,0)</f>
        <v>0</v>
      </c>
      <c r="X20">
        <f>IF(E20="100.00",1,0)</f>
        <v>0</v>
      </c>
      <c r="Y20">
        <f>IF(F20="100.00",1,0)</f>
        <v>0</v>
      </c>
      <c r="Z20">
        <f>IF(G20="100.00",1,0)</f>
        <v>0</v>
      </c>
      <c r="AA20">
        <f>IF(H20="100.00",1,0)</f>
        <v>0</v>
      </c>
      <c r="AB20">
        <f>IF(I20="100.00",1,0)</f>
        <v>0</v>
      </c>
      <c r="AC20">
        <f>IF(J20="100.00",1,0)</f>
        <v>0</v>
      </c>
      <c r="AD20">
        <f>IF(K20="100.00",1,0)</f>
        <v>0</v>
      </c>
      <c r="AE20">
        <f>IF(L20="100.00",1,0)</f>
        <v>0</v>
      </c>
      <c r="AF20">
        <f>IF(M20="100.00",1,0)</f>
        <v>0</v>
      </c>
      <c r="AG20">
        <f>IF(N20="100.00",1,0)</f>
        <v>0</v>
      </c>
      <c r="AH20">
        <f>IF(O20="100.00",1,0)</f>
        <v>0</v>
      </c>
      <c r="AI20">
        <f>IF(P20="100.00",1,0)</f>
        <v>0</v>
      </c>
      <c r="AJ20">
        <f>IF(Q20="100.00",1,0)</f>
        <v>1</v>
      </c>
      <c r="AK20">
        <f>IF(R20="100.00",1,0)</f>
        <v>0</v>
      </c>
      <c r="AL20">
        <f>IF(S20="100.00",1,0)</f>
        <v>0</v>
      </c>
      <c r="AM20">
        <f>IF(T20="100.00",1,0)</f>
        <v>0</v>
      </c>
      <c r="AN20">
        <f>IF(U20="100.00",1,0)</f>
        <v>0</v>
      </c>
      <c r="AO20">
        <f>SUM(V20:AN20)</f>
        <v>1</v>
      </c>
    </row>
    <row r="21" spans="1:41" x14ac:dyDescent="0.35">
      <c r="A21" s="8" t="s">
        <v>96</v>
      </c>
      <c r="B21" s="9">
        <v>95012904927</v>
      </c>
      <c r="C21" s="9" t="s">
        <v>23</v>
      </c>
      <c r="D21" s="9" t="s">
        <v>23</v>
      </c>
      <c r="E21" s="9" t="s">
        <v>74</v>
      </c>
      <c r="F21" s="9" t="s">
        <v>23</v>
      </c>
      <c r="G21" s="9" t="s">
        <v>23</v>
      </c>
      <c r="H21" s="9" t="s">
        <v>23</v>
      </c>
      <c r="I21" s="9" t="s">
        <v>24</v>
      </c>
      <c r="J21" s="9" t="s">
        <v>25</v>
      </c>
      <c r="K21" s="9" t="s">
        <v>23</v>
      </c>
      <c r="L21" s="9" t="s">
        <v>23</v>
      </c>
      <c r="M21" s="9" t="s">
        <v>23</v>
      </c>
      <c r="N21" s="9" t="s">
        <v>23</v>
      </c>
      <c r="O21" s="9" t="s">
        <v>23</v>
      </c>
      <c r="P21" s="9" t="s">
        <v>23</v>
      </c>
      <c r="Q21" s="9" t="s">
        <v>56</v>
      </c>
      <c r="R21" s="9" t="s">
        <v>27</v>
      </c>
      <c r="S21" s="9" t="s">
        <v>55</v>
      </c>
      <c r="T21" s="9" t="s">
        <v>23</v>
      </c>
      <c r="U21" s="10" t="s">
        <v>23</v>
      </c>
      <c r="V21">
        <f>IF(C21="100.00",1,0)</f>
        <v>0</v>
      </c>
      <c r="W21">
        <f>IF(D21="100.00",1,0)</f>
        <v>0</v>
      </c>
      <c r="X21">
        <f>IF(E21="100.00",1,0)</f>
        <v>0</v>
      </c>
      <c r="Y21">
        <f>IF(F21="100.00",1,0)</f>
        <v>0</v>
      </c>
      <c r="Z21">
        <f>IF(G21="100.00",1,0)</f>
        <v>0</v>
      </c>
      <c r="AA21">
        <f>IF(H21="100.00",1,0)</f>
        <v>0</v>
      </c>
      <c r="AB21">
        <f>IF(I21="100.00",1,0)</f>
        <v>1</v>
      </c>
      <c r="AC21">
        <f>IF(J21="100.00",1,0)</f>
        <v>0</v>
      </c>
      <c r="AD21">
        <f>IF(K21="100.00",1,0)</f>
        <v>0</v>
      </c>
      <c r="AE21">
        <f>IF(L21="100.00",1,0)</f>
        <v>0</v>
      </c>
      <c r="AF21">
        <f>IF(M21="100.00",1,0)</f>
        <v>0</v>
      </c>
      <c r="AG21">
        <f>IF(N21="100.00",1,0)</f>
        <v>0</v>
      </c>
      <c r="AH21">
        <f>IF(O21="100.00",1,0)</f>
        <v>0</v>
      </c>
      <c r="AI21">
        <f>IF(P21="100.00",1,0)</f>
        <v>0</v>
      </c>
      <c r="AJ21">
        <f>IF(Q21="100.00",1,0)</f>
        <v>0</v>
      </c>
      <c r="AK21">
        <f>IF(R21="100.00",1,0)</f>
        <v>0</v>
      </c>
      <c r="AL21">
        <f>IF(S21="100.00",1,0)</f>
        <v>0</v>
      </c>
      <c r="AM21">
        <f>IF(T21="100.00",1,0)</f>
        <v>0</v>
      </c>
      <c r="AN21">
        <f>IF(U21="100.00",1,0)</f>
        <v>0</v>
      </c>
      <c r="AO21">
        <f>SUM(V21:AN21)</f>
        <v>1</v>
      </c>
    </row>
    <row r="22" spans="1:41" x14ac:dyDescent="0.35">
      <c r="A22" s="8" t="s">
        <v>96</v>
      </c>
      <c r="B22" s="9">
        <v>95052901713</v>
      </c>
      <c r="C22" s="9" t="s">
        <v>23</v>
      </c>
      <c r="D22" s="9" t="s">
        <v>23</v>
      </c>
      <c r="E22" s="9" t="s">
        <v>23</v>
      </c>
      <c r="F22" s="9" t="s">
        <v>69</v>
      </c>
      <c r="G22" s="9" t="s">
        <v>23</v>
      </c>
      <c r="H22" s="9" t="s">
        <v>23</v>
      </c>
      <c r="I22" s="9" t="s">
        <v>24</v>
      </c>
      <c r="J22" s="9" t="s">
        <v>27</v>
      </c>
      <c r="K22" s="9" t="s">
        <v>23</v>
      </c>
      <c r="L22" s="9" t="s">
        <v>23</v>
      </c>
      <c r="M22" s="9" t="s">
        <v>23</v>
      </c>
      <c r="N22" s="9" t="s">
        <v>23</v>
      </c>
      <c r="O22" s="9" t="s">
        <v>23</v>
      </c>
      <c r="P22" s="9" t="s">
        <v>23</v>
      </c>
      <c r="Q22" s="9" t="s">
        <v>39</v>
      </c>
      <c r="R22" s="9" t="s">
        <v>81</v>
      </c>
      <c r="S22" s="9" t="s">
        <v>73</v>
      </c>
      <c r="T22" s="9" t="s">
        <v>23</v>
      </c>
      <c r="U22" s="10" t="s">
        <v>23</v>
      </c>
      <c r="V22">
        <f>IF(C22="100.00",1,0)</f>
        <v>0</v>
      </c>
      <c r="W22">
        <f>IF(D22="100.00",1,0)</f>
        <v>0</v>
      </c>
      <c r="X22">
        <f>IF(E22="100.00",1,0)</f>
        <v>0</v>
      </c>
      <c r="Y22">
        <f>IF(F22="100.00",1,0)</f>
        <v>0</v>
      </c>
      <c r="Z22">
        <f>IF(G22="100.00",1,0)</f>
        <v>0</v>
      </c>
      <c r="AA22">
        <f>IF(H22="100.00",1,0)</f>
        <v>0</v>
      </c>
      <c r="AB22">
        <f>IF(I22="100.00",1,0)</f>
        <v>1</v>
      </c>
      <c r="AC22">
        <f>IF(J22="100.00",1,0)</f>
        <v>0</v>
      </c>
      <c r="AD22">
        <f>IF(K22="100.00",1,0)</f>
        <v>0</v>
      </c>
      <c r="AE22">
        <f>IF(L22="100.00",1,0)</f>
        <v>0</v>
      </c>
      <c r="AF22">
        <f>IF(M22="100.00",1,0)</f>
        <v>0</v>
      </c>
      <c r="AG22">
        <f>IF(N22="100.00",1,0)</f>
        <v>0</v>
      </c>
      <c r="AH22">
        <f>IF(O22="100.00",1,0)</f>
        <v>0</v>
      </c>
      <c r="AI22">
        <f>IF(P22="100.00",1,0)</f>
        <v>0</v>
      </c>
      <c r="AJ22">
        <f>IF(Q22="100.00",1,0)</f>
        <v>0</v>
      </c>
      <c r="AK22">
        <f>IF(R22="100.00",1,0)</f>
        <v>0</v>
      </c>
      <c r="AL22">
        <f>IF(S22="100.00",1,0)</f>
        <v>0</v>
      </c>
      <c r="AM22">
        <f>IF(T22="100.00",1,0)</f>
        <v>0</v>
      </c>
      <c r="AN22">
        <f>IF(U22="100.00",1,0)</f>
        <v>0</v>
      </c>
      <c r="AO22">
        <f>SUM(V22:AN22)</f>
        <v>1</v>
      </c>
    </row>
    <row r="23" spans="1:41" x14ac:dyDescent="0.35">
      <c r="A23" s="5" t="s">
        <v>96</v>
      </c>
      <c r="B23" s="6">
        <v>95060303600</v>
      </c>
      <c r="C23" s="6" t="s">
        <v>23</v>
      </c>
      <c r="D23" s="6" t="s">
        <v>23</v>
      </c>
      <c r="E23" s="6" t="s">
        <v>23</v>
      </c>
      <c r="F23" s="6" t="s">
        <v>23</v>
      </c>
      <c r="G23" s="6" t="s">
        <v>23</v>
      </c>
      <c r="H23" s="6" t="s">
        <v>23</v>
      </c>
      <c r="I23" s="6" t="s">
        <v>24</v>
      </c>
      <c r="J23" s="6" t="s">
        <v>49</v>
      </c>
      <c r="K23" s="6" t="s">
        <v>66</v>
      </c>
      <c r="L23" s="6" t="s">
        <v>23</v>
      </c>
      <c r="M23" s="6" t="s">
        <v>23</v>
      </c>
      <c r="N23" s="6" t="s">
        <v>23</v>
      </c>
      <c r="O23" s="6" t="s">
        <v>23</v>
      </c>
      <c r="P23" s="6" t="s">
        <v>23</v>
      </c>
      <c r="Q23" s="6" t="s">
        <v>27</v>
      </c>
      <c r="R23" s="6" t="s">
        <v>51</v>
      </c>
      <c r="S23" s="6" t="s">
        <v>51</v>
      </c>
      <c r="T23" s="6" t="s">
        <v>23</v>
      </c>
      <c r="U23" s="7" t="s">
        <v>23</v>
      </c>
      <c r="V23">
        <f>IF(C23="100.00",1,0)</f>
        <v>0</v>
      </c>
      <c r="W23">
        <f>IF(D23="100.00",1,0)</f>
        <v>0</v>
      </c>
      <c r="X23">
        <f>IF(E23="100.00",1,0)</f>
        <v>0</v>
      </c>
      <c r="Y23">
        <f>IF(F23="100.00",1,0)</f>
        <v>0</v>
      </c>
      <c r="Z23">
        <f>IF(G23="100.00",1,0)</f>
        <v>0</v>
      </c>
      <c r="AA23">
        <f>IF(H23="100.00",1,0)</f>
        <v>0</v>
      </c>
      <c r="AB23">
        <f>IF(I23="100.00",1,0)</f>
        <v>1</v>
      </c>
      <c r="AC23">
        <f>IF(J23="100.00",1,0)</f>
        <v>0</v>
      </c>
      <c r="AD23">
        <f>IF(K23="100.00",1,0)</f>
        <v>0</v>
      </c>
      <c r="AE23">
        <f>IF(L23="100.00",1,0)</f>
        <v>0</v>
      </c>
      <c r="AF23">
        <f>IF(M23="100.00",1,0)</f>
        <v>0</v>
      </c>
      <c r="AG23">
        <f>IF(N23="100.00",1,0)</f>
        <v>0</v>
      </c>
      <c r="AH23">
        <f>IF(O23="100.00",1,0)</f>
        <v>0</v>
      </c>
      <c r="AI23">
        <f>IF(P23="100.00",1,0)</f>
        <v>0</v>
      </c>
      <c r="AJ23">
        <f>IF(Q23="100.00",1,0)</f>
        <v>0</v>
      </c>
      <c r="AK23">
        <f>IF(R23="100.00",1,0)</f>
        <v>0</v>
      </c>
      <c r="AL23">
        <f>IF(S23="100.00",1,0)</f>
        <v>0</v>
      </c>
      <c r="AM23">
        <f>IF(T23="100.00",1,0)</f>
        <v>0</v>
      </c>
      <c r="AN23">
        <f>IF(U23="100.00",1,0)</f>
        <v>0</v>
      </c>
      <c r="AO23">
        <f>SUM(V23:AN23)</f>
        <v>1</v>
      </c>
    </row>
    <row r="24" spans="1:41" x14ac:dyDescent="0.35">
      <c r="A24" s="5" t="s">
        <v>96</v>
      </c>
      <c r="B24" s="6">
        <v>95060913018</v>
      </c>
      <c r="C24" s="6" t="s">
        <v>23</v>
      </c>
      <c r="D24" s="6" t="s">
        <v>23</v>
      </c>
      <c r="E24" s="6" t="s">
        <v>71</v>
      </c>
      <c r="F24" s="6" t="s">
        <v>23</v>
      </c>
      <c r="G24" s="6" t="s">
        <v>23</v>
      </c>
      <c r="H24" s="6" t="s">
        <v>23</v>
      </c>
      <c r="I24" s="6" t="s">
        <v>40</v>
      </c>
      <c r="J24" s="6" t="s">
        <v>63</v>
      </c>
      <c r="K24" s="6" t="s">
        <v>23</v>
      </c>
      <c r="L24" s="6" t="s">
        <v>23</v>
      </c>
      <c r="M24" s="6" t="s">
        <v>23</v>
      </c>
      <c r="N24" s="6" t="s">
        <v>23</v>
      </c>
      <c r="O24" s="6" t="s">
        <v>23</v>
      </c>
      <c r="P24" s="6" t="s">
        <v>23</v>
      </c>
      <c r="Q24" s="6" t="s">
        <v>24</v>
      </c>
      <c r="R24" s="6" t="s">
        <v>39</v>
      </c>
      <c r="S24" s="6" t="s">
        <v>70</v>
      </c>
      <c r="T24" s="6" t="s">
        <v>23</v>
      </c>
      <c r="U24" s="7" t="s">
        <v>23</v>
      </c>
      <c r="V24">
        <f>IF(C24="100.00",1,0)</f>
        <v>0</v>
      </c>
      <c r="W24">
        <f>IF(D24="100.00",1,0)</f>
        <v>0</v>
      </c>
      <c r="X24">
        <f>IF(E24="100.00",1,0)</f>
        <v>0</v>
      </c>
      <c r="Y24">
        <f>IF(F24="100.00",1,0)</f>
        <v>0</v>
      </c>
      <c r="Z24">
        <f>IF(G24="100.00",1,0)</f>
        <v>0</v>
      </c>
      <c r="AA24">
        <f>IF(H24="100.00",1,0)</f>
        <v>0</v>
      </c>
      <c r="AB24">
        <f>IF(I24="100.00",1,0)</f>
        <v>0</v>
      </c>
      <c r="AC24">
        <f>IF(J24="100.00",1,0)</f>
        <v>0</v>
      </c>
      <c r="AD24">
        <f>IF(K24="100.00",1,0)</f>
        <v>0</v>
      </c>
      <c r="AE24">
        <f>IF(L24="100.00",1,0)</f>
        <v>0</v>
      </c>
      <c r="AF24">
        <f>IF(M24="100.00",1,0)</f>
        <v>0</v>
      </c>
      <c r="AG24">
        <f>IF(N24="100.00",1,0)</f>
        <v>0</v>
      </c>
      <c r="AH24">
        <f>IF(O24="100.00",1,0)</f>
        <v>0</v>
      </c>
      <c r="AI24">
        <f>IF(P24="100.00",1,0)</f>
        <v>0</v>
      </c>
      <c r="AJ24">
        <f>IF(Q24="100.00",1,0)</f>
        <v>1</v>
      </c>
      <c r="AK24">
        <f>IF(R24="100.00",1,0)</f>
        <v>0</v>
      </c>
      <c r="AL24">
        <f>IF(S24="100.00",1,0)</f>
        <v>0</v>
      </c>
      <c r="AM24">
        <f>IF(T24="100.00",1,0)</f>
        <v>0</v>
      </c>
      <c r="AN24">
        <f>IF(U24="100.00",1,0)</f>
        <v>0</v>
      </c>
      <c r="AO24">
        <f>SUM(V24:AN24)</f>
        <v>1</v>
      </c>
    </row>
    <row r="25" spans="1:41" x14ac:dyDescent="0.35">
      <c r="A25" s="8" t="s">
        <v>96</v>
      </c>
      <c r="B25" s="9">
        <v>95072510054</v>
      </c>
      <c r="C25" s="9" t="s">
        <v>23</v>
      </c>
      <c r="D25" s="9" t="s">
        <v>23</v>
      </c>
      <c r="E25" s="9" t="s">
        <v>42</v>
      </c>
      <c r="F25" s="9" t="s">
        <v>23</v>
      </c>
      <c r="G25" s="9" t="s">
        <v>23</v>
      </c>
      <c r="H25" s="9" t="s">
        <v>23</v>
      </c>
      <c r="I25" s="9" t="s">
        <v>24</v>
      </c>
      <c r="J25" s="9" t="s">
        <v>46</v>
      </c>
      <c r="K25" s="9" t="s">
        <v>23</v>
      </c>
      <c r="L25" s="9" t="s">
        <v>23</v>
      </c>
      <c r="M25" s="9" t="s">
        <v>23</v>
      </c>
      <c r="N25" s="9" t="s">
        <v>23</v>
      </c>
      <c r="O25" s="9" t="s">
        <v>23</v>
      </c>
      <c r="P25" s="9" t="s">
        <v>23</v>
      </c>
      <c r="Q25" s="9" t="s">
        <v>35</v>
      </c>
      <c r="R25" s="9" t="s">
        <v>84</v>
      </c>
      <c r="S25" s="9" t="s">
        <v>51</v>
      </c>
      <c r="T25" s="9" t="s">
        <v>23</v>
      </c>
      <c r="U25" s="10" t="s">
        <v>23</v>
      </c>
      <c r="V25">
        <f>IF(C25="100.00",1,0)</f>
        <v>0</v>
      </c>
      <c r="W25">
        <f>IF(D25="100.00",1,0)</f>
        <v>0</v>
      </c>
      <c r="X25">
        <f>IF(E25="100.00",1,0)</f>
        <v>0</v>
      </c>
      <c r="Y25">
        <f>IF(F25="100.00",1,0)</f>
        <v>0</v>
      </c>
      <c r="Z25">
        <f>IF(G25="100.00",1,0)</f>
        <v>0</v>
      </c>
      <c r="AA25">
        <f>IF(H25="100.00",1,0)</f>
        <v>0</v>
      </c>
      <c r="AB25">
        <f>IF(I25="100.00",1,0)</f>
        <v>1</v>
      </c>
      <c r="AC25">
        <f>IF(J25="100.00",1,0)</f>
        <v>0</v>
      </c>
      <c r="AD25">
        <f>IF(K25="100.00",1,0)</f>
        <v>0</v>
      </c>
      <c r="AE25">
        <f>IF(L25="100.00",1,0)</f>
        <v>0</v>
      </c>
      <c r="AF25">
        <f>IF(M25="100.00",1,0)</f>
        <v>0</v>
      </c>
      <c r="AG25">
        <f>IF(N25="100.00",1,0)</f>
        <v>0</v>
      </c>
      <c r="AH25">
        <f>IF(O25="100.00",1,0)</f>
        <v>0</v>
      </c>
      <c r="AI25">
        <f>IF(P25="100.00",1,0)</f>
        <v>0</v>
      </c>
      <c r="AJ25">
        <f>IF(Q25="100.00",1,0)</f>
        <v>0</v>
      </c>
      <c r="AK25">
        <f>IF(R25="100.00",1,0)</f>
        <v>0</v>
      </c>
      <c r="AL25">
        <f>IF(S25="100.00",1,0)</f>
        <v>0</v>
      </c>
      <c r="AM25">
        <f>IF(T25="100.00",1,0)</f>
        <v>0</v>
      </c>
      <c r="AN25">
        <f>IF(U25="100.00",1,0)</f>
        <v>0</v>
      </c>
      <c r="AO25">
        <f>SUM(V25:AN25)</f>
        <v>1</v>
      </c>
    </row>
    <row r="26" spans="1:41" x14ac:dyDescent="0.35">
      <c r="A26" s="5" t="s">
        <v>96</v>
      </c>
      <c r="B26" s="6">
        <v>95081600791</v>
      </c>
      <c r="C26" s="6" t="s">
        <v>23</v>
      </c>
      <c r="D26" s="6" t="s">
        <v>23</v>
      </c>
      <c r="E26" s="6" t="s">
        <v>42</v>
      </c>
      <c r="F26" s="6" t="s">
        <v>23</v>
      </c>
      <c r="G26" s="6" t="s">
        <v>23</v>
      </c>
      <c r="H26" s="6" t="s">
        <v>23</v>
      </c>
      <c r="I26" s="6" t="s">
        <v>40</v>
      </c>
      <c r="J26" s="6" t="s">
        <v>63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  <c r="P26" s="6" t="s">
        <v>23</v>
      </c>
      <c r="Q26" s="6" t="s">
        <v>24</v>
      </c>
      <c r="R26" s="6" t="s">
        <v>76</v>
      </c>
      <c r="S26" s="6" t="s">
        <v>44</v>
      </c>
      <c r="T26" s="6" t="s">
        <v>23</v>
      </c>
      <c r="U26" s="7" t="s">
        <v>23</v>
      </c>
      <c r="V26">
        <f>IF(C26="100.00",1,0)</f>
        <v>0</v>
      </c>
      <c r="W26">
        <f>IF(D26="100.00",1,0)</f>
        <v>0</v>
      </c>
      <c r="X26">
        <f>IF(E26="100.00",1,0)</f>
        <v>0</v>
      </c>
      <c r="Y26">
        <f>IF(F26="100.00",1,0)</f>
        <v>0</v>
      </c>
      <c r="Z26">
        <f>IF(G26="100.00",1,0)</f>
        <v>0</v>
      </c>
      <c r="AA26">
        <f>IF(H26="100.00",1,0)</f>
        <v>0</v>
      </c>
      <c r="AB26">
        <f>IF(I26="100.00",1,0)</f>
        <v>0</v>
      </c>
      <c r="AC26">
        <f>IF(J26="100.00",1,0)</f>
        <v>0</v>
      </c>
      <c r="AD26">
        <f>IF(K26="100.00",1,0)</f>
        <v>0</v>
      </c>
      <c r="AE26">
        <f>IF(L26="100.00",1,0)</f>
        <v>0</v>
      </c>
      <c r="AF26">
        <f>IF(M26="100.00",1,0)</f>
        <v>0</v>
      </c>
      <c r="AG26">
        <f>IF(N26="100.00",1,0)</f>
        <v>0</v>
      </c>
      <c r="AH26">
        <f>IF(O26="100.00",1,0)</f>
        <v>0</v>
      </c>
      <c r="AI26">
        <f>IF(P26="100.00",1,0)</f>
        <v>0</v>
      </c>
      <c r="AJ26">
        <f>IF(Q26="100.00",1,0)</f>
        <v>1</v>
      </c>
      <c r="AK26">
        <f>IF(R26="100.00",1,0)</f>
        <v>0</v>
      </c>
      <c r="AL26">
        <f>IF(S26="100.00",1,0)</f>
        <v>0</v>
      </c>
      <c r="AM26">
        <f>IF(T26="100.00",1,0)</f>
        <v>0</v>
      </c>
      <c r="AN26">
        <f>IF(U26="100.00",1,0)</f>
        <v>0</v>
      </c>
      <c r="AO26">
        <f>SUM(V26:AN26)</f>
        <v>1</v>
      </c>
    </row>
    <row r="27" spans="1:41" x14ac:dyDescent="0.35">
      <c r="A27" s="8" t="s">
        <v>96</v>
      </c>
      <c r="B27" s="9">
        <v>95082906797</v>
      </c>
      <c r="C27" s="9" t="s">
        <v>23</v>
      </c>
      <c r="D27" s="9" t="s">
        <v>23</v>
      </c>
      <c r="E27" s="9" t="s">
        <v>28</v>
      </c>
      <c r="F27" s="9" t="s">
        <v>23</v>
      </c>
      <c r="G27" s="9" t="s">
        <v>23</v>
      </c>
      <c r="H27" s="9" t="s">
        <v>23</v>
      </c>
      <c r="I27" s="9" t="s">
        <v>24</v>
      </c>
      <c r="J27" s="9" t="s">
        <v>53</v>
      </c>
      <c r="K27" s="9" t="s">
        <v>23</v>
      </c>
      <c r="L27" s="9" t="s">
        <v>23</v>
      </c>
      <c r="M27" s="9" t="s">
        <v>23</v>
      </c>
      <c r="N27" s="9" t="s">
        <v>23</v>
      </c>
      <c r="O27" s="9" t="s">
        <v>23</v>
      </c>
      <c r="P27" s="9" t="s">
        <v>23</v>
      </c>
      <c r="Q27" s="9" t="s">
        <v>35</v>
      </c>
      <c r="R27" s="9" t="s">
        <v>33</v>
      </c>
      <c r="S27" s="9" t="s">
        <v>75</v>
      </c>
      <c r="T27" s="9" t="s">
        <v>23</v>
      </c>
      <c r="U27" s="10" t="s">
        <v>23</v>
      </c>
      <c r="V27">
        <f>IF(C27="100.00",1,0)</f>
        <v>0</v>
      </c>
      <c r="W27">
        <f>IF(D27="100.00",1,0)</f>
        <v>0</v>
      </c>
      <c r="X27">
        <f>IF(E27="100.00",1,0)</f>
        <v>0</v>
      </c>
      <c r="Y27">
        <f>IF(F27="100.00",1,0)</f>
        <v>0</v>
      </c>
      <c r="Z27">
        <f>IF(G27="100.00",1,0)</f>
        <v>0</v>
      </c>
      <c r="AA27">
        <f>IF(H27="100.00",1,0)</f>
        <v>0</v>
      </c>
      <c r="AB27">
        <f>IF(I27="100.00",1,0)</f>
        <v>1</v>
      </c>
      <c r="AC27">
        <f>IF(J27="100.00",1,0)</f>
        <v>0</v>
      </c>
      <c r="AD27">
        <f>IF(K27="100.00",1,0)</f>
        <v>0</v>
      </c>
      <c r="AE27">
        <f>IF(L27="100.00",1,0)</f>
        <v>0</v>
      </c>
      <c r="AF27">
        <f>IF(M27="100.00",1,0)</f>
        <v>0</v>
      </c>
      <c r="AG27">
        <f>IF(N27="100.00",1,0)</f>
        <v>0</v>
      </c>
      <c r="AH27">
        <f>IF(O27="100.00",1,0)</f>
        <v>0</v>
      </c>
      <c r="AI27">
        <f>IF(P27="100.00",1,0)</f>
        <v>0</v>
      </c>
      <c r="AJ27">
        <f>IF(Q27="100.00",1,0)</f>
        <v>0</v>
      </c>
      <c r="AK27">
        <f>IF(R27="100.00",1,0)</f>
        <v>0</v>
      </c>
      <c r="AL27">
        <f>IF(S27="100.00",1,0)</f>
        <v>0</v>
      </c>
      <c r="AM27">
        <f>IF(T27="100.00",1,0)</f>
        <v>0</v>
      </c>
      <c r="AN27">
        <f>IF(U27="100.00",1,0)</f>
        <v>0</v>
      </c>
      <c r="AO27">
        <f>SUM(V27:AN27)</f>
        <v>1</v>
      </c>
    </row>
    <row r="28" spans="1:41" x14ac:dyDescent="0.35">
      <c r="A28" s="5" t="s">
        <v>96</v>
      </c>
      <c r="B28" s="6">
        <v>95083100398</v>
      </c>
      <c r="C28" s="6" t="s">
        <v>23</v>
      </c>
      <c r="D28" s="6" t="s">
        <v>23</v>
      </c>
      <c r="E28" s="6" t="s">
        <v>28</v>
      </c>
      <c r="F28" s="6" t="s">
        <v>23</v>
      </c>
      <c r="G28" s="6" t="s">
        <v>23</v>
      </c>
      <c r="H28" s="6" t="s">
        <v>23</v>
      </c>
      <c r="I28" s="6" t="s">
        <v>24</v>
      </c>
      <c r="J28" s="6" t="s">
        <v>39</v>
      </c>
      <c r="K28" s="6" t="s">
        <v>23</v>
      </c>
      <c r="L28" s="6" t="s">
        <v>23</v>
      </c>
      <c r="M28" s="6" t="s">
        <v>23</v>
      </c>
      <c r="N28" s="6" t="s">
        <v>23</v>
      </c>
      <c r="O28" s="6" t="s">
        <v>23</v>
      </c>
      <c r="P28" s="6" t="s">
        <v>23</v>
      </c>
      <c r="Q28" s="6" t="s">
        <v>40</v>
      </c>
      <c r="R28" s="6" t="s">
        <v>41</v>
      </c>
      <c r="S28" s="6" t="s">
        <v>75</v>
      </c>
      <c r="T28" s="6" t="s">
        <v>23</v>
      </c>
      <c r="U28" s="7" t="s">
        <v>23</v>
      </c>
      <c r="V28">
        <f>IF(C28="100.00",1,0)</f>
        <v>0</v>
      </c>
      <c r="W28">
        <f>IF(D28="100.00",1,0)</f>
        <v>0</v>
      </c>
      <c r="X28">
        <f>IF(E28="100.00",1,0)</f>
        <v>0</v>
      </c>
      <c r="Y28">
        <f>IF(F28="100.00",1,0)</f>
        <v>0</v>
      </c>
      <c r="Z28">
        <f>IF(G28="100.00",1,0)</f>
        <v>0</v>
      </c>
      <c r="AA28">
        <f>IF(H28="100.00",1,0)</f>
        <v>0</v>
      </c>
      <c r="AB28">
        <f>IF(I28="100.00",1,0)</f>
        <v>1</v>
      </c>
      <c r="AC28">
        <f>IF(J28="100.00",1,0)</f>
        <v>0</v>
      </c>
      <c r="AD28">
        <f>IF(K28="100.00",1,0)</f>
        <v>0</v>
      </c>
      <c r="AE28">
        <f>IF(L28="100.00",1,0)</f>
        <v>0</v>
      </c>
      <c r="AF28">
        <f>IF(M28="100.00",1,0)</f>
        <v>0</v>
      </c>
      <c r="AG28">
        <f>IF(N28="100.00",1,0)</f>
        <v>0</v>
      </c>
      <c r="AH28">
        <f>IF(O28="100.00",1,0)</f>
        <v>0</v>
      </c>
      <c r="AI28">
        <f>IF(P28="100.00",1,0)</f>
        <v>0</v>
      </c>
      <c r="AJ28">
        <f>IF(Q28="100.00",1,0)</f>
        <v>0</v>
      </c>
      <c r="AK28">
        <f>IF(R28="100.00",1,0)</f>
        <v>0</v>
      </c>
      <c r="AL28">
        <f>IF(S28="100.00",1,0)</f>
        <v>0</v>
      </c>
      <c r="AM28">
        <f>IF(T28="100.00",1,0)</f>
        <v>0</v>
      </c>
      <c r="AN28">
        <f>IF(U28="100.00",1,0)</f>
        <v>0</v>
      </c>
      <c r="AO28">
        <f>SUM(V28:AN28)</f>
        <v>1</v>
      </c>
    </row>
    <row r="29" spans="1:41" x14ac:dyDescent="0.35">
      <c r="A29" s="5" t="s">
        <v>96</v>
      </c>
      <c r="B29" s="6">
        <v>95101303842</v>
      </c>
      <c r="C29" s="6" t="s">
        <v>23</v>
      </c>
      <c r="D29" s="6" t="s">
        <v>23</v>
      </c>
      <c r="E29" s="6" t="s">
        <v>39</v>
      </c>
      <c r="F29" s="6" t="s">
        <v>23</v>
      </c>
      <c r="G29" s="6" t="s">
        <v>23</v>
      </c>
      <c r="H29" s="6" t="s">
        <v>23</v>
      </c>
      <c r="I29" s="6" t="s">
        <v>40</v>
      </c>
      <c r="J29" s="6" t="s">
        <v>53</v>
      </c>
      <c r="K29" s="6" t="s">
        <v>23</v>
      </c>
      <c r="L29" s="6" t="s">
        <v>23</v>
      </c>
      <c r="M29" s="6" t="s">
        <v>23</v>
      </c>
      <c r="N29" s="6" t="s">
        <v>23</v>
      </c>
      <c r="O29" s="6" t="s">
        <v>23</v>
      </c>
      <c r="P29" s="6" t="s">
        <v>23</v>
      </c>
      <c r="Q29" s="6" t="s">
        <v>24</v>
      </c>
      <c r="R29" s="6" t="s">
        <v>35</v>
      </c>
      <c r="S29" s="6" t="s">
        <v>33</v>
      </c>
      <c r="T29" s="6" t="s">
        <v>23</v>
      </c>
      <c r="U29" s="7" t="s">
        <v>23</v>
      </c>
      <c r="V29">
        <f>IF(C29="100.00",1,0)</f>
        <v>0</v>
      </c>
      <c r="W29">
        <f>IF(D29="100.00",1,0)</f>
        <v>0</v>
      </c>
      <c r="X29">
        <f>IF(E29="100.00",1,0)</f>
        <v>0</v>
      </c>
      <c r="Y29">
        <f>IF(F29="100.00",1,0)</f>
        <v>0</v>
      </c>
      <c r="Z29">
        <f>IF(G29="100.00",1,0)</f>
        <v>0</v>
      </c>
      <c r="AA29">
        <f>IF(H29="100.00",1,0)</f>
        <v>0</v>
      </c>
      <c r="AB29">
        <f>IF(I29="100.00",1,0)</f>
        <v>0</v>
      </c>
      <c r="AC29">
        <f>IF(J29="100.00",1,0)</f>
        <v>0</v>
      </c>
      <c r="AD29">
        <f>IF(K29="100.00",1,0)</f>
        <v>0</v>
      </c>
      <c r="AE29">
        <f>IF(L29="100.00",1,0)</f>
        <v>0</v>
      </c>
      <c r="AF29">
        <f>IF(M29="100.00",1,0)</f>
        <v>0</v>
      </c>
      <c r="AG29">
        <f>IF(N29="100.00",1,0)</f>
        <v>0</v>
      </c>
      <c r="AH29">
        <f>IF(O29="100.00",1,0)</f>
        <v>0</v>
      </c>
      <c r="AI29">
        <f>IF(P29="100.00",1,0)</f>
        <v>0</v>
      </c>
      <c r="AJ29">
        <f>IF(Q29="100.00",1,0)</f>
        <v>1</v>
      </c>
      <c r="AK29">
        <f>IF(R29="100.00",1,0)</f>
        <v>0</v>
      </c>
      <c r="AL29">
        <f>IF(S29="100.00",1,0)</f>
        <v>0</v>
      </c>
      <c r="AM29">
        <f>IF(T29="100.00",1,0)</f>
        <v>0</v>
      </c>
      <c r="AN29">
        <f>IF(U29="100.00",1,0)</f>
        <v>0</v>
      </c>
      <c r="AO29">
        <f>SUM(V29:AN29)</f>
        <v>1</v>
      </c>
    </row>
    <row r="30" spans="1:41" x14ac:dyDescent="0.35">
      <c r="A30" s="5" t="s">
        <v>96</v>
      </c>
      <c r="B30" s="6">
        <v>95102002757</v>
      </c>
      <c r="C30" s="6" t="s">
        <v>23</v>
      </c>
      <c r="D30" s="6" t="s">
        <v>23</v>
      </c>
      <c r="E30" s="6" t="s">
        <v>33</v>
      </c>
      <c r="F30" s="6" t="s">
        <v>23</v>
      </c>
      <c r="G30" s="6" t="s">
        <v>23</v>
      </c>
      <c r="H30" s="6" t="s">
        <v>23</v>
      </c>
      <c r="I30" s="6" t="s">
        <v>24</v>
      </c>
      <c r="J30" s="6" t="s">
        <v>56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23</v>
      </c>
      <c r="Q30" s="6" t="s">
        <v>40</v>
      </c>
      <c r="R30" s="6" t="s">
        <v>39</v>
      </c>
      <c r="S30" s="6" t="s">
        <v>38</v>
      </c>
      <c r="T30" s="6" t="s">
        <v>23</v>
      </c>
      <c r="U30" s="7" t="s">
        <v>23</v>
      </c>
      <c r="V30">
        <f>IF(C30="100.00",1,0)</f>
        <v>0</v>
      </c>
      <c r="W30">
        <f>IF(D30="100.00",1,0)</f>
        <v>0</v>
      </c>
      <c r="X30">
        <f>IF(E30="100.00",1,0)</f>
        <v>0</v>
      </c>
      <c r="Y30">
        <f>IF(F30="100.00",1,0)</f>
        <v>0</v>
      </c>
      <c r="Z30">
        <f>IF(G30="100.00",1,0)</f>
        <v>0</v>
      </c>
      <c r="AA30">
        <f>IF(H30="100.00",1,0)</f>
        <v>0</v>
      </c>
      <c r="AB30">
        <f>IF(I30="100.00",1,0)</f>
        <v>1</v>
      </c>
      <c r="AC30">
        <f>IF(J30="100.00",1,0)</f>
        <v>0</v>
      </c>
      <c r="AD30">
        <f>IF(K30="100.00",1,0)</f>
        <v>0</v>
      </c>
      <c r="AE30">
        <f>IF(L30="100.00",1,0)</f>
        <v>0</v>
      </c>
      <c r="AF30">
        <f>IF(M30="100.00",1,0)</f>
        <v>0</v>
      </c>
      <c r="AG30">
        <f>IF(N30="100.00",1,0)</f>
        <v>0</v>
      </c>
      <c r="AH30">
        <f>IF(O30="100.00",1,0)</f>
        <v>0</v>
      </c>
      <c r="AI30">
        <f>IF(P30="100.00",1,0)</f>
        <v>0</v>
      </c>
      <c r="AJ30">
        <f>IF(Q30="100.00",1,0)</f>
        <v>0</v>
      </c>
      <c r="AK30">
        <f>IF(R30="100.00",1,0)</f>
        <v>0</v>
      </c>
      <c r="AL30">
        <f>IF(S30="100.00",1,0)</f>
        <v>0</v>
      </c>
      <c r="AM30">
        <f>IF(T30="100.00",1,0)</f>
        <v>0</v>
      </c>
      <c r="AN30">
        <f>IF(U30="100.00",1,0)</f>
        <v>0</v>
      </c>
      <c r="AO30">
        <f>SUM(V30:AN30)</f>
        <v>1</v>
      </c>
    </row>
    <row r="31" spans="1:41" x14ac:dyDescent="0.35">
      <c r="A31" s="5" t="s">
        <v>96</v>
      </c>
      <c r="B31" s="6">
        <v>95112306692</v>
      </c>
      <c r="C31" s="6" t="s">
        <v>23</v>
      </c>
      <c r="D31" s="6" t="s">
        <v>23</v>
      </c>
      <c r="E31" s="6" t="s">
        <v>46</v>
      </c>
      <c r="F31" s="6" t="s">
        <v>23</v>
      </c>
      <c r="G31" s="6" t="s">
        <v>23</v>
      </c>
      <c r="H31" s="6" t="s">
        <v>23</v>
      </c>
      <c r="I31" s="6" t="s">
        <v>24</v>
      </c>
      <c r="J31" s="6" t="s">
        <v>70</v>
      </c>
      <c r="K31" s="6" t="s">
        <v>23</v>
      </c>
      <c r="L31" s="6" t="s">
        <v>23</v>
      </c>
      <c r="M31" s="6" t="s">
        <v>23</v>
      </c>
      <c r="N31" s="6" t="s">
        <v>23</v>
      </c>
      <c r="O31" s="6" t="s">
        <v>23</v>
      </c>
      <c r="P31" s="6" t="s">
        <v>23</v>
      </c>
      <c r="Q31" s="6" t="s">
        <v>35</v>
      </c>
      <c r="R31" s="6" t="s">
        <v>51</v>
      </c>
      <c r="S31" s="6" t="s">
        <v>33</v>
      </c>
      <c r="T31" s="6" t="s">
        <v>23</v>
      </c>
      <c r="U31" s="7" t="s">
        <v>23</v>
      </c>
      <c r="V31">
        <f>IF(C31="100.00",1,0)</f>
        <v>0</v>
      </c>
      <c r="W31">
        <f>IF(D31="100.00",1,0)</f>
        <v>0</v>
      </c>
      <c r="X31">
        <f>IF(E31="100.00",1,0)</f>
        <v>0</v>
      </c>
      <c r="Y31">
        <f>IF(F31="100.00",1,0)</f>
        <v>0</v>
      </c>
      <c r="Z31">
        <f>IF(G31="100.00",1,0)</f>
        <v>0</v>
      </c>
      <c r="AA31">
        <f>IF(H31="100.00",1,0)</f>
        <v>0</v>
      </c>
      <c r="AB31">
        <f>IF(I31="100.00",1,0)</f>
        <v>1</v>
      </c>
      <c r="AC31">
        <f>IF(J31="100.00",1,0)</f>
        <v>0</v>
      </c>
      <c r="AD31">
        <f>IF(K31="100.00",1,0)</f>
        <v>0</v>
      </c>
      <c r="AE31">
        <f>IF(L31="100.00",1,0)</f>
        <v>0</v>
      </c>
      <c r="AF31">
        <f>IF(M31="100.00",1,0)</f>
        <v>0</v>
      </c>
      <c r="AG31">
        <f>IF(N31="100.00",1,0)</f>
        <v>0</v>
      </c>
      <c r="AH31">
        <f>IF(O31="100.00",1,0)</f>
        <v>0</v>
      </c>
      <c r="AI31">
        <f>IF(P31="100.00",1,0)</f>
        <v>0</v>
      </c>
      <c r="AJ31">
        <f>IF(Q31="100.00",1,0)</f>
        <v>0</v>
      </c>
      <c r="AK31">
        <f>IF(R31="100.00",1,0)</f>
        <v>0</v>
      </c>
      <c r="AL31">
        <f>IF(S31="100.00",1,0)</f>
        <v>0</v>
      </c>
      <c r="AM31">
        <f>IF(T31="100.00",1,0)</f>
        <v>0</v>
      </c>
      <c r="AN31">
        <f>IF(U31="100.00",1,0)</f>
        <v>0</v>
      </c>
      <c r="AO31">
        <f>SUM(V31:AN31)</f>
        <v>1</v>
      </c>
    </row>
    <row r="32" spans="1:41" x14ac:dyDescent="0.35">
      <c r="A32" s="8" t="s">
        <v>100</v>
      </c>
      <c r="B32" s="9">
        <v>94030804224</v>
      </c>
      <c r="C32" s="9" t="s">
        <v>23</v>
      </c>
      <c r="D32" s="9" t="s">
        <v>23</v>
      </c>
      <c r="E32" s="9" t="s">
        <v>23</v>
      </c>
      <c r="F32" s="9" t="s">
        <v>53</v>
      </c>
      <c r="G32" s="9" t="s">
        <v>23</v>
      </c>
      <c r="H32" s="9" t="s">
        <v>23</v>
      </c>
      <c r="I32" s="9" t="s">
        <v>23</v>
      </c>
      <c r="J32" s="9" t="s">
        <v>62</v>
      </c>
      <c r="K32" s="9" t="s">
        <v>23</v>
      </c>
      <c r="L32" s="9" t="s">
        <v>23</v>
      </c>
      <c r="M32" s="9" t="s">
        <v>24</v>
      </c>
      <c r="N32" s="9" t="s">
        <v>23</v>
      </c>
      <c r="O32" s="9" t="s">
        <v>23</v>
      </c>
      <c r="P32" s="9" t="s">
        <v>23</v>
      </c>
      <c r="Q32" s="9" t="s">
        <v>74</v>
      </c>
      <c r="R32" s="9" t="s">
        <v>23</v>
      </c>
      <c r="S32" s="9" t="s">
        <v>30</v>
      </c>
      <c r="T32" s="9" t="s">
        <v>26</v>
      </c>
      <c r="U32" s="10" t="s">
        <v>23</v>
      </c>
      <c r="V32">
        <f>IF(C32="100.00",1,0)</f>
        <v>0</v>
      </c>
      <c r="W32">
        <f>IF(D32="100.00",1,0)</f>
        <v>0</v>
      </c>
      <c r="X32">
        <f>IF(E32="100.00",1,0)</f>
        <v>0</v>
      </c>
      <c r="Y32">
        <f>IF(F32="100.00",1,0)</f>
        <v>0</v>
      </c>
      <c r="Z32">
        <f>IF(G32="100.00",1,0)</f>
        <v>0</v>
      </c>
      <c r="AA32">
        <f>IF(H32="100.00",1,0)</f>
        <v>0</v>
      </c>
      <c r="AB32">
        <f>IF(I32="100.00",1,0)</f>
        <v>0</v>
      </c>
      <c r="AC32">
        <f>IF(J32="100.00",1,0)</f>
        <v>0</v>
      </c>
      <c r="AD32">
        <f>IF(K32="100.00",1,0)</f>
        <v>0</v>
      </c>
      <c r="AE32">
        <f>IF(L32="100.00",1,0)</f>
        <v>0</v>
      </c>
      <c r="AF32">
        <f>IF(M32="100.00",1,0)</f>
        <v>1</v>
      </c>
      <c r="AG32">
        <f>IF(N32="100.00",1,0)</f>
        <v>0</v>
      </c>
      <c r="AH32">
        <f>IF(O32="100.00",1,0)</f>
        <v>0</v>
      </c>
      <c r="AI32">
        <f>IF(P32="100.00",1,0)</f>
        <v>0</v>
      </c>
      <c r="AJ32">
        <f>IF(Q32="100.00",1,0)</f>
        <v>0</v>
      </c>
      <c r="AK32">
        <f>IF(R32="100.00",1,0)</f>
        <v>0</v>
      </c>
      <c r="AL32">
        <f>IF(S32="100.00",1,0)</f>
        <v>0</v>
      </c>
      <c r="AM32">
        <f>IF(T32="100.00",1,0)</f>
        <v>0</v>
      </c>
      <c r="AN32">
        <f>IF(U32="100.00",1,0)</f>
        <v>0</v>
      </c>
      <c r="AO32">
        <f>SUM(V32:AN32)</f>
        <v>1</v>
      </c>
    </row>
    <row r="33" spans="1:41" x14ac:dyDescent="0.35">
      <c r="A33" s="8" t="s">
        <v>100</v>
      </c>
      <c r="B33" s="9">
        <v>94082703588</v>
      </c>
      <c r="C33" s="9" t="s">
        <v>23</v>
      </c>
      <c r="D33" s="9" t="s">
        <v>23</v>
      </c>
      <c r="E33" s="9" t="s">
        <v>23</v>
      </c>
      <c r="F33" s="9" t="s">
        <v>23</v>
      </c>
      <c r="G33" s="9" t="s">
        <v>76</v>
      </c>
      <c r="H33" s="9" t="s">
        <v>23</v>
      </c>
      <c r="I33" s="9" t="s">
        <v>49</v>
      </c>
      <c r="J33" s="9" t="s">
        <v>54</v>
      </c>
      <c r="K33" s="9" t="s">
        <v>23</v>
      </c>
      <c r="L33" s="9" t="s">
        <v>23</v>
      </c>
      <c r="M33" s="9" t="s">
        <v>23</v>
      </c>
      <c r="N33" s="9" t="s">
        <v>65</v>
      </c>
      <c r="O33" s="9" t="s">
        <v>23</v>
      </c>
      <c r="P33" s="9" t="s">
        <v>23</v>
      </c>
      <c r="Q33" s="9" t="s">
        <v>39</v>
      </c>
      <c r="R33" s="9" t="s">
        <v>23</v>
      </c>
      <c r="S33" s="9" t="s">
        <v>38</v>
      </c>
      <c r="T33" s="9" t="s">
        <v>24</v>
      </c>
      <c r="U33" s="10" t="s">
        <v>23</v>
      </c>
      <c r="V33">
        <f>IF(C33="100.00",1,0)</f>
        <v>0</v>
      </c>
      <c r="W33">
        <f>IF(D33="100.00",1,0)</f>
        <v>0</v>
      </c>
      <c r="X33">
        <f>IF(E33="100.00",1,0)</f>
        <v>0</v>
      </c>
      <c r="Y33">
        <f>IF(F33="100.00",1,0)</f>
        <v>0</v>
      </c>
      <c r="Z33">
        <f>IF(G33="100.00",1,0)</f>
        <v>0</v>
      </c>
      <c r="AA33">
        <f>IF(H33="100.00",1,0)</f>
        <v>0</v>
      </c>
      <c r="AB33">
        <f>IF(I33="100.00",1,0)</f>
        <v>0</v>
      </c>
      <c r="AC33">
        <f>IF(J33="100.00",1,0)</f>
        <v>0</v>
      </c>
      <c r="AD33">
        <f>IF(K33="100.00",1,0)</f>
        <v>0</v>
      </c>
      <c r="AE33">
        <f>IF(L33="100.00",1,0)</f>
        <v>0</v>
      </c>
      <c r="AF33">
        <f>IF(M33="100.00",1,0)</f>
        <v>0</v>
      </c>
      <c r="AG33">
        <f>IF(N33="100.00",1,0)</f>
        <v>0</v>
      </c>
      <c r="AH33">
        <f>IF(O33="100.00",1,0)</f>
        <v>0</v>
      </c>
      <c r="AI33">
        <f>IF(P33="100.00",1,0)</f>
        <v>0</v>
      </c>
      <c r="AJ33">
        <f>IF(Q33="100.00",1,0)</f>
        <v>0</v>
      </c>
      <c r="AK33">
        <f>IF(R33="100.00",1,0)</f>
        <v>0</v>
      </c>
      <c r="AL33">
        <f>IF(S33="100.00",1,0)</f>
        <v>0</v>
      </c>
      <c r="AM33">
        <f>IF(T33="100.00",1,0)</f>
        <v>1</v>
      </c>
      <c r="AN33">
        <f>IF(U33="100.00",1,0)</f>
        <v>0</v>
      </c>
      <c r="AO33">
        <f>SUM(V33:AN33)</f>
        <v>1</v>
      </c>
    </row>
    <row r="34" spans="1:41" x14ac:dyDescent="0.35">
      <c r="A34" s="5" t="s">
        <v>100</v>
      </c>
      <c r="B34" s="6">
        <v>94082901146</v>
      </c>
      <c r="C34" s="6" t="s">
        <v>23</v>
      </c>
      <c r="D34" s="6" t="s">
        <v>23</v>
      </c>
      <c r="E34" s="6" t="s">
        <v>23</v>
      </c>
      <c r="F34" s="6" t="s">
        <v>46</v>
      </c>
      <c r="G34" s="6" t="s">
        <v>23</v>
      </c>
      <c r="H34" s="6" t="s">
        <v>23</v>
      </c>
      <c r="I34" s="6" t="s">
        <v>66</v>
      </c>
      <c r="J34" s="6" t="s">
        <v>65</v>
      </c>
      <c r="K34" s="6" t="s">
        <v>23</v>
      </c>
      <c r="L34" s="6" t="s">
        <v>23</v>
      </c>
      <c r="M34" s="6" t="s">
        <v>24</v>
      </c>
      <c r="N34" s="6" t="s">
        <v>23</v>
      </c>
      <c r="O34" s="6" t="s">
        <v>23</v>
      </c>
      <c r="P34" s="6" t="s">
        <v>23</v>
      </c>
      <c r="Q34" s="6" t="s">
        <v>39</v>
      </c>
      <c r="R34" s="6" t="s">
        <v>73</v>
      </c>
      <c r="S34" s="6" t="s">
        <v>63</v>
      </c>
      <c r="T34" s="6" t="s">
        <v>27</v>
      </c>
      <c r="U34" s="7" t="s">
        <v>23</v>
      </c>
      <c r="V34">
        <f>IF(C34="100.00",1,0)</f>
        <v>0</v>
      </c>
      <c r="W34">
        <f>IF(D34="100.00",1,0)</f>
        <v>0</v>
      </c>
      <c r="X34">
        <f>IF(E34="100.00",1,0)</f>
        <v>0</v>
      </c>
      <c r="Y34">
        <f>IF(F34="100.00",1,0)</f>
        <v>0</v>
      </c>
      <c r="Z34">
        <f>IF(G34="100.00",1,0)</f>
        <v>0</v>
      </c>
      <c r="AA34">
        <f>IF(H34="100.00",1,0)</f>
        <v>0</v>
      </c>
      <c r="AB34">
        <f>IF(I34="100.00",1,0)</f>
        <v>0</v>
      </c>
      <c r="AC34">
        <f>IF(J34="100.00",1,0)</f>
        <v>0</v>
      </c>
      <c r="AD34">
        <f>IF(K34="100.00",1,0)</f>
        <v>0</v>
      </c>
      <c r="AE34">
        <f>IF(L34="100.00",1,0)</f>
        <v>0</v>
      </c>
      <c r="AF34">
        <f>IF(M34="100.00",1,0)</f>
        <v>1</v>
      </c>
      <c r="AG34">
        <f>IF(N34="100.00",1,0)</f>
        <v>0</v>
      </c>
      <c r="AH34">
        <f>IF(O34="100.00",1,0)</f>
        <v>0</v>
      </c>
      <c r="AI34">
        <f>IF(P34="100.00",1,0)</f>
        <v>0</v>
      </c>
      <c r="AJ34">
        <f>IF(Q34="100.00",1,0)</f>
        <v>0</v>
      </c>
      <c r="AK34">
        <f>IF(R34="100.00",1,0)</f>
        <v>0</v>
      </c>
      <c r="AL34">
        <f>IF(S34="100.00",1,0)</f>
        <v>0</v>
      </c>
      <c r="AM34">
        <f>IF(T34="100.00",1,0)</f>
        <v>0</v>
      </c>
      <c r="AN34">
        <f>IF(U34="100.00",1,0)</f>
        <v>0</v>
      </c>
      <c r="AO34">
        <f>SUM(V34:AN34)</f>
        <v>1</v>
      </c>
    </row>
    <row r="35" spans="1:41" x14ac:dyDescent="0.35">
      <c r="A35" s="5" t="s">
        <v>100</v>
      </c>
      <c r="B35" s="6">
        <v>94083000868</v>
      </c>
      <c r="C35" s="6" t="s">
        <v>23</v>
      </c>
      <c r="D35" s="6" t="s">
        <v>23</v>
      </c>
      <c r="E35" s="6" t="s">
        <v>23</v>
      </c>
      <c r="F35" s="6" t="s">
        <v>23</v>
      </c>
      <c r="G35" s="6" t="s">
        <v>90</v>
      </c>
      <c r="H35" s="6" t="s">
        <v>23</v>
      </c>
      <c r="I35" s="6" t="s">
        <v>24</v>
      </c>
      <c r="J35" s="6" t="s">
        <v>75</v>
      </c>
      <c r="K35" s="6" t="s">
        <v>23</v>
      </c>
      <c r="L35" s="6" t="s">
        <v>23</v>
      </c>
      <c r="M35" s="6" t="s">
        <v>23</v>
      </c>
      <c r="N35" s="6" t="s">
        <v>37</v>
      </c>
      <c r="O35" s="6" t="s">
        <v>23</v>
      </c>
      <c r="P35" s="6" t="s">
        <v>23</v>
      </c>
      <c r="Q35" s="6" t="s">
        <v>32</v>
      </c>
      <c r="R35" s="6" t="s">
        <v>23</v>
      </c>
      <c r="S35" s="6" t="s">
        <v>61</v>
      </c>
      <c r="T35" s="6" t="s">
        <v>34</v>
      </c>
      <c r="U35" s="7" t="s">
        <v>101</v>
      </c>
      <c r="V35">
        <f>IF(C35="100.00",1,0)</f>
        <v>0</v>
      </c>
      <c r="W35">
        <f>IF(D35="100.00",1,0)</f>
        <v>0</v>
      </c>
      <c r="X35">
        <f>IF(E35="100.00",1,0)</f>
        <v>0</v>
      </c>
      <c r="Y35">
        <f>IF(F35="100.00",1,0)</f>
        <v>0</v>
      </c>
      <c r="Z35">
        <f>IF(G35="100.00",1,0)</f>
        <v>0</v>
      </c>
      <c r="AA35">
        <f>IF(H35="100.00",1,0)</f>
        <v>0</v>
      </c>
      <c r="AB35">
        <f>IF(I35="100.00",1,0)</f>
        <v>1</v>
      </c>
      <c r="AC35">
        <f>IF(J35="100.00",1,0)</f>
        <v>0</v>
      </c>
      <c r="AD35">
        <f>IF(K35="100.00",1,0)</f>
        <v>0</v>
      </c>
      <c r="AE35">
        <f>IF(L35="100.00",1,0)</f>
        <v>0</v>
      </c>
      <c r="AF35">
        <f>IF(M35="100.00",1,0)</f>
        <v>0</v>
      </c>
      <c r="AG35">
        <f>IF(N35="100.00",1,0)</f>
        <v>0</v>
      </c>
      <c r="AH35">
        <f>IF(O35="100.00",1,0)</f>
        <v>0</v>
      </c>
      <c r="AI35">
        <f>IF(P35="100.00",1,0)</f>
        <v>0</v>
      </c>
      <c r="AJ35">
        <f>IF(Q35="100.00",1,0)</f>
        <v>0</v>
      </c>
      <c r="AK35">
        <f>IF(R35="100.00",1,0)</f>
        <v>0</v>
      </c>
      <c r="AL35">
        <f>IF(S35="100.00",1,0)</f>
        <v>0</v>
      </c>
      <c r="AM35">
        <f>IF(T35="100.00",1,0)</f>
        <v>0</v>
      </c>
      <c r="AN35">
        <f>IF(U35="100.00",1,0)</f>
        <v>0</v>
      </c>
      <c r="AO35">
        <f>SUM(V35:AN35)</f>
        <v>1</v>
      </c>
    </row>
    <row r="36" spans="1:41" x14ac:dyDescent="0.35">
      <c r="A36" s="8" t="s">
        <v>100</v>
      </c>
      <c r="B36" s="9">
        <v>94110205866</v>
      </c>
      <c r="C36" s="9" t="s">
        <v>23</v>
      </c>
      <c r="D36" s="9" t="s">
        <v>23</v>
      </c>
      <c r="E36" s="9" t="s">
        <v>23</v>
      </c>
      <c r="F36" s="9" t="s">
        <v>23</v>
      </c>
      <c r="G36" s="9" t="s">
        <v>23</v>
      </c>
      <c r="H36" s="9" t="s">
        <v>23</v>
      </c>
      <c r="I36" s="9" t="s">
        <v>23</v>
      </c>
      <c r="J36" s="9" t="s">
        <v>39</v>
      </c>
      <c r="K36" s="9" t="s">
        <v>23</v>
      </c>
      <c r="L36" s="9" t="s">
        <v>23</v>
      </c>
      <c r="M36" s="9" t="s">
        <v>24</v>
      </c>
      <c r="N36" s="9" t="s">
        <v>23</v>
      </c>
      <c r="O36" s="9" t="s">
        <v>23</v>
      </c>
      <c r="P36" s="9" t="s">
        <v>23</v>
      </c>
      <c r="Q36" s="9" t="s">
        <v>48</v>
      </c>
      <c r="R36" s="9" t="s">
        <v>32</v>
      </c>
      <c r="S36" s="9" t="s">
        <v>27</v>
      </c>
      <c r="T36" s="9" t="s">
        <v>23</v>
      </c>
      <c r="U36" s="10" t="s">
        <v>23</v>
      </c>
      <c r="V36">
        <f>IF(C36="100.00",1,0)</f>
        <v>0</v>
      </c>
      <c r="W36">
        <f>IF(D36="100.00",1,0)</f>
        <v>0</v>
      </c>
      <c r="X36">
        <f>IF(E36="100.00",1,0)</f>
        <v>0</v>
      </c>
      <c r="Y36">
        <f>IF(F36="100.00",1,0)</f>
        <v>0</v>
      </c>
      <c r="Z36">
        <f>IF(G36="100.00",1,0)</f>
        <v>0</v>
      </c>
      <c r="AA36">
        <f>IF(H36="100.00",1,0)</f>
        <v>0</v>
      </c>
      <c r="AB36">
        <f>IF(I36="100.00",1,0)</f>
        <v>0</v>
      </c>
      <c r="AC36">
        <f>IF(J36="100.00",1,0)</f>
        <v>0</v>
      </c>
      <c r="AD36">
        <f>IF(K36="100.00",1,0)</f>
        <v>0</v>
      </c>
      <c r="AE36">
        <f>IF(L36="100.00",1,0)</f>
        <v>0</v>
      </c>
      <c r="AF36">
        <f>IF(M36="100.00",1,0)</f>
        <v>1</v>
      </c>
      <c r="AG36">
        <f>IF(N36="100.00",1,0)</f>
        <v>0</v>
      </c>
      <c r="AH36">
        <f>IF(O36="100.00",1,0)</f>
        <v>0</v>
      </c>
      <c r="AI36">
        <f>IF(P36="100.00",1,0)</f>
        <v>0</v>
      </c>
      <c r="AJ36">
        <f>IF(Q36="100.00",1,0)</f>
        <v>0</v>
      </c>
      <c r="AK36">
        <f>IF(R36="100.00",1,0)</f>
        <v>0</v>
      </c>
      <c r="AL36">
        <f>IF(S36="100.00",1,0)</f>
        <v>0</v>
      </c>
      <c r="AM36">
        <f>IF(T36="100.00",1,0)</f>
        <v>0</v>
      </c>
      <c r="AN36">
        <f>IF(U36="100.00",1,0)</f>
        <v>0</v>
      </c>
      <c r="AO36">
        <f>SUM(V36:AN36)</f>
        <v>1</v>
      </c>
    </row>
    <row r="37" spans="1:41" x14ac:dyDescent="0.35">
      <c r="A37" s="8" t="s">
        <v>21</v>
      </c>
      <c r="B37" s="9">
        <v>95011310048</v>
      </c>
      <c r="C37" s="9" t="s">
        <v>29</v>
      </c>
      <c r="D37" s="9" t="s">
        <v>22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30</v>
      </c>
      <c r="J37" s="9" t="s">
        <v>23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9" t="s">
        <v>31</v>
      </c>
      <c r="R37" s="9" t="s">
        <v>23</v>
      </c>
      <c r="S37" s="9" t="s">
        <v>32</v>
      </c>
      <c r="T37" s="9" t="s">
        <v>23</v>
      </c>
      <c r="U37" s="10" t="s">
        <v>23</v>
      </c>
      <c r="V37">
        <f>IF(C37="100.00",1,0)</f>
        <v>0</v>
      </c>
      <c r="W37">
        <f>IF(D37="100.00",1,0)</f>
        <v>0</v>
      </c>
      <c r="X37">
        <f>IF(E37="100.00",1,0)</f>
        <v>0</v>
      </c>
      <c r="Y37">
        <f>IF(F37="100.00",1,0)</f>
        <v>0</v>
      </c>
      <c r="Z37">
        <f>IF(G37="100.00",1,0)</f>
        <v>0</v>
      </c>
      <c r="AA37">
        <f>IF(H37="100.00",1,0)</f>
        <v>0</v>
      </c>
      <c r="AB37">
        <f>IF(I37="100.00",1,0)</f>
        <v>0</v>
      </c>
      <c r="AC37">
        <f>IF(J37="100.00",1,0)</f>
        <v>0</v>
      </c>
      <c r="AD37">
        <f>IF(K37="100.00",1,0)</f>
        <v>0</v>
      </c>
      <c r="AE37">
        <f>IF(L37="100.00",1,0)</f>
        <v>0</v>
      </c>
      <c r="AF37">
        <f>IF(M37="100.00",1,0)</f>
        <v>0</v>
      </c>
      <c r="AG37">
        <f>IF(N37="100.00",1,0)</f>
        <v>0</v>
      </c>
      <c r="AH37">
        <f>IF(O37="100.00",1,0)</f>
        <v>0</v>
      </c>
      <c r="AI37">
        <f>IF(P37="100.00",1,0)</f>
        <v>0</v>
      </c>
      <c r="AJ37">
        <f>IF(Q37="100.00",1,0)</f>
        <v>0</v>
      </c>
      <c r="AK37">
        <f>IF(R37="100.00",1,0)</f>
        <v>0</v>
      </c>
      <c r="AL37">
        <f>IF(S37="100.00",1,0)</f>
        <v>0</v>
      </c>
      <c r="AM37">
        <f>IF(T37="100.00",1,0)</f>
        <v>0</v>
      </c>
      <c r="AN37">
        <f>IF(U37="100.00",1,0)</f>
        <v>0</v>
      </c>
      <c r="AO37">
        <f>SUM(V37:AN37)</f>
        <v>0</v>
      </c>
    </row>
    <row r="38" spans="1:41" x14ac:dyDescent="0.35">
      <c r="A38" s="5" t="s">
        <v>21</v>
      </c>
      <c r="B38" s="6">
        <v>95012311345</v>
      </c>
      <c r="C38" s="6" t="s">
        <v>33</v>
      </c>
      <c r="D38" s="6" t="s">
        <v>34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35</v>
      </c>
      <c r="J38" s="6" t="s">
        <v>23</v>
      </c>
      <c r="K38" s="6" t="s">
        <v>23</v>
      </c>
      <c r="L38" s="6" t="s">
        <v>23</v>
      </c>
      <c r="M38" s="6" t="s">
        <v>23</v>
      </c>
      <c r="N38" s="6" t="s">
        <v>23</v>
      </c>
      <c r="O38" s="6" t="s">
        <v>23</v>
      </c>
      <c r="P38" s="6" t="s">
        <v>23</v>
      </c>
      <c r="Q38" s="6" t="s">
        <v>36</v>
      </c>
      <c r="R38" s="6" t="s">
        <v>23</v>
      </c>
      <c r="S38" s="6" t="s">
        <v>37</v>
      </c>
      <c r="T38" s="6" t="s">
        <v>23</v>
      </c>
      <c r="U38" s="7" t="s">
        <v>23</v>
      </c>
      <c r="V38">
        <f>IF(C38="100.00",1,0)</f>
        <v>0</v>
      </c>
      <c r="W38">
        <f>IF(D38="100.00",1,0)</f>
        <v>0</v>
      </c>
      <c r="X38">
        <f>IF(E38="100.00",1,0)</f>
        <v>0</v>
      </c>
      <c r="Y38">
        <f>IF(F38="100.00",1,0)</f>
        <v>0</v>
      </c>
      <c r="Z38">
        <f>IF(G38="100.00",1,0)</f>
        <v>0</v>
      </c>
      <c r="AA38">
        <f>IF(H38="100.00",1,0)</f>
        <v>0</v>
      </c>
      <c r="AB38">
        <f>IF(I38="100.00",1,0)</f>
        <v>0</v>
      </c>
      <c r="AC38">
        <f>IF(J38="100.00",1,0)</f>
        <v>0</v>
      </c>
      <c r="AD38">
        <f>IF(K38="100.00",1,0)</f>
        <v>0</v>
      </c>
      <c r="AE38">
        <f>IF(L38="100.00",1,0)</f>
        <v>0</v>
      </c>
      <c r="AF38">
        <f>IF(M38="100.00",1,0)</f>
        <v>0</v>
      </c>
      <c r="AG38">
        <f>IF(N38="100.00",1,0)</f>
        <v>0</v>
      </c>
      <c r="AH38">
        <f>IF(O38="100.00",1,0)</f>
        <v>0</v>
      </c>
      <c r="AI38">
        <f>IF(P38="100.00",1,0)</f>
        <v>0</v>
      </c>
      <c r="AJ38">
        <f>IF(Q38="100.00",1,0)</f>
        <v>0</v>
      </c>
      <c r="AK38">
        <f>IF(R38="100.00",1,0)</f>
        <v>0</v>
      </c>
      <c r="AL38">
        <f>IF(S38="100.00",1,0)</f>
        <v>0</v>
      </c>
      <c r="AM38">
        <f>IF(T38="100.00",1,0)</f>
        <v>0</v>
      </c>
      <c r="AN38">
        <f>IF(U38="100.00",1,0)</f>
        <v>0</v>
      </c>
      <c r="AO38">
        <f>SUM(V38:AN38)</f>
        <v>0</v>
      </c>
    </row>
    <row r="39" spans="1:41" x14ac:dyDescent="0.35">
      <c r="A39" s="8" t="s">
        <v>21</v>
      </c>
      <c r="B39" s="9">
        <v>95030607404</v>
      </c>
      <c r="C39" s="9" t="s">
        <v>38</v>
      </c>
      <c r="D39" s="9" t="s">
        <v>39</v>
      </c>
      <c r="E39" s="9" t="s">
        <v>23</v>
      </c>
      <c r="F39" s="9" t="s">
        <v>23</v>
      </c>
      <c r="G39" s="9" t="s">
        <v>23</v>
      </c>
      <c r="H39" s="9" t="s">
        <v>23</v>
      </c>
      <c r="I39" s="9" t="s">
        <v>40</v>
      </c>
      <c r="J39" s="9" t="s">
        <v>41</v>
      </c>
      <c r="K39" s="9" t="s">
        <v>23</v>
      </c>
      <c r="L39" s="9" t="s">
        <v>23</v>
      </c>
      <c r="M39" s="9" t="s">
        <v>23</v>
      </c>
      <c r="N39" s="9" t="s">
        <v>23</v>
      </c>
      <c r="O39" s="9" t="s">
        <v>23</v>
      </c>
      <c r="P39" s="9" t="s">
        <v>23</v>
      </c>
      <c r="Q39" s="9" t="s">
        <v>33</v>
      </c>
      <c r="R39" s="9" t="s">
        <v>23</v>
      </c>
      <c r="S39" s="9" t="s">
        <v>30</v>
      </c>
      <c r="T39" s="9" t="s">
        <v>23</v>
      </c>
      <c r="U39" s="10" t="s">
        <v>23</v>
      </c>
      <c r="V39">
        <f>IF(C39="100.00",1,0)</f>
        <v>0</v>
      </c>
      <c r="W39">
        <f>IF(D39="100.00",1,0)</f>
        <v>0</v>
      </c>
      <c r="X39">
        <f>IF(E39="100.00",1,0)</f>
        <v>0</v>
      </c>
      <c r="Y39">
        <f>IF(F39="100.00",1,0)</f>
        <v>0</v>
      </c>
      <c r="Z39">
        <f>IF(G39="100.00",1,0)</f>
        <v>0</v>
      </c>
      <c r="AA39">
        <f>IF(H39="100.00",1,0)</f>
        <v>0</v>
      </c>
      <c r="AB39">
        <f>IF(I39="100.00",1,0)</f>
        <v>0</v>
      </c>
      <c r="AC39">
        <f>IF(J39="100.00",1,0)</f>
        <v>0</v>
      </c>
      <c r="AD39">
        <f>IF(K39="100.00",1,0)</f>
        <v>0</v>
      </c>
      <c r="AE39">
        <f>IF(L39="100.00",1,0)</f>
        <v>0</v>
      </c>
      <c r="AF39">
        <f>IF(M39="100.00",1,0)</f>
        <v>0</v>
      </c>
      <c r="AG39">
        <f>IF(N39="100.00",1,0)</f>
        <v>0</v>
      </c>
      <c r="AH39">
        <f>IF(O39="100.00",1,0)</f>
        <v>0</v>
      </c>
      <c r="AI39">
        <f>IF(P39="100.00",1,0)</f>
        <v>0</v>
      </c>
      <c r="AJ39">
        <f>IF(Q39="100.00",1,0)</f>
        <v>0</v>
      </c>
      <c r="AK39">
        <f>IF(R39="100.00",1,0)</f>
        <v>0</v>
      </c>
      <c r="AL39">
        <f>IF(S39="100.00",1,0)</f>
        <v>0</v>
      </c>
      <c r="AM39">
        <f>IF(T39="100.00",1,0)</f>
        <v>0</v>
      </c>
      <c r="AN39">
        <f>IF(U39="100.00",1,0)</f>
        <v>0</v>
      </c>
      <c r="AO39">
        <f>SUM(V39:AN39)</f>
        <v>0</v>
      </c>
    </row>
    <row r="40" spans="1:41" x14ac:dyDescent="0.35">
      <c r="A40" s="5" t="s">
        <v>21</v>
      </c>
      <c r="B40" s="6">
        <v>95031506511</v>
      </c>
      <c r="C40" s="6" t="s">
        <v>42</v>
      </c>
      <c r="D40" s="6" t="s">
        <v>42</v>
      </c>
      <c r="E40" s="6" t="s">
        <v>23</v>
      </c>
      <c r="F40" s="6" t="s">
        <v>23</v>
      </c>
      <c r="G40" s="6" t="s">
        <v>23</v>
      </c>
      <c r="H40" s="6" t="s">
        <v>23</v>
      </c>
      <c r="I40" s="6" t="s">
        <v>43</v>
      </c>
      <c r="J40" s="6" t="s">
        <v>23</v>
      </c>
      <c r="K40" s="6" t="s">
        <v>23</v>
      </c>
      <c r="L40" s="6" t="s">
        <v>23</v>
      </c>
      <c r="M40" s="6" t="s">
        <v>23</v>
      </c>
      <c r="N40" s="6" t="s">
        <v>23</v>
      </c>
      <c r="O40" s="6" t="s">
        <v>23</v>
      </c>
      <c r="P40" s="6" t="s">
        <v>23</v>
      </c>
      <c r="Q40" s="6" t="s">
        <v>33</v>
      </c>
      <c r="R40" s="6" t="s">
        <v>23</v>
      </c>
      <c r="S40" s="6" t="s">
        <v>44</v>
      </c>
      <c r="T40" s="6" t="s">
        <v>23</v>
      </c>
      <c r="U40" s="7" t="s">
        <v>23</v>
      </c>
      <c r="V40">
        <f>IF(C40="100.00",1,0)</f>
        <v>0</v>
      </c>
      <c r="W40">
        <f>IF(D40="100.00",1,0)</f>
        <v>0</v>
      </c>
      <c r="X40">
        <f>IF(E40="100.00",1,0)</f>
        <v>0</v>
      </c>
      <c r="Y40">
        <f>IF(F40="100.00",1,0)</f>
        <v>0</v>
      </c>
      <c r="Z40">
        <f>IF(G40="100.00",1,0)</f>
        <v>0</v>
      </c>
      <c r="AA40">
        <f>IF(H40="100.00",1,0)</f>
        <v>0</v>
      </c>
      <c r="AB40">
        <f>IF(I40="100.00",1,0)</f>
        <v>0</v>
      </c>
      <c r="AC40">
        <f>IF(J40="100.00",1,0)</f>
        <v>0</v>
      </c>
      <c r="AD40">
        <f>IF(K40="100.00",1,0)</f>
        <v>0</v>
      </c>
      <c r="AE40">
        <f>IF(L40="100.00",1,0)</f>
        <v>0</v>
      </c>
      <c r="AF40">
        <f>IF(M40="100.00",1,0)</f>
        <v>0</v>
      </c>
      <c r="AG40">
        <f>IF(N40="100.00",1,0)</f>
        <v>0</v>
      </c>
      <c r="AH40">
        <f>IF(O40="100.00",1,0)</f>
        <v>0</v>
      </c>
      <c r="AI40">
        <f>IF(P40="100.00",1,0)</f>
        <v>0</v>
      </c>
      <c r="AJ40">
        <f>IF(Q40="100.00",1,0)</f>
        <v>0</v>
      </c>
      <c r="AK40">
        <f>IF(R40="100.00",1,0)</f>
        <v>0</v>
      </c>
      <c r="AL40">
        <f>IF(S40="100.00",1,0)</f>
        <v>0</v>
      </c>
      <c r="AM40">
        <f>IF(T40="100.00",1,0)</f>
        <v>0</v>
      </c>
      <c r="AN40">
        <f>IF(U40="100.00",1,0)</f>
        <v>0</v>
      </c>
      <c r="AO40">
        <f>SUM(V40:AN40)</f>
        <v>0</v>
      </c>
    </row>
    <row r="41" spans="1:41" x14ac:dyDescent="0.35">
      <c r="A41" s="8" t="s">
        <v>21</v>
      </c>
      <c r="B41" s="9">
        <v>95031714219</v>
      </c>
      <c r="C41" s="9" t="s">
        <v>45</v>
      </c>
      <c r="D41" s="9" t="s">
        <v>45</v>
      </c>
      <c r="E41" s="9" t="s">
        <v>23</v>
      </c>
      <c r="F41" s="9" t="s">
        <v>23</v>
      </c>
      <c r="G41" s="9" t="s">
        <v>23</v>
      </c>
      <c r="H41" s="9" t="s">
        <v>23</v>
      </c>
      <c r="I41" s="9" t="s">
        <v>46</v>
      </c>
      <c r="J41" s="9" t="s">
        <v>23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 t="s">
        <v>47</v>
      </c>
      <c r="R41" s="9" t="s">
        <v>23</v>
      </c>
      <c r="S41" s="9" t="s">
        <v>32</v>
      </c>
      <c r="T41" s="9" t="s">
        <v>23</v>
      </c>
      <c r="U41" s="10" t="s">
        <v>23</v>
      </c>
      <c r="V41">
        <f>IF(C41="100.00",1,0)</f>
        <v>0</v>
      </c>
      <c r="W41">
        <f>IF(D41="100.00",1,0)</f>
        <v>0</v>
      </c>
      <c r="X41">
        <f>IF(E41="100.00",1,0)</f>
        <v>0</v>
      </c>
      <c r="Y41">
        <f>IF(F41="100.00",1,0)</f>
        <v>0</v>
      </c>
      <c r="Z41">
        <f>IF(G41="100.00",1,0)</f>
        <v>0</v>
      </c>
      <c r="AA41">
        <f>IF(H41="100.00",1,0)</f>
        <v>0</v>
      </c>
      <c r="AB41">
        <f>IF(I41="100.00",1,0)</f>
        <v>0</v>
      </c>
      <c r="AC41">
        <f>IF(J41="100.00",1,0)</f>
        <v>0</v>
      </c>
      <c r="AD41">
        <f>IF(K41="100.00",1,0)</f>
        <v>0</v>
      </c>
      <c r="AE41">
        <f>IF(L41="100.00",1,0)</f>
        <v>0</v>
      </c>
      <c r="AF41">
        <f>IF(M41="100.00",1,0)</f>
        <v>0</v>
      </c>
      <c r="AG41">
        <f>IF(N41="100.00",1,0)</f>
        <v>0</v>
      </c>
      <c r="AH41">
        <f>IF(O41="100.00",1,0)</f>
        <v>0</v>
      </c>
      <c r="AI41">
        <f>IF(P41="100.00",1,0)</f>
        <v>0</v>
      </c>
      <c r="AJ41">
        <f>IF(Q41="100.00",1,0)</f>
        <v>0</v>
      </c>
      <c r="AK41">
        <f>IF(R41="100.00",1,0)</f>
        <v>0</v>
      </c>
      <c r="AL41">
        <f>IF(S41="100.00",1,0)</f>
        <v>0</v>
      </c>
      <c r="AM41">
        <f>IF(T41="100.00",1,0)</f>
        <v>0</v>
      </c>
      <c r="AN41">
        <f>IF(U41="100.00",1,0)</f>
        <v>0</v>
      </c>
      <c r="AO41">
        <f>SUM(V41:AN41)</f>
        <v>0</v>
      </c>
    </row>
    <row r="42" spans="1:41" x14ac:dyDescent="0.35">
      <c r="A42" s="5" t="s">
        <v>21</v>
      </c>
      <c r="B42" s="6">
        <v>95032402083</v>
      </c>
      <c r="C42" s="6" t="s">
        <v>23</v>
      </c>
      <c r="D42" s="6" t="s">
        <v>34</v>
      </c>
      <c r="E42" s="6" t="s">
        <v>23</v>
      </c>
      <c r="F42" s="6" t="s">
        <v>23</v>
      </c>
      <c r="G42" s="6" t="s">
        <v>23</v>
      </c>
      <c r="H42" s="6" t="s">
        <v>23</v>
      </c>
      <c r="I42" s="6" t="s">
        <v>48</v>
      </c>
      <c r="J42" s="6" t="s">
        <v>37</v>
      </c>
      <c r="K42" s="6" t="s">
        <v>23</v>
      </c>
      <c r="L42" s="6" t="s">
        <v>23</v>
      </c>
      <c r="M42" s="6" t="s">
        <v>23</v>
      </c>
      <c r="N42" s="6" t="s">
        <v>23</v>
      </c>
      <c r="O42" s="6" t="s">
        <v>23</v>
      </c>
      <c r="P42" s="6" t="s">
        <v>23</v>
      </c>
      <c r="Q42" s="6" t="s">
        <v>49</v>
      </c>
      <c r="R42" s="6" t="s">
        <v>50</v>
      </c>
      <c r="S42" s="6" t="s">
        <v>51</v>
      </c>
      <c r="T42" s="6" t="s">
        <v>23</v>
      </c>
      <c r="U42" s="7" t="s">
        <v>23</v>
      </c>
      <c r="V42">
        <f>IF(C42="100.00",1,0)</f>
        <v>0</v>
      </c>
      <c r="W42">
        <f>IF(D42="100.00",1,0)</f>
        <v>0</v>
      </c>
      <c r="X42">
        <f>IF(E42="100.00",1,0)</f>
        <v>0</v>
      </c>
      <c r="Y42">
        <f>IF(F42="100.00",1,0)</f>
        <v>0</v>
      </c>
      <c r="Z42">
        <f>IF(G42="100.00",1,0)</f>
        <v>0</v>
      </c>
      <c r="AA42">
        <f>IF(H42="100.00",1,0)</f>
        <v>0</v>
      </c>
      <c r="AB42">
        <f>IF(I42="100.00",1,0)</f>
        <v>0</v>
      </c>
      <c r="AC42">
        <f>IF(J42="100.00",1,0)</f>
        <v>0</v>
      </c>
      <c r="AD42">
        <f>IF(K42="100.00",1,0)</f>
        <v>0</v>
      </c>
      <c r="AE42">
        <f>IF(L42="100.00",1,0)</f>
        <v>0</v>
      </c>
      <c r="AF42">
        <f>IF(M42="100.00",1,0)</f>
        <v>0</v>
      </c>
      <c r="AG42">
        <f>IF(N42="100.00",1,0)</f>
        <v>0</v>
      </c>
      <c r="AH42">
        <f>IF(O42="100.00",1,0)</f>
        <v>0</v>
      </c>
      <c r="AI42">
        <f>IF(P42="100.00",1,0)</f>
        <v>0</v>
      </c>
      <c r="AJ42">
        <f>IF(Q42="100.00",1,0)</f>
        <v>0</v>
      </c>
      <c r="AK42">
        <f>IF(R42="100.00",1,0)</f>
        <v>0</v>
      </c>
      <c r="AL42">
        <f>IF(S42="100.00",1,0)</f>
        <v>0</v>
      </c>
      <c r="AM42">
        <f>IF(T42="100.00",1,0)</f>
        <v>0</v>
      </c>
      <c r="AN42">
        <f>IF(U42="100.00",1,0)</f>
        <v>0</v>
      </c>
      <c r="AO42">
        <f>SUM(V42:AN42)</f>
        <v>0</v>
      </c>
    </row>
    <row r="43" spans="1:41" x14ac:dyDescent="0.35">
      <c r="A43" s="8" t="s">
        <v>21</v>
      </c>
      <c r="B43" s="9">
        <v>95032701960</v>
      </c>
      <c r="C43" s="9" t="s">
        <v>52</v>
      </c>
      <c r="D43" s="9" t="s">
        <v>53</v>
      </c>
      <c r="E43" s="9" t="s">
        <v>23</v>
      </c>
      <c r="F43" s="9" t="s">
        <v>23</v>
      </c>
      <c r="G43" s="9" t="s">
        <v>23</v>
      </c>
      <c r="H43" s="9" t="s">
        <v>23</v>
      </c>
      <c r="I43" s="9" t="s">
        <v>48</v>
      </c>
      <c r="J43" s="9" t="s">
        <v>23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 t="s">
        <v>48</v>
      </c>
      <c r="R43" s="9" t="s">
        <v>23</v>
      </c>
      <c r="S43" s="9" t="s">
        <v>52</v>
      </c>
      <c r="T43" s="9" t="s">
        <v>23</v>
      </c>
      <c r="U43" s="10" t="s">
        <v>23</v>
      </c>
      <c r="V43">
        <f>IF(C43="100.00",1,0)</f>
        <v>0</v>
      </c>
      <c r="W43">
        <f>IF(D43="100.00",1,0)</f>
        <v>0</v>
      </c>
      <c r="X43">
        <f>IF(E43="100.00",1,0)</f>
        <v>0</v>
      </c>
      <c r="Y43">
        <f>IF(F43="100.00",1,0)</f>
        <v>0</v>
      </c>
      <c r="Z43">
        <f>IF(G43="100.00",1,0)</f>
        <v>0</v>
      </c>
      <c r="AA43">
        <f>IF(H43="100.00",1,0)</f>
        <v>0</v>
      </c>
      <c r="AB43">
        <f>IF(I43="100.00",1,0)</f>
        <v>0</v>
      </c>
      <c r="AC43">
        <f>IF(J43="100.00",1,0)</f>
        <v>0</v>
      </c>
      <c r="AD43">
        <f>IF(K43="100.00",1,0)</f>
        <v>0</v>
      </c>
      <c r="AE43">
        <f>IF(L43="100.00",1,0)</f>
        <v>0</v>
      </c>
      <c r="AF43">
        <f>IF(M43="100.00",1,0)</f>
        <v>0</v>
      </c>
      <c r="AG43">
        <f>IF(N43="100.00",1,0)</f>
        <v>0</v>
      </c>
      <c r="AH43">
        <f>IF(O43="100.00",1,0)</f>
        <v>0</v>
      </c>
      <c r="AI43">
        <f>IF(P43="100.00",1,0)</f>
        <v>0</v>
      </c>
      <c r="AJ43">
        <f>IF(Q43="100.00",1,0)</f>
        <v>0</v>
      </c>
      <c r="AK43">
        <f>IF(R43="100.00",1,0)</f>
        <v>0</v>
      </c>
      <c r="AL43">
        <f>IF(S43="100.00",1,0)</f>
        <v>0</v>
      </c>
      <c r="AM43">
        <f>IF(T43="100.00",1,0)</f>
        <v>0</v>
      </c>
      <c r="AN43">
        <f>IF(U43="100.00",1,0)</f>
        <v>0</v>
      </c>
      <c r="AO43">
        <f>SUM(V43:AN43)</f>
        <v>0</v>
      </c>
    </row>
    <row r="44" spans="1:41" x14ac:dyDescent="0.35">
      <c r="A44" s="5" t="s">
        <v>21</v>
      </c>
      <c r="B44" s="6">
        <v>95040412034</v>
      </c>
      <c r="C44" s="6" t="s">
        <v>54</v>
      </c>
      <c r="D44" s="6" t="s">
        <v>28</v>
      </c>
      <c r="E44" s="6" t="s">
        <v>23</v>
      </c>
      <c r="F44" s="6" t="s">
        <v>23</v>
      </c>
      <c r="G44" s="6" t="s">
        <v>23</v>
      </c>
      <c r="H44" s="6" t="s">
        <v>23</v>
      </c>
      <c r="I44" s="6" t="s">
        <v>55</v>
      </c>
      <c r="J44" s="6" t="s">
        <v>23</v>
      </c>
      <c r="K44" s="6" t="s">
        <v>23</v>
      </c>
      <c r="L44" s="6" t="s">
        <v>23</v>
      </c>
      <c r="M44" s="6" t="s">
        <v>23</v>
      </c>
      <c r="N44" s="6" t="s">
        <v>23</v>
      </c>
      <c r="O44" s="6" t="s">
        <v>23</v>
      </c>
      <c r="P44" s="6" t="s">
        <v>23</v>
      </c>
      <c r="Q44" s="6" t="s">
        <v>56</v>
      </c>
      <c r="R44" s="6" t="s">
        <v>23</v>
      </c>
      <c r="S44" s="6" t="s">
        <v>30</v>
      </c>
      <c r="T44" s="6" t="s">
        <v>23</v>
      </c>
      <c r="U44" s="7" t="s">
        <v>23</v>
      </c>
      <c r="V44">
        <f>IF(C44="100.00",1,0)</f>
        <v>0</v>
      </c>
      <c r="W44">
        <f>IF(D44="100.00",1,0)</f>
        <v>0</v>
      </c>
      <c r="X44">
        <f>IF(E44="100.00",1,0)</f>
        <v>0</v>
      </c>
      <c r="Y44">
        <f>IF(F44="100.00",1,0)</f>
        <v>0</v>
      </c>
      <c r="Z44">
        <f>IF(G44="100.00",1,0)</f>
        <v>0</v>
      </c>
      <c r="AA44">
        <f>IF(H44="100.00",1,0)</f>
        <v>0</v>
      </c>
      <c r="AB44">
        <f>IF(I44="100.00",1,0)</f>
        <v>0</v>
      </c>
      <c r="AC44">
        <f>IF(J44="100.00",1,0)</f>
        <v>0</v>
      </c>
      <c r="AD44">
        <f>IF(K44="100.00",1,0)</f>
        <v>0</v>
      </c>
      <c r="AE44">
        <f>IF(L44="100.00",1,0)</f>
        <v>0</v>
      </c>
      <c r="AF44">
        <f>IF(M44="100.00",1,0)</f>
        <v>0</v>
      </c>
      <c r="AG44">
        <f>IF(N44="100.00",1,0)</f>
        <v>0</v>
      </c>
      <c r="AH44">
        <f>IF(O44="100.00",1,0)</f>
        <v>0</v>
      </c>
      <c r="AI44">
        <f>IF(P44="100.00",1,0)</f>
        <v>0</v>
      </c>
      <c r="AJ44">
        <f>IF(Q44="100.00",1,0)</f>
        <v>0</v>
      </c>
      <c r="AK44">
        <f>IF(R44="100.00",1,0)</f>
        <v>0</v>
      </c>
      <c r="AL44">
        <f>IF(S44="100.00",1,0)</f>
        <v>0</v>
      </c>
      <c r="AM44">
        <f>IF(T44="100.00",1,0)</f>
        <v>0</v>
      </c>
      <c r="AN44">
        <f>IF(U44="100.00",1,0)</f>
        <v>0</v>
      </c>
      <c r="AO44">
        <f>SUM(V44:AN44)</f>
        <v>0</v>
      </c>
    </row>
    <row r="45" spans="1:41" x14ac:dyDescent="0.35">
      <c r="A45" s="8" t="s">
        <v>21</v>
      </c>
      <c r="B45" s="9">
        <v>95040908766</v>
      </c>
      <c r="C45" s="9" t="s">
        <v>57</v>
      </c>
      <c r="D45" s="9" t="s">
        <v>58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43</v>
      </c>
      <c r="J45" s="9" t="s">
        <v>23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 t="s">
        <v>32</v>
      </c>
      <c r="R45" s="9" t="s">
        <v>23</v>
      </c>
      <c r="S45" s="9" t="s">
        <v>59</v>
      </c>
      <c r="T45" s="9" t="s">
        <v>23</v>
      </c>
      <c r="U45" s="10" t="s">
        <v>23</v>
      </c>
      <c r="V45">
        <f>IF(C45="100.00",1,0)</f>
        <v>0</v>
      </c>
      <c r="W45">
        <f>IF(D45="100.00",1,0)</f>
        <v>0</v>
      </c>
      <c r="X45">
        <f>IF(E45="100.00",1,0)</f>
        <v>0</v>
      </c>
      <c r="Y45">
        <f>IF(F45="100.00",1,0)</f>
        <v>0</v>
      </c>
      <c r="Z45">
        <f>IF(G45="100.00",1,0)</f>
        <v>0</v>
      </c>
      <c r="AA45">
        <f>IF(H45="100.00",1,0)</f>
        <v>0</v>
      </c>
      <c r="AB45">
        <f>IF(I45="100.00",1,0)</f>
        <v>0</v>
      </c>
      <c r="AC45">
        <f>IF(J45="100.00",1,0)</f>
        <v>0</v>
      </c>
      <c r="AD45">
        <f>IF(K45="100.00",1,0)</f>
        <v>0</v>
      </c>
      <c r="AE45">
        <f>IF(L45="100.00",1,0)</f>
        <v>0</v>
      </c>
      <c r="AF45">
        <f>IF(M45="100.00",1,0)</f>
        <v>0</v>
      </c>
      <c r="AG45">
        <f>IF(N45="100.00",1,0)</f>
        <v>0</v>
      </c>
      <c r="AH45">
        <f>IF(O45="100.00",1,0)</f>
        <v>0</v>
      </c>
      <c r="AI45">
        <f>IF(P45="100.00",1,0)</f>
        <v>0</v>
      </c>
      <c r="AJ45">
        <f>IF(Q45="100.00",1,0)</f>
        <v>0</v>
      </c>
      <c r="AK45">
        <f>IF(R45="100.00",1,0)</f>
        <v>0</v>
      </c>
      <c r="AL45">
        <f>IF(S45="100.00",1,0)</f>
        <v>0</v>
      </c>
      <c r="AM45">
        <f>IF(T45="100.00",1,0)</f>
        <v>0</v>
      </c>
      <c r="AN45">
        <f>IF(U45="100.00",1,0)</f>
        <v>0</v>
      </c>
      <c r="AO45">
        <f>SUM(V45:AN45)</f>
        <v>0</v>
      </c>
    </row>
    <row r="46" spans="1:41" x14ac:dyDescent="0.35">
      <c r="A46" s="5" t="s">
        <v>21</v>
      </c>
      <c r="B46" s="6">
        <v>95041309368</v>
      </c>
      <c r="C46" s="6" t="s">
        <v>36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 t="s">
        <v>48</v>
      </c>
      <c r="J46" s="6" t="s">
        <v>60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 t="s">
        <v>33</v>
      </c>
      <c r="R46" s="6" t="s">
        <v>23</v>
      </c>
      <c r="S46" s="6" t="s">
        <v>61</v>
      </c>
      <c r="T46" s="6" t="s">
        <v>23</v>
      </c>
      <c r="U46" s="7" t="s">
        <v>23</v>
      </c>
      <c r="V46">
        <f>IF(C46="100.00",1,0)</f>
        <v>0</v>
      </c>
      <c r="W46">
        <f>IF(D46="100.00",1,0)</f>
        <v>0</v>
      </c>
      <c r="X46">
        <f>IF(E46="100.00",1,0)</f>
        <v>0</v>
      </c>
      <c r="Y46">
        <f>IF(F46="100.00",1,0)</f>
        <v>0</v>
      </c>
      <c r="Z46">
        <f>IF(G46="100.00",1,0)</f>
        <v>0</v>
      </c>
      <c r="AA46">
        <f>IF(H46="100.00",1,0)</f>
        <v>0</v>
      </c>
      <c r="AB46">
        <f>IF(I46="100.00",1,0)</f>
        <v>0</v>
      </c>
      <c r="AC46">
        <f>IF(J46="100.00",1,0)</f>
        <v>0</v>
      </c>
      <c r="AD46">
        <f>IF(K46="100.00",1,0)</f>
        <v>0</v>
      </c>
      <c r="AE46">
        <f>IF(L46="100.00",1,0)</f>
        <v>0</v>
      </c>
      <c r="AF46">
        <f>IF(M46="100.00",1,0)</f>
        <v>0</v>
      </c>
      <c r="AG46">
        <f>IF(N46="100.00",1,0)</f>
        <v>0</v>
      </c>
      <c r="AH46">
        <f>IF(O46="100.00",1,0)</f>
        <v>0</v>
      </c>
      <c r="AI46">
        <f>IF(P46="100.00",1,0)</f>
        <v>0</v>
      </c>
      <c r="AJ46">
        <f>IF(Q46="100.00",1,0)</f>
        <v>0</v>
      </c>
      <c r="AK46">
        <f>IF(R46="100.00",1,0)</f>
        <v>0</v>
      </c>
      <c r="AL46">
        <f>IF(S46="100.00",1,0)</f>
        <v>0</v>
      </c>
      <c r="AM46">
        <f>IF(T46="100.00",1,0)</f>
        <v>0</v>
      </c>
      <c r="AN46">
        <f>IF(U46="100.00",1,0)</f>
        <v>0</v>
      </c>
      <c r="AO46">
        <f>SUM(V46:AN46)</f>
        <v>0</v>
      </c>
    </row>
    <row r="47" spans="1:41" x14ac:dyDescent="0.35">
      <c r="A47" s="5" t="s">
        <v>21</v>
      </c>
      <c r="B47" s="6">
        <v>95061500402</v>
      </c>
      <c r="C47" s="6" t="s">
        <v>62</v>
      </c>
      <c r="D47" s="6" t="s">
        <v>26</v>
      </c>
      <c r="E47" s="6" t="s">
        <v>23</v>
      </c>
      <c r="F47" s="6" t="s">
        <v>23</v>
      </c>
      <c r="G47" s="6" t="s">
        <v>23</v>
      </c>
      <c r="H47" s="6" t="s">
        <v>23</v>
      </c>
      <c r="I47" s="6" t="s">
        <v>35</v>
      </c>
      <c r="J47" s="6" t="s">
        <v>23</v>
      </c>
      <c r="K47" s="6" t="s">
        <v>23</v>
      </c>
      <c r="L47" s="6" t="s">
        <v>23</v>
      </c>
      <c r="M47" s="6" t="s">
        <v>23</v>
      </c>
      <c r="N47" s="6" t="s">
        <v>23</v>
      </c>
      <c r="O47" s="6" t="s">
        <v>23</v>
      </c>
      <c r="P47" s="6" t="s">
        <v>23</v>
      </c>
      <c r="Q47" s="6" t="s">
        <v>35</v>
      </c>
      <c r="R47" s="6" t="s">
        <v>23</v>
      </c>
      <c r="S47" s="6" t="s">
        <v>63</v>
      </c>
      <c r="T47" s="6" t="s">
        <v>23</v>
      </c>
      <c r="U47" s="7" t="s">
        <v>23</v>
      </c>
      <c r="V47">
        <f>IF(C47="100.00",1,0)</f>
        <v>0</v>
      </c>
      <c r="W47">
        <f>IF(D47="100.00",1,0)</f>
        <v>0</v>
      </c>
      <c r="X47">
        <f>IF(E47="100.00",1,0)</f>
        <v>0</v>
      </c>
      <c r="Y47">
        <f>IF(F47="100.00",1,0)</f>
        <v>0</v>
      </c>
      <c r="Z47">
        <f>IF(G47="100.00",1,0)</f>
        <v>0</v>
      </c>
      <c r="AA47">
        <f>IF(H47="100.00",1,0)</f>
        <v>0</v>
      </c>
      <c r="AB47">
        <f>IF(I47="100.00",1,0)</f>
        <v>0</v>
      </c>
      <c r="AC47">
        <f>IF(J47="100.00",1,0)</f>
        <v>0</v>
      </c>
      <c r="AD47">
        <f>IF(K47="100.00",1,0)</f>
        <v>0</v>
      </c>
      <c r="AE47">
        <f>IF(L47="100.00",1,0)</f>
        <v>0</v>
      </c>
      <c r="AF47">
        <f>IF(M47="100.00",1,0)</f>
        <v>0</v>
      </c>
      <c r="AG47">
        <f>IF(N47="100.00",1,0)</f>
        <v>0</v>
      </c>
      <c r="AH47">
        <f>IF(O47="100.00",1,0)</f>
        <v>0</v>
      </c>
      <c r="AI47">
        <f>IF(P47="100.00",1,0)</f>
        <v>0</v>
      </c>
      <c r="AJ47">
        <f>IF(Q47="100.00",1,0)</f>
        <v>0</v>
      </c>
      <c r="AK47">
        <f>IF(R47="100.00",1,0)</f>
        <v>0</v>
      </c>
      <c r="AL47">
        <f>IF(S47="100.00",1,0)</f>
        <v>0</v>
      </c>
      <c r="AM47">
        <f>IF(T47="100.00",1,0)</f>
        <v>0</v>
      </c>
      <c r="AN47">
        <f>IF(U47="100.00",1,0)</f>
        <v>0</v>
      </c>
      <c r="AO47">
        <f>SUM(V47:AN47)</f>
        <v>0</v>
      </c>
    </row>
    <row r="48" spans="1:41" x14ac:dyDescent="0.35">
      <c r="A48" s="8" t="s">
        <v>21</v>
      </c>
      <c r="B48" s="9">
        <v>95061702842</v>
      </c>
      <c r="C48" s="9" t="s">
        <v>46</v>
      </c>
      <c r="D48" s="9" t="s">
        <v>28</v>
      </c>
      <c r="E48" s="9" t="s">
        <v>23</v>
      </c>
      <c r="F48" s="9" t="s">
        <v>23</v>
      </c>
      <c r="G48" s="9" t="s">
        <v>23</v>
      </c>
      <c r="H48" s="9" t="s">
        <v>23</v>
      </c>
      <c r="I48" s="9" t="s">
        <v>25</v>
      </c>
      <c r="J48" s="9" t="s">
        <v>23</v>
      </c>
      <c r="K48" s="9" t="s">
        <v>23</v>
      </c>
      <c r="L48" s="9" t="s">
        <v>23</v>
      </c>
      <c r="M48" s="9" t="s">
        <v>23</v>
      </c>
      <c r="N48" s="9" t="s">
        <v>23</v>
      </c>
      <c r="O48" s="9" t="s">
        <v>23</v>
      </c>
      <c r="P48" s="9" t="s">
        <v>23</v>
      </c>
      <c r="Q48" s="9" t="s">
        <v>26</v>
      </c>
      <c r="R48" s="9" t="s">
        <v>23</v>
      </c>
      <c r="S48" s="9" t="s">
        <v>64</v>
      </c>
      <c r="T48" s="9" t="s">
        <v>23</v>
      </c>
      <c r="U48" s="10" t="s">
        <v>23</v>
      </c>
      <c r="V48">
        <f>IF(C48="100.00",1,0)</f>
        <v>0</v>
      </c>
      <c r="W48">
        <f>IF(D48="100.00",1,0)</f>
        <v>0</v>
      </c>
      <c r="X48">
        <f>IF(E48="100.00",1,0)</f>
        <v>0</v>
      </c>
      <c r="Y48">
        <f>IF(F48="100.00",1,0)</f>
        <v>0</v>
      </c>
      <c r="Z48">
        <f>IF(G48="100.00",1,0)</f>
        <v>0</v>
      </c>
      <c r="AA48">
        <f>IF(H48="100.00",1,0)</f>
        <v>0</v>
      </c>
      <c r="AB48">
        <f>IF(I48="100.00",1,0)</f>
        <v>0</v>
      </c>
      <c r="AC48">
        <f>IF(J48="100.00",1,0)</f>
        <v>0</v>
      </c>
      <c r="AD48">
        <f>IF(K48="100.00",1,0)</f>
        <v>0</v>
      </c>
      <c r="AE48">
        <f>IF(L48="100.00",1,0)</f>
        <v>0</v>
      </c>
      <c r="AF48">
        <f>IF(M48="100.00",1,0)</f>
        <v>0</v>
      </c>
      <c r="AG48">
        <f>IF(N48="100.00",1,0)</f>
        <v>0</v>
      </c>
      <c r="AH48">
        <f>IF(O48="100.00",1,0)</f>
        <v>0</v>
      </c>
      <c r="AI48">
        <f>IF(P48="100.00",1,0)</f>
        <v>0</v>
      </c>
      <c r="AJ48">
        <f>IF(Q48="100.00",1,0)</f>
        <v>0</v>
      </c>
      <c r="AK48">
        <f>IF(R48="100.00",1,0)</f>
        <v>0</v>
      </c>
      <c r="AL48">
        <f>IF(S48="100.00",1,0)</f>
        <v>0</v>
      </c>
      <c r="AM48">
        <f>IF(T48="100.00",1,0)</f>
        <v>0</v>
      </c>
      <c r="AN48">
        <f>IF(U48="100.00",1,0)</f>
        <v>0</v>
      </c>
      <c r="AO48">
        <f>SUM(V48:AN48)</f>
        <v>0</v>
      </c>
    </row>
    <row r="49" spans="1:41" x14ac:dyDescent="0.35">
      <c r="A49" s="5" t="s">
        <v>21</v>
      </c>
      <c r="B49" s="6">
        <v>95062301712</v>
      </c>
      <c r="C49" s="6" t="s">
        <v>53</v>
      </c>
      <c r="D49" s="6" t="s">
        <v>65</v>
      </c>
      <c r="E49" s="6" t="s">
        <v>47</v>
      </c>
      <c r="F49" s="6" t="s">
        <v>23</v>
      </c>
      <c r="G49" s="6" t="s">
        <v>23</v>
      </c>
      <c r="H49" s="6" t="s">
        <v>23</v>
      </c>
      <c r="I49" s="6" t="s">
        <v>49</v>
      </c>
      <c r="J49" s="6" t="s">
        <v>23</v>
      </c>
      <c r="K49" s="6" t="s">
        <v>23</v>
      </c>
      <c r="L49" s="6" t="s">
        <v>23</v>
      </c>
      <c r="M49" s="6" t="s">
        <v>23</v>
      </c>
      <c r="N49" s="6" t="s">
        <v>23</v>
      </c>
      <c r="O49" s="6" t="s">
        <v>23</v>
      </c>
      <c r="P49" s="6" t="s">
        <v>23</v>
      </c>
      <c r="Q49" s="6" t="s">
        <v>35</v>
      </c>
      <c r="R49" s="6" t="s">
        <v>23</v>
      </c>
      <c r="S49" s="6" t="s">
        <v>31</v>
      </c>
      <c r="T49" s="6" t="s">
        <v>23</v>
      </c>
      <c r="U49" s="7" t="s">
        <v>23</v>
      </c>
      <c r="V49">
        <f>IF(C49="100.00",1,0)</f>
        <v>0</v>
      </c>
      <c r="W49">
        <f>IF(D49="100.00",1,0)</f>
        <v>0</v>
      </c>
      <c r="X49">
        <f>IF(E49="100.00",1,0)</f>
        <v>0</v>
      </c>
      <c r="Y49">
        <f>IF(F49="100.00",1,0)</f>
        <v>0</v>
      </c>
      <c r="Z49">
        <f>IF(G49="100.00",1,0)</f>
        <v>0</v>
      </c>
      <c r="AA49">
        <f>IF(H49="100.00",1,0)</f>
        <v>0</v>
      </c>
      <c r="AB49">
        <f>IF(I49="100.00",1,0)</f>
        <v>0</v>
      </c>
      <c r="AC49">
        <f>IF(J49="100.00",1,0)</f>
        <v>0</v>
      </c>
      <c r="AD49">
        <f>IF(K49="100.00",1,0)</f>
        <v>0</v>
      </c>
      <c r="AE49">
        <f>IF(L49="100.00",1,0)</f>
        <v>0</v>
      </c>
      <c r="AF49">
        <f>IF(M49="100.00",1,0)</f>
        <v>0</v>
      </c>
      <c r="AG49">
        <f>IF(N49="100.00",1,0)</f>
        <v>0</v>
      </c>
      <c r="AH49">
        <f>IF(O49="100.00",1,0)</f>
        <v>0</v>
      </c>
      <c r="AI49">
        <f>IF(P49="100.00",1,0)</f>
        <v>0</v>
      </c>
      <c r="AJ49">
        <f>IF(Q49="100.00",1,0)</f>
        <v>0</v>
      </c>
      <c r="AK49">
        <f>IF(R49="100.00",1,0)</f>
        <v>0</v>
      </c>
      <c r="AL49">
        <f>IF(S49="100.00",1,0)</f>
        <v>0</v>
      </c>
      <c r="AM49">
        <f>IF(T49="100.00",1,0)</f>
        <v>0</v>
      </c>
      <c r="AN49">
        <f>IF(U49="100.00",1,0)</f>
        <v>0</v>
      </c>
      <c r="AO49">
        <f>SUM(V49:AN49)</f>
        <v>0</v>
      </c>
    </row>
    <row r="50" spans="1:41" x14ac:dyDescent="0.35">
      <c r="A50" s="8" t="s">
        <v>21</v>
      </c>
      <c r="B50" s="9">
        <v>95071508265</v>
      </c>
      <c r="C50" s="9" t="s">
        <v>42</v>
      </c>
      <c r="D50" s="9" t="s">
        <v>47</v>
      </c>
      <c r="E50" s="9" t="s">
        <v>23</v>
      </c>
      <c r="F50" s="9" t="s">
        <v>23</v>
      </c>
      <c r="G50" s="9" t="s">
        <v>23</v>
      </c>
      <c r="H50" s="9" t="s">
        <v>23</v>
      </c>
      <c r="I50" s="9" t="s">
        <v>53</v>
      </c>
      <c r="J50" s="9" t="s">
        <v>23</v>
      </c>
      <c r="K50" s="9" t="s">
        <v>23</v>
      </c>
      <c r="L50" s="9" t="s">
        <v>23</v>
      </c>
      <c r="M50" s="9" t="s">
        <v>23</v>
      </c>
      <c r="N50" s="9" t="s">
        <v>23</v>
      </c>
      <c r="O50" s="9" t="s">
        <v>23</v>
      </c>
      <c r="P50" s="9" t="s">
        <v>23</v>
      </c>
      <c r="Q50" s="9" t="s">
        <v>34</v>
      </c>
      <c r="R50" s="9" t="s">
        <v>23</v>
      </c>
      <c r="S50" s="9" t="s">
        <v>64</v>
      </c>
      <c r="T50" s="9" t="s">
        <v>23</v>
      </c>
      <c r="U50" s="10" t="s">
        <v>23</v>
      </c>
      <c r="V50">
        <f>IF(C50="100.00",1,0)</f>
        <v>0</v>
      </c>
      <c r="W50">
        <f>IF(D50="100.00",1,0)</f>
        <v>0</v>
      </c>
      <c r="X50">
        <f>IF(E50="100.00",1,0)</f>
        <v>0</v>
      </c>
      <c r="Y50">
        <f>IF(F50="100.00",1,0)</f>
        <v>0</v>
      </c>
      <c r="Z50">
        <f>IF(G50="100.00",1,0)</f>
        <v>0</v>
      </c>
      <c r="AA50">
        <f>IF(H50="100.00",1,0)</f>
        <v>0</v>
      </c>
      <c r="AB50">
        <f>IF(I50="100.00",1,0)</f>
        <v>0</v>
      </c>
      <c r="AC50">
        <f>IF(J50="100.00",1,0)</f>
        <v>0</v>
      </c>
      <c r="AD50">
        <f>IF(K50="100.00",1,0)</f>
        <v>0</v>
      </c>
      <c r="AE50">
        <f>IF(L50="100.00",1,0)</f>
        <v>0</v>
      </c>
      <c r="AF50">
        <f>IF(M50="100.00",1,0)</f>
        <v>0</v>
      </c>
      <c r="AG50">
        <f>IF(N50="100.00",1,0)</f>
        <v>0</v>
      </c>
      <c r="AH50">
        <f>IF(O50="100.00",1,0)</f>
        <v>0</v>
      </c>
      <c r="AI50">
        <f>IF(P50="100.00",1,0)</f>
        <v>0</v>
      </c>
      <c r="AJ50">
        <f>IF(Q50="100.00",1,0)</f>
        <v>0</v>
      </c>
      <c r="AK50">
        <f>IF(R50="100.00",1,0)</f>
        <v>0</v>
      </c>
      <c r="AL50">
        <f>IF(S50="100.00",1,0)</f>
        <v>0</v>
      </c>
      <c r="AM50">
        <f>IF(T50="100.00",1,0)</f>
        <v>0</v>
      </c>
      <c r="AN50">
        <f>IF(U50="100.00",1,0)</f>
        <v>0</v>
      </c>
      <c r="AO50">
        <f>SUM(V50:AN50)</f>
        <v>0</v>
      </c>
    </row>
    <row r="51" spans="1:41" x14ac:dyDescent="0.35">
      <c r="A51" s="5" t="s">
        <v>21</v>
      </c>
      <c r="B51" s="6">
        <v>95071807500</v>
      </c>
      <c r="C51" s="6" t="s">
        <v>41</v>
      </c>
      <c r="D51" s="6" t="s">
        <v>42</v>
      </c>
      <c r="E51" s="6" t="s">
        <v>23</v>
      </c>
      <c r="F51" s="6" t="s">
        <v>23</v>
      </c>
      <c r="G51" s="6" t="s">
        <v>23</v>
      </c>
      <c r="H51" s="6" t="s">
        <v>23</v>
      </c>
      <c r="I51" s="6" t="s">
        <v>66</v>
      </c>
      <c r="J51" s="6" t="s">
        <v>54</v>
      </c>
      <c r="K51" s="6" t="s">
        <v>23</v>
      </c>
      <c r="L51" s="6" t="s">
        <v>23</v>
      </c>
      <c r="M51" s="6" t="s">
        <v>23</v>
      </c>
      <c r="N51" s="6" t="s">
        <v>23</v>
      </c>
      <c r="O51" s="6" t="s">
        <v>23</v>
      </c>
      <c r="P51" s="6" t="s">
        <v>23</v>
      </c>
      <c r="Q51" s="6" t="s">
        <v>39</v>
      </c>
      <c r="R51" s="6" t="s">
        <v>23</v>
      </c>
      <c r="S51" s="6" t="s">
        <v>67</v>
      </c>
      <c r="T51" s="6" t="s">
        <v>23</v>
      </c>
      <c r="U51" s="7" t="s">
        <v>23</v>
      </c>
      <c r="V51">
        <f>IF(C51="100.00",1,0)</f>
        <v>0</v>
      </c>
      <c r="W51">
        <f>IF(D51="100.00",1,0)</f>
        <v>0</v>
      </c>
      <c r="X51">
        <f>IF(E51="100.00",1,0)</f>
        <v>0</v>
      </c>
      <c r="Y51">
        <f>IF(F51="100.00",1,0)</f>
        <v>0</v>
      </c>
      <c r="Z51">
        <f>IF(G51="100.00",1,0)</f>
        <v>0</v>
      </c>
      <c r="AA51">
        <f>IF(H51="100.00",1,0)</f>
        <v>0</v>
      </c>
      <c r="AB51">
        <f>IF(I51="100.00",1,0)</f>
        <v>0</v>
      </c>
      <c r="AC51">
        <f>IF(J51="100.00",1,0)</f>
        <v>0</v>
      </c>
      <c r="AD51">
        <f>IF(K51="100.00",1,0)</f>
        <v>0</v>
      </c>
      <c r="AE51">
        <f>IF(L51="100.00",1,0)</f>
        <v>0</v>
      </c>
      <c r="AF51">
        <f>IF(M51="100.00",1,0)</f>
        <v>0</v>
      </c>
      <c r="AG51">
        <f>IF(N51="100.00",1,0)</f>
        <v>0</v>
      </c>
      <c r="AH51">
        <f>IF(O51="100.00",1,0)</f>
        <v>0</v>
      </c>
      <c r="AI51">
        <f>IF(P51="100.00",1,0)</f>
        <v>0</v>
      </c>
      <c r="AJ51">
        <f>IF(Q51="100.00",1,0)</f>
        <v>0</v>
      </c>
      <c r="AK51">
        <f>IF(R51="100.00",1,0)</f>
        <v>0</v>
      </c>
      <c r="AL51">
        <f>IF(S51="100.00",1,0)</f>
        <v>0</v>
      </c>
      <c r="AM51">
        <f>IF(T51="100.00",1,0)</f>
        <v>0</v>
      </c>
      <c r="AN51">
        <f>IF(U51="100.00",1,0)</f>
        <v>0</v>
      </c>
      <c r="AO51">
        <f>SUM(V51:AN51)</f>
        <v>0</v>
      </c>
    </row>
    <row r="52" spans="1:41" x14ac:dyDescent="0.35">
      <c r="A52" s="8" t="s">
        <v>21</v>
      </c>
      <c r="B52" s="9">
        <v>95072900844</v>
      </c>
      <c r="C52" s="9" t="s">
        <v>68</v>
      </c>
      <c r="D52" s="9" t="s">
        <v>42</v>
      </c>
      <c r="E52" s="9" t="s">
        <v>23</v>
      </c>
      <c r="F52" s="9" t="s">
        <v>23</v>
      </c>
      <c r="G52" s="9" t="s">
        <v>23</v>
      </c>
      <c r="H52" s="9" t="s">
        <v>23</v>
      </c>
      <c r="I52" s="9" t="s">
        <v>48</v>
      </c>
      <c r="J52" s="9" t="s">
        <v>56</v>
      </c>
      <c r="K52" s="9" t="s">
        <v>23</v>
      </c>
      <c r="L52" s="9" t="s">
        <v>23</v>
      </c>
      <c r="M52" s="9" t="s">
        <v>23</v>
      </c>
      <c r="N52" s="9" t="s">
        <v>23</v>
      </c>
      <c r="O52" s="9" t="s">
        <v>23</v>
      </c>
      <c r="P52" s="9" t="s">
        <v>23</v>
      </c>
      <c r="Q52" s="9" t="s">
        <v>35</v>
      </c>
      <c r="R52" s="9" t="s">
        <v>23</v>
      </c>
      <c r="S52" s="9" t="s">
        <v>30</v>
      </c>
      <c r="T52" s="9" t="s">
        <v>23</v>
      </c>
      <c r="U52" s="10" t="s">
        <v>23</v>
      </c>
      <c r="V52">
        <f>IF(C52="100.00",1,0)</f>
        <v>0</v>
      </c>
      <c r="W52">
        <f>IF(D52="100.00",1,0)</f>
        <v>0</v>
      </c>
      <c r="X52">
        <f>IF(E52="100.00",1,0)</f>
        <v>0</v>
      </c>
      <c r="Y52">
        <f>IF(F52="100.00",1,0)</f>
        <v>0</v>
      </c>
      <c r="Z52">
        <f>IF(G52="100.00",1,0)</f>
        <v>0</v>
      </c>
      <c r="AA52">
        <f>IF(H52="100.00",1,0)</f>
        <v>0</v>
      </c>
      <c r="AB52">
        <f>IF(I52="100.00",1,0)</f>
        <v>0</v>
      </c>
      <c r="AC52">
        <f>IF(J52="100.00",1,0)</f>
        <v>0</v>
      </c>
      <c r="AD52">
        <f>IF(K52="100.00",1,0)</f>
        <v>0</v>
      </c>
      <c r="AE52">
        <f>IF(L52="100.00",1,0)</f>
        <v>0</v>
      </c>
      <c r="AF52">
        <f>IF(M52="100.00",1,0)</f>
        <v>0</v>
      </c>
      <c r="AG52">
        <f>IF(N52="100.00",1,0)</f>
        <v>0</v>
      </c>
      <c r="AH52">
        <f>IF(O52="100.00",1,0)</f>
        <v>0</v>
      </c>
      <c r="AI52">
        <f>IF(P52="100.00",1,0)</f>
        <v>0</v>
      </c>
      <c r="AJ52">
        <f>IF(Q52="100.00",1,0)</f>
        <v>0</v>
      </c>
      <c r="AK52">
        <f>IF(R52="100.00",1,0)</f>
        <v>0</v>
      </c>
      <c r="AL52">
        <f>IF(S52="100.00",1,0)</f>
        <v>0</v>
      </c>
      <c r="AM52">
        <f>IF(T52="100.00",1,0)</f>
        <v>0</v>
      </c>
      <c r="AN52">
        <f>IF(U52="100.00",1,0)</f>
        <v>0</v>
      </c>
      <c r="AO52">
        <f>SUM(V52:AN52)</f>
        <v>0</v>
      </c>
    </row>
    <row r="53" spans="1:41" x14ac:dyDescent="0.35">
      <c r="A53" s="5" t="s">
        <v>21</v>
      </c>
      <c r="B53" s="6">
        <v>95073111506</v>
      </c>
      <c r="C53" s="6" t="s">
        <v>41</v>
      </c>
      <c r="D53" s="6" t="s">
        <v>69</v>
      </c>
      <c r="E53" s="6" t="s">
        <v>23</v>
      </c>
      <c r="F53" s="6" t="s">
        <v>23</v>
      </c>
      <c r="G53" s="6" t="s">
        <v>23</v>
      </c>
      <c r="H53" s="6" t="s">
        <v>23</v>
      </c>
      <c r="I53" s="6" t="s">
        <v>35</v>
      </c>
      <c r="J53" s="6" t="s">
        <v>23</v>
      </c>
      <c r="K53" s="6" t="s">
        <v>23</v>
      </c>
      <c r="L53" s="6" t="s">
        <v>23</v>
      </c>
      <c r="M53" s="6" t="s">
        <v>23</v>
      </c>
      <c r="N53" s="6" t="s">
        <v>23</v>
      </c>
      <c r="O53" s="6" t="s">
        <v>23</v>
      </c>
      <c r="P53" s="6" t="s">
        <v>23</v>
      </c>
      <c r="Q53" s="6" t="s">
        <v>39</v>
      </c>
      <c r="R53" s="6" t="s">
        <v>23</v>
      </c>
      <c r="S53" s="6" t="s">
        <v>31</v>
      </c>
      <c r="T53" s="6" t="s">
        <v>23</v>
      </c>
      <c r="U53" s="7" t="s">
        <v>23</v>
      </c>
      <c r="V53">
        <f>IF(C53="100.00",1,0)</f>
        <v>0</v>
      </c>
      <c r="W53">
        <f>IF(D53="100.00",1,0)</f>
        <v>0</v>
      </c>
      <c r="X53">
        <f>IF(E53="100.00",1,0)</f>
        <v>0</v>
      </c>
      <c r="Y53">
        <f>IF(F53="100.00",1,0)</f>
        <v>0</v>
      </c>
      <c r="Z53">
        <f>IF(G53="100.00",1,0)</f>
        <v>0</v>
      </c>
      <c r="AA53">
        <f>IF(H53="100.00",1,0)</f>
        <v>0</v>
      </c>
      <c r="AB53">
        <f>IF(I53="100.00",1,0)</f>
        <v>0</v>
      </c>
      <c r="AC53">
        <f>IF(J53="100.00",1,0)</f>
        <v>0</v>
      </c>
      <c r="AD53">
        <f>IF(K53="100.00",1,0)</f>
        <v>0</v>
      </c>
      <c r="AE53">
        <f>IF(L53="100.00",1,0)</f>
        <v>0</v>
      </c>
      <c r="AF53">
        <f>IF(M53="100.00",1,0)</f>
        <v>0</v>
      </c>
      <c r="AG53">
        <f>IF(N53="100.00",1,0)</f>
        <v>0</v>
      </c>
      <c r="AH53">
        <f>IF(O53="100.00",1,0)</f>
        <v>0</v>
      </c>
      <c r="AI53">
        <f>IF(P53="100.00",1,0)</f>
        <v>0</v>
      </c>
      <c r="AJ53">
        <f>IF(Q53="100.00",1,0)</f>
        <v>0</v>
      </c>
      <c r="AK53">
        <f>IF(R53="100.00",1,0)</f>
        <v>0</v>
      </c>
      <c r="AL53">
        <f>IF(S53="100.00",1,0)</f>
        <v>0</v>
      </c>
      <c r="AM53">
        <f>IF(T53="100.00",1,0)</f>
        <v>0</v>
      </c>
      <c r="AN53">
        <f>IF(U53="100.00",1,0)</f>
        <v>0</v>
      </c>
      <c r="AO53">
        <f>SUM(V53:AN53)</f>
        <v>0</v>
      </c>
    </row>
    <row r="54" spans="1:41" x14ac:dyDescent="0.35">
      <c r="A54" s="8" t="s">
        <v>21</v>
      </c>
      <c r="B54" s="9">
        <v>95080409087</v>
      </c>
      <c r="C54" s="9" t="s">
        <v>39</v>
      </c>
      <c r="D54" s="9" t="s">
        <v>23</v>
      </c>
      <c r="E54" s="9" t="s">
        <v>23</v>
      </c>
      <c r="F54" s="9" t="s">
        <v>23</v>
      </c>
      <c r="G54" s="9" t="s">
        <v>23</v>
      </c>
      <c r="H54" s="9" t="s">
        <v>23</v>
      </c>
      <c r="I54" s="9" t="s">
        <v>62</v>
      </c>
      <c r="J54" s="9" t="s">
        <v>52</v>
      </c>
      <c r="K54" s="9" t="s">
        <v>23</v>
      </c>
      <c r="L54" s="9" t="s">
        <v>23</v>
      </c>
      <c r="M54" s="9" t="s">
        <v>23</v>
      </c>
      <c r="N54" s="9" t="s">
        <v>23</v>
      </c>
      <c r="O54" s="9" t="s">
        <v>23</v>
      </c>
      <c r="P54" s="9" t="s">
        <v>23</v>
      </c>
      <c r="Q54" s="9" t="s">
        <v>70</v>
      </c>
      <c r="R54" s="9" t="s">
        <v>23</v>
      </c>
      <c r="S54" s="9" t="s">
        <v>55</v>
      </c>
      <c r="T54" s="9" t="s">
        <v>23</v>
      </c>
      <c r="U54" s="10" t="s">
        <v>23</v>
      </c>
      <c r="V54">
        <f>IF(C54="100.00",1,0)</f>
        <v>0</v>
      </c>
      <c r="W54">
        <f>IF(D54="100.00",1,0)</f>
        <v>0</v>
      </c>
      <c r="X54">
        <f>IF(E54="100.00",1,0)</f>
        <v>0</v>
      </c>
      <c r="Y54">
        <f>IF(F54="100.00",1,0)</f>
        <v>0</v>
      </c>
      <c r="Z54">
        <f>IF(G54="100.00",1,0)</f>
        <v>0</v>
      </c>
      <c r="AA54">
        <f>IF(H54="100.00",1,0)</f>
        <v>0</v>
      </c>
      <c r="AB54">
        <f>IF(I54="100.00",1,0)</f>
        <v>0</v>
      </c>
      <c r="AC54">
        <f>IF(J54="100.00",1,0)</f>
        <v>0</v>
      </c>
      <c r="AD54">
        <f>IF(K54="100.00",1,0)</f>
        <v>0</v>
      </c>
      <c r="AE54">
        <f>IF(L54="100.00",1,0)</f>
        <v>0</v>
      </c>
      <c r="AF54">
        <f>IF(M54="100.00",1,0)</f>
        <v>0</v>
      </c>
      <c r="AG54">
        <f>IF(N54="100.00",1,0)</f>
        <v>0</v>
      </c>
      <c r="AH54">
        <f>IF(O54="100.00",1,0)</f>
        <v>0</v>
      </c>
      <c r="AI54">
        <f>IF(P54="100.00",1,0)</f>
        <v>0</v>
      </c>
      <c r="AJ54">
        <f>IF(Q54="100.00",1,0)</f>
        <v>0</v>
      </c>
      <c r="AK54">
        <f>IF(R54="100.00",1,0)</f>
        <v>0</v>
      </c>
      <c r="AL54">
        <f>IF(S54="100.00",1,0)</f>
        <v>0</v>
      </c>
      <c r="AM54">
        <f>IF(T54="100.00",1,0)</f>
        <v>0</v>
      </c>
      <c r="AN54">
        <f>IF(U54="100.00",1,0)</f>
        <v>0</v>
      </c>
      <c r="AO54">
        <f>SUM(V54:AN54)</f>
        <v>0</v>
      </c>
    </row>
    <row r="55" spans="1:41" x14ac:dyDescent="0.35">
      <c r="A55" s="5" t="s">
        <v>21</v>
      </c>
      <c r="B55" s="6">
        <v>95081008322</v>
      </c>
      <c r="C55" s="6" t="s">
        <v>71</v>
      </c>
      <c r="D55" s="6" t="s">
        <v>41</v>
      </c>
      <c r="E55" s="6" t="s">
        <v>23</v>
      </c>
      <c r="F55" s="6" t="s">
        <v>23</v>
      </c>
      <c r="G55" s="6" t="s">
        <v>23</v>
      </c>
      <c r="H55" s="6" t="s">
        <v>23</v>
      </c>
      <c r="I55" s="6" t="s">
        <v>35</v>
      </c>
      <c r="J55" s="6" t="s">
        <v>23</v>
      </c>
      <c r="K55" s="6" t="s">
        <v>23</v>
      </c>
      <c r="L55" s="6" t="s">
        <v>23</v>
      </c>
      <c r="M55" s="6" t="s">
        <v>23</v>
      </c>
      <c r="N55" s="6" t="s">
        <v>23</v>
      </c>
      <c r="O55" s="6" t="s">
        <v>23</v>
      </c>
      <c r="P55" s="6" t="s">
        <v>23</v>
      </c>
      <c r="Q55" s="6" t="s">
        <v>33</v>
      </c>
      <c r="R55" s="6" t="s">
        <v>23</v>
      </c>
      <c r="S55" s="6" t="s">
        <v>70</v>
      </c>
      <c r="T55" s="6" t="s">
        <v>23</v>
      </c>
      <c r="U55" s="7" t="s">
        <v>23</v>
      </c>
      <c r="V55">
        <f>IF(C55="100.00",1,0)</f>
        <v>0</v>
      </c>
      <c r="W55">
        <f>IF(D55="100.00",1,0)</f>
        <v>0</v>
      </c>
      <c r="X55">
        <f>IF(E55="100.00",1,0)</f>
        <v>0</v>
      </c>
      <c r="Y55">
        <f>IF(F55="100.00",1,0)</f>
        <v>0</v>
      </c>
      <c r="Z55">
        <f>IF(G55="100.00",1,0)</f>
        <v>0</v>
      </c>
      <c r="AA55">
        <f>IF(H55="100.00",1,0)</f>
        <v>0</v>
      </c>
      <c r="AB55">
        <f>IF(I55="100.00",1,0)</f>
        <v>0</v>
      </c>
      <c r="AC55">
        <f>IF(J55="100.00",1,0)</f>
        <v>0</v>
      </c>
      <c r="AD55">
        <f>IF(K55="100.00",1,0)</f>
        <v>0</v>
      </c>
      <c r="AE55">
        <f>IF(L55="100.00",1,0)</f>
        <v>0</v>
      </c>
      <c r="AF55">
        <f>IF(M55="100.00",1,0)</f>
        <v>0</v>
      </c>
      <c r="AG55">
        <f>IF(N55="100.00",1,0)</f>
        <v>0</v>
      </c>
      <c r="AH55">
        <f>IF(O55="100.00",1,0)</f>
        <v>0</v>
      </c>
      <c r="AI55">
        <f>IF(P55="100.00",1,0)</f>
        <v>0</v>
      </c>
      <c r="AJ55">
        <f>IF(Q55="100.00",1,0)</f>
        <v>0</v>
      </c>
      <c r="AK55">
        <f>IF(R55="100.00",1,0)</f>
        <v>0</v>
      </c>
      <c r="AL55">
        <f>IF(S55="100.00",1,0)</f>
        <v>0</v>
      </c>
      <c r="AM55">
        <f>IF(T55="100.00",1,0)</f>
        <v>0</v>
      </c>
      <c r="AN55">
        <f>IF(U55="100.00",1,0)</f>
        <v>0</v>
      </c>
      <c r="AO55">
        <f>SUM(V55:AN55)</f>
        <v>0</v>
      </c>
    </row>
    <row r="56" spans="1:41" x14ac:dyDescent="0.35">
      <c r="A56" s="8" t="s">
        <v>21</v>
      </c>
      <c r="B56" s="9">
        <v>95081802841</v>
      </c>
      <c r="C56" s="9" t="s">
        <v>68</v>
      </c>
      <c r="D56" s="9" t="s">
        <v>72</v>
      </c>
      <c r="E56" s="9" t="s">
        <v>23</v>
      </c>
      <c r="F56" s="9" t="s">
        <v>23</v>
      </c>
      <c r="G56" s="9" t="s">
        <v>23</v>
      </c>
      <c r="H56" s="9" t="s">
        <v>23</v>
      </c>
      <c r="I56" s="9" t="s">
        <v>55</v>
      </c>
      <c r="J56" s="9" t="s">
        <v>23</v>
      </c>
      <c r="K56" s="9" t="s">
        <v>23</v>
      </c>
      <c r="L56" s="9" t="s">
        <v>23</v>
      </c>
      <c r="M56" s="9" t="s">
        <v>23</v>
      </c>
      <c r="N56" s="9" t="s">
        <v>23</v>
      </c>
      <c r="O56" s="9" t="s">
        <v>23</v>
      </c>
      <c r="P56" s="9" t="s">
        <v>23</v>
      </c>
      <c r="Q56" s="9" t="s">
        <v>34</v>
      </c>
      <c r="R56" s="9" t="s">
        <v>23</v>
      </c>
      <c r="S56" s="9" t="s">
        <v>67</v>
      </c>
      <c r="T56" s="9" t="s">
        <v>23</v>
      </c>
      <c r="U56" s="10" t="s">
        <v>23</v>
      </c>
      <c r="V56">
        <f>IF(C56="100.00",1,0)</f>
        <v>0</v>
      </c>
      <c r="W56">
        <f>IF(D56="100.00",1,0)</f>
        <v>0</v>
      </c>
      <c r="X56">
        <f>IF(E56="100.00",1,0)</f>
        <v>0</v>
      </c>
      <c r="Y56">
        <f>IF(F56="100.00",1,0)</f>
        <v>0</v>
      </c>
      <c r="Z56">
        <f>IF(G56="100.00",1,0)</f>
        <v>0</v>
      </c>
      <c r="AA56">
        <f>IF(H56="100.00",1,0)</f>
        <v>0</v>
      </c>
      <c r="AB56">
        <f>IF(I56="100.00",1,0)</f>
        <v>0</v>
      </c>
      <c r="AC56">
        <f>IF(J56="100.00",1,0)</f>
        <v>0</v>
      </c>
      <c r="AD56">
        <f>IF(K56="100.00",1,0)</f>
        <v>0</v>
      </c>
      <c r="AE56">
        <f>IF(L56="100.00",1,0)</f>
        <v>0</v>
      </c>
      <c r="AF56">
        <f>IF(M56="100.00",1,0)</f>
        <v>0</v>
      </c>
      <c r="AG56">
        <f>IF(N56="100.00",1,0)</f>
        <v>0</v>
      </c>
      <c r="AH56">
        <f>IF(O56="100.00",1,0)</f>
        <v>0</v>
      </c>
      <c r="AI56">
        <f>IF(P56="100.00",1,0)</f>
        <v>0</v>
      </c>
      <c r="AJ56">
        <f>IF(Q56="100.00",1,0)</f>
        <v>0</v>
      </c>
      <c r="AK56">
        <f>IF(R56="100.00",1,0)</f>
        <v>0</v>
      </c>
      <c r="AL56">
        <f>IF(S56="100.00",1,0)</f>
        <v>0</v>
      </c>
      <c r="AM56">
        <f>IF(T56="100.00",1,0)</f>
        <v>0</v>
      </c>
      <c r="AN56">
        <f>IF(U56="100.00",1,0)</f>
        <v>0</v>
      </c>
      <c r="AO56">
        <f>SUM(V56:AN56)</f>
        <v>0</v>
      </c>
    </row>
    <row r="57" spans="1:41" x14ac:dyDescent="0.35">
      <c r="A57" s="5" t="s">
        <v>21</v>
      </c>
      <c r="B57" s="6">
        <v>95082400949</v>
      </c>
      <c r="C57" s="6" t="s">
        <v>28</v>
      </c>
      <c r="D57" s="6" t="s">
        <v>36</v>
      </c>
      <c r="E57" s="6" t="s">
        <v>23</v>
      </c>
      <c r="F57" s="6" t="s">
        <v>23</v>
      </c>
      <c r="G57" s="6" t="s">
        <v>23</v>
      </c>
      <c r="H57" s="6" t="s">
        <v>23</v>
      </c>
      <c r="I57" s="6" t="s">
        <v>35</v>
      </c>
      <c r="J57" s="6" t="s">
        <v>23</v>
      </c>
      <c r="K57" s="6" t="s">
        <v>23</v>
      </c>
      <c r="L57" s="6" t="s">
        <v>23</v>
      </c>
      <c r="M57" s="6" t="s">
        <v>23</v>
      </c>
      <c r="N57" s="6" t="s">
        <v>23</v>
      </c>
      <c r="O57" s="6" t="s">
        <v>23</v>
      </c>
      <c r="P57" s="6" t="s">
        <v>23</v>
      </c>
      <c r="Q57" s="6" t="s">
        <v>61</v>
      </c>
      <c r="R57" s="6" t="s">
        <v>23</v>
      </c>
      <c r="S57" s="6" t="s">
        <v>72</v>
      </c>
      <c r="T57" s="6" t="s">
        <v>23</v>
      </c>
      <c r="U57" s="7" t="s">
        <v>23</v>
      </c>
      <c r="V57">
        <f>IF(C57="100.00",1,0)</f>
        <v>0</v>
      </c>
      <c r="W57">
        <f>IF(D57="100.00",1,0)</f>
        <v>0</v>
      </c>
      <c r="X57">
        <f>IF(E57="100.00",1,0)</f>
        <v>0</v>
      </c>
      <c r="Y57">
        <f>IF(F57="100.00",1,0)</f>
        <v>0</v>
      </c>
      <c r="Z57">
        <f>IF(G57="100.00",1,0)</f>
        <v>0</v>
      </c>
      <c r="AA57">
        <f>IF(H57="100.00",1,0)</f>
        <v>0</v>
      </c>
      <c r="AB57">
        <f>IF(I57="100.00",1,0)</f>
        <v>0</v>
      </c>
      <c r="AC57">
        <f>IF(J57="100.00",1,0)</f>
        <v>0</v>
      </c>
      <c r="AD57">
        <f>IF(K57="100.00",1,0)</f>
        <v>0</v>
      </c>
      <c r="AE57">
        <f>IF(L57="100.00",1,0)</f>
        <v>0</v>
      </c>
      <c r="AF57">
        <f>IF(M57="100.00",1,0)</f>
        <v>0</v>
      </c>
      <c r="AG57">
        <f>IF(N57="100.00",1,0)</f>
        <v>0</v>
      </c>
      <c r="AH57">
        <f>IF(O57="100.00",1,0)</f>
        <v>0</v>
      </c>
      <c r="AI57">
        <f>IF(P57="100.00",1,0)</f>
        <v>0</v>
      </c>
      <c r="AJ57">
        <f>IF(Q57="100.00",1,0)</f>
        <v>0</v>
      </c>
      <c r="AK57">
        <f>IF(R57="100.00",1,0)</f>
        <v>0</v>
      </c>
      <c r="AL57">
        <f>IF(S57="100.00",1,0)</f>
        <v>0</v>
      </c>
      <c r="AM57">
        <f>IF(T57="100.00",1,0)</f>
        <v>0</v>
      </c>
      <c r="AN57">
        <f>IF(U57="100.00",1,0)</f>
        <v>0</v>
      </c>
      <c r="AO57">
        <f>SUM(V57:AN57)</f>
        <v>0</v>
      </c>
    </row>
    <row r="58" spans="1:41" x14ac:dyDescent="0.35">
      <c r="A58" s="8" t="s">
        <v>21</v>
      </c>
      <c r="B58" s="9">
        <v>95082502641</v>
      </c>
      <c r="C58" s="9" t="s">
        <v>69</v>
      </c>
      <c r="D58" s="9" t="s">
        <v>73</v>
      </c>
      <c r="E58" s="9" t="s">
        <v>23</v>
      </c>
      <c r="F58" s="9" t="s">
        <v>23</v>
      </c>
      <c r="G58" s="9" t="s">
        <v>23</v>
      </c>
      <c r="H58" s="9" t="s">
        <v>23</v>
      </c>
      <c r="I58" s="9" t="s">
        <v>37</v>
      </c>
      <c r="J58" s="9" t="s">
        <v>23</v>
      </c>
      <c r="K58" s="9" t="s">
        <v>23</v>
      </c>
      <c r="L58" s="9" t="s">
        <v>23</v>
      </c>
      <c r="M58" s="9" t="s">
        <v>23</v>
      </c>
      <c r="N58" s="9" t="s">
        <v>23</v>
      </c>
      <c r="O58" s="9" t="s">
        <v>23</v>
      </c>
      <c r="P58" s="9" t="s">
        <v>23</v>
      </c>
      <c r="Q58" s="9" t="s">
        <v>72</v>
      </c>
      <c r="R58" s="9" t="s">
        <v>23</v>
      </c>
      <c r="S58" s="9" t="s">
        <v>29</v>
      </c>
      <c r="T58" s="9" t="s">
        <v>23</v>
      </c>
      <c r="U58" s="10" t="s">
        <v>23</v>
      </c>
      <c r="V58">
        <f>IF(C58="100.00",1,0)</f>
        <v>0</v>
      </c>
      <c r="W58">
        <f>IF(D58="100.00",1,0)</f>
        <v>0</v>
      </c>
      <c r="X58">
        <f>IF(E58="100.00",1,0)</f>
        <v>0</v>
      </c>
      <c r="Y58">
        <f>IF(F58="100.00",1,0)</f>
        <v>0</v>
      </c>
      <c r="Z58">
        <f>IF(G58="100.00",1,0)</f>
        <v>0</v>
      </c>
      <c r="AA58">
        <f>IF(H58="100.00",1,0)</f>
        <v>0</v>
      </c>
      <c r="AB58">
        <f>IF(I58="100.00",1,0)</f>
        <v>0</v>
      </c>
      <c r="AC58">
        <f>IF(J58="100.00",1,0)</f>
        <v>0</v>
      </c>
      <c r="AD58">
        <f>IF(K58="100.00",1,0)</f>
        <v>0</v>
      </c>
      <c r="AE58">
        <f>IF(L58="100.00",1,0)</f>
        <v>0</v>
      </c>
      <c r="AF58">
        <f>IF(M58="100.00",1,0)</f>
        <v>0</v>
      </c>
      <c r="AG58">
        <f>IF(N58="100.00",1,0)</f>
        <v>0</v>
      </c>
      <c r="AH58">
        <f>IF(O58="100.00",1,0)</f>
        <v>0</v>
      </c>
      <c r="AI58">
        <f>IF(P58="100.00",1,0)</f>
        <v>0</v>
      </c>
      <c r="AJ58">
        <f>IF(Q58="100.00",1,0)</f>
        <v>0</v>
      </c>
      <c r="AK58">
        <f>IF(R58="100.00",1,0)</f>
        <v>0</v>
      </c>
      <c r="AL58">
        <f>IF(S58="100.00",1,0)</f>
        <v>0</v>
      </c>
      <c r="AM58">
        <f>IF(T58="100.00",1,0)</f>
        <v>0</v>
      </c>
      <c r="AN58">
        <f>IF(U58="100.00",1,0)</f>
        <v>0</v>
      </c>
      <c r="AO58">
        <f>SUM(V58:AN58)</f>
        <v>0</v>
      </c>
    </row>
    <row r="59" spans="1:41" x14ac:dyDescent="0.35">
      <c r="A59" s="8" t="s">
        <v>21</v>
      </c>
      <c r="B59" s="9">
        <v>95091604864</v>
      </c>
      <c r="C59" s="9" t="s">
        <v>27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 t="s">
        <v>66</v>
      </c>
      <c r="J59" s="9" t="s">
        <v>65</v>
      </c>
      <c r="K59" s="9" t="s">
        <v>23</v>
      </c>
      <c r="L59" s="9" t="s">
        <v>23</v>
      </c>
      <c r="M59" s="9" t="s">
        <v>23</v>
      </c>
      <c r="N59" s="9" t="s">
        <v>23</v>
      </c>
      <c r="O59" s="9" t="s">
        <v>23</v>
      </c>
      <c r="P59" s="9" t="s">
        <v>23</v>
      </c>
      <c r="Q59" s="9" t="s">
        <v>71</v>
      </c>
      <c r="R59" s="9" t="s">
        <v>23</v>
      </c>
      <c r="S59" s="9" t="s">
        <v>55</v>
      </c>
      <c r="T59" s="9" t="s">
        <v>23</v>
      </c>
      <c r="U59" s="10" t="s">
        <v>23</v>
      </c>
      <c r="V59">
        <f>IF(C59="100.00",1,0)</f>
        <v>0</v>
      </c>
      <c r="W59">
        <f>IF(D59="100.00",1,0)</f>
        <v>0</v>
      </c>
      <c r="X59">
        <f>IF(E59="100.00",1,0)</f>
        <v>0</v>
      </c>
      <c r="Y59">
        <f>IF(F59="100.00",1,0)</f>
        <v>0</v>
      </c>
      <c r="Z59">
        <f>IF(G59="100.00",1,0)</f>
        <v>0</v>
      </c>
      <c r="AA59">
        <f>IF(H59="100.00",1,0)</f>
        <v>0</v>
      </c>
      <c r="AB59">
        <f>IF(I59="100.00",1,0)</f>
        <v>0</v>
      </c>
      <c r="AC59">
        <f>IF(J59="100.00",1,0)</f>
        <v>0</v>
      </c>
      <c r="AD59">
        <f>IF(K59="100.00",1,0)</f>
        <v>0</v>
      </c>
      <c r="AE59">
        <f>IF(L59="100.00",1,0)</f>
        <v>0</v>
      </c>
      <c r="AF59">
        <f>IF(M59="100.00",1,0)</f>
        <v>0</v>
      </c>
      <c r="AG59">
        <f>IF(N59="100.00",1,0)</f>
        <v>0</v>
      </c>
      <c r="AH59">
        <f>IF(O59="100.00",1,0)</f>
        <v>0</v>
      </c>
      <c r="AI59">
        <f>IF(P59="100.00",1,0)</f>
        <v>0</v>
      </c>
      <c r="AJ59">
        <f>IF(Q59="100.00",1,0)</f>
        <v>0</v>
      </c>
      <c r="AK59">
        <f>IF(R59="100.00",1,0)</f>
        <v>0</v>
      </c>
      <c r="AL59">
        <f>IF(S59="100.00",1,0)</f>
        <v>0</v>
      </c>
      <c r="AM59">
        <f>IF(T59="100.00",1,0)</f>
        <v>0</v>
      </c>
      <c r="AN59">
        <f>IF(U59="100.00",1,0)</f>
        <v>0</v>
      </c>
      <c r="AO59">
        <f>SUM(V59:AN59)</f>
        <v>0</v>
      </c>
    </row>
    <row r="60" spans="1:41" x14ac:dyDescent="0.35">
      <c r="A60" s="5" t="s">
        <v>21</v>
      </c>
      <c r="B60" s="6">
        <v>95110304166</v>
      </c>
      <c r="C60" s="6" t="s">
        <v>33</v>
      </c>
      <c r="D60" s="6" t="s">
        <v>36</v>
      </c>
      <c r="E60" s="6" t="s">
        <v>23</v>
      </c>
      <c r="F60" s="6" t="s">
        <v>23</v>
      </c>
      <c r="G60" s="6" t="s">
        <v>23</v>
      </c>
      <c r="H60" s="6" t="s">
        <v>23</v>
      </c>
      <c r="I60" s="6" t="s">
        <v>25</v>
      </c>
      <c r="J60" s="6" t="s">
        <v>23</v>
      </c>
      <c r="K60" s="6" t="s">
        <v>23</v>
      </c>
      <c r="L60" s="6" t="s">
        <v>23</v>
      </c>
      <c r="M60" s="6" t="s">
        <v>23</v>
      </c>
      <c r="N60" s="6" t="s">
        <v>23</v>
      </c>
      <c r="O60" s="6" t="s">
        <v>23</v>
      </c>
      <c r="P60" s="6" t="s">
        <v>23</v>
      </c>
      <c r="Q60" s="6" t="s">
        <v>27</v>
      </c>
      <c r="R60" s="6" t="s">
        <v>23</v>
      </c>
      <c r="S60" s="6" t="s">
        <v>51</v>
      </c>
      <c r="T60" s="6" t="s">
        <v>23</v>
      </c>
      <c r="U60" s="7" t="s">
        <v>23</v>
      </c>
      <c r="V60">
        <f>IF(C60="100.00",1,0)</f>
        <v>0</v>
      </c>
      <c r="W60">
        <f>IF(D60="100.00",1,0)</f>
        <v>0</v>
      </c>
      <c r="X60">
        <f>IF(E60="100.00",1,0)</f>
        <v>0</v>
      </c>
      <c r="Y60">
        <f>IF(F60="100.00",1,0)</f>
        <v>0</v>
      </c>
      <c r="Z60">
        <f>IF(G60="100.00",1,0)</f>
        <v>0</v>
      </c>
      <c r="AA60">
        <f>IF(H60="100.00",1,0)</f>
        <v>0</v>
      </c>
      <c r="AB60">
        <f>IF(I60="100.00",1,0)</f>
        <v>0</v>
      </c>
      <c r="AC60">
        <f>IF(J60="100.00",1,0)</f>
        <v>0</v>
      </c>
      <c r="AD60">
        <f>IF(K60="100.00",1,0)</f>
        <v>0</v>
      </c>
      <c r="AE60">
        <f>IF(L60="100.00",1,0)</f>
        <v>0</v>
      </c>
      <c r="AF60">
        <f>IF(M60="100.00",1,0)</f>
        <v>0</v>
      </c>
      <c r="AG60">
        <f>IF(N60="100.00",1,0)</f>
        <v>0</v>
      </c>
      <c r="AH60">
        <f>IF(O60="100.00",1,0)</f>
        <v>0</v>
      </c>
      <c r="AI60">
        <f>IF(P60="100.00",1,0)</f>
        <v>0</v>
      </c>
      <c r="AJ60">
        <f>IF(Q60="100.00",1,0)</f>
        <v>0</v>
      </c>
      <c r="AK60">
        <f>IF(R60="100.00",1,0)</f>
        <v>0</v>
      </c>
      <c r="AL60">
        <f>IF(S60="100.00",1,0)</f>
        <v>0</v>
      </c>
      <c r="AM60">
        <f>IF(T60="100.00",1,0)</f>
        <v>0</v>
      </c>
      <c r="AN60">
        <f>IF(U60="100.00",1,0)</f>
        <v>0</v>
      </c>
      <c r="AO60">
        <f>SUM(V60:AN60)</f>
        <v>0</v>
      </c>
    </row>
    <row r="61" spans="1:41" x14ac:dyDescent="0.35">
      <c r="A61" s="8" t="s">
        <v>21</v>
      </c>
      <c r="B61" s="9">
        <v>95110400947</v>
      </c>
      <c r="C61" s="9" t="s">
        <v>23</v>
      </c>
      <c r="D61" s="9" t="s">
        <v>23</v>
      </c>
      <c r="E61" s="9" t="s">
        <v>68</v>
      </c>
      <c r="F61" s="9" t="s">
        <v>23</v>
      </c>
      <c r="G61" s="9" t="s">
        <v>23</v>
      </c>
      <c r="H61" s="9" t="s">
        <v>23</v>
      </c>
      <c r="I61" s="9" t="s">
        <v>48</v>
      </c>
      <c r="J61" s="9" t="s">
        <v>56</v>
      </c>
      <c r="K61" s="9" t="s">
        <v>23</v>
      </c>
      <c r="L61" s="9" t="s">
        <v>23</v>
      </c>
      <c r="M61" s="9" t="s">
        <v>23</v>
      </c>
      <c r="N61" s="9" t="s">
        <v>23</v>
      </c>
      <c r="O61" s="9" t="s">
        <v>23</v>
      </c>
      <c r="P61" s="9" t="s">
        <v>23</v>
      </c>
      <c r="Q61" s="9" t="s">
        <v>56</v>
      </c>
      <c r="R61" s="9" t="s">
        <v>23</v>
      </c>
      <c r="S61" s="9" t="s">
        <v>70</v>
      </c>
      <c r="T61" s="9" t="s">
        <v>23</v>
      </c>
      <c r="U61" s="10" t="s">
        <v>23</v>
      </c>
      <c r="V61">
        <f>IF(C61="100.00",1,0)</f>
        <v>0</v>
      </c>
      <c r="W61">
        <f>IF(D61="100.00",1,0)</f>
        <v>0</v>
      </c>
      <c r="X61">
        <f>IF(E61="100.00",1,0)</f>
        <v>0</v>
      </c>
      <c r="Y61">
        <f>IF(F61="100.00",1,0)</f>
        <v>0</v>
      </c>
      <c r="Z61">
        <f>IF(G61="100.00",1,0)</f>
        <v>0</v>
      </c>
      <c r="AA61">
        <f>IF(H61="100.00",1,0)</f>
        <v>0</v>
      </c>
      <c r="AB61">
        <f>IF(I61="100.00",1,0)</f>
        <v>0</v>
      </c>
      <c r="AC61">
        <f>IF(J61="100.00",1,0)</f>
        <v>0</v>
      </c>
      <c r="AD61">
        <f>IF(K61="100.00",1,0)</f>
        <v>0</v>
      </c>
      <c r="AE61">
        <f>IF(L61="100.00",1,0)</f>
        <v>0</v>
      </c>
      <c r="AF61">
        <f>IF(M61="100.00",1,0)</f>
        <v>0</v>
      </c>
      <c r="AG61">
        <f>IF(N61="100.00",1,0)</f>
        <v>0</v>
      </c>
      <c r="AH61">
        <f>IF(O61="100.00",1,0)</f>
        <v>0</v>
      </c>
      <c r="AI61">
        <f>IF(P61="100.00",1,0)</f>
        <v>0</v>
      </c>
      <c r="AJ61">
        <f>IF(Q61="100.00",1,0)</f>
        <v>0</v>
      </c>
      <c r="AK61">
        <f>IF(R61="100.00",1,0)</f>
        <v>0</v>
      </c>
      <c r="AL61">
        <f>IF(S61="100.00",1,0)</f>
        <v>0</v>
      </c>
      <c r="AM61">
        <f>IF(T61="100.00",1,0)</f>
        <v>0</v>
      </c>
      <c r="AN61">
        <f>IF(U61="100.00",1,0)</f>
        <v>0</v>
      </c>
      <c r="AO61">
        <f>SUM(V61:AN61)</f>
        <v>0</v>
      </c>
    </row>
    <row r="62" spans="1:41" x14ac:dyDescent="0.35">
      <c r="A62" s="5" t="s">
        <v>21</v>
      </c>
      <c r="B62" s="6">
        <v>95111004447</v>
      </c>
      <c r="C62" s="6" t="s">
        <v>30</v>
      </c>
      <c r="D62" s="6" t="s">
        <v>39</v>
      </c>
      <c r="E62" s="6" t="s">
        <v>23</v>
      </c>
      <c r="F62" s="6" t="s">
        <v>23</v>
      </c>
      <c r="G62" s="6" t="s">
        <v>23</v>
      </c>
      <c r="H62" s="6" t="s">
        <v>23</v>
      </c>
      <c r="I62" s="6" t="s">
        <v>48</v>
      </c>
      <c r="J62" s="6" t="s">
        <v>23</v>
      </c>
      <c r="K62" s="6" t="s">
        <v>23</v>
      </c>
      <c r="L62" s="6" t="s">
        <v>23</v>
      </c>
      <c r="M62" s="6" t="s">
        <v>23</v>
      </c>
      <c r="N62" s="6" t="s">
        <v>23</v>
      </c>
      <c r="O62" s="6" t="s">
        <v>23</v>
      </c>
      <c r="P62" s="6" t="s">
        <v>23</v>
      </c>
      <c r="Q62" s="6" t="s">
        <v>74</v>
      </c>
      <c r="R62" s="6" t="s">
        <v>23</v>
      </c>
      <c r="S62" s="6" t="s">
        <v>36</v>
      </c>
      <c r="T62" s="6" t="s">
        <v>23</v>
      </c>
      <c r="U62" s="7" t="s">
        <v>23</v>
      </c>
      <c r="V62">
        <f>IF(C62="100.00",1,0)</f>
        <v>0</v>
      </c>
      <c r="W62">
        <f>IF(D62="100.00",1,0)</f>
        <v>0</v>
      </c>
      <c r="X62">
        <f>IF(E62="100.00",1,0)</f>
        <v>0</v>
      </c>
      <c r="Y62">
        <f>IF(F62="100.00",1,0)</f>
        <v>0</v>
      </c>
      <c r="Z62">
        <f>IF(G62="100.00",1,0)</f>
        <v>0</v>
      </c>
      <c r="AA62">
        <f>IF(H62="100.00",1,0)</f>
        <v>0</v>
      </c>
      <c r="AB62">
        <f>IF(I62="100.00",1,0)</f>
        <v>0</v>
      </c>
      <c r="AC62">
        <f>IF(J62="100.00",1,0)</f>
        <v>0</v>
      </c>
      <c r="AD62">
        <f>IF(K62="100.00",1,0)</f>
        <v>0</v>
      </c>
      <c r="AE62">
        <f>IF(L62="100.00",1,0)</f>
        <v>0</v>
      </c>
      <c r="AF62">
        <f>IF(M62="100.00",1,0)</f>
        <v>0</v>
      </c>
      <c r="AG62">
        <f>IF(N62="100.00",1,0)</f>
        <v>0</v>
      </c>
      <c r="AH62">
        <f>IF(O62="100.00",1,0)</f>
        <v>0</v>
      </c>
      <c r="AI62">
        <f>IF(P62="100.00",1,0)</f>
        <v>0</v>
      </c>
      <c r="AJ62">
        <f>IF(Q62="100.00",1,0)</f>
        <v>0</v>
      </c>
      <c r="AK62">
        <f>IF(R62="100.00",1,0)</f>
        <v>0</v>
      </c>
      <c r="AL62">
        <f>IF(S62="100.00",1,0)</f>
        <v>0</v>
      </c>
      <c r="AM62">
        <f>IF(T62="100.00",1,0)</f>
        <v>0</v>
      </c>
      <c r="AN62">
        <f>IF(U62="100.00",1,0)</f>
        <v>0</v>
      </c>
      <c r="AO62">
        <f>SUM(V62:AN62)</f>
        <v>0</v>
      </c>
    </row>
    <row r="63" spans="1:41" x14ac:dyDescent="0.35">
      <c r="A63" s="8" t="s">
        <v>21</v>
      </c>
      <c r="B63" s="9">
        <v>95112301543</v>
      </c>
      <c r="C63" s="9" t="s">
        <v>27</v>
      </c>
      <c r="D63" s="9" t="s">
        <v>36</v>
      </c>
      <c r="E63" s="9" t="s">
        <v>23</v>
      </c>
      <c r="F63" s="9" t="s">
        <v>23</v>
      </c>
      <c r="G63" s="9" t="s">
        <v>23</v>
      </c>
      <c r="H63" s="9" t="s">
        <v>23</v>
      </c>
      <c r="I63" s="9" t="s">
        <v>26</v>
      </c>
      <c r="J63" s="9" t="s">
        <v>28</v>
      </c>
      <c r="K63" s="9" t="s">
        <v>23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 t="s">
        <v>27</v>
      </c>
      <c r="R63" s="9" t="s">
        <v>23</v>
      </c>
      <c r="S63" s="9" t="s">
        <v>75</v>
      </c>
      <c r="T63" s="9" t="s">
        <v>23</v>
      </c>
      <c r="U63" s="10" t="s">
        <v>23</v>
      </c>
      <c r="V63">
        <f>IF(C63="100.00",1,0)</f>
        <v>0</v>
      </c>
      <c r="W63">
        <f>IF(D63="100.00",1,0)</f>
        <v>0</v>
      </c>
      <c r="X63">
        <f>IF(E63="100.00",1,0)</f>
        <v>0</v>
      </c>
      <c r="Y63">
        <f>IF(F63="100.00",1,0)</f>
        <v>0</v>
      </c>
      <c r="Z63">
        <f>IF(G63="100.00",1,0)</f>
        <v>0</v>
      </c>
      <c r="AA63">
        <f>IF(H63="100.00",1,0)</f>
        <v>0</v>
      </c>
      <c r="AB63">
        <f>IF(I63="100.00",1,0)</f>
        <v>0</v>
      </c>
      <c r="AC63">
        <f>IF(J63="100.00",1,0)</f>
        <v>0</v>
      </c>
      <c r="AD63">
        <f>IF(K63="100.00",1,0)</f>
        <v>0</v>
      </c>
      <c r="AE63">
        <f>IF(L63="100.00",1,0)</f>
        <v>0</v>
      </c>
      <c r="AF63">
        <f>IF(M63="100.00",1,0)</f>
        <v>0</v>
      </c>
      <c r="AG63">
        <f>IF(N63="100.00",1,0)</f>
        <v>0</v>
      </c>
      <c r="AH63">
        <f>IF(O63="100.00",1,0)</f>
        <v>0</v>
      </c>
      <c r="AI63">
        <f>IF(P63="100.00",1,0)</f>
        <v>0</v>
      </c>
      <c r="AJ63">
        <f>IF(Q63="100.00",1,0)</f>
        <v>0</v>
      </c>
      <c r="AK63">
        <f>IF(R63="100.00",1,0)</f>
        <v>0</v>
      </c>
      <c r="AL63">
        <f>IF(S63="100.00",1,0)</f>
        <v>0</v>
      </c>
      <c r="AM63">
        <f>IF(T63="100.00",1,0)</f>
        <v>0</v>
      </c>
      <c r="AN63">
        <f>IF(U63="100.00",1,0)</f>
        <v>0</v>
      </c>
      <c r="AO63">
        <f>SUM(V63:AN63)</f>
        <v>0</v>
      </c>
    </row>
    <row r="64" spans="1:41" x14ac:dyDescent="0.35">
      <c r="A64" s="8" t="s">
        <v>21</v>
      </c>
      <c r="B64" s="9">
        <v>95120600768</v>
      </c>
      <c r="C64" s="9" t="s">
        <v>53</v>
      </c>
      <c r="D64" s="9" t="s">
        <v>54</v>
      </c>
      <c r="E64" s="9" t="s">
        <v>74</v>
      </c>
      <c r="F64" s="9" t="s">
        <v>23</v>
      </c>
      <c r="G64" s="9" t="s">
        <v>23</v>
      </c>
      <c r="H64" s="9" t="s">
        <v>23</v>
      </c>
      <c r="I64" s="9" t="s">
        <v>48</v>
      </c>
      <c r="J64" s="9" t="s">
        <v>23</v>
      </c>
      <c r="K64" s="9" t="s">
        <v>23</v>
      </c>
      <c r="L64" s="9" t="s">
        <v>23</v>
      </c>
      <c r="M64" s="9" t="s">
        <v>23</v>
      </c>
      <c r="N64" s="9" t="s">
        <v>23</v>
      </c>
      <c r="O64" s="9" t="s">
        <v>23</v>
      </c>
      <c r="P64" s="9" t="s">
        <v>23</v>
      </c>
      <c r="Q64" s="9" t="s">
        <v>49</v>
      </c>
      <c r="R64" s="9" t="s">
        <v>51</v>
      </c>
      <c r="S64" s="9" t="s">
        <v>76</v>
      </c>
      <c r="T64" s="9" t="s">
        <v>23</v>
      </c>
      <c r="U64" s="10" t="s">
        <v>23</v>
      </c>
      <c r="V64">
        <f>IF(C64="100.00",1,0)</f>
        <v>0</v>
      </c>
      <c r="W64">
        <f>IF(D64="100.00",1,0)</f>
        <v>0</v>
      </c>
      <c r="X64">
        <f>IF(E64="100.00",1,0)</f>
        <v>0</v>
      </c>
      <c r="Y64">
        <f>IF(F64="100.00",1,0)</f>
        <v>0</v>
      </c>
      <c r="Z64">
        <f>IF(G64="100.00",1,0)</f>
        <v>0</v>
      </c>
      <c r="AA64">
        <f>IF(H64="100.00",1,0)</f>
        <v>0</v>
      </c>
      <c r="AB64">
        <f>IF(I64="100.00",1,0)</f>
        <v>0</v>
      </c>
      <c r="AC64">
        <f>IF(J64="100.00",1,0)</f>
        <v>0</v>
      </c>
      <c r="AD64">
        <f>IF(K64="100.00",1,0)</f>
        <v>0</v>
      </c>
      <c r="AE64">
        <f>IF(L64="100.00",1,0)</f>
        <v>0</v>
      </c>
      <c r="AF64">
        <f>IF(M64="100.00",1,0)</f>
        <v>0</v>
      </c>
      <c r="AG64">
        <f>IF(N64="100.00",1,0)</f>
        <v>0</v>
      </c>
      <c r="AH64">
        <f>IF(O64="100.00",1,0)</f>
        <v>0</v>
      </c>
      <c r="AI64">
        <f>IF(P64="100.00",1,0)</f>
        <v>0</v>
      </c>
      <c r="AJ64">
        <f>IF(Q64="100.00",1,0)</f>
        <v>0</v>
      </c>
      <c r="AK64">
        <f>IF(R64="100.00",1,0)</f>
        <v>0</v>
      </c>
      <c r="AL64">
        <f>IF(S64="100.00",1,0)</f>
        <v>0</v>
      </c>
      <c r="AM64">
        <f>IF(T64="100.00",1,0)</f>
        <v>0</v>
      </c>
      <c r="AN64">
        <f>IF(U64="100.00",1,0)</f>
        <v>0</v>
      </c>
      <c r="AO64">
        <f>SUM(V64:AN64)</f>
        <v>0</v>
      </c>
    </row>
    <row r="65" spans="1:41" x14ac:dyDescent="0.35">
      <c r="A65" s="5" t="s">
        <v>21</v>
      </c>
      <c r="B65" s="6">
        <v>95120903939</v>
      </c>
      <c r="C65" s="6" t="s">
        <v>38</v>
      </c>
      <c r="D65" s="6" t="s">
        <v>74</v>
      </c>
      <c r="E65" s="6" t="s">
        <v>23</v>
      </c>
      <c r="F65" s="6" t="s">
        <v>23</v>
      </c>
      <c r="G65" s="6" t="s">
        <v>23</v>
      </c>
      <c r="H65" s="6" t="s">
        <v>23</v>
      </c>
      <c r="I65" s="6" t="s">
        <v>35</v>
      </c>
      <c r="J65" s="6" t="s">
        <v>23</v>
      </c>
      <c r="K65" s="6" t="s">
        <v>23</v>
      </c>
      <c r="L65" s="6" t="s">
        <v>23</v>
      </c>
      <c r="M65" s="6" t="s">
        <v>23</v>
      </c>
      <c r="N65" s="6" t="s">
        <v>23</v>
      </c>
      <c r="O65" s="6" t="s">
        <v>23</v>
      </c>
      <c r="P65" s="6" t="s">
        <v>23</v>
      </c>
      <c r="Q65" s="6" t="s">
        <v>56</v>
      </c>
      <c r="R65" s="6" t="s">
        <v>23</v>
      </c>
      <c r="S65" s="6" t="s">
        <v>75</v>
      </c>
      <c r="T65" s="6" t="s">
        <v>23</v>
      </c>
      <c r="U65" s="7" t="s">
        <v>23</v>
      </c>
      <c r="V65">
        <f>IF(C65="100.00",1,0)</f>
        <v>0</v>
      </c>
      <c r="W65">
        <f>IF(D65="100.00",1,0)</f>
        <v>0</v>
      </c>
      <c r="X65">
        <f>IF(E65="100.00",1,0)</f>
        <v>0</v>
      </c>
      <c r="Y65">
        <f>IF(F65="100.00",1,0)</f>
        <v>0</v>
      </c>
      <c r="Z65">
        <f>IF(G65="100.00",1,0)</f>
        <v>0</v>
      </c>
      <c r="AA65">
        <f>IF(H65="100.00",1,0)</f>
        <v>0</v>
      </c>
      <c r="AB65">
        <f>IF(I65="100.00",1,0)</f>
        <v>0</v>
      </c>
      <c r="AC65">
        <f>IF(J65="100.00",1,0)</f>
        <v>0</v>
      </c>
      <c r="AD65">
        <f>IF(K65="100.00",1,0)</f>
        <v>0</v>
      </c>
      <c r="AE65">
        <f>IF(L65="100.00",1,0)</f>
        <v>0</v>
      </c>
      <c r="AF65">
        <f>IF(M65="100.00",1,0)</f>
        <v>0</v>
      </c>
      <c r="AG65">
        <f>IF(N65="100.00",1,0)</f>
        <v>0</v>
      </c>
      <c r="AH65">
        <f>IF(O65="100.00",1,0)</f>
        <v>0</v>
      </c>
      <c r="AI65">
        <f>IF(P65="100.00",1,0)</f>
        <v>0</v>
      </c>
      <c r="AJ65">
        <f>IF(Q65="100.00",1,0)</f>
        <v>0</v>
      </c>
      <c r="AK65">
        <f>IF(R65="100.00",1,0)</f>
        <v>0</v>
      </c>
      <c r="AL65">
        <f>IF(S65="100.00",1,0)</f>
        <v>0</v>
      </c>
      <c r="AM65">
        <f>IF(T65="100.00",1,0)</f>
        <v>0</v>
      </c>
      <c r="AN65">
        <f>IF(U65="100.00",1,0)</f>
        <v>0</v>
      </c>
      <c r="AO65">
        <f>SUM(V65:AN65)</f>
        <v>0</v>
      </c>
    </row>
    <row r="66" spans="1:41" x14ac:dyDescent="0.35">
      <c r="A66" s="5" t="s">
        <v>77</v>
      </c>
      <c r="B66" s="6">
        <v>95011505013</v>
      </c>
      <c r="C66" s="6" t="s">
        <v>23</v>
      </c>
      <c r="D66" s="6" t="s">
        <v>23</v>
      </c>
      <c r="E66" s="6" t="s">
        <v>23</v>
      </c>
      <c r="F66" s="6" t="s">
        <v>23</v>
      </c>
      <c r="G66" s="6" t="s">
        <v>23</v>
      </c>
      <c r="H66" s="6" t="s">
        <v>23</v>
      </c>
      <c r="I66" s="6" t="s">
        <v>54</v>
      </c>
      <c r="J66" s="6" t="s">
        <v>36</v>
      </c>
      <c r="K66" s="6" t="s">
        <v>23</v>
      </c>
      <c r="L66" s="6" t="s">
        <v>23</v>
      </c>
      <c r="M66" s="6" t="s">
        <v>23</v>
      </c>
      <c r="N66" s="6" t="s">
        <v>23</v>
      </c>
      <c r="O66" s="6" t="s">
        <v>23</v>
      </c>
      <c r="P66" s="6" t="s">
        <v>23</v>
      </c>
      <c r="Q66" s="6" t="s">
        <v>78</v>
      </c>
      <c r="R66" s="6" t="s">
        <v>23</v>
      </c>
      <c r="S66" s="6" t="s">
        <v>36</v>
      </c>
      <c r="T66" s="6" t="s">
        <v>46</v>
      </c>
      <c r="U66" s="7" t="s">
        <v>23</v>
      </c>
      <c r="V66">
        <f>IF(C66="100.00",1,0)</f>
        <v>0</v>
      </c>
      <c r="W66">
        <f>IF(D66="100.00",1,0)</f>
        <v>0</v>
      </c>
      <c r="X66">
        <f>IF(E66="100.00",1,0)</f>
        <v>0</v>
      </c>
      <c r="Y66">
        <f>IF(F66="100.00",1,0)</f>
        <v>0</v>
      </c>
      <c r="Z66">
        <f>IF(G66="100.00",1,0)</f>
        <v>0</v>
      </c>
      <c r="AA66">
        <f>IF(H66="100.00",1,0)</f>
        <v>0</v>
      </c>
      <c r="AB66">
        <f>IF(I66="100.00",1,0)</f>
        <v>0</v>
      </c>
      <c r="AC66">
        <f>IF(J66="100.00",1,0)</f>
        <v>0</v>
      </c>
      <c r="AD66">
        <f>IF(K66="100.00",1,0)</f>
        <v>0</v>
      </c>
      <c r="AE66">
        <f>IF(L66="100.00",1,0)</f>
        <v>0</v>
      </c>
      <c r="AF66">
        <f>IF(M66="100.00",1,0)</f>
        <v>0</v>
      </c>
      <c r="AG66">
        <f>IF(N66="100.00",1,0)</f>
        <v>0</v>
      </c>
      <c r="AH66">
        <f>IF(O66="100.00",1,0)</f>
        <v>0</v>
      </c>
      <c r="AI66">
        <f>IF(P66="100.00",1,0)</f>
        <v>0</v>
      </c>
      <c r="AJ66">
        <f>IF(Q66="100.00",1,0)</f>
        <v>0</v>
      </c>
      <c r="AK66">
        <f>IF(R66="100.00",1,0)</f>
        <v>0</v>
      </c>
      <c r="AL66">
        <f>IF(S66="100.00",1,0)</f>
        <v>0</v>
      </c>
      <c r="AM66">
        <f>IF(T66="100.00",1,0)</f>
        <v>0</v>
      </c>
      <c r="AN66">
        <f>IF(U66="100.00",1,0)</f>
        <v>0</v>
      </c>
      <c r="AO66">
        <f>SUM(V66:AN66)</f>
        <v>0</v>
      </c>
    </row>
    <row r="67" spans="1:41" x14ac:dyDescent="0.35">
      <c r="A67" s="8" t="s">
        <v>77</v>
      </c>
      <c r="B67" s="9">
        <v>95012403389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 t="s">
        <v>48</v>
      </c>
      <c r="J67" s="9" t="s">
        <v>43</v>
      </c>
      <c r="K67" s="9" t="s">
        <v>23</v>
      </c>
      <c r="L67" s="9" t="s">
        <v>23</v>
      </c>
      <c r="M67" s="9" t="s">
        <v>23</v>
      </c>
      <c r="N67" s="9" t="s">
        <v>23</v>
      </c>
      <c r="O67" s="9" t="s">
        <v>23</v>
      </c>
      <c r="P67" s="9" t="s">
        <v>23</v>
      </c>
      <c r="Q67" s="9" t="s">
        <v>72</v>
      </c>
      <c r="R67" s="9" t="s">
        <v>23</v>
      </c>
      <c r="S67" s="9" t="s">
        <v>32</v>
      </c>
      <c r="T67" s="9" t="s">
        <v>33</v>
      </c>
      <c r="U67" s="10" t="s">
        <v>79</v>
      </c>
      <c r="V67">
        <f>IF(C67="100.00",1,0)</f>
        <v>0</v>
      </c>
      <c r="W67">
        <f>IF(D67="100.00",1,0)</f>
        <v>0</v>
      </c>
      <c r="X67">
        <f>IF(E67="100.00",1,0)</f>
        <v>0</v>
      </c>
      <c r="Y67">
        <f>IF(F67="100.00",1,0)</f>
        <v>0</v>
      </c>
      <c r="Z67">
        <f>IF(G67="100.00",1,0)</f>
        <v>0</v>
      </c>
      <c r="AA67">
        <f>IF(H67="100.00",1,0)</f>
        <v>0</v>
      </c>
      <c r="AB67">
        <f>IF(I67="100.00",1,0)</f>
        <v>0</v>
      </c>
      <c r="AC67">
        <f>IF(J67="100.00",1,0)</f>
        <v>0</v>
      </c>
      <c r="AD67">
        <f>IF(K67="100.00",1,0)</f>
        <v>0</v>
      </c>
      <c r="AE67">
        <f>IF(L67="100.00",1,0)</f>
        <v>0</v>
      </c>
      <c r="AF67">
        <f>IF(M67="100.00",1,0)</f>
        <v>0</v>
      </c>
      <c r="AG67">
        <f>IF(N67="100.00",1,0)</f>
        <v>0</v>
      </c>
      <c r="AH67">
        <f>IF(O67="100.00",1,0)</f>
        <v>0</v>
      </c>
      <c r="AI67">
        <f>IF(P67="100.00",1,0)</f>
        <v>0</v>
      </c>
      <c r="AJ67">
        <f>IF(Q67="100.00",1,0)</f>
        <v>0</v>
      </c>
      <c r="AK67">
        <f>IF(R67="100.00",1,0)</f>
        <v>0</v>
      </c>
      <c r="AL67">
        <f>IF(S67="100.00",1,0)</f>
        <v>0</v>
      </c>
      <c r="AM67">
        <f>IF(T67="100.00",1,0)</f>
        <v>0</v>
      </c>
      <c r="AN67">
        <f>IF(U67="100.00",1,0)</f>
        <v>0</v>
      </c>
      <c r="AO67">
        <f>SUM(V67:AN67)</f>
        <v>0</v>
      </c>
    </row>
    <row r="68" spans="1:41" x14ac:dyDescent="0.35">
      <c r="A68" s="8" t="s">
        <v>77</v>
      </c>
      <c r="B68" s="9">
        <v>95031012300</v>
      </c>
      <c r="C68" s="9" t="s">
        <v>23</v>
      </c>
      <c r="D68" s="9" t="s">
        <v>23</v>
      </c>
      <c r="E68" s="9" t="s">
        <v>23</v>
      </c>
      <c r="F68" s="9" t="s">
        <v>23</v>
      </c>
      <c r="G68" s="9" t="s">
        <v>23</v>
      </c>
      <c r="H68" s="9" t="s">
        <v>23</v>
      </c>
      <c r="I68" s="9" t="s">
        <v>64</v>
      </c>
      <c r="J68" s="9" t="s">
        <v>79</v>
      </c>
      <c r="K68" s="9" t="s">
        <v>23</v>
      </c>
      <c r="L68" s="9" t="s">
        <v>23</v>
      </c>
      <c r="M68" s="9" t="s">
        <v>23</v>
      </c>
      <c r="N68" s="9" t="s">
        <v>23</v>
      </c>
      <c r="O68" s="9" t="s">
        <v>23</v>
      </c>
      <c r="P68" s="9" t="s">
        <v>23</v>
      </c>
      <c r="Q68" s="9" t="s">
        <v>50</v>
      </c>
      <c r="R68" s="9" t="s">
        <v>23</v>
      </c>
      <c r="S68" s="9" t="s">
        <v>73</v>
      </c>
      <c r="T68" s="9" t="s">
        <v>82</v>
      </c>
      <c r="U68" s="10" t="s">
        <v>50</v>
      </c>
      <c r="V68">
        <f>IF(C68="100.00",1,0)</f>
        <v>0</v>
      </c>
      <c r="W68">
        <f>IF(D68="100.00",1,0)</f>
        <v>0</v>
      </c>
      <c r="X68">
        <f>IF(E68="100.00",1,0)</f>
        <v>0</v>
      </c>
      <c r="Y68">
        <f>IF(F68="100.00",1,0)</f>
        <v>0</v>
      </c>
      <c r="Z68">
        <f>IF(G68="100.00",1,0)</f>
        <v>0</v>
      </c>
      <c r="AA68">
        <f>IF(H68="100.00",1,0)</f>
        <v>0</v>
      </c>
      <c r="AB68">
        <f>IF(I68="100.00",1,0)</f>
        <v>0</v>
      </c>
      <c r="AC68">
        <f>IF(J68="100.00",1,0)</f>
        <v>0</v>
      </c>
      <c r="AD68">
        <f>IF(K68="100.00",1,0)</f>
        <v>0</v>
      </c>
      <c r="AE68">
        <f>IF(L68="100.00",1,0)</f>
        <v>0</v>
      </c>
      <c r="AF68">
        <f>IF(M68="100.00",1,0)</f>
        <v>0</v>
      </c>
      <c r="AG68">
        <f>IF(N68="100.00",1,0)</f>
        <v>0</v>
      </c>
      <c r="AH68">
        <f>IF(O68="100.00",1,0)</f>
        <v>0</v>
      </c>
      <c r="AI68">
        <f>IF(P68="100.00",1,0)</f>
        <v>0</v>
      </c>
      <c r="AJ68">
        <f>IF(Q68="100.00",1,0)</f>
        <v>0</v>
      </c>
      <c r="AK68">
        <f>IF(R68="100.00",1,0)</f>
        <v>0</v>
      </c>
      <c r="AL68">
        <f>IF(S68="100.00",1,0)</f>
        <v>0</v>
      </c>
      <c r="AM68">
        <f>IF(T68="100.00",1,0)</f>
        <v>0</v>
      </c>
      <c r="AN68">
        <f>IF(U68="100.00",1,0)</f>
        <v>0</v>
      </c>
      <c r="AO68">
        <f>SUM(V68:AN68)</f>
        <v>0</v>
      </c>
    </row>
    <row r="69" spans="1:41" x14ac:dyDescent="0.35">
      <c r="A69" s="5" t="s">
        <v>77</v>
      </c>
      <c r="B69" s="6">
        <v>95032101746</v>
      </c>
      <c r="C69" s="6" t="s">
        <v>23</v>
      </c>
      <c r="D69" s="6" t="s">
        <v>23</v>
      </c>
      <c r="E69" s="6" t="s">
        <v>23</v>
      </c>
      <c r="F69" s="6" t="s">
        <v>23</v>
      </c>
      <c r="G69" s="6" t="s">
        <v>26</v>
      </c>
      <c r="H69" s="6" t="s">
        <v>23</v>
      </c>
      <c r="I69" s="6" t="s">
        <v>40</v>
      </c>
      <c r="J69" s="6" t="s">
        <v>62</v>
      </c>
      <c r="K69" s="6" t="s">
        <v>23</v>
      </c>
      <c r="L69" s="6" t="s">
        <v>23</v>
      </c>
      <c r="M69" s="6" t="s">
        <v>23</v>
      </c>
      <c r="N69" s="6" t="s">
        <v>23</v>
      </c>
      <c r="O69" s="6" t="s">
        <v>23</v>
      </c>
      <c r="P69" s="6" t="s">
        <v>83</v>
      </c>
      <c r="Q69" s="6" t="s">
        <v>41</v>
      </c>
      <c r="R69" s="6" t="s">
        <v>23</v>
      </c>
      <c r="S69" s="6" t="s">
        <v>33</v>
      </c>
      <c r="T69" s="6" t="s">
        <v>27</v>
      </c>
      <c r="U69" s="7" t="s">
        <v>71</v>
      </c>
      <c r="V69">
        <f>IF(C69="100.00",1,0)</f>
        <v>0</v>
      </c>
      <c r="W69">
        <f>IF(D69="100.00",1,0)</f>
        <v>0</v>
      </c>
      <c r="X69">
        <f>IF(E69="100.00",1,0)</f>
        <v>0</v>
      </c>
      <c r="Y69">
        <f>IF(F69="100.00",1,0)</f>
        <v>0</v>
      </c>
      <c r="Z69">
        <f>IF(G69="100.00",1,0)</f>
        <v>0</v>
      </c>
      <c r="AA69">
        <f>IF(H69="100.00",1,0)</f>
        <v>0</v>
      </c>
      <c r="AB69">
        <f>IF(I69="100.00",1,0)</f>
        <v>0</v>
      </c>
      <c r="AC69">
        <f>IF(J69="100.00",1,0)</f>
        <v>0</v>
      </c>
      <c r="AD69">
        <f>IF(K69="100.00",1,0)</f>
        <v>0</v>
      </c>
      <c r="AE69">
        <f>IF(L69="100.00",1,0)</f>
        <v>0</v>
      </c>
      <c r="AF69">
        <f>IF(M69="100.00",1,0)</f>
        <v>0</v>
      </c>
      <c r="AG69">
        <f>IF(N69="100.00",1,0)</f>
        <v>0</v>
      </c>
      <c r="AH69">
        <f>IF(O69="100.00",1,0)</f>
        <v>0</v>
      </c>
      <c r="AI69">
        <f>IF(P69="100.00",1,0)</f>
        <v>0</v>
      </c>
      <c r="AJ69">
        <f>IF(Q69="100.00",1,0)</f>
        <v>0</v>
      </c>
      <c r="AK69">
        <f>IF(R69="100.00",1,0)</f>
        <v>0</v>
      </c>
      <c r="AL69">
        <f>IF(S69="100.00",1,0)</f>
        <v>0</v>
      </c>
      <c r="AM69">
        <f>IF(T69="100.00",1,0)</f>
        <v>0</v>
      </c>
      <c r="AN69">
        <f>IF(U69="100.00",1,0)</f>
        <v>0</v>
      </c>
      <c r="AO69">
        <f>SUM(V69:AN69)</f>
        <v>0</v>
      </c>
    </row>
    <row r="70" spans="1:41" x14ac:dyDescent="0.35">
      <c r="A70" s="8" t="s">
        <v>77</v>
      </c>
      <c r="B70" s="9">
        <v>95032204296</v>
      </c>
      <c r="C70" s="9" t="s">
        <v>23</v>
      </c>
      <c r="D70" s="9" t="s">
        <v>23</v>
      </c>
      <c r="E70" s="9" t="s">
        <v>23</v>
      </c>
      <c r="F70" s="9" t="s">
        <v>23</v>
      </c>
      <c r="G70" s="9" t="s">
        <v>35</v>
      </c>
      <c r="H70" s="9" t="s">
        <v>23</v>
      </c>
      <c r="I70" s="9" t="s">
        <v>54</v>
      </c>
      <c r="J70" s="9" t="s">
        <v>62</v>
      </c>
      <c r="K70" s="9" t="s">
        <v>23</v>
      </c>
      <c r="L70" s="9" t="s">
        <v>23</v>
      </c>
      <c r="M70" s="9" t="s">
        <v>23</v>
      </c>
      <c r="N70" s="9" t="s">
        <v>23</v>
      </c>
      <c r="O70" s="9" t="s">
        <v>23</v>
      </c>
      <c r="P70" s="9" t="s">
        <v>23</v>
      </c>
      <c r="Q70" s="9" t="s">
        <v>31</v>
      </c>
      <c r="R70" s="9" t="s">
        <v>23</v>
      </c>
      <c r="S70" s="9" t="s">
        <v>63</v>
      </c>
      <c r="T70" s="9" t="s">
        <v>68</v>
      </c>
      <c r="U70" s="10" t="s">
        <v>71</v>
      </c>
      <c r="V70">
        <f>IF(C70="100.00",1,0)</f>
        <v>0</v>
      </c>
      <c r="W70">
        <f>IF(D70="100.00",1,0)</f>
        <v>0</v>
      </c>
      <c r="X70">
        <f>IF(E70="100.00",1,0)</f>
        <v>0</v>
      </c>
      <c r="Y70">
        <f>IF(F70="100.00",1,0)</f>
        <v>0</v>
      </c>
      <c r="Z70">
        <f>IF(G70="100.00",1,0)</f>
        <v>0</v>
      </c>
      <c r="AA70">
        <f>IF(H70="100.00",1,0)</f>
        <v>0</v>
      </c>
      <c r="AB70">
        <f>IF(I70="100.00",1,0)</f>
        <v>0</v>
      </c>
      <c r="AC70">
        <f>IF(J70="100.00",1,0)</f>
        <v>0</v>
      </c>
      <c r="AD70">
        <f>IF(K70="100.00",1,0)</f>
        <v>0</v>
      </c>
      <c r="AE70">
        <f>IF(L70="100.00",1,0)</f>
        <v>0</v>
      </c>
      <c r="AF70">
        <f>IF(M70="100.00",1,0)</f>
        <v>0</v>
      </c>
      <c r="AG70">
        <f>IF(N70="100.00",1,0)</f>
        <v>0</v>
      </c>
      <c r="AH70">
        <f>IF(O70="100.00",1,0)</f>
        <v>0</v>
      </c>
      <c r="AI70">
        <f>IF(P70="100.00",1,0)</f>
        <v>0</v>
      </c>
      <c r="AJ70">
        <f>IF(Q70="100.00",1,0)</f>
        <v>0</v>
      </c>
      <c r="AK70">
        <f>IF(R70="100.00",1,0)</f>
        <v>0</v>
      </c>
      <c r="AL70">
        <f>IF(S70="100.00",1,0)</f>
        <v>0</v>
      </c>
      <c r="AM70">
        <f>IF(T70="100.00",1,0)</f>
        <v>0</v>
      </c>
      <c r="AN70">
        <f>IF(U70="100.00",1,0)</f>
        <v>0</v>
      </c>
      <c r="AO70">
        <f>SUM(V70:AN70)</f>
        <v>0</v>
      </c>
    </row>
    <row r="71" spans="1:41" x14ac:dyDescent="0.35">
      <c r="A71" s="5" t="s">
        <v>77</v>
      </c>
      <c r="B71" s="6">
        <v>95042205755</v>
      </c>
      <c r="C71" s="6" t="s">
        <v>23</v>
      </c>
      <c r="D71" s="6" t="s">
        <v>23</v>
      </c>
      <c r="E71" s="6" t="s">
        <v>23</v>
      </c>
      <c r="F71" s="6" t="s">
        <v>23</v>
      </c>
      <c r="G71" s="6" t="s">
        <v>49</v>
      </c>
      <c r="H71" s="6" t="s">
        <v>23</v>
      </c>
      <c r="I71" s="6" t="s">
        <v>38</v>
      </c>
      <c r="J71" s="6" t="s">
        <v>28</v>
      </c>
      <c r="K71" s="6" t="s">
        <v>23</v>
      </c>
      <c r="L71" s="6" t="s">
        <v>23</v>
      </c>
      <c r="M71" s="6" t="s">
        <v>23</v>
      </c>
      <c r="N71" s="6" t="s">
        <v>23</v>
      </c>
      <c r="O71" s="6" t="s">
        <v>23</v>
      </c>
      <c r="P71" s="6" t="s">
        <v>23</v>
      </c>
      <c r="Q71" s="6" t="s">
        <v>32</v>
      </c>
      <c r="R71" s="6" t="s">
        <v>23</v>
      </c>
      <c r="S71" s="6" t="s">
        <v>27</v>
      </c>
      <c r="T71" s="6" t="s">
        <v>36</v>
      </c>
      <c r="U71" s="7" t="s">
        <v>23</v>
      </c>
      <c r="V71">
        <f>IF(C71="100.00",1,0)</f>
        <v>0</v>
      </c>
      <c r="W71">
        <f>IF(D71="100.00",1,0)</f>
        <v>0</v>
      </c>
      <c r="X71">
        <f>IF(E71="100.00",1,0)</f>
        <v>0</v>
      </c>
      <c r="Y71">
        <f>IF(F71="100.00",1,0)</f>
        <v>0</v>
      </c>
      <c r="Z71">
        <f>IF(G71="100.00",1,0)</f>
        <v>0</v>
      </c>
      <c r="AA71">
        <f>IF(H71="100.00",1,0)</f>
        <v>0</v>
      </c>
      <c r="AB71">
        <f>IF(I71="100.00",1,0)</f>
        <v>0</v>
      </c>
      <c r="AC71">
        <f>IF(J71="100.00",1,0)</f>
        <v>0</v>
      </c>
      <c r="AD71">
        <f>IF(K71="100.00",1,0)</f>
        <v>0</v>
      </c>
      <c r="AE71">
        <f>IF(L71="100.00",1,0)</f>
        <v>0</v>
      </c>
      <c r="AF71">
        <f>IF(M71="100.00",1,0)</f>
        <v>0</v>
      </c>
      <c r="AG71">
        <f>IF(N71="100.00",1,0)</f>
        <v>0</v>
      </c>
      <c r="AH71">
        <f>IF(O71="100.00",1,0)</f>
        <v>0</v>
      </c>
      <c r="AI71">
        <f>IF(P71="100.00",1,0)</f>
        <v>0</v>
      </c>
      <c r="AJ71">
        <f>IF(Q71="100.00",1,0)</f>
        <v>0</v>
      </c>
      <c r="AK71">
        <f>IF(R71="100.00",1,0)</f>
        <v>0</v>
      </c>
      <c r="AL71">
        <f>IF(S71="100.00",1,0)</f>
        <v>0</v>
      </c>
      <c r="AM71">
        <f>IF(T71="100.00",1,0)</f>
        <v>0</v>
      </c>
      <c r="AN71">
        <f>IF(U71="100.00",1,0)</f>
        <v>0</v>
      </c>
      <c r="AO71">
        <f>SUM(V71:AN71)</f>
        <v>0</v>
      </c>
    </row>
    <row r="72" spans="1:41" x14ac:dyDescent="0.35">
      <c r="A72" s="8" t="s">
        <v>77</v>
      </c>
      <c r="B72" s="9">
        <v>95050205185</v>
      </c>
      <c r="C72" s="9" t="s">
        <v>23</v>
      </c>
      <c r="D72" s="9" t="s">
        <v>23</v>
      </c>
      <c r="E72" s="9" t="s">
        <v>23</v>
      </c>
      <c r="F72" s="9" t="s">
        <v>23</v>
      </c>
      <c r="G72" s="9" t="s">
        <v>76</v>
      </c>
      <c r="H72" s="9" t="s">
        <v>23</v>
      </c>
      <c r="I72" s="9" t="s">
        <v>40</v>
      </c>
      <c r="J72" s="9" t="s">
        <v>28</v>
      </c>
      <c r="K72" s="9" t="s">
        <v>23</v>
      </c>
      <c r="L72" s="9" t="s">
        <v>23</v>
      </c>
      <c r="M72" s="9" t="s">
        <v>23</v>
      </c>
      <c r="N72" s="9" t="s">
        <v>23</v>
      </c>
      <c r="O72" s="9" t="s">
        <v>23</v>
      </c>
      <c r="P72" s="9" t="s">
        <v>23</v>
      </c>
      <c r="Q72" s="9" t="s">
        <v>72</v>
      </c>
      <c r="R72" s="9" t="s">
        <v>23</v>
      </c>
      <c r="S72" s="9" t="s">
        <v>67</v>
      </c>
      <c r="T72" s="9" t="s">
        <v>27</v>
      </c>
      <c r="U72" s="10" t="s">
        <v>41</v>
      </c>
      <c r="V72">
        <f>IF(C72="100.00",1,0)</f>
        <v>0</v>
      </c>
      <c r="W72">
        <f>IF(D72="100.00",1,0)</f>
        <v>0</v>
      </c>
      <c r="X72">
        <f>IF(E72="100.00",1,0)</f>
        <v>0</v>
      </c>
      <c r="Y72">
        <f>IF(F72="100.00",1,0)</f>
        <v>0</v>
      </c>
      <c r="Z72">
        <f>IF(G72="100.00",1,0)</f>
        <v>0</v>
      </c>
      <c r="AA72">
        <f>IF(H72="100.00",1,0)</f>
        <v>0</v>
      </c>
      <c r="AB72">
        <f>IF(I72="100.00",1,0)</f>
        <v>0</v>
      </c>
      <c r="AC72">
        <f>IF(J72="100.00",1,0)</f>
        <v>0</v>
      </c>
      <c r="AD72">
        <f>IF(K72="100.00",1,0)</f>
        <v>0</v>
      </c>
      <c r="AE72">
        <f>IF(L72="100.00",1,0)</f>
        <v>0</v>
      </c>
      <c r="AF72">
        <f>IF(M72="100.00",1,0)</f>
        <v>0</v>
      </c>
      <c r="AG72">
        <f>IF(N72="100.00",1,0)</f>
        <v>0</v>
      </c>
      <c r="AH72">
        <f>IF(O72="100.00",1,0)</f>
        <v>0</v>
      </c>
      <c r="AI72">
        <f>IF(P72="100.00",1,0)</f>
        <v>0</v>
      </c>
      <c r="AJ72">
        <f>IF(Q72="100.00",1,0)</f>
        <v>0</v>
      </c>
      <c r="AK72">
        <f>IF(R72="100.00",1,0)</f>
        <v>0</v>
      </c>
      <c r="AL72">
        <f>IF(S72="100.00",1,0)</f>
        <v>0</v>
      </c>
      <c r="AM72">
        <f>IF(T72="100.00",1,0)</f>
        <v>0</v>
      </c>
      <c r="AN72">
        <f>IF(U72="100.00",1,0)</f>
        <v>0</v>
      </c>
      <c r="AO72">
        <f>SUM(V72:AN72)</f>
        <v>0</v>
      </c>
    </row>
    <row r="73" spans="1:41" x14ac:dyDescent="0.35">
      <c r="A73" s="8" t="s">
        <v>77</v>
      </c>
      <c r="B73" s="9">
        <v>95051201982</v>
      </c>
      <c r="C73" s="9" t="s">
        <v>23</v>
      </c>
      <c r="D73" s="9" t="s">
        <v>23</v>
      </c>
      <c r="E73" s="9" t="s">
        <v>23</v>
      </c>
      <c r="F73" s="9" t="s">
        <v>23</v>
      </c>
      <c r="G73" s="9" t="s">
        <v>23</v>
      </c>
      <c r="H73" s="9" t="s">
        <v>23</v>
      </c>
      <c r="I73" s="9" t="s">
        <v>48</v>
      </c>
      <c r="J73" s="9" t="s">
        <v>75</v>
      </c>
      <c r="K73" s="9" t="s">
        <v>23</v>
      </c>
      <c r="L73" s="9" t="s">
        <v>23</v>
      </c>
      <c r="M73" s="9" t="s">
        <v>23</v>
      </c>
      <c r="N73" s="9" t="s">
        <v>23</v>
      </c>
      <c r="O73" s="9" t="s">
        <v>23</v>
      </c>
      <c r="P73" s="9" t="s">
        <v>23</v>
      </c>
      <c r="Q73" s="9" t="s">
        <v>70</v>
      </c>
      <c r="R73" s="9" t="s">
        <v>23</v>
      </c>
      <c r="S73" s="9" t="s">
        <v>75</v>
      </c>
      <c r="T73" s="9" t="s">
        <v>34</v>
      </c>
      <c r="U73" s="10" t="s">
        <v>47</v>
      </c>
      <c r="V73">
        <f>IF(C73="100.00",1,0)</f>
        <v>0</v>
      </c>
      <c r="W73">
        <f>IF(D73="100.00",1,0)</f>
        <v>0</v>
      </c>
      <c r="X73">
        <f>IF(E73="100.00",1,0)</f>
        <v>0</v>
      </c>
      <c r="Y73">
        <f>IF(F73="100.00",1,0)</f>
        <v>0</v>
      </c>
      <c r="Z73">
        <f>IF(G73="100.00",1,0)</f>
        <v>0</v>
      </c>
      <c r="AA73">
        <f>IF(H73="100.00",1,0)</f>
        <v>0</v>
      </c>
      <c r="AB73">
        <f>IF(I73="100.00",1,0)</f>
        <v>0</v>
      </c>
      <c r="AC73">
        <f>IF(J73="100.00",1,0)</f>
        <v>0</v>
      </c>
      <c r="AD73">
        <f>IF(K73="100.00",1,0)</f>
        <v>0</v>
      </c>
      <c r="AE73">
        <f>IF(L73="100.00",1,0)</f>
        <v>0</v>
      </c>
      <c r="AF73">
        <f>IF(M73="100.00",1,0)</f>
        <v>0</v>
      </c>
      <c r="AG73">
        <f>IF(N73="100.00",1,0)</f>
        <v>0</v>
      </c>
      <c r="AH73">
        <f>IF(O73="100.00",1,0)</f>
        <v>0</v>
      </c>
      <c r="AI73">
        <f>IF(P73="100.00",1,0)</f>
        <v>0</v>
      </c>
      <c r="AJ73">
        <f>IF(Q73="100.00",1,0)</f>
        <v>0</v>
      </c>
      <c r="AK73">
        <f>IF(R73="100.00",1,0)</f>
        <v>0</v>
      </c>
      <c r="AL73">
        <f>IF(S73="100.00",1,0)</f>
        <v>0</v>
      </c>
      <c r="AM73">
        <f>IF(T73="100.00",1,0)</f>
        <v>0</v>
      </c>
      <c r="AN73">
        <f>IF(U73="100.00",1,0)</f>
        <v>0</v>
      </c>
      <c r="AO73">
        <f>SUM(V73:AN73)</f>
        <v>0</v>
      </c>
    </row>
    <row r="74" spans="1:41" x14ac:dyDescent="0.35">
      <c r="A74" s="5" t="s">
        <v>77</v>
      </c>
      <c r="B74" s="6">
        <v>95052501302</v>
      </c>
      <c r="C74" s="6" t="s">
        <v>23</v>
      </c>
      <c r="D74" s="6" t="s">
        <v>23</v>
      </c>
      <c r="E74" s="6" t="s">
        <v>23</v>
      </c>
      <c r="F74" s="6" t="s">
        <v>23</v>
      </c>
      <c r="G74" s="6" t="s">
        <v>23</v>
      </c>
      <c r="H74" s="6" t="s">
        <v>23</v>
      </c>
      <c r="I74" s="6" t="s">
        <v>48</v>
      </c>
      <c r="J74" s="6" t="s">
        <v>83</v>
      </c>
      <c r="K74" s="6" t="s">
        <v>23</v>
      </c>
      <c r="L74" s="6" t="s">
        <v>23</v>
      </c>
      <c r="M74" s="6" t="s">
        <v>23</v>
      </c>
      <c r="N74" s="6" t="s">
        <v>23</v>
      </c>
      <c r="O74" s="6" t="s">
        <v>23</v>
      </c>
      <c r="P74" s="6" t="s">
        <v>23</v>
      </c>
      <c r="Q74" s="6" t="s">
        <v>41</v>
      </c>
      <c r="R74" s="6" t="s">
        <v>23</v>
      </c>
      <c r="S74" s="6" t="s">
        <v>44</v>
      </c>
      <c r="T74" s="6" t="s">
        <v>33</v>
      </c>
      <c r="U74" s="7" t="s">
        <v>84</v>
      </c>
      <c r="V74">
        <f>IF(C74="100.00",1,0)</f>
        <v>0</v>
      </c>
      <c r="W74">
        <f>IF(D74="100.00",1,0)</f>
        <v>0</v>
      </c>
      <c r="X74">
        <f>IF(E74="100.00",1,0)</f>
        <v>0</v>
      </c>
      <c r="Y74">
        <f>IF(F74="100.00",1,0)</f>
        <v>0</v>
      </c>
      <c r="Z74">
        <f>IF(G74="100.00",1,0)</f>
        <v>0</v>
      </c>
      <c r="AA74">
        <f>IF(H74="100.00",1,0)</f>
        <v>0</v>
      </c>
      <c r="AB74">
        <f>IF(I74="100.00",1,0)</f>
        <v>0</v>
      </c>
      <c r="AC74">
        <f>IF(J74="100.00",1,0)</f>
        <v>0</v>
      </c>
      <c r="AD74">
        <f>IF(K74="100.00",1,0)</f>
        <v>0</v>
      </c>
      <c r="AE74">
        <f>IF(L74="100.00",1,0)</f>
        <v>0</v>
      </c>
      <c r="AF74">
        <f>IF(M74="100.00",1,0)</f>
        <v>0</v>
      </c>
      <c r="AG74">
        <f>IF(N74="100.00",1,0)</f>
        <v>0</v>
      </c>
      <c r="AH74">
        <f>IF(O74="100.00",1,0)</f>
        <v>0</v>
      </c>
      <c r="AI74">
        <f>IF(P74="100.00",1,0)</f>
        <v>0</v>
      </c>
      <c r="AJ74">
        <f>IF(Q74="100.00",1,0)</f>
        <v>0</v>
      </c>
      <c r="AK74">
        <f>IF(R74="100.00",1,0)</f>
        <v>0</v>
      </c>
      <c r="AL74">
        <f>IF(S74="100.00",1,0)</f>
        <v>0</v>
      </c>
      <c r="AM74">
        <f>IF(T74="100.00",1,0)</f>
        <v>0</v>
      </c>
      <c r="AN74">
        <f>IF(U74="100.00",1,0)</f>
        <v>0</v>
      </c>
      <c r="AO74">
        <f>SUM(V74:AN74)</f>
        <v>0</v>
      </c>
    </row>
    <row r="75" spans="1:41" x14ac:dyDescent="0.35">
      <c r="A75" s="8" t="s">
        <v>77</v>
      </c>
      <c r="B75" s="9">
        <v>95060201793</v>
      </c>
      <c r="C75" s="9" t="s">
        <v>30</v>
      </c>
      <c r="D75" s="9" t="s">
        <v>45</v>
      </c>
      <c r="E75" s="9" t="s">
        <v>23</v>
      </c>
      <c r="F75" s="9" t="s">
        <v>23</v>
      </c>
      <c r="G75" s="9" t="s">
        <v>23</v>
      </c>
      <c r="H75" s="9" t="s">
        <v>23</v>
      </c>
      <c r="I75" s="9" t="s">
        <v>27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 t="s">
        <v>22</v>
      </c>
      <c r="R75" s="9" t="s">
        <v>23</v>
      </c>
      <c r="S75" s="9" t="s">
        <v>31</v>
      </c>
      <c r="T75" s="9" t="s">
        <v>23</v>
      </c>
      <c r="U75" s="10" t="s">
        <v>23</v>
      </c>
      <c r="V75">
        <f>IF(C75="100.00",1,0)</f>
        <v>0</v>
      </c>
      <c r="W75">
        <f>IF(D75="100.00",1,0)</f>
        <v>0</v>
      </c>
      <c r="X75">
        <f>IF(E75="100.00",1,0)</f>
        <v>0</v>
      </c>
      <c r="Y75">
        <f>IF(F75="100.00",1,0)</f>
        <v>0</v>
      </c>
      <c r="Z75">
        <f>IF(G75="100.00",1,0)</f>
        <v>0</v>
      </c>
      <c r="AA75">
        <f>IF(H75="100.00",1,0)</f>
        <v>0</v>
      </c>
      <c r="AB75">
        <f>IF(I75="100.00",1,0)</f>
        <v>0</v>
      </c>
      <c r="AC75">
        <f>IF(J75="100.00",1,0)</f>
        <v>0</v>
      </c>
      <c r="AD75">
        <f>IF(K75="100.00",1,0)</f>
        <v>0</v>
      </c>
      <c r="AE75">
        <f>IF(L75="100.00",1,0)</f>
        <v>0</v>
      </c>
      <c r="AF75">
        <f>IF(M75="100.00",1,0)</f>
        <v>0</v>
      </c>
      <c r="AG75">
        <f>IF(N75="100.00",1,0)</f>
        <v>0</v>
      </c>
      <c r="AH75">
        <f>IF(O75="100.00",1,0)</f>
        <v>0</v>
      </c>
      <c r="AI75">
        <f>IF(P75="100.00",1,0)</f>
        <v>0</v>
      </c>
      <c r="AJ75">
        <f>IF(Q75="100.00",1,0)</f>
        <v>0</v>
      </c>
      <c r="AK75">
        <f>IF(R75="100.00",1,0)</f>
        <v>0</v>
      </c>
      <c r="AL75">
        <f>IF(S75="100.00",1,0)</f>
        <v>0</v>
      </c>
      <c r="AM75">
        <f>IF(T75="100.00",1,0)</f>
        <v>0</v>
      </c>
      <c r="AN75">
        <f>IF(U75="100.00",1,0)</f>
        <v>0</v>
      </c>
      <c r="AO75">
        <f>SUM(V75:AN75)</f>
        <v>0</v>
      </c>
    </row>
    <row r="76" spans="1:41" x14ac:dyDescent="0.35">
      <c r="A76" s="5" t="s">
        <v>77</v>
      </c>
      <c r="B76" s="6">
        <v>95062400343</v>
      </c>
      <c r="C76" s="6" t="s">
        <v>72</v>
      </c>
      <c r="D76" s="6" t="s">
        <v>58</v>
      </c>
      <c r="E76" s="6" t="s">
        <v>23</v>
      </c>
      <c r="F76" s="6" t="s">
        <v>23</v>
      </c>
      <c r="G76" s="6" t="s">
        <v>23</v>
      </c>
      <c r="H76" s="6" t="s">
        <v>23</v>
      </c>
      <c r="I76" s="6" t="s">
        <v>35</v>
      </c>
      <c r="J76" s="6" t="s">
        <v>23</v>
      </c>
      <c r="K76" s="6" t="s">
        <v>23</v>
      </c>
      <c r="L76" s="6" t="s">
        <v>23</v>
      </c>
      <c r="M76" s="6" t="s">
        <v>23</v>
      </c>
      <c r="N76" s="6" t="s">
        <v>23</v>
      </c>
      <c r="O76" s="6" t="s">
        <v>23</v>
      </c>
      <c r="P76" s="6" t="s">
        <v>23</v>
      </c>
      <c r="Q76" s="6" t="s">
        <v>34</v>
      </c>
      <c r="R76" s="6" t="s">
        <v>23</v>
      </c>
      <c r="S76" s="6" t="s">
        <v>44</v>
      </c>
      <c r="T76" s="6" t="s">
        <v>23</v>
      </c>
      <c r="U76" s="7" t="s">
        <v>23</v>
      </c>
      <c r="V76">
        <f>IF(C76="100.00",1,0)</f>
        <v>0</v>
      </c>
      <c r="W76">
        <f>IF(D76="100.00",1,0)</f>
        <v>0</v>
      </c>
      <c r="X76">
        <f>IF(E76="100.00",1,0)</f>
        <v>0</v>
      </c>
      <c r="Y76">
        <f>IF(F76="100.00",1,0)</f>
        <v>0</v>
      </c>
      <c r="Z76">
        <f>IF(G76="100.00",1,0)</f>
        <v>0</v>
      </c>
      <c r="AA76">
        <f>IF(H76="100.00",1,0)</f>
        <v>0</v>
      </c>
      <c r="AB76">
        <f>IF(I76="100.00",1,0)</f>
        <v>0</v>
      </c>
      <c r="AC76">
        <f>IF(J76="100.00",1,0)</f>
        <v>0</v>
      </c>
      <c r="AD76">
        <f>IF(K76="100.00",1,0)</f>
        <v>0</v>
      </c>
      <c r="AE76">
        <f>IF(L76="100.00",1,0)</f>
        <v>0</v>
      </c>
      <c r="AF76">
        <f>IF(M76="100.00",1,0)</f>
        <v>0</v>
      </c>
      <c r="AG76">
        <f>IF(N76="100.00",1,0)</f>
        <v>0</v>
      </c>
      <c r="AH76">
        <f>IF(O76="100.00",1,0)</f>
        <v>0</v>
      </c>
      <c r="AI76">
        <f>IF(P76="100.00",1,0)</f>
        <v>0</v>
      </c>
      <c r="AJ76">
        <f>IF(Q76="100.00",1,0)</f>
        <v>0</v>
      </c>
      <c r="AK76">
        <f>IF(R76="100.00",1,0)</f>
        <v>0</v>
      </c>
      <c r="AL76">
        <f>IF(S76="100.00",1,0)</f>
        <v>0</v>
      </c>
      <c r="AM76">
        <f>IF(T76="100.00",1,0)</f>
        <v>0</v>
      </c>
      <c r="AN76">
        <f>IF(U76="100.00",1,0)</f>
        <v>0</v>
      </c>
      <c r="AO76">
        <f>SUM(V76:AN76)</f>
        <v>0</v>
      </c>
    </row>
    <row r="77" spans="1:41" x14ac:dyDescent="0.35">
      <c r="A77" s="8" t="s">
        <v>77</v>
      </c>
      <c r="B77" s="9">
        <v>95070400070</v>
      </c>
      <c r="C77" s="9" t="s">
        <v>23</v>
      </c>
      <c r="D77" s="9" t="s">
        <v>23</v>
      </c>
      <c r="E77" s="9" t="s">
        <v>23</v>
      </c>
      <c r="F77" s="9" t="s">
        <v>23</v>
      </c>
      <c r="G77" s="9" t="s">
        <v>35</v>
      </c>
      <c r="H77" s="9" t="s">
        <v>23</v>
      </c>
      <c r="I77" s="9" t="s">
        <v>35</v>
      </c>
      <c r="J77" s="9" t="s">
        <v>64</v>
      </c>
      <c r="K77" s="9" t="s">
        <v>23</v>
      </c>
      <c r="L77" s="9" t="s">
        <v>23</v>
      </c>
      <c r="M77" s="9" t="s">
        <v>23</v>
      </c>
      <c r="N77" s="9" t="s">
        <v>23</v>
      </c>
      <c r="O77" s="9" t="s">
        <v>23</v>
      </c>
      <c r="P77" s="9" t="s">
        <v>23</v>
      </c>
      <c r="Q77" s="9" t="s">
        <v>71</v>
      </c>
      <c r="R77" s="9" t="s">
        <v>23</v>
      </c>
      <c r="S77" s="9" t="s">
        <v>85</v>
      </c>
      <c r="T77" s="9" t="s">
        <v>36</v>
      </c>
      <c r="U77" s="10" t="s">
        <v>41</v>
      </c>
      <c r="V77">
        <f>IF(C77="100.00",1,0)</f>
        <v>0</v>
      </c>
      <c r="W77">
        <f>IF(D77="100.00",1,0)</f>
        <v>0</v>
      </c>
      <c r="X77">
        <f>IF(E77="100.00",1,0)</f>
        <v>0</v>
      </c>
      <c r="Y77">
        <f>IF(F77="100.00",1,0)</f>
        <v>0</v>
      </c>
      <c r="Z77">
        <f>IF(G77="100.00",1,0)</f>
        <v>0</v>
      </c>
      <c r="AA77">
        <f>IF(H77="100.00",1,0)</f>
        <v>0</v>
      </c>
      <c r="AB77">
        <f>IF(I77="100.00",1,0)</f>
        <v>0</v>
      </c>
      <c r="AC77">
        <f>IF(J77="100.00",1,0)</f>
        <v>0</v>
      </c>
      <c r="AD77">
        <f>IF(K77="100.00",1,0)</f>
        <v>0</v>
      </c>
      <c r="AE77">
        <f>IF(L77="100.00",1,0)</f>
        <v>0</v>
      </c>
      <c r="AF77">
        <f>IF(M77="100.00",1,0)</f>
        <v>0</v>
      </c>
      <c r="AG77">
        <f>IF(N77="100.00",1,0)</f>
        <v>0</v>
      </c>
      <c r="AH77">
        <f>IF(O77="100.00",1,0)</f>
        <v>0</v>
      </c>
      <c r="AI77">
        <f>IF(P77="100.00",1,0)</f>
        <v>0</v>
      </c>
      <c r="AJ77">
        <f>IF(Q77="100.00",1,0)</f>
        <v>0</v>
      </c>
      <c r="AK77">
        <f>IF(R77="100.00",1,0)</f>
        <v>0</v>
      </c>
      <c r="AL77">
        <f>IF(S77="100.00",1,0)</f>
        <v>0</v>
      </c>
      <c r="AM77">
        <f>IF(T77="100.00",1,0)</f>
        <v>0</v>
      </c>
      <c r="AN77">
        <f>IF(U77="100.00",1,0)</f>
        <v>0</v>
      </c>
      <c r="AO77">
        <f>SUM(V77:AN77)</f>
        <v>0</v>
      </c>
    </row>
    <row r="78" spans="1:41" x14ac:dyDescent="0.35">
      <c r="A78" s="5" t="s">
        <v>77</v>
      </c>
      <c r="B78" s="6">
        <v>95080101408</v>
      </c>
      <c r="C78" s="6" t="s">
        <v>30</v>
      </c>
      <c r="D78" s="6" t="s">
        <v>23</v>
      </c>
      <c r="E78" s="6" t="s">
        <v>23</v>
      </c>
      <c r="F78" s="6" t="s">
        <v>23</v>
      </c>
      <c r="G78" s="6" t="s">
        <v>23</v>
      </c>
      <c r="H78" s="6" t="s">
        <v>23</v>
      </c>
      <c r="I78" s="6" t="s">
        <v>86</v>
      </c>
      <c r="J78" s="6" t="s">
        <v>51</v>
      </c>
      <c r="K78" s="6" t="s">
        <v>23</v>
      </c>
      <c r="L78" s="6" t="s">
        <v>23</v>
      </c>
      <c r="M78" s="6" t="s">
        <v>23</v>
      </c>
      <c r="N78" s="6" t="s">
        <v>23</v>
      </c>
      <c r="O78" s="6" t="s">
        <v>23</v>
      </c>
      <c r="P78" s="6" t="s">
        <v>23</v>
      </c>
      <c r="Q78" s="6" t="s">
        <v>31</v>
      </c>
      <c r="R78" s="6" t="s">
        <v>23</v>
      </c>
      <c r="S78" s="6" t="s">
        <v>36</v>
      </c>
      <c r="T78" s="6" t="s">
        <v>30</v>
      </c>
      <c r="U78" s="7" t="s">
        <v>23</v>
      </c>
      <c r="V78">
        <f>IF(C78="100.00",1,0)</f>
        <v>0</v>
      </c>
      <c r="W78">
        <f>IF(D78="100.00",1,0)</f>
        <v>0</v>
      </c>
      <c r="X78">
        <f>IF(E78="100.00",1,0)</f>
        <v>0</v>
      </c>
      <c r="Y78">
        <f>IF(F78="100.00",1,0)</f>
        <v>0</v>
      </c>
      <c r="Z78">
        <f>IF(G78="100.00",1,0)</f>
        <v>0</v>
      </c>
      <c r="AA78">
        <f>IF(H78="100.00",1,0)</f>
        <v>0</v>
      </c>
      <c r="AB78">
        <f>IF(I78="100.00",1,0)</f>
        <v>0</v>
      </c>
      <c r="AC78">
        <f>IF(J78="100.00",1,0)</f>
        <v>0</v>
      </c>
      <c r="AD78">
        <f>IF(K78="100.00",1,0)</f>
        <v>0</v>
      </c>
      <c r="AE78">
        <f>IF(L78="100.00",1,0)</f>
        <v>0</v>
      </c>
      <c r="AF78">
        <f>IF(M78="100.00",1,0)</f>
        <v>0</v>
      </c>
      <c r="AG78">
        <f>IF(N78="100.00",1,0)</f>
        <v>0</v>
      </c>
      <c r="AH78">
        <f>IF(O78="100.00",1,0)</f>
        <v>0</v>
      </c>
      <c r="AI78">
        <f>IF(P78="100.00",1,0)</f>
        <v>0</v>
      </c>
      <c r="AJ78">
        <f>IF(Q78="100.00",1,0)</f>
        <v>0</v>
      </c>
      <c r="AK78">
        <f>IF(R78="100.00",1,0)</f>
        <v>0</v>
      </c>
      <c r="AL78">
        <f>IF(S78="100.00",1,0)</f>
        <v>0</v>
      </c>
      <c r="AM78">
        <f>IF(T78="100.00",1,0)</f>
        <v>0</v>
      </c>
      <c r="AN78">
        <f>IF(U78="100.00",1,0)</f>
        <v>0</v>
      </c>
      <c r="AO78">
        <f>SUM(V78:AN78)</f>
        <v>0</v>
      </c>
    </row>
    <row r="79" spans="1:41" x14ac:dyDescent="0.35">
      <c r="A79" s="8" t="s">
        <v>77</v>
      </c>
      <c r="B79" s="9">
        <v>95080902016</v>
      </c>
      <c r="C79" s="9" t="s">
        <v>23</v>
      </c>
      <c r="D79" s="9" t="s">
        <v>23</v>
      </c>
      <c r="E79" s="9" t="s">
        <v>23</v>
      </c>
      <c r="F79" s="9" t="s">
        <v>23</v>
      </c>
      <c r="G79" s="9" t="s">
        <v>27</v>
      </c>
      <c r="H79" s="9" t="s">
        <v>23</v>
      </c>
      <c r="I79" s="9" t="s">
        <v>86</v>
      </c>
      <c r="J79" s="9" t="s">
        <v>65</v>
      </c>
      <c r="K79" s="9" t="s">
        <v>23</v>
      </c>
      <c r="L79" s="9" t="s">
        <v>23</v>
      </c>
      <c r="M79" s="9" t="s">
        <v>23</v>
      </c>
      <c r="N79" s="9" t="s">
        <v>23</v>
      </c>
      <c r="O79" s="9" t="s">
        <v>23</v>
      </c>
      <c r="P79" s="9" t="s">
        <v>23</v>
      </c>
      <c r="Q79" s="9" t="s">
        <v>79</v>
      </c>
      <c r="R79" s="9" t="s">
        <v>23</v>
      </c>
      <c r="S79" s="9" t="s">
        <v>76</v>
      </c>
      <c r="T79" s="9" t="s">
        <v>75</v>
      </c>
      <c r="U79" s="10" t="s">
        <v>23</v>
      </c>
      <c r="V79">
        <f>IF(C79="100.00",1,0)</f>
        <v>0</v>
      </c>
      <c r="W79">
        <f>IF(D79="100.00",1,0)</f>
        <v>0</v>
      </c>
      <c r="X79">
        <f>IF(E79="100.00",1,0)</f>
        <v>0</v>
      </c>
      <c r="Y79">
        <f>IF(F79="100.00",1,0)</f>
        <v>0</v>
      </c>
      <c r="Z79">
        <f>IF(G79="100.00",1,0)</f>
        <v>0</v>
      </c>
      <c r="AA79">
        <f>IF(H79="100.00",1,0)</f>
        <v>0</v>
      </c>
      <c r="AB79">
        <f>IF(I79="100.00",1,0)</f>
        <v>0</v>
      </c>
      <c r="AC79">
        <f>IF(J79="100.00",1,0)</f>
        <v>0</v>
      </c>
      <c r="AD79">
        <f>IF(K79="100.00",1,0)</f>
        <v>0</v>
      </c>
      <c r="AE79">
        <f>IF(L79="100.00",1,0)</f>
        <v>0</v>
      </c>
      <c r="AF79">
        <f>IF(M79="100.00",1,0)</f>
        <v>0</v>
      </c>
      <c r="AG79">
        <f>IF(N79="100.00",1,0)</f>
        <v>0</v>
      </c>
      <c r="AH79">
        <f>IF(O79="100.00",1,0)</f>
        <v>0</v>
      </c>
      <c r="AI79">
        <f>IF(P79="100.00",1,0)</f>
        <v>0</v>
      </c>
      <c r="AJ79">
        <f>IF(Q79="100.00",1,0)</f>
        <v>0</v>
      </c>
      <c r="AK79">
        <f>IF(R79="100.00",1,0)</f>
        <v>0</v>
      </c>
      <c r="AL79">
        <f>IF(S79="100.00",1,0)</f>
        <v>0</v>
      </c>
      <c r="AM79">
        <f>IF(T79="100.00",1,0)</f>
        <v>0</v>
      </c>
      <c r="AN79">
        <f>IF(U79="100.00",1,0)</f>
        <v>0</v>
      </c>
      <c r="AO79">
        <f>SUM(V79:AN79)</f>
        <v>0</v>
      </c>
    </row>
    <row r="80" spans="1:41" x14ac:dyDescent="0.35">
      <c r="A80" s="5" t="s">
        <v>77</v>
      </c>
      <c r="B80" s="6">
        <v>95081001141</v>
      </c>
      <c r="C80" s="6" t="s">
        <v>87</v>
      </c>
      <c r="D80" s="6" t="s">
        <v>23</v>
      </c>
      <c r="E80" s="6" t="s">
        <v>23</v>
      </c>
      <c r="F80" s="6" t="s">
        <v>23</v>
      </c>
      <c r="G80" s="6" t="s">
        <v>23</v>
      </c>
      <c r="H80" s="6" t="s">
        <v>23</v>
      </c>
      <c r="I80" s="6" t="s">
        <v>48</v>
      </c>
      <c r="J80" s="6" t="s">
        <v>55</v>
      </c>
      <c r="K80" s="6" t="s">
        <v>23</v>
      </c>
      <c r="L80" s="6" t="s">
        <v>23</v>
      </c>
      <c r="M80" s="6" t="s">
        <v>23</v>
      </c>
      <c r="N80" s="6" t="s">
        <v>23</v>
      </c>
      <c r="O80" s="6" t="s">
        <v>23</v>
      </c>
      <c r="P80" s="6" t="s">
        <v>23</v>
      </c>
      <c r="Q80" s="6" t="s">
        <v>88</v>
      </c>
      <c r="R80" s="6" t="s">
        <v>23</v>
      </c>
      <c r="S80" s="6" t="s">
        <v>44</v>
      </c>
      <c r="T80" s="6" t="s">
        <v>75</v>
      </c>
      <c r="U80" s="7" t="s">
        <v>23</v>
      </c>
      <c r="V80">
        <f>IF(C80="100.00",1,0)</f>
        <v>0</v>
      </c>
      <c r="W80">
        <f>IF(D80="100.00",1,0)</f>
        <v>0</v>
      </c>
      <c r="X80">
        <f>IF(E80="100.00",1,0)</f>
        <v>0</v>
      </c>
      <c r="Y80">
        <f>IF(F80="100.00",1,0)</f>
        <v>0</v>
      </c>
      <c r="Z80">
        <f>IF(G80="100.00",1,0)</f>
        <v>0</v>
      </c>
      <c r="AA80">
        <f>IF(H80="100.00",1,0)</f>
        <v>0</v>
      </c>
      <c r="AB80">
        <f>IF(I80="100.00",1,0)</f>
        <v>0</v>
      </c>
      <c r="AC80">
        <f>IF(J80="100.00",1,0)</f>
        <v>0</v>
      </c>
      <c r="AD80">
        <f>IF(K80="100.00",1,0)</f>
        <v>0</v>
      </c>
      <c r="AE80">
        <f>IF(L80="100.00",1,0)</f>
        <v>0</v>
      </c>
      <c r="AF80">
        <f>IF(M80="100.00",1,0)</f>
        <v>0</v>
      </c>
      <c r="AG80">
        <f>IF(N80="100.00",1,0)</f>
        <v>0</v>
      </c>
      <c r="AH80">
        <f>IF(O80="100.00",1,0)</f>
        <v>0</v>
      </c>
      <c r="AI80">
        <f>IF(P80="100.00",1,0)</f>
        <v>0</v>
      </c>
      <c r="AJ80">
        <f>IF(Q80="100.00",1,0)</f>
        <v>0</v>
      </c>
      <c r="AK80">
        <f>IF(R80="100.00",1,0)</f>
        <v>0</v>
      </c>
      <c r="AL80">
        <f>IF(S80="100.00",1,0)</f>
        <v>0</v>
      </c>
      <c r="AM80">
        <f>IF(T80="100.00",1,0)</f>
        <v>0</v>
      </c>
      <c r="AN80">
        <f>IF(U80="100.00",1,0)</f>
        <v>0</v>
      </c>
      <c r="AO80">
        <f>SUM(V80:AN80)</f>
        <v>0</v>
      </c>
    </row>
    <row r="81" spans="1:41" x14ac:dyDescent="0.35">
      <c r="A81" s="8" t="s">
        <v>77</v>
      </c>
      <c r="B81" s="9">
        <v>95081600739</v>
      </c>
      <c r="C81" s="9" t="s">
        <v>23</v>
      </c>
      <c r="D81" s="9" t="s">
        <v>23</v>
      </c>
      <c r="E81" s="9" t="s">
        <v>23</v>
      </c>
      <c r="F81" s="9" t="s">
        <v>58</v>
      </c>
      <c r="G81" s="9" t="s">
        <v>23</v>
      </c>
      <c r="H81" s="9" t="s">
        <v>23</v>
      </c>
      <c r="I81" s="9" t="s">
        <v>56</v>
      </c>
      <c r="J81" s="9" t="s">
        <v>36</v>
      </c>
      <c r="K81" s="9" t="s">
        <v>23</v>
      </c>
      <c r="L81" s="9" t="s">
        <v>23</v>
      </c>
      <c r="M81" s="9" t="s">
        <v>23</v>
      </c>
      <c r="N81" s="9" t="s">
        <v>23</v>
      </c>
      <c r="O81" s="9" t="s">
        <v>23</v>
      </c>
      <c r="P81" s="9" t="s">
        <v>23</v>
      </c>
      <c r="Q81" s="9" t="s">
        <v>76</v>
      </c>
      <c r="R81" s="9" t="s">
        <v>23</v>
      </c>
      <c r="S81" s="9" t="s">
        <v>50</v>
      </c>
      <c r="T81" s="9" t="s">
        <v>34</v>
      </c>
      <c r="U81" s="10" t="s">
        <v>34</v>
      </c>
      <c r="V81">
        <f>IF(C81="100.00",1,0)</f>
        <v>0</v>
      </c>
      <c r="W81">
        <f>IF(D81="100.00",1,0)</f>
        <v>0</v>
      </c>
      <c r="X81">
        <f>IF(E81="100.00",1,0)</f>
        <v>0</v>
      </c>
      <c r="Y81">
        <f>IF(F81="100.00",1,0)</f>
        <v>0</v>
      </c>
      <c r="Z81">
        <f>IF(G81="100.00",1,0)</f>
        <v>0</v>
      </c>
      <c r="AA81">
        <f>IF(H81="100.00",1,0)</f>
        <v>0</v>
      </c>
      <c r="AB81">
        <f>IF(I81="100.00",1,0)</f>
        <v>0</v>
      </c>
      <c r="AC81">
        <f>IF(J81="100.00",1,0)</f>
        <v>0</v>
      </c>
      <c r="AD81">
        <f>IF(K81="100.00",1,0)</f>
        <v>0</v>
      </c>
      <c r="AE81">
        <f>IF(L81="100.00",1,0)</f>
        <v>0</v>
      </c>
      <c r="AF81">
        <f>IF(M81="100.00",1,0)</f>
        <v>0</v>
      </c>
      <c r="AG81">
        <f>IF(N81="100.00",1,0)</f>
        <v>0</v>
      </c>
      <c r="AH81">
        <f>IF(O81="100.00",1,0)</f>
        <v>0</v>
      </c>
      <c r="AI81">
        <f>IF(P81="100.00",1,0)</f>
        <v>0</v>
      </c>
      <c r="AJ81">
        <f>IF(Q81="100.00",1,0)</f>
        <v>0</v>
      </c>
      <c r="AK81">
        <f>IF(R81="100.00",1,0)</f>
        <v>0</v>
      </c>
      <c r="AL81">
        <f>IF(S81="100.00",1,0)</f>
        <v>0</v>
      </c>
      <c r="AM81">
        <f>IF(T81="100.00",1,0)</f>
        <v>0</v>
      </c>
      <c r="AN81">
        <f>IF(U81="100.00",1,0)</f>
        <v>0</v>
      </c>
      <c r="AO81">
        <f>SUM(V81:AN81)</f>
        <v>0</v>
      </c>
    </row>
    <row r="82" spans="1:41" x14ac:dyDescent="0.35">
      <c r="A82" s="5" t="s">
        <v>77</v>
      </c>
      <c r="B82" s="6">
        <v>95083106189</v>
      </c>
      <c r="C82" s="6" t="s">
        <v>23</v>
      </c>
      <c r="D82" s="6" t="s">
        <v>23</v>
      </c>
      <c r="E82" s="6" t="s">
        <v>23</v>
      </c>
      <c r="F82" s="6" t="s">
        <v>23</v>
      </c>
      <c r="G82" s="6" t="s">
        <v>89</v>
      </c>
      <c r="H82" s="6" t="s">
        <v>23</v>
      </c>
      <c r="I82" s="6" t="s">
        <v>76</v>
      </c>
      <c r="J82" s="6" t="s">
        <v>23</v>
      </c>
      <c r="K82" s="6" t="s">
        <v>23</v>
      </c>
      <c r="L82" s="6" t="s">
        <v>23</v>
      </c>
      <c r="M82" s="6" t="s">
        <v>23</v>
      </c>
      <c r="N82" s="6" t="s">
        <v>23</v>
      </c>
      <c r="O82" s="6" t="s">
        <v>23</v>
      </c>
      <c r="P82" s="6" t="s">
        <v>23</v>
      </c>
      <c r="Q82" s="6" t="s">
        <v>70</v>
      </c>
      <c r="R82" s="6" t="s">
        <v>23</v>
      </c>
      <c r="S82" s="6" t="s">
        <v>31</v>
      </c>
      <c r="T82" s="6" t="s">
        <v>46</v>
      </c>
      <c r="U82" s="7" t="s">
        <v>23</v>
      </c>
      <c r="V82">
        <f>IF(C82="100.00",1,0)</f>
        <v>0</v>
      </c>
      <c r="W82">
        <f>IF(D82="100.00",1,0)</f>
        <v>0</v>
      </c>
      <c r="X82">
        <f>IF(E82="100.00",1,0)</f>
        <v>0</v>
      </c>
      <c r="Y82">
        <f>IF(F82="100.00",1,0)</f>
        <v>0</v>
      </c>
      <c r="Z82">
        <f>IF(G82="100.00",1,0)</f>
        <v>0</v>
      </c>
      <c r="AA82">
        <f>IF(H82="100.00",1,0)</f>
        <v>0</v>
      </c>
      <c r="AB82">
        <f>IF(I82="100.00",1,0)</f>
        <v>0</v>
      </c>
      <c r="AC82">
        <f>IF(J82="100.00",1,0)</f>
        <v>0</v>
      </c>
      <c r="AD82">
        <f>IF(K82="100.00",1,0)</f>
        <v>0</v>
      </c>
      <c r="AE82">
        <f>IF(L82="100.00",1,0)</f>
        <v>0</v>
      </c>
      <c r="AF82">
        <f>IF(M82="100.00",1,0)</f>
        <v>0</v>
      </c>
      <c r="AG82">
        <f>IF(N82="100.00",1,0)</f>
        <v>0</v>
      </c>
      <c r="AH82">
        <f>IF(O82="100.00",1,0)</f>
        <v>0</v>
      </c>
      <c r="AI82">
        <f>IF(P82="100.00",1,0)</f>
        <v>0</v>
      </c>
      <c r="AJ82">
        <f>IF(Q82="100.00",1,0)</f>
        <v>0</v>
      </c>
      <c r="AK82">
        <f>IF(R82="100.00",1,0)</f>
        <v>0</v>
      </c>
      <c r="AL82">
        <f>IF(S82="100.00",1,0)</f>
        <v>0</v>
      </c>
      <c r="AM82">
        <f>IF(T82="100.00",1,0)</f>
        <v>0</v>
      </c>
      <c r="AN82">
        <f>IF(U82="100.00",1,0)</f>
        <v>0</v>
      </c>
      <c r="AO82">
        <f>SUM(V82:AN82)</f>
        <v>0</v>
      </c>
    </row>
    <row r="83" spans="1:41" x14ac:dyDescent="0.35">
      <c r="A83" s="8" t="s">
        <v>77</v>
      </c>
      <c r="B83" s="9">
        <v>95092111585</v>
      </c>
      <c r="C83" s="9" t="s">
        <v>23</v>
      </c>
      <c r="D83" s="9" t="s">
        <v>23</v>
      </c>
      <c r="E83" s="9" t="s">
        <v>23</v>
      </c>
      <c r="F83" s="9" t="s">
        <v>23</v>
      </c>
      <c r="G83" s="9" t="s">
        <v>61</v>
      </c>
      <c r="H83" s="9" t="s">
        <v>23</v>
      </c>
      <c r="I83" s="9" t="s">
        <v>86</v>
      </c>
      <c r="J83" s="9" t="s">
        <v>39</v>
      </c>
      <c r="K83" s="9" t="s">
        <v>23</v>
      </c>
      <c r="L83" s="9" t="s">
        <v>23</v>
      </c>
      <c r="M83" s="9" t="s">
        <v>23</v>
      </c>
      <c r="N83" s="9" t="s">
        <v>23</v>
      </c>
      <c r="O83" s="9" t="s">
        <v>23</v>
      </c>
      <c r="P83" s="9" t="s">
        <v>23</v>
      </c>
      <c r="Q83" s="9" t="s">
        <v>71</v>
      </c>
      <c r="R83" s="9" t="s">
        <v>23</v>
      </c>
      <c r="S83" s="9" t="s">
        <v>36</v>
      </c>
      <c r="T83" s="9" t="s">
        <v>27</v>
      </c>
      <c r="U83" s="10" t="s">
        <v>23</v>
      </c>
      <c r="V83">
        <f>IF(C83="100.00",1,0)</f>
        <v>0</v>
      </c>
      <c r="W83">
        <f>IF(D83="100.00",1,0)</f>
        <v>0</v>
      </c>
      <c r="X83">
        <f>IF(E83="100.00",1,0)</f>
        <v>0</v>
      </c>
      <c r="Y83">
        <f>IF(F83="100.00",1,0)</f>
        <v>0</v>
      </c>
      <c r="Z83">
        <f>IF(G83="100.00",1,0)</f>
        <v>0</v>
      </c>
      <c r="AA83">
        <f>IF(H83="100.00",1,0)</f>
        <v>0</v>
      </c>
      <c r="AB83">
        <f>IF(I83="100.00",1,0)</f>
        <v>0</v>
      </c>
      <c r="AC83">
        <f>IF(J83="100.00",1,0)</f>
        <v>0</v>
      </c>
      <c r="AD83">
        <f>IF(K83="100.00",1,0)</f>
        <v>0</v>
      </c>
      <c r="AE83">
        <f>IF(L83="100.00",1,0)</f>
        <v>0</v>
      </c>
      <c r="AF83">
        <f>IF(M83="100.00",1,0)</f>
        <v>0</v>
      </c>
      <c r="AG83">
        <f>IF(N83="100.00",1,0)</f>
        <v>0</v>
      </c>
      <c r="AH83">
        <f>IF(O83="100.00",1,0)</f>
        <v>0</v>
      </c>
      <c r="AI83">
        <f>IF(P83="100.00",1,0)</f>
        <v>0</v>
      </c>
      <c r="AJ83">
        <f>IF(Q83="100.00",1,0)</f>
        <v>0</v>
      </c>
      <c r="AK83">
        <f>IF(R83="100.00",1,0)</f>
        <v>0</v>
      </c>
      <c r="AL83">
        <f>IF(S83="100.00",1,0)</f>
        <v>0</v>
      </c>
      <c r="AM83">
        <f>IF(T83="100.00",1,0)</f>
        <v>0</v>
      </c>
      <c r="AN83">
        <f>IF(U83="100.00",1,0)</f>
        <v>0</v>
      </c>
      <c r="AO83">
        <f>SUM(V83:AN83)</f>
        <v>0</v>
      </c>
    </row>
    <row r="84" spans="1:41" x14ac:dyDescent="0.35">
      <c r="A84" s="5" t="s">
        <v>77</v>
      </c>
      <c r="B84" s="6">
        <v>95092712281</v>
      </c>
      <c r="C84" s="6" t="s">
        <v>23</v>
      </c>
      <c r="D84" s="6" t="s">
        <v>23</v>
      </c>
      <c r="E84" s="6" t="s">
        <v>23</v>
      </c>
      <c r="F84" s="6" t="s">
        <v>23</v>
      </c>
      <c r="G84" s="6" t="s">
        <v>27</v>
      </c>
      <c r="H84" s="6" t="s">
        <v>23</v>
      </c>
      <c r="I84" s="6" t="s">
        <v>39</v>
      </c>
      <c r="J84" s="6" t="s">
        <v>50</v>
      </c>
      <c r="K84" s="6" t="s">
        <v>23</v>
      </c>
      <c r="L84" s="6" t="s">
        <v>23</v>
      </c>
      <c r="M84" s="6" t="s">
        <v>23</v>
      </c>
      <c r="N84" s="6" t="s">
        <v>23</v>
      </c>
      <c r="O84" s="6" t="s">
        <v>23</v>
      </c>
      <c r="P84" s="6" t="s">
        <v>23</v>
      </c>
      <c r="Q84" s="6" t="s">
        <v>22</v>
      </c>
      <c r="R84" s="6" t="s">
        <v>23</v>
      </c>
      <c r="S84" s="6" t="s">
        <v>78</v>
      </c>
      <c r="T84" s="6" t="s">
        <v>27</v>
      </c>
      <c r="U84" s="7" t="s">
        <v>42</v>
      </c>
      <c r="V84">
        <f>IF(C84="100.00",1,0)</f>
        <v>0</v>
      </c>
      <c r="W84">
        <f>IF(D84="100.00",1,0)</f>
        <v>0</v>
      </c>
      <c r="X84">
        <f>IF(E84="100.00",1,0)</f>
        <v>0</v>
      </c>
      <c r="Y84">
        <f>IF(F84="100.00",1,0)</f>
        <v>0</v>
      </c>
      <c r="Z84">
        <f>IF(G84="100.00",1,0)</f>
        <v>0</v>
      </c>
      <c r="AA84">
        <f>IF(H84="100.00",1,0)</f>
        <v>0</v>
      </c>
      <c r="AB84">
        <f>IF(I84="100.00",1,0)</f>
        <v>0</v>
      </c>
      <c r="AC84">
        <f>IF(J84="100.00",1,0)</f>
        <v>0</v>
      </c>
      <c r="AD84">
        <f>IF(K84="100.00",1,0)</f>
        <v>0</v>
      </c>
      <c r="AE84">
        <f>IF(L84="100.00",1,0)</f>
        <v>0</v>
      </c>
      <c r="AF84">
        <f>IF(M84="100.00",1,0)</f>
        <v>0</v>
      </c>
      <c r="AG84">
        <f>IF(N84="100.00",1,0)</f>
        <v>0</v>
      </c>
      <c r="AH84">
        <f>IF(O84="100.00",1,0)</f>
        <v>0</v>
      </c>
      <c r="AI84">
        <f>IF(P84="100.00",1,0)</f>
        <v>0</v>
      </c>
      <c r="AJ84">
        <f>IF(Q84="100.00",1,0)</f>
        <v>0</v>
      </c>
      <c r="AK84">
        <f>IF(R84="100.00",1,0)</f>
        <v>0</v>
      </c>
      <c r="AL84">
        <f>IF(S84="100.00",1,0)</f>
        <v>0</v>
      </c>
      <c r="AM84">
        <f>IF(T84="100.00",1,0)</f>
        <v>0</v>
      </c>
      <c r="AN84">
        <f>IF(U84="100.00",1,0)</f>
        <v>0</v>
      </c>
      <c r="AO84">
        <f>SUM(V84:AN84)</f>
        <v>0</v>
      </c>
    </row>
    <row r="85" spans="1:41" x14ac:dyDescent="0.35">
      <c r="A85" s="8" t="s">
        <v>77</v>
      </c>
      <c r="B85" s="9">
        <v>95100600025</v>
      </c>
      <c r="C85" s="9" t="s">
        <v>23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45</v>
      </c>
      <c r="J85" s="9" t="s">
        <v>23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 t="s">
        <v>72</v>
      </c>
      <c r="R85" s="9" t="s">
        <v>23</v>
      </c>
      <c r="S85" s="9" t="s">
        <v>59</v>
      </c>
      <c r="T85" s="9" t="s">
        <v>39</v>
      </c>
      <c r="U85" s="10" t="s">
        <v>90</v>
      </c>
      <c r="V85">
        <f>IF(C85="100.00",1,0)</f>
        <v>0</v>
      </c>
      <c r="W85">
        <f>IF(D85="100.00",1,0)</f>
        <v>0</v>
      </c>
      <c r="X85">
        <f>IF(E85="100.00",1,0)</f>
        <v>0</v>
      </c>
      <c r="Y85">
        <f>IF(F85="100.00",1,0)</f>
        <v>0</v>
      </c>
      <c r="Z85">
        <f>IF(G85="100.00",1,0)</f>
        <v>0</v>
      </c>
      <c r="AA85">
        <f>IF(H85="100.00",1,0)</f>
        <v>0</v>
      </c>
      <c r="AB85">
        <f>IF(I85="100.00",1,0)</f>
        <v>0</v>
      </c>
      <c r="AC85">
        <f>IF(J85="100.00",1,0)</f>
        <v>0</v>
      </c>
      <c r="AD85">
        <f>IF(K85="100.00",1,0)</f>
        <v>0</v>
      </c>
      <c r="AE85">
        <f>IF(L85="100.00",1,0)</f>
        <v>0</v>
      </c>
      <c r="AF85">
        <f>IF(M85="100.00",1,0)</f>
        <v>0</v>
      </c>
      <c r="AG85">
        <f>IF(N85="100.00",1,0)</f>
        <v>0</v>
      </c>
      <c r="AH85">
        <f>IF(O85="100.00",1,0)</f>
        <v>0</v>
      </c>
      <c r="AI85">
        <f>IF(P85="100.00",1,0)</f>
        <v>0</v>
      </c>
      <c r="AJ85">
        <f>IF(Q85="100.00",1,0)</f>
        <v>0</v>
      </c>
      <c r="AK85">
        <f>IF(R85="100.00",1,0)</f>
        <v>0</v>
      </c>
      <c r="AL85">
        <f>IF(S85="100.00",1,0)</f>
        <v>0</v>
      </c>
      <c r="AM85">
        <f>IF(T85="100.00",1,0)</f>
        <v>0</v>
      </c>
      <c r="AN85">
        <f>IF(U85="100.00",1,0)</f>
        <v>0</v>
      </c>
      <c r="AO85">
        <f>SUM(V85:AN85)</f>
        <v>0</v>
      </c>
    </row>
    <row r="86" spans="1:41" x14ac:dyDescent="0.35">
      <c r="A86" s="5" t="s">
        <v>77</v>
      </c>
      <c r="B86" s="6">
        <v>95100606458</v>
      </c>
      <c r="C86" s="6" t="s">
        <v>23</v>
      </c>
      <c r="D86" s="6" t="s">
        <v>23</v>
      </c>
      <c r="E86" s="6" t="s">
        <v>23</v>
      </c>
      <c r="F86" s="6" t="s">
        <v>23</v>
      </c>
      <c r="G86" s="6" t="s">
        <v>26</v>
      </c>
      <c r="H86" s="6" t="s">
        <v>23</v>
      </c>
      <c r="I86" s="6" t="s">
        <v>48</v>
      </c>
      <c r="J86" s="6" t="s">
        <v>35</v>
      </c>
      <c r="K86" s="6" t="s">
        <v>23</v>
      </c>
      <c r="L86" s="6" t="s">
        <v>23</v>
      </c>
      <c r="M86" s="6" t="s">
        <v>23</v>
      </c>
      <c r="N86" s="6" t="s">
        <v>23</v>
      </c>
      <c r="O86" s="6" t="s">
        <v>23</v>
      </c>
      <c r="P86" s="6" t="s">
        <v>23</v>
      </c>
      <c r="Q86" s="6" t="s">
        <v>34</v>
      </c>
      <c r="R86" s="6" t="s">
        <v>23</v>
      </c>
      <c r="S86" s="6" t="s">
        <v>64</v>
      </c>
      <c r="T86" s="6" t="s">
        <v>82</v>
      </c>
      <c r="U86" s="7" t="s">
        <v>71</v>
      </c>
      <c r="V86">
        <f>IF(C86="100.00",1,0)</f>
        <v>0</v>
      </c>
      <c r="W86">
        <f>IF(D86="100.00",1,0)</f>
        <v>0</v>
      </c>
      <c r="X86">
        <f>IF(E86="100.00",1,0)</f>
        <v>0</v>
      </c>
      <c r="Y86">
        <f>IF(F86="100.00",1,0)</f>
        <v>0</v>
      </c>
      <c r="Z86">
        <f>IF(G86="100.00",1,0)</f>
        <v>0</v>
      </c>
      <c r="AA86">
        <f>IF(H86="100.00",1,0)</f>
        <v>0</v>
      </c>
      <c r="AB86">
        <f>IF(I86="100.00",1,0)</f>
        <v>0</v>
      </c>
      <c r="AC86">
        <f>IF(J86="100.00",1,0)</f>
        <v>0</v>
      </c>
      <c r="AD86">
        <f>IF(K86="100.00",1,0)</f>
        <v>0</v>
      </c>
      <c r="AE86">
        <f>IF(L86="100.00",1,0)</f>
        <v>0</v>
      </c>
      <c r="AF86">
        <f>IF(M86="100.00",1,0)</f>
        <v>0</v>
      </c>
      <c r="AG86">
        <f>IF(N86="100.00",1,0)</f>
        <v>0</v>
      </c>
      <c r="AH86">
        <f>IF(O86="100.00",1,0)</f>
        <v>0</v>
      </c>
      <c r="AI86">
        <f>IF(P86="100.00",1,0)</f>
        <v>0</v>
      </c>
      <c r="AJ86">
        <f>IF(Q86="100.00",1,0)</f>
        <v>0</v>
      </c>
      <c r="AK86">
        <f>IF(R86="100.00",1,0)</f>
        <v>0</v>
      </c>
      <c r="AL86">
        <f>IF(S86="100.00",1,0)</f>
        <v>0</v>
      </c>
      <c r="AM86">
        <f>IF(T86="100.00",1,0)</f>
        <v>0</v>
      </c>
      <c r="AN86">
        <f>IF(U86="100.00",1,0)</f>
        <v>0</v>
      </c>
      <c r="AO86">
        <f>SUM(V86:AN86)</f>
        <v>0</v>
      </c>
    </row>
    <row r="87" spans="1:41" x14ac:dyDescent="0.35">
      <c r="A87" s="5" t="s">
        <v>77</v>
      </c>
      <c r="B87" s="6">
        <v>95101000947</v>
      </c>
      <c r="C87" s="6" t="s">
        <v>23</v>
      </c>
      <c r="D87" s="6" t="s">
        <v>23</v>
      </c>
      <c r="E87" s="6" t="s">
        <v>23</v>
      </c>
      <c r="F87" s="6" t="s">
        <v>23</v>
      </c>
      <c r="G87" s="6" t="s">
        <v>48</v>
      </c>
      <c r="H87" s="6" t="s">
        <v>23</v>
      </c>
      <c r="I87" s="6" t="s">
        <v>40</v>
      </c>
      <c r="J87" s="6" t="s">
        <v>25</v>
      </c>
      <c r="K87" s="6" t="s">
        <v>23</v>
      </c>
      <c r="L87" s="6" t="s">
        <v>23</v>
      </c>
      <c r="M87" s="6" t="s">
        <v>23</v>
      </c>
      <c r="N87" s="6" t="s">
        <v>23</v>
      </c>
      <c r="O87" s="6" t="s">
        <v>23</v>
      </c>
      <c r="P87" s="6" t="s">
        <v>23</v>
      </c>
      <c r="Q87" s="6" t="s">
        <v>71</v>
      </c>
      <c r="R87" s="6" t="s">
        <v>23</v>
      </c>
      <c r="S87" s="6" t="s">
        <v>83</v>
      </c>
      <c r="T87" s="6" t="s">
        <v>53</v>
      </c>
      <c r="U87" s="7" t="s">
        <v>23</v>
      </c>
      <c r="V87">
        <f>IF(C87="100.00",1,0)</f>
        <v>0</v>
      </c>
      <c r="W87">
        <f>IF(D87="100.00",1,0)</f>
        <v>0</v>
      </c>
      <c r="X87">
        <f>IF(E87="100.00",1,0)</f>
        <v>0</v>
      </c>
      <c r="Y87">
        <f>IF(F87="100.00",1,0)</f>
        <v>0</v>
      </c>
      <c r="Z87">
        <f>IF(G87="100.00",1,0)</f>
        <v>0</v>
      </c>
      <c r="AA87">
        <f>IF(H87="100.00",1,0)</f>
        <v>0</v>
      </c>
      <c r="AB87">
        <f>IF(I87="100.00",1,0)</f>
        <v>0</v>
      </c>
      <c r="AC87">
        <f>IF(J87="100.00",1,0)</f>
        <v>0</v>
      </c>
      <c r="AD87">
        <f>IF(K87="100.00",1,0)</f>
        <v>0</v>
      </c>
      <c r="AE87">
        <f>IF(L87="100.00",1,0)</f>
        <v>0</v>
      </c>
      <c r="AF87">
        <f>IF(M87="100.00",1,0)</f>
        <v>0</v>
      </c>
      <c r="AG87">
        <f>IF(N87="100.00",1,0)</f>
        <v>0</v>
      </c>
      <c r="AH87">
        <f>IF(O87="100.00",1,0)</f>
        <v>0</v>
      </c>
      <c r="AI87">
        <f>IF(P87="100.00",1,0)</f>
        <v>0</v>
      </c>
      <c r="AJ87">
        <f>IF(Q87="100.00",1,0)</f>
        <v>0</v>
      </c>
      <c r="AK87">
        <f>IF(R87="100.00",1,0)</f>
        <v>0</v>
      </c>
      <c r="AL87">
        <f>IF(S87="100.00",1,0)</f>
        <v>0</v>
      </c>
      <c r="AM87">
        <f>IF(T87="100.00",1,0)</f>
        <v>0</v>
      </c>
      <c r="AN87">
        <f>IF(U87="100.00",1,0)</f>
        <v>0</v>
      </c>
      <c r="AO87">
        <f>SUM(V87:AN87)</f>
        <v>0</v>
      </c>
    </row>
    <row r="88" spans="1:41" x14ac:dyDescent="0.35">
      <c r="A88" s="8" t="s">
        <v>77</v>
      </c>
      <c r="B88" s="9">
        <v>95110605809</v>
      </c>
      <c r="C88" s="9" t="s">
        <v>23</v>
      </c>
      <c r="D88" s="9" t="s">
        <v>23</v>
      </c>
      <c r="E88" s="9" t="s">
        <v>23</v>
      </c>
      <c r="F88" s="9" t="s">
        <v>23</v>
      </c>
      <c r="G88" s="9" t="s">
        <v>61</v>
      </c>
      <c r="H88" s="9" t="s">
        <v>23</v>
      </c>
      <c r="I88" s="9" t="s">
        <v>66</v>
      </c>
      <c r="J88" s="9" t="s">
        <v>55</v>
      </c>
      <c r="K88" s="9" t="s">
        <v>39</v>
      </c>
      <c r="L88" s="9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33</v>
      </c>
      <c r="R88" s="9" t="s">
        <v>23</v>
      </c>
      <c r="S88" s="9" t="s">
        <v>82</v>
      </c>
      <c r="T88" s="9" t="s">
        <v>30</v>
      </c>
      <c r="U88" s="10" t="s">
        <v>23</v>
      </c>
      <c r="V88">
        <f>IF(C88="100.00",1,0)</f>
        <v>0</v>
      </c>
      <c r="W88">
        <f>IF(D88="100.00",1,0)</f>
        <v>0</v>
      </c>
      <c r="X88">
        <f>IF(E88="100.00",1,0)</f>
        <v>0</v>
      </c>
      <c r="Y88">
        <f>IF(F88="100.00",1,0)</f>
        <v>0</v>
      </c>
      <c r="Z88">
        <f>IF(G88="100.00",1,0)</f>
        <v>0</v>
      </c>
      <c r="AA88">
        <f>IF(H88="100.00",1,0)</f>
        <v>0</v>
      </c>
      <c r="AB88">
        <f>IF(I88="100.00",1,0)</f>
        <v>0</v>
      </c>
      <c r="AC88">
        <f>IF(J88="100.00",1,0)</f>
        <v>0</v>
      </c>
      <c r="AD88">
        <f>IF(K88="100.00",1,0)</f>
        <v>0</v>
      </c>
      <c r="AE88">
        <f>IF(L88="100.00",1,0)</f>
        <v>0</v>
      </c>
      <c r="AF88">
        <f>IF(M88="100.00",1,0)</f>
        <v>0</v>
      </c>
      <c r="AG88">
        <f>IF(N88="100.00",1,0)</f>
        <v>0</v>
      </c>
      <c r="AH88">
        <f>IF(O88="100.00",1,0)</f>
        <v>0</v>
      </c>
      <c r="AI88">
        <f>IF(P88="100.00",1,0)</f>
        <v>0</v>
      </c>
      <c r="AJ88">
        <f>IF(Q88="100.00",1,0)</f>
        <v>0</v>
      </c>
      <c r="AK88">
        <f>IF(R88="100.00",1,0)</f>
        <v>0</v>
      </c>
      <c r="AL88">
        <f>IF(S88="100.00",1,0)</f>
        <v>0</v>
      </c>
      <c r="AM88">
        <f>IF(T88="100.00",1,0)</f>
        <v>0</v>
      </c>
      <c r="AN88">
        <f>IF(U88="100.00",1,0)</f>
        <v>0</v>
      </c>
      <c r="AO88">
        <f>SUM(V88:AN88)</f>
        <v>0</v>
      </c>
    </row>
    <row r="89" spans="1:41" x14ac:dyDescent="0.35">
      <c r="A89" s="8" t="s">
        <v>77</v>
      </c>
      <c r="B89" s="9">
        <v>95111800425</v>
      </c>
      <c r="C89" s="9" t="s">
        <v>23</v>
      </c>
      <c r="D89" s="9" t="s">
        <v>23</v>
      </c>
      <c r="E89" s="9" t="s">
        <v>23</v>
      </c>
      <c r="F89" s="9" t="s">
        <v>23</v>
      </c>
      <c r="G89" s="9" t="s">
        <v>27</v>
      </c>
      <c r="H89" s="9" t="s">
        <v>23</v>
      </c>
      <c r="I89" s="9" t="s">
        <v>40</v>
      </c>
      <c r="J89" s="9" t="s">
        <v>63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 t="s">
        <v>76</v>
      </c>
      <c r="R89" s="9" t="s">
        <v>23</v>
      </c>
      <c r="S89" s="9" t="s">
        <v>76</v>
      </c>
      <c r="T89" s="9" t="s">
        <v>75</v>
      </c>
      <c r="U89" s="10" t="s">
        <v>36</v>
      </c>
      <c r="V89">
        <f>IF(C89="100.00",1,0)</f>
        <v>0</v>
      </c>
      <c r="W89">
        <f>IF(D89="100.00",1,0)</f>
        <v>0</v>
      </c>
      <c r="X89">
        <f>IF(E89="100.00",1,0)</f>
        <v>0</v>
      </c>
      <c r="Y89">
        <f>IF(F89="100.00",1,0)</f>
        <v>0</v>
      </c>
      <c r="Z89">
        <f>IF(G89="100.00",1,0)</f>
        <v>0</v>
      </c>
      <c r="AA89">
        <f>IF(H89="100.00",1,0)</f>
        <v>0</v>
      </c>
      <c r="AB89">
        <f>IF(I89="100.00",1,0)</f>
        <v>0</v>
      </c>
      <c r="AC89">
        <f>IF(J89="100.00",1,0)</f>
        <v>0</v>
      </c>
      <c r="AD89">
        <f>IF(K89="100.00",1,0)</f>
        <v>0</v>
      </c>
      <c r="AE89">
        <f>IF(L89="100.00",1,0)</f>
        <v>0</v>
      </c>
      <c r="AF89">
        <f>IF(M89="100.00",1,0)</f>
        <v>0</v>
      </c>
      <c r="AG89">
        <f>IF(N89="100.00",1,0)</f>
        <v>0</v>
      </c>
      <c r="AH89">
        <f>IF(O89="100.00",1,0)</f>
        <v>0</v>
      </c>
      <c r="AI89">
        <f>IF(P89="100.00",1,0)</f>
        <v>0</v>
      </c>
      <c r="AJ89">
        <f>IF(Q89="100.00",1,0)</f>
        <v>0</v>
      </c>
      <c r="AK89">
        <f>IF(R89="100.00",1,0)</f>
        <v>0</v>
      </c>
      <c r="AL89">
        <f>IF(S89="100.00",1,0)</f>
        <v>0</v>
      </c>
      <c r="AM89">
        <f>IF(T89="100.00",1,0)</f>
        <v>0</v>
      </c>
      <c r="AN89">
        <f>IF(U89="100.00",1,0)</f>
        <v>0</v>
      </c>
      <c r="AO89">
        <f>SUM(V89:AN89)</f>
        <v>0</v>
      </c>
    </row>
    <row r="90" spans="1:41" x14ac:dyDescent="0.35">
      <c r="A90" s="5" t="s">
        <v>77</v>
      </c>
      <c r="B90" s="6">
        <v>95112902461</v>
      </c>
      <c r="C90" s="6" t="s">
        <v>23</v>
      </c>
      <c r="D90" s="6" t="s">
        <v>23</v>
      </c>
      <c r="E90" s="6" t="s">
        <v>23</v>
      </c>
      <c r="F90" s="6" t="s">
        <v>23</v>
      </c>
      <c r="G90" s="6" t="s">
        <v>23</v>
      </c>
      <c r="H90" s="6" t="s">
        <v>23</v>
      </c>
      <c r="I90" s="6" t="s">
        <v>49</v>
      </c>
      <c r="J90" s="6" t="s">
        <v>76</v>
      </c>
      <c r="K90" s="6" t="s">
        <v>23</v>
      </c>
      <c r="L90" s="6" t="s">
        <v>23</v>
      </c>
      <c r="M90" s="6" t="s">
        <v>23</v>
      </c>
      <c r="N90" s="6" t="s">
        <v>23</v>
      </c>
      <c r="O90" s="6" t="s">
        <v>23</v>
      </c>
      <c r="P90" s="6" t="s">
        <v>23</v>
      </c>
      <c r="Q90" s="6" t="s">
        <v>61</v>
      </c>
      <c r="R90" s="6" t="s">
        <v>90</v>
      </c>
      <c r="S90" s="6" t="s">
        <v>79</v>
      </c>
      <c r="T90" s="6" t="s">
        <v>32</v>
      </c>
      <c r="U90" s="7" t="s">
        <v>23</v>
      </c>
      <c r="V90">
        <f>IF(C90="100.00",1,0)</f>
        <v>0</v>
      </c>
      <c r="W90">
        <f>IF(D90="100.00",1,0)</f>
        <v>0</v>
      </c>
      <c r="X90">
        <f>IF(E90="100.00",1,0)</f>
        <v>0</v>
      </c>
      <c r="Y90">
        <f>IF(F90="100.00",1,0)</f>
        <v>0</v>
      </c>
      <c r="Z90">
        <f>IF(G90="100.00",1,0)</f>
        <v>0</v>
      </c>
      <c r="AA90">
        <f>IF(H90="100.00",1,0)</f>
        <v>0</v>
      </c>
      <c r="AB90">
        <f>IF(I90="100.00",1,0)</f>
        <v>0</v>
      </c>
      <c r="AC90">
        <f>IF(J90="100.00",1,0)</f>
        <v>0</v>
      </c>
      <c r="AD90">
        <f>IF(K90="100.00",1,0)</f>
        <v>0</v>
      </c>
      <c r="AE90">
        <f>IF(L90="100.00",1,0)</f>
        <v>0</v>
      </c>
      <c r="AF90">
        <f>IF(M90="100.00",1,0)</f>
        <v>0</v>
      </c>
      <c r="AG90">
        <f>IF(N90="100.00",1,0)</f>
        <v>0</v>
      </c>
      <c r="AH90">
        <f>IF(O90="100.00",1,0)</f>
        <v>0</v>
      </c>
      <c r="AI90">
        <f>IF(P90="100.00",1,0)</f>
        <v>0</v>
      </c>
      <c r="AJ90">
        <f>IF(Q90="100.00",1,0)</f>
        <v>0</v>
      </c>
      <c r="AK90">
        <f>IF(R90="100.00",1,0)</f>
        <v>0</v>
      </c>
      <c r="AL90">
        <f>IF(S90="100.00",1,0)</f>
        <v>0</v>
      </c>
      <c r="AM90">
        <f>IF(T90="100.00",1,0)</f>
        <v>0</v>
      </c>
      <c r="AN90">
        <f>IF(U90="100.00",1,0)</f>
        <v>0</v>
      </c>
      <c r="AO90">
        <f>SUM(V90:AN90)</f>
        <v>0</v>
      </c>
    </row>
    <row r="91" spans="1:41" x14ac:dyDescent="0.35">
      <c r="A91" s="8" t="s">
        <v>92</v>
      </c>
      <c r="B91" s="9">
        <v>94120209724</v>
      </c>
      <c r="C91" s="9" t="s">
        <v>23</v>
      </c>
      <c r="D91" s="9" t="s">
        <v>23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62</v>
      </c>
      <c r="J91" s="9" t="s">
        <v>33</v>
      </c>
      <c r="K91" s="9" t="s">
        <v>23</v>
      </c>
      <c r="L91" s="9" t="s">
        <v>23</v>
      </c>
      <c r="M91" s="9" t="s">
        <v>44</v>
      </c>
      <c r="N91" s="9" t="s">
        <v>23</v>
      </c>
      <c r="O91" s="9" t="s">
        <v>23</v>
      </c>
      <c r="P91" s="9" t="s">
        <v>23</v>
      </c>
      <c r="Q91" s="9" t="s">
        <v>61</v>
      </c>
      <c r="R91" s="9" t="s">
        <v>22</v>
      </c>
      <c r="S91" s="9" t="s">
        <v>93</v>
      </c>
      <c r="T91" s="9" t="s">
        <v>23</v>
      </c>
      <c r="U91" s="10" t="s">
        <v>23</v>
      </c>
      <c r="V91">
        <f>IF(C91="100.00",1,0)</f>
        <v>0</v>
      </c>
      <c r="W91">
        <f>IF(D91="100.00",1,0)</f>
        <v>0</v>
      </c>
      <c r="X91">
        <f>IF(E91="100.00",1,0)</f>
        <v>0</v>
      </c>
      <c r="Y91">
        <f>IF(F91="100.00",1,0)</f>
        <v>0</v>
      </c>
      <c r="Z91">
        <f>IF(G91="100.00",1,0)</f>
        <v>0</v>
      </c>
      <c r="AA91">
        <f>IF(H91="100.00",1,0)</f>
        <v>0</v>
      </c>
      <c r="AB91">
        <f>IF(I91="100.00",1,0)</f>
        <v>0</v>
      </c>
      <c r="AC91">
        <f>IF(J91="100.00",1,0)</f>
        <v>0</v>
      </c>
      <c r="AD91">
        <f>IF(K91="100.00",1,0)</f>
        <v>0</v>
      </c>
      <c r="AE91">
        <f>IF(L91="100.00",1,0)</f>
        <v>0</v>
      </c>
      <c r="AF91">
        <f>IF(M91="100.00",1,0)</f>
        <v>0</v>
      </c>
      <c r="AG91">
        <f>IF(N91="100.00",1,0)</f>
        <v>0</v>
      </c>
      <c r="AH91">
        <f>IF(O91="100.00",1,0)</f>
        <v>0</v>
      </c>
      <c r="AI91">
        <f>IF(P91="100.00",1,0)</f>
        <v>0</v>
      </c>
      <c r="AJ91">
        <f>IF(Q91="100.00",1,0)</f>
        <v>0</v>
      </c>
      <c r="AK91">
        <f>IF(R91="100.00",1,0)</f>
        <v>0</v>
      </c>
      <c r="AL91">
        <f>IF(S91="100.00",1,0)</f>
        <v>0</v>
      </c>
      <c r="AM91">
        <f>IF(T91="100.00",1,0)</f>
        <v>0</v>
      </c>
      <c r="AN91">
        <f>IF(U91="100.00",1,0)</f>
        <v>0</v>
      </c>
      <c r="AO91">
        <f>SUM(V91:AN91)</f>
        <v>0</v>
      </c>
    </row>
    <row r="92" spans="1:41" x14ac:dyDescent="0.35">
      <c r="A92" s="5" t="s">
        <v>92</v>
      </c>
      <c r="B92" s="6">
        <v>95011303864</v>
      </c>
      <c r="C92" s="6" t="s">
        <v>23</v>
      </c>
      <c r="D92" s="6" t="s">
        <v>23</v>
      </c>
      <c r="E92" s="6" t="s">
        <v>23</v>
      </c>
      <c r="F92" s="6" t="s">
        <v>89</v>
      </c>
      <c r="G92" s="6" t="s">
        <v>23</v>
      </c>
      <c r="H92" s="6" t="s">
        <v>23</v>
      </c>
      <c r="I92" s="6" t="s">
        <v>22</v>
      </c>
      <c r="J92" s="6" t="s">
        <v>23</v>
      </c>
      <c r="K92" s="6" t="s">
        <v>23</v>
      </c>
      <c r="L92" s="6" t="s">
        <v>23</v>
      </c>
      <c r="M92" s="6" t="s">
        <v>23</v>
      </c>
      <c r="N92" s="6" t="s">
        <v>23</v>
      </c>
      <c r="O92" s="6" t="s">
        <v>23</v>
      </c>
      <c r="P92" s="6" t="s">
        <v>23</v>
      </c>
      <c r="Q92" s="6" t="s">
        <v>61</v>
      </c>
      <c r="R92" s="6" t="s">
        <v>32</v>
      </c>
      <c r="S92" s="6" t="s">
        <v>81</v>
      </c>
      <c r="T92" s="6" t="s">
        <v>23</v>
      </c>
      <c r="U92" s="7" t="s">
        <v>23</v>
      </c>
      <c r="V92">
        <f>IF(C92="100.00",1,0)</f>
        <v>0</v>
      </c>
      <c r="W92">
        <f>IF(D92="100.00",1,0)</f>
        <v>0</v>
      </c>
      <c r="X92">
        <f>IF(E92="100.00",1,0)</f>
        <v>0</v>
      </c>
      <c r="Y92">
        <f>IF(F92="100.00",1,0)</f>
        <v>0</v>
      </c>
      <c r="Z92">
        <f>IF(G92="100.00",1,0)</f>
        <v>0</v>
      </c>
      <c r="AA92">
        <f>IF(H92="100.00",1,0)</f>
        <v>0</v>
      </c>
      <c r="AB92">
        <f>IF(I92="100.00",1,0)</f>
        <v>0</v>
      </c>
      <c r="AC92">
        <f>IF(J92="100.00",1,0)</f>
        <v>0</v>
      </c>
      <c r="AD92">
        <f>IF(K92="100.00",1,0)</f>
        <v>0</v>
      </c>
      <c r="AE92">
        <f>IF(L92="100.00",1,0)</f>
        <v>0</v>
      </c>
      <c r="AF92">
        <f>IF(M92="100.00",1,0)</f>
        <v>0</v>
      </c>
      <c r="AG92">
        <f>IF(N92="100.00",1,0)</f>
        <v>0</v>
      </c>
      <c r="AH92">
        <f>IF(O92="100.00",1,0)</f>
        <v>0</v>
      </c>
      <c r="AI92">
        <f>IF(P92="100.00",1,0)</f>
        <v>0</v>
      </c>
      <c r="AJ92">
        <f>IF(Q92="100.00",1,0)</f>
        <v>0</v>
      </c>
      <c r="AK92">
        <f>IF(R92="100.00",1,0)</f>
        <v>0</v>
      </c>
      <c r="AL92">
        <f>IF(S92="100.00",1,0)</f>
        <v>0</v>
      </c>
      <c r="AM92">
        <f>IF(T92="100.00",1,0)</f>
        <v>0</v>
      </c>
      <c r="AN92">
        <f>IF(U92="100.00",1,0)</f>
        <v>0</v>
      </c>
      <c r="AO92">
        <f>SUM(V92:AN92)</f>
        <v>0</v>
      </c>
    </row>
    <row r="93" spans="1:41" x14ac:dyDescent="0.35">
      <c r="A93" s="8" t="s">
        <v>92</v>
      </c>
      <c r="B93" s="9">
        <v>95012701920</v>
      </c>
      <c r="C93" s="9" t="s">
        <v>23</v>
      </c>
      <c r="D93" s="9" t="s">
        <v>23</v>
      </c>
      <c r="E93" s="9" t="s">
        <v>23</v>
      </c>
      <c r="F93" s="9" t="s">
        <v>52</v>
      </c>
      <c r="G93" s="9" t="s">
        <v>23</v>
      </c>
      <c r="H93" s="9" t="s">
        <v>23</v>
      </c>
      <c r="I93" s="9" t="s">
        <v>35</v>
      </c>
      <c r="J93" s="9" t="s">
        <v>27</v>
      </c>
      <c r="K93" s="9" t="s">
        <v>41</v>
      </c>
      <c r="L93" s="9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9" t="s">
        <v>76</v>
      </c>
      <c r="R93" s="9" t="s">
        <v>79</v>
      </c>
      <c r="S93" s="9" t="s">
        <v>67</v>
      </c>
      <c r="T93" s="9" t="s">
        <v>23</v>
      </c>
      <c r="U93" s="10" t="s">
        <v>23</v>
      </c>
      <c r="V93">
        <f>IF(C93="100.00",1,0)</f>
        <v>0</v>
      </c>
      <c r="W93">
        <f>IF(D93="100.00",1,0)</f>
        <v>0</v>
      </c>
      <c r="X93">
        <f>IF(E93="100.00",1,0)</f>
        <v>0</v>
      </c>
      <c r="Y93">
        <f>IF(F93="100.00",1,0)</f>
        <v>0</v>
      </c>
      <c r="Z93">
        <f>IF(G93="100.00",1,0)</f>
        <v>0</v>
      </c>
      <c r="AA93">
        <f>IF(H93="100.00",1,0)</f>
        <v>0</v>
      </c>
      <c r="AB93">
        <f>IF(I93="100.00",1,0)</f>
        <v>0</v>
      </c>
      <c r="AC93">
        <f>IF(J93="100.00",1,0)</f>
        <v>0</v>
      </c>
      <c r="AD93">
        <f>IF(K93="100.00",1,0)</f>
        <v>0</v>
      </c>
      <c r="AE93">
        <f>IF(L93="100.00",1,0)</f>
        <v>0</v>
      </c>
      <c r="AF93">
        <f>IF(M93="100.00",1,0)</f>
        <v>0</v>
      </c>
      <c r="AG93">
        <f>IF(N93="100.00",1,0)</f>
        <v>0</v>
      </c>
      <c r="AH93">
        <f>IF(O93="100.00",1,0)</f>
        <v>0</v>
      </c>
      <c r="AI93">
        <f>IF(P93="100.00",1,0)</f>
        <v>0</v>
      </c>
      <c r="AJ93">
        <f>IF(Q93="100.00",1,0)</f>
        <v>0</v>
      </c>
      <c r="AK93">
        <f>IF(R93="100.00",1,0)</f>
        <v>0</v>
      </c>
      <c r="AL93">
        <f>IF(S93="100.00",1,0)</f>
        <v>0</v>
      </c>
      <c r="AM93">
        <f>IF(T93="100.00",1,0)</f>
        <v>0</v>
      </c>
      <c r="AN93">
        <f>IF(U93="100.00",1,0)</f>
        <v>0</v>
      </c>
      <c r="AO93">
        <f>SUM(V93:AN93)</f>
        <v>0</v>
      </c>
    </row>
    <row r="94" spans="1:41" x14ac:dyDescent="0.35">
      <c r="A94" s="5" t="s">
        <v>92</v>
      </c>
      <c r="B94" s="6">
        <v>95012707551</v>
      </c>
      <c r="C94" s="6" t="s">
        <v>23</v>
      </c>
      <c r="D94" s="6" t="s">
        <v>23</v>
      </c>
      <c r="E94" s="6" t="s">
        <v>23</v>
      </c>
      <c r="F94" s="6" t="s">
        <v>68</v>
      </c>
      <c r="G94" s="6" t="s">
        <v>23</v>
      </c>
      <c r="H94" s="6" t="s">
        <v>23</v>
      </c>
      <c r="I94" s="6" t="s">
        <v>26</v>
      </c>
      <c r="J94" s="6" t="s">
        <v>23</v>
      </c>
      <c r="K94" s="6" t="s">
        <v>23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23</v>
      </c>
      <c r="Q94" s="6" t="s">
        <v>71</v>
      </c>
      <c r="R94" s="6" t="s">
        <v>89</v>
      </c>
      <c r="S94" s="6" t="s">
        <v>93</v>
      </c>
      <c r="T94" s="6" t="s">
        <v>23</v>
      </c>
      <c r="U94" s="7" t="s">
        <v>23</v>
      </c>
      <c r="V94">
        <f>IF(C94="100.00",1,0)</f>
        <v>0</v>
      </c>
      <c r="W94">
        <f>IF(D94="100.00",1,0)</f>
        <v>0</v>
      </c>
      <c r="X94">
        <f>IF(E94="100.00",1,0)</f>
        <v>0</v>
      </c>
      <c r="Y94">
        <f>IF(F94="100.00",1,0)</f>
        <v>0</v>
      </c>
      <c r="Z94">
        <f>IF(G94="100.00",1,0)</f>
        <v>0</v>
      </c>
      <c r="AA94">
        <f>IF(H94="100.00",1,0)</f>
        <v>0</v>
      </c>
      <c r="AB94">
        <f>IF(I94="100.00",1,0)</f>
        <v>0</v>
      </c>
      <c r="AC94">
        <f>IF(J94="100.00",1,0)</f>
        <v>0</v>
      </c>
      <c r="AD94">
        <f>IF(K94="100.00",1,0)</f>
        <v>0</v>
      </c>
      <c r="AE94">
        <f>IF(L94="100.00",1,0)</f>
        <v>0</v>
      </c>
      <c r="AF94">
        <f>IF(M94="100.00",1,0)</f>
        <v>0</v>
      </c>
      <c r="AG94">
        <f>IF(N94="100.00",1,0)</f>
        <v>0</v>
      </c>
      <c r="AH94">
        <f>IF(O94="100.00",1,0)</f>
        <v>0</v>
      </c>
      <c r="AI94">
        <f>IF(P94="100.00",1,0)</f>
        <v>0</v>
      </c>
      <c r="AJ94">
        <f>IF(Q94="100.00",1,0)</f>
        <v>0</v>
      </c>
      <c r="AK94">
        <f>IF(R94="100.00",1,0)</f>
        <v>0</v>
      </c>
      <c r="AL94">
        <f>IF(S94="100.00",1,0)</f>
        <v>0</v>
      </c>
      <c r="AM94">
        <f>IF(T94="100.00",1,0)</f>
        <v>0</v>
      </c>
      <c r="AN94">
        <f>IF(U94="100.00",1,0)</f>
        <v>0</v>
      </c>
      <c r="AO94">
        <f>SUM(V94:AN94)</f>
        <v>0</v>
      </c>
    </row>
    <row r="95" spans="1:41" x14ac:dyDescent="0.35">
      <c r="A95" s="5" t="s">
        <v>92</v>
      </c>
      <c r="B95" s="6">
        <v>95021201255</v>
      </c>
      <c r="C95" s="6" t="s">
        <v>23</v>
      </c>
      <c r="D95" s="6" t="s">
        <v>23</v>
      </c>
      <c r="E95" s="6" t="s">
        <v>23</v>
      </c>
      <c r="F95" s="6" t="s">
        <v>41</v>
      </c>
      <c r="G95" s="6" t="s">
        <v>23</v>
      </c>
      <c r="H95" s="6" t="s">
        <v>23</v>
      </c>
      <c r="I95" s="6" t="s">
        <v>55</v>
      </c>
      <c r="J95" s="6" t="s">
        <v>23</v>
      </c>
      <c r="K95" s="6" t="s">
        <v>23</v>
      </c>
      <c r="L95" s="6" t="s">
        <v>23</v>
      </c>
      <c r="M95" s="6" t="s">
        <v>23</v>
      </c>
      <c r="N95" s="6" t="s">
        <v>23</v>
      </c>
      <c r="O95" s="6" t="s">
        <v>23</v>
      </c>
      <c r="P95" s="6" t="s">
        <v>23</v>
      </c>
      <c r="Q95" s="6" t="s">
        <v>22</v>
      </c>
      <c r="R95" s="6" t="s">
        <v>95</v>
      </c>
      <c r="S95" s="6" t="s">
        <v>50</v>
      </c>
      <c r="T95" s="6" t="s">
        <v>23</v>
      </c>
      <c r="U95" s="7" t="s">
        <v>23</v>
      </c>
      <c r="V95">
        <f>IF(C95="100.00",1,0)</f>
        <v>0</v>
      </c>
      <c r="W95">
        <f>IF(D95="100.00",1,0)</f>
        <v>0</v>
      </c>
      <c r="X95">
        <f>IF(E95="100.00",1,0)</f>
        <v>0</v>
      </c>
      <c r="Y95">
        <f>IF(F95="100.00",1,0)</f>
        <v>0</v>
      </c>
      <c r="Z95">
        <f>IF(G95="100.00",1,0)</f>
        <v>0</v>
      </c>
      <c r="AA95">
        <f>IF(H95="100.00",1,0)</f>
        <v>0</v>
      </c>
      <c r="AB95">
        <f>IF(I95="100.00",1,0)</f>
        <v>0</v>
      </c>
      <c r="AC95">
        <f>IF(J95="100.00",1,0)</f>
        <v>0</v>
      </c>
      <c r="AD95">
        <f>IF(K95="100.00",1,0)</f>
        <v>0</v>
      </c>
      <c r="AE95">
        <f>IF(L95="100.00",1,0)</f>
        <v>0</v>
      </c>
      <c r="AF95">
        <f>IF(M95="100.00",1,0)</f>
        <v>0</v>
      </c>
      <c r="AG95">
        <f>IF(N95="100.00",1,0)</f>
        <v>0</v>
      </c>
      <c r="AH95">
        <f>IF(O95="100.00",1,0)</f>
        <v>0</v>
      </c>
      <c r="AI95">
        <f>IF(P95="100.00",1,0)</f>
        <v>0</v>
      </c>
      <c r="AJ95">
        <f>IF(Q95="100.00",1,0)</f>
        <v>0</v>
      </c>
      <c r="AK95">
        <f>IF(R95="100.00",1,0)</f>
        <v>0</v>
      </c>
      <c r="AL95">
        <f>IF(S95="100.00",1,0)</f>
        <v>0</v>
      </c>
      <c r="AM95">
        <f>IF(T95="100.00",1,0)</f>
        <v>0</v>
      </c>
      <c r="AN95">
        <f>IF(U95="100.00",1,0)</f>
        <v>0</v>
      </c>
      <c r="AO95">
        <f>SUM(V95:AN95)</f>
        <v>0</v>
      </c>
    </row>
    <row r="96" spans="1:41" x14ac:dyDescent="0.35">
      <c r="A96" s="8" t="s">
        <v>92</v>
      </c>
      <c r="B96" s="9">
        <v>95021303223</v>
      </c>
      <c r="C96" s="9" t="s">
        <v>23</v>
      </c>
      <c r="D96" s="9" t="s">
        <v>23</v>
      </c>
      <c r="E96" s="9" t="s">
        <v>23</v>
      </c>
      <c r="F96" s="9" t="s">
        <v>36</v>
      </c>
      <c r="G96" s="9" t="s">
        <v>23</v>
      </c>
      <c r="H96" s="9" t="s">
        <v>23</v>
      </c>
      <c r="I96" s="9" t="s">
        <v>35</v>
      </c>
      <c r="J96" s="9" t="s">
        <v>23</v>
      </c>
      <c r="K96" s="9" t="s">
        <v>23</v>
      </c>
      <c r="L96" s="9" t="s">
        <v>23</v>
      </c>
      <c r="M96" s="9" t="s">
        <v>23</v>
      </c>
      <c r="N96" s="9" t="s">
        <v>23</v>
      </c>
      <c r="O96" s="9" t="s">
        <v>23</v>
      </c>
      <c r="P96" s="9" t="s">
        <v>23</v>
      </c>
      <c r="Q96" s="9" t="s">
        <v>33</v>
      </c>
      <c r="R96" s="9" t="s">
        <v>88</v>
      </c>
      <c r="S96" s="9" t="s">
        <v>75</v>
      </c>
      <c r="T96" s="9" t="s">
        <v>23</v>
      </c>
      <c r="U96" s="10" t="s">
        <v>23</v>
      </c>
      <c r="V96">
        <f>IF(C96="100.00",1,0)</f>
        <v>0</v>
      </c>
      <c r="W96">
        <f>IF(D96="100.00",1,0)</f>
        <v>0</v>
      </c>
      <c r="X96">
        <f>IF(E96="100.00",1,0)</f>
        <v>0</v>
      </c>
      <c r="Y96">
        <f>IF(F96="100.00",1,0)</f>
        <v>0</v>
      </c>
      <c r="Z96">
        <f>IF(G96="100.00",1,0)</f>
        <v>0</v>
      </c>
      <c r="AA96">
        <f>IF(H96="100.00",1,0)</f>
        <v>0</v>
      </c>
      <c r="AB96">
        <f>IF(I96="100.00",1,0)</f>
        <v>0</v>
      </c>
      <c r="AC96">
        <f>IF(J96="100.00",1,0)</f>
        <v>0</v>
      </c>
      <c r="AD96">
        <f>IF(K96="100.00",1,0)</f>
        <v>0</v>
      </c>
      <c r="AE96">
        <f>IF(L96="100.00",1,0)</f>
        <v>0</v>
      </c>
      <c r="AF96">
        <f>IF(M96="100.00",1,0)</f>
        <v>0</v>
      </c>
      <c r="AG96">
        <f>IF(N96="100.00",1,0)</f>
        <v>0</v>
      </c>
      <c r="AH96">
        <f>IF(O96="100.00",1,0)</f>
        <v>0</v>
      </c>
      <c r="AI96">
        <f>IF(P96="100.00",1,0)</f>
        <v>0</v>
      </c>
      <c r="AJ96">
        <f>IF(Q96="100.00",1,0)</f>
        <v>0</v>
      </c>
      <c r="AK96">
        <f>IF(R96="100.00",1,0)</f>
        <v>0</v>
      </c>
      <c r="AL96">
        <f>IF(S96="100.00",1,0)</f>
        <v>0</v>
      </c>
      <c r="AM96">
        <f>IF(T96="100.00",1,0)</f>
        <v>0</v>
      </c>
      <c r="AN96">
        <f>IF(U96="100.00",1,0)</f>
        <v>0</v>
      </c>
      <c r="AO96">
        <f>SUM(V96:AN96)</f>
        <v>0</v>
      </c>
    </row>
    <row r="97" spans="1:41" x14ac:dyDescent="0.35">
      <c r="A97" s="5" t="s">
        <v>92</v>
      </c>
      <c r="B97" s="6">
        <v>95030407844</v>
      </c>
      <c r="C97" s="6" t="s">
        <v>23</v>
      </c>
      <c r="D97" s="6" t="s">
        <v>23</v>
      </c>
      <c r="E97" s="6" t="s">
        <v>23</v>
      </c>
      <c r="F97" s="6" t="s">
        <v>33</v>
      </c>
      <c r="G97" s="6" t="s">
        <v>23</v>
      </c>
      <c r="H97" s="6" t="s">
        <v>23</v>
      </c>
      <c r="I97" s="6" t="s">
        <v>49</v>
      </c>
      <c r="J97" s="6" t="s">
        <v>55</v>
      </c>
      <c r="K97" s="6" t="s">
        <v>23</v>
      </c>
      <c r="L97" s="6" t="s">
        <v>23</v>
      </c>
      <c r="M97" s="6" t="s">
        <v>23</v>
      </c>
      <c r="N97" s="6" t="s">
        <v>23</v>
      </c>
      <c r="O97" s="6" t="s">
        <v>23</v>
      </c>
      <c r="P97" s="6" t="s">
        <v>38</v>
      </c>
      <c r="Q97" s="6" t="s">
        <v>26</v>
      </c>
      <c r="R97" s="6" t="s">
        <v>31</v>
      </c>
      <c r="S97" s="6" t="s">
        <v>70</v>
      </c>
      <c r="T97" s="6" t="s">
        <v>23</v>
      </c>
      <c r="U97" s="7" t="s">
        <v>23</v>
      </c>
      <c r="V97">
        <f>IF(C97="100.00",1,0)</f>
        <v>0</v>
      </c>
      <c r="W97">
        <f>IF(D97="100.00",1,0)</f>
        <v>0</v>
      </c>
      <c r="X97">
        <f>IF(E97="100.00",1,0)</f>
        <v>0</v>
      </c>
      <c r="Y97">
        <f>IF(F97="100.00",1,0)</f>
        <v>0</v>
      </c>
      <c r="Z97">
        <f>IF(G97="100.00",1,0)</f>
        <v>0</v>
      </c>
      <c r="AA97">
        <f>IF(H97="100.00",1,0)</f>
        <v>0</v>
      </c>
      <c r="AB97">
        <f>IF(I97="100.00",1,0)</f>
        <v>0</v>
      </c>
      <c r="AC97">
        <f>IF(J97="100.00",1,0)</f>
        <v>0</v>
      </c>
      <c r="AD97">
        <f>IF(K97="100.00",1,0)</f>
        <v>0</v>
      </c>
      <c r="AE97">
        <f>IF(L97="100.00",1,0)</f>
        <v>0</v>
      </c>
      <c r="AF97">
        <f>IF(M97="100.00",1,0)</f>
        <v>0</v>
      </c>
      <c r="AG97">
        <f>IF(N97="100.00",1,0)</f>
        <v>0</v>
      </c>
      <c r="AH97">
        <f>IF(O97="100.00",1,0)</f>
        <v>0</v>
      </c>
      <c r="AI97">
        <f>IF(P97="100.00",1,0)</f>
        <v>0</v>
      </c>
      <c r="AJ97">
        <f>IF(Q97="100.00",1,0)</f>
        <v>0</v>
      </c>
      <c r="AK97">
        <f>IF(R97="100.00",1,0)</f>
        <v>0</v>
      </c>
      <c r="AL97">
        <f>IF(S97="100.00",1,0)</f>
        <v>0</v>
      </c>
      <c r="AM97">
        <f>IF(T97="100.00",1,0)</f>
        <v>0</v>
      </c>
      <c r="AN97">
        <f>IF(U97="100.00",1,0)</f>
        <v>0</v>
      </c>
      <c r="AO97">
        <f>SUM(V97:AN97)</f>
        <v>0</v>
      </c>
    </row>
    <row r="98" spans="1:41" x14ac:dyDescent="0.35">
      <c r="A98" s="8" t="s">
        <v>92</v>
      </c>
      <c r="B98" s="9">
        <v>95040309147</v>
      </c>
      <c r="C98" s="9" t="s">
        <v>23</v>
      </c>
      <c r="D98" s="9" t="s">
        <v>23</v>
      </c>
      <c r="E98" s="9" t="s">
        <v>23</v>
      </c>
      <c r="F98" s="9" t="s">
        <v>84</v>
      </c>
      <c r="G98" s="9" t="s">
        <v>23</v>
      </c>
      <c r="H98" s="9" t="s">
        <v>23</v>
      </c>
      <c r="I98" s="9" t="s">
        <v>44</v>
      </c>
      <c r="J98" s="9" t="s">
        <v>23</v>
      </c>
      <c r="K98" s="9" t="s">
        <v>23</v>
      </c>
      <c r="L98" s="9" t="s">
        <v>23</v>
      </c>
      <c r="M98" s="9" t="s">
        <v>23</v>
      </c>
      <c r="N98" s="9" t="s">
        <v>23</v>
      </c>
      <c r="O98" s="9" t="s">
        <v>23</v>
      </c>
      <c r="P98" s="9" t="s">
        <v>23</v>
      </c>
      <c r="Q98" s="9" t="s">
        <v>47</v>
      </c>
      <c r="R98" s="9" t="s">
        <v>23</v>
      </c>
      <c r="S98" s="9" t="s">
        <v>93</v>
      </c>
      <c r="T98" s="9" t="s">
        <v>23</v>
      </c>
      <c r="U98" s="10" t="s">
        <v>23</v>
      </c>
      <c r="V98">
        <f>IF(C98="100.00",1,0)</f>
        <v>0</v>
      </c>
      <c r="W98">
        <f>IF(D98="100.00",1,0)</f>
        <v>0</v>
      </c>
      <c r="X98">
        <f>IF(E98="100.00",1,0)</f>
        <v>0</v>
      </c>
      <c r="Y98">
        <f>IF(F98="100.00",1,0)</f>
        <v>0</v>
      </c>
      <c r="Z98">
        <f>IF(G98="100.00",1,0)</f>
        <v>0</v>
      </c>
      <c r="AA98">
        <f>IF(H98="100.00",1,0)</f>
        <v>0</v>
      </c>
      <c r="AB98">
        <f>IF(I98="100.00",1,0)</f>
        <v>0</v>
      </c>
      <c r="AC98">
        <f>IF(J98="100.00",1,0)</f>
        <v>0</v>
      </c>
      <c r="AD98">
        <f>IF(K98="100.00",1,0)</f>
        <v>0</v>
      </c>
      <c r="AE98">
        <f>IF(L98="100.00",1,0)</f>
        <v>0</v>
      </c>
      <c r="AF98">
        <f>IF(M98="100.00",1,0)</f>
        <v>0</v>
      </c>
      <c r="AG98">
        <f>IF(N98="100.00",1,0)</f>
        <v>0</v>
      </c>
      <c r="AH98">
        <f>IF(O98="100.00",1,0)</f>
        <v>0</v>
      </c>
      <c r="AI98">
        <f>IF(P98="100.00",1,0)</f>
        <v>0</v>
      </c>
      <c r="AJ98">
        <f>IF(Q98="100.00",1,0)</f>
        <v>0</v>
      </c>
      <c r="AK98">
        <f>IF(R98="100.00",1,0)</f>
        <v>0</v>
      </c>
      <c r="AL98">
        <f>IF(S98="100.00",1,0)</f>
        <v>0</v>
      </c>
      <c r="AM98">
        <f>IF(T98="100.00",1,0)</f>
        <v>0</v>
      </c>
      <c r="AN98">
        <f>IF(U98="100.00",1,0)</f>
        <v>0</v>
      </c>
      <c r="AO98">
        <f>SUM(V98:AN98)</f>
        <v>0</v>
      </c>
    </row>
    <row r="99" spans="1:41" x14ac:dyDescent="0.35">
      <c r="A99" s="5" t="s">
        <v>92</v>
      </c>
      <c r="B99" s="6">
        <v>95040502267</v>
      </c>
      <c r="C99" s="6" t="s">
        <v>23</v>
      </c>
      <c r="D99" s="6" t="s">
        <v>23</v>
      </c>
      <c r="E99" s="6" t="s">
        <v>23</v>
      </c>
      <c r="F99" s="6" t="s">
        <v>65</v>
      </c>
      <c r="G99" s="6" t="s">
        <v>23</v>
      </c>
      <c r="H99" s="6" t="s">
        <v>23</v>
      </c>
      <c r="I99" s="6" t="s">
        <v>23</v>
      </c>
      <c r="J99" s="6" t="s">
        <v>54</v>
      </c>
      <c r="K99" s="6" t="s">
        <v>23</v>
      </c>
      <c r="L99" s="6" t="s">
        <v>23</v>
      </c>
      <c r="M99" s="6" t="s">
        <v>23</v>
      </c>
      <c r="N99" s="6" t="s">
        <v>23</v>
      </c>
      <c r="O99" s="6" t="s">
        <v>48</v>
      </c>
      <c r="P99" s="6" t="s">
        <v>23</v>
      </c>
      <c r="Q99" s="6" t="s">
        <v>71</v>
      </c>
      <c r="R99" s="6" t="s">
        <v>70</v>
      </c>
      <c r="S99" s="6" t="s">
        <v>57</v>
      </c>
      <c r="T99" s="6" t="s">
        <v>23</v>
      </c>
      <c r="U99" s="7" t="s">
        <v>23</v>
      </c>
      <c r="V99">
        <f>IF(C99="100.00",1,0)</f>
        <v>0</v>
      </c>
      <c r="W99">
        <f>IF(D99="100.00",1,0)</f>
        <v>0</v>
      </c>
      <c r="X99">
        <f>IF(E99="100.00",1,0)</f>
        <v>0</v>
      </c>
      <c r="Y99">
        <f>IF(F99="100.00",1,0)</f>
        <v>0</v>
      </c>
      <c r="Z99">
        <f>IF(G99="100.00",1,0)</f>
        <v>0</v>
      </c>
      <c r="AA99">
        <f>IF(H99="100.00",1,0)</f>
        <v>0</v>
      </c>
      <c r="AB99">
        <f>IF(I99="100.00",1,0)</f>
        <v>0</v>
      </c>
      <c r="AC99">
        <f>IF(J99="100.00",1,0)</f>
        <v>0</v>
      </c>
      <c r="AD99">
        <f>IF(K99="100.00",1,0)</f>
        <v>0</v>
      </c>
      <c r="AE99">
        <f>IF(L99="100.00",1,0)</f>
        <v>0</v>
      </c>
      <c r="AF99">
        <f>IF(M99="100.00",1,0)</f>
        <v>0</v>
      </c>
      <c r="AG99">
        <f>IF(N99="100.00",1,0)</f>
        <v>0</v>
      </c>
      <c r="AH99">
        <f>IF(O99="100.00",1,0)</f>
        <v>0</v>
      </c>
      <c r="AI99">
        <f>IF(P99="100.00",1,0)</f>
        <v>0</v>
      </c>
      <c r="AJ99">
        <f>IF(Q99="100.00",1,0)</f>
        <v>0</v>
      </c>
      <c r="AK99">
        <f>IF(R99="100.00",1,0)</f>
        <v>0</v>
      </c>
      <c r="AL99">
        <f>IF(S99="100.00",1,0)</f>
        <v>0</v>
      </c>
      <c r="AM99">
        <f>IF(T99="100.00",1,0)</f>
        <v>0</v>
      </c>
      <c r="AN99">
        <f>IF(U99="100.00",1,0)</f>
        <v>0</v>
      </c>
      <c r="AO99">
        <f>SUM(V99:AN99)</f>
        <v>0</v>
      </c>
    </row>
    <row r="100" spans="1:41" x14ac:dyDescent="0.35">
      <c r="A100" s="8" t="s">
        <v>92</v>
      </c>
      <c r="B100" s="9">
        <v>95040601874</v>
      </c>
      <c r="C100" s="9" t="s">
        <v>23</v>
      </c>
      <c r="D100" s="9" t="s">
        <v>23</v>
      </c>
      <c r="E100" s="9" t="s">
        <v>23</v>
      </c>
      <c r="F100" s="9" t="s">
        <v>54</v>
      </c>
      <c r="G100" s="9" t="s">
        <v>23</v>
      </c>
      <c r="H100" s="9" t="s">
        <v>23</v>
      </c>
      <c r="I100" s="9" t="s">
        <v>40</v>
      </c>
      <c r="J100" s="9" t="s">
        <v>27</v>
      </c>
      <c r="K100" s="9" t="s">
        <v>27</v>
      </c>
      <c r="L100" s="9" t="s">
        <v>23</v>
      </c>
      <c r="M100" s="9" t="s">
        <v>23</v>
      </c>
      <c r="N100" s="9" t="s">
        <v>23</v>
      </c>
      <c r="O100" s="9" t="s">
        <v>23</v>
      </c>
      <c r="P100" s="9" t="s">
        <v>23</v>
      </c>
      <c r="Q100" s="9" t="s">
        <v>39</v>
      </c>
      <c r="R100" s="9" t="s">
        <v>70</v>
      </c>
      <c r="S100" s="9" t="s">
        <v>75</v>
      </c>
      <c r="T100" s="9" t="s">
        <v>23</v>
      </c>
      <c r="U100" s="10" t="s">
        <v>23</v>
      </c>
      <c r="V100">
        <f>IF(C100="100.00",1,0)</f>
        <v>0</v>
      </c>
      <c r="W100">
        <f>IF(D100="100.00",1,0)</f>
        <v>0</v>
      </c>
      <c r="X100">
        <f>IF(E100="100.00",1,0)</f>
        <v>0</v>
      </c>
      <c r="Y100">
        <f>IF(F100="100.00",1,0)</f>
        <v>0</v>
      </c>
      <c r="Z100">
        <f>IF(G100="100.00",1,0)</f>
        <v>0</v>
      </c>
      <c r="AA100">
        <f>IF(H100="100.00",1,0)</f>
        <v>0</v>
      </c>
      <c r="AB100">
        <f>IF(I100="100.00",1,0)</f>
        <v>0</v>
      </c>
      <c r="AC100">
        <f>IF(J100="100.00",1,0)</f>
        <v>0</v>
      </c>
      <c r="AD100">
        <f>IF(K100="100.00",1,0)</f>
        <v>0</v>
      </c>
      <c r="AE100">
        <f>IF(L100="100.00",1,0)</f>
        <v>0</v>
      </c>
      <c r="AF100">
        <f>IF(M100="100.00",1,0)</f>
        <v>0</v>
      </c>
      <c r="AG100">
        <f>IF(N100="100.00",1,0)</f>
        <v>0</v>
      </c>
      <c r="AH100">
        <f>IF(O100="100.00",1,0)</f>
        <v>0</v>
      </c>
      <c r="AI100">
        <f>IF(P100="100.00",1,0)</f>
        <v>0</v>
      </c>
      <c r="AJ100">
        <f>IF(Q100="100.00",1,0)</f>
        <v>0</v>
      </c>
      <c r="AK100">
        <f>IF(R100="100.00",1,0)</f>
        <v>0</v>
      </c>
      <c r="AL100">
        <f>IF(S100="100.00",1,0)</f>
        <v>0</v>
      </c>
      <c r="AM100">
        <f>IF(T100="100.00",1,0)</f>
        <v>0</v>
      </c>
      <c r="AN100">
        <f>IF(U100="100.00",1,0)</f>
        <v>0</v>
      </c>
      <c r="AO100">
        <f>SUM(V100:AN100)</f>
        <v>0</v>
      </c>
    </row>
    <row r="101" spans="1:41" x14ac:dyDescent="0.35">
      <c r="A101" s="5" t="s">
        <v>92</v>
      </c>
      <c r="B101" s="6">
        <v>95062703248</v>
      </c>
      <c r="C101" s="6" t="s">
        <v>23</v>
      </c>
      <c r="D101" s="6" t="s">
        <v>23</v>
      </c>
      <c r="E101" s="6" t="s">
        <v>23</v>
      </c>
      <c r="F101" s="6" t="s">
        <v>75</v>
      </c>
      <c r="G101" s="6" t="s">
        <v>23</v>
      </c>
      <c r="H101" s="6" t="s">
        <v>23</v>
      </c>
      <c r="I101" s="6" t="s">
        <v>26</v>
      </c>
      <c r="J101" s="6" t="s">
        <v>23</v>
      </c>
      <c r="K101" s="6" t="s">
        <v>23</v>
      </c>
      <c r="L101" s="6" t="s">
        <v>23</v>
      </c>
      <c r="M101" s="6" t="s">
        <v>23</v>
      </c>
      <c r="N101" s="6" t="s">
        <v>23</v>
      </c>
      <c r="O101" s="6" t="s">
        <v>23</v>
      </c>
      <c r="P101" s="6" t="s">
        <v>23</v>
      </c>
      <c r="Q101" s="6" t="s">
        <v>70</v>
      </c>
      <c r="R101" s="6" t="s">
        <v>23</v>
      </c>
      <c r="S101" s="6" t="s">
        <v>75</v>
      </c>
      <c r="T101" s="6" t="s">
        <v>59</v>
      </c>
      <c r="U101" s="7" t="s">
        <v>23</v>
      </c>
      <c r="V101">
        <f>IF(C101="100.00",1,0)</f>
        <v>0</v>
      </c>
      <c r="W101">
        <f>IF(D101="100.00",1,0)</f>
        <v>0</v>
      </c>
      <c r="X101">
        <f>IF(E101="100.00",1,0)</f>
        <v>0</v>
      </c>
      <c r="Y101">
        <f>IF(F101="100.00",1,0)</f>
        <v>0</v>
      </c>
      <c r="Z101">
        <f>IF(G101="100.00",1,0)</f>
        <v>0</v>
      </c>
      <c r="AA101">
        <f>IF(H101="100.00",1,0)</f>
        <v>0</v>
      </c>
      <c r="AB101">
        <f>IF(I101="100.00",1,0)</f>
        <v>0</v>
      </c>
      <c r="AC101">
        <f>IF(J101="100.00",1,0)</f>
        <v>0</v>
      </c>
      <c r="AD101">
        <f>IF(K101="100.00",1,0)</f>
        <v>0</v>
      </c>
      <c r="AE101">
        <f>IF(L101="100.00",1,0)</f>
        <v>0</v>
      </c>
      <c r="AF101">
        <f>IF(M101="100.00",1,0)</f>
        <v>0</v>
      </c>
      <c r="AG101">
        <f>IF(N101="100.00",1,0)</f>
        <v>0</v>
      </c>
      <c r="AH101">
        <f>IF(O101="100.00",1,0)</f>
        <v>0</v>
      </c>
      <c r="AI101">
        <f>IF(P101="100.00",1,0)</f>
        <v>0</v>
      </c>
      <c r="AJ101">
        <f>IF(Q101="100.00",1,0)</f>
        <v>0</v>
      </c>
      <c r="AK101">
        <f>IF(R101="100.00",1,0)</f>
        <v>0</v>
      </c>
      <c r="AL101">
        <f>IF(S101="100.00",1,0)</f>
        <v>0</v>
      </c>
      <c r="AM101">
        <f>IF(T101="100.00",1,0)</f>
        <v>0</v>
      </c>
      <c r="AN101">
        <f>IF(U101="100.00",1,0)</f>
        <v>0</v>
      </c>
      <c r="AO101">
        <f>SUM(V101:AN101)</f>
        <v>0</v>
      </c>
    </row>
    <row r="102" spans="1:41" x14ac:dyDescent="0.35">
      <c r="A102" s="8" t="s">
        <v>92</v>
      </c>
      <c r="B102" s="9">
        <v>95062704850</v>
      </c>
      <c r="C102" s="9" t="s">
        <v>23</v>
      </c>
      <c r="D102" s="9" t="s">
        <v>23</v>
      </c>
      <c r="E102" s="9" t="s">
        <v>23</v>
      </c>
      <c r="F102" s="9" t="s">
        <v>45</v>
      </c>
      <c r="G102" s="9" t="s">
        <v>23</v>
      </c>
      <c r="H102" s="9" t="s">
        <v>23</v>
      </c>
      <c r="I102" s="9" t="s">
        <v>83</v>
      </c>
      <c r="J102" s="9" t="s">
        <v>23</v>
      </c>
      <c r="K102" s="9" t="s">
        <v>23</v>
      </c>
      <c r="L102" s="9" t="s">
        <v>23</v>
      </c>
      <c r="M102" s="9" t="s">
        <v>23</v>
      </c>
      <c r="N102" s="9" t="s">
        <v>23</v>
      </c>
      <c r="O102" s="9" t="s">
        <v>23</v>
      </c>
      <c r="P102" s="9" t="s">
        <v>23</v>
      </c>
      <c r="Q102" s="9" t="s">
        <v>22</v>
      </c>
      <c r="R102" s="9" t="s">
        <v>23</v>
      </c>
      <c r="S102" s="9" t="s">
        <v>44</v>
      </c>
      <c r="T102" s="9" t="s">
        <v>23</v>
      </c>
      <c r="U102" s="10" t="s">
        <v>23</v>
      </c>
      <c r="V102">
        <f>IF(C102="100.00",1,0)</f>
        <v>0</v>
      </c>
      <c r="W102">
        <f>IF(D102="100.00",1,0)</f>
        <v>0</v>
      </c>
      <c r="X102">
        <f>IF(E102="100.00",1,0)</f>
        <v>0</v>
      </c>
      <c r="Y102">
        <f>IF(F102="100.00",1,0)</f>
        <v>0</v>
      </c>
      <c r="Z102">
        <f>IF(G102="100.00",1,0)</f>
        <v>0</v>
      </c>
      <c r="AA102">
        <f>IF(H102="100.00",1,0)</f>
        <v>0</v>
      </c>
      <c r="AB102">
        <f>IF(I102="100.00",1,0)</f>
        <v>0</v>
      </c>
      <c r="AC102">
        <f>IF(J102="100.00",1,0)</f>
        <v>0</v>
      </c>
      <c r="AD102">
        <f>IF(K102="100.00",1,0)</f>
        <v>0</v>
      </c>
      <c r="AE102">
        <f>IF(L102="100.00",1,0)</f>
        <v>0</v>
      </c>
      <c r="AF102">
        <f>IF(M102="100.00",1,0)</f>
        <v>0</v>
      </c>
      <c r="AG102">
        <f>IF(N102="100.00",1,0)</f>
        <v>0</v>
      </c>
      <c r="AH102">
        <f>IF(O102="100.00",1,0)</f>
        <v>0</v>
      </c>
      <c r="AI102">
        <f>IF(P102="100.00",1,0)</f>
        <v>0</v>
      </c>
      <c r="AJ102">
        <f>IF(Q102="100.00",1,0)</f>
        <v>0</v>
      </c>
      <c r="AK102">
        <f>IF(R102="100.00",1,0)</f>
        <v>0</v>
      </c>
      <c r="AL102">
        <f>IF(S102="100.00",1,0)</f>
        <v>0</v>
      </c>
      <c r="AM102">
        <f>IF(T102="100.00",1,0)</f>
        <v>0</v>
      </c>
      <c r="AN102">
        <f>IF(U102="100.00",1,0)</f>
        <v>0</v>
      </c>
      <c r="AO102">
        <f>SUM(V102:AN102)</f>
        <v>0</v>
      </c>
    </row>
    <row r="103" spans="1:41" x14ac:dyDescent="0.35">
      <c r="A103" s="5" t="s">
        <v>92</v>
      </c>
      <c r="B103" s="6">
        <v>95070400629</v>
      </c>
      <c r="C103" s="6" t="s">
        <v>23</v>
      </c>
      <c r="D103" s="6" t="s">
        <v>23</v>
      </c>
      <c r="E103" s="6" t="s">
        <v>23</v>
      </c>
      <c r="F103" s="6" t="s">
        <v>72</v>
      </c>
      <c r="G103" s="6" t="s">
        <v>23</v>
      </c>
      <c r="H103" s="6" t="s">
        <v>23</v>
      </c>
      <c r="I103" s="6" t="s">
        <v>74</v>
      </c>
      <c r="J103" s="6" t="s">
        <v>23</v>
      </c>
      <c r="K103" s="6" t="s">
        <v>23</v>
      </c>
      <c r="L103" s="6" t="s">
        <v>23</v>
      </c>
      <c r="M103" s="6" t="s">
        <v>23</v>
      </c>
      <c r="N103" s="6" t="s">
        <v>23</v>
      </c>
      <c r="O103" s="6" t="s">
        <v>23</v>
      </c>
      <c r="P103" s="6" t="s">
        <v>23</v>
      </c>
      <c r="Q103" s="6" t="s">
        <v>41</v>
      </c>
      <c r="R103" s="6" t="s">
        <v>81</v>
      </c>
      <c r="S103" s="6" t="s">
        <v>58</v>
      </c>
      <c r="T103" s="6" t="s">
        <v>23</v>
      </c>
      <c r="U103" s="7" t="s">
        <v>23</v>
      </c>
      <c r="V103">
        <f>IF(C103="100.00",1,0)</f>
        <v>0</v>
      </c>
      <c r="W103">
        <f>IF(D103="100.00",1,0)</f>
        <v>0</v>
      </c>
      <c r="X103">
        <f>IF(E103="100.00",1,0)</f>
        <v>0</v>
      </c>
      <c r="Y103">
        <f>IF(F103="100.00",1,0)</f>
        <v>0</v>
      </c>
      <c r="Z103">
        <f>IF(G103="100.00",1,0)</f>
        <v>0</v>
      </c>
      <c r="AA103">
        <f>IF(H103="100.00",1,0)</f>
        <v>0</v>
      </c>
      <c r="AB103">
        <f>IF(I103="100.00",1,0)</f>
        <v>0</v>
      </c>
      <c r="AC103">
        <f>IF(J103="100.00",1,0)</f>
        <v>0</v>
      </c>
      <c r="AD103">
        <f>IF(K103="100.00",1,0)</f>
        <v>0</v>
      </c>
      <c r="AE103">
        <f>IF(L103="100.00",1,0)</f>
        <v>0</v>
      </c>
      <c r="AF103">
        <f>IF(M103="100.00",1,0)</f>
        <v>0</v>
      </c>
      <c r="AG103">
        <f>IF(N103="100.00",1,0)</f>
        <v>0</v>
      </c>
      <c r="AH103">
        <f>IF(O103="100.00",1,0)</f>
        <v>0</v>
      </c>
      <c r="AI103">
        <f>IF(P103="100.00",1,0)</f>
        <v>0</v>
      </c>
      <c r="AJ103">
        <f>IF(Q103="100.00",1,0)</f>
        <v>0</v>
      </c>
      <c r="AK103">
        <f>IF(R103="100.00",1,0)</f>
        <v>0</v>
      </c>
      <c r="AL103">
        <f>IF(S103="100.00",1,0)</f>
        <v>0</v>
      </c>
      <c r="AM103">
        <f>IF(T103="100.00",1,0)</f>
        <v>0</v>
      </c>
      <c r="AN103">
        <f>IF(U103="100.00",1,0)</f>
        <v>0</v>
      </c>
      <c r="AO103">
        <f>SUM(V103:AN103)</f>
        <v>0</v>
      </c>
    </row>
    <row r="104" spans="1:41" x14ac:dyDescent="0.35">
      <c r="A104" s="5" t="s">
        <v>92</v>
      </c>
      <c r="B104" s="6">
        <v>95071306764</v>
      </c>
      <c r="C104" s="6" t="s">
        <v>23</v>
      </c>
      <c r="D104" s="6" t="s">
        <v>23</v>
      </c>
      <c r="E104" s="6" t="s">
        <v>23</v>
      </c>
      <c r="F104" s="6" t="s">
        <v>23</v>
      </c>
      <c r="G104" s="6" t="s">
        <v>23</v>
      </c>
      <c r="H104" s="6" t="s">
        <v>23</v>
      </c>
      <c r="I104" s="6" t="s">
        <v>40</v>
      </c>
      <c r="J104" s="6" t="s">
        <v>80</v>
      </c>
      <c r="K104" s="6" t="s">
        <v>23</v>
      </c>
      <c r="L104" s="6" t="s">
        <v>23</v>
      </c>
      <c r="M104" s="6" t="s">
        <v>23</v>
      </c>
      <c r="N104" s="6" t="s">
        <v>23</v>
      </c>
      <c r="O104" s="6" t="s">
        <v>23</v>
      </c>
      <c r="P104" s="6" t="s">
        <v>23</v>
      </c>
      <c r="Q104" s="6" t="s">
        <v>26</v>
      </c>
      <c r="R104" s="6" t="s">
        <v>32</v>
      </c>
      <c r="S104" s="6" t="s">
        <v>64</v>
      </c>
      <c r="T104" s="6" t="s">
        <v>23</v>
      </c>
      <c r="U104" s="7" t="s">
        <v>23</v>
      </c>
      <c r="V104">
        <f>IF(C104="100.00",1,0)</f>
        <v>0</v>
      </c>
      <c r="W104">
        <f>IF(D104="100.00",1,0)</f>
        <v>0</v>
      </c>
      <c r="X104">
        <f>IF(E104="100.00",1,0)</f>
        <v>0</v>
      </c>
      <c r="Y104">
        <f>IF(F104="100.00",1,0)</f>
        <v>0</v>
      </c>
      <c r="Z104">
        <f>IF(G104="100.00",1,0)</f>
        <v>0</v>
      </c>
      <c r="AA104">
        <f>IF(H104="100.00",1,0)</f>
        <v>0</v>
      </c>
      <c r="AB104">
        <f>IF(I104="100.00",1,0)</f>
        <v>0</v>
      </c>
      <c r="AC104">
        <f>IF(J104="100.00",1,0)</f>
        <v>0</v>
      </c>
      <c r="AD104">
        <f>IF(K104="100.00",1,0)</f>
        <v>0</v>
      </c>
      <c r="AE104">
        <f>IF(L104="100.00",1,0)</f>
        <v>0</v>
      </c>
      <c r="AF104">
        <f>IF(M104="100.00",1,0)</f>
        <v>0</v>
      </c>
      <c r="AG104">
        <f>IF(N104="100.00",1,0)</f>
        <v>0</v>
      </c>
      <c r="AH104">
        <f>IF(O104="100.00",1,0)</f>
        <v>0</v>
      </c>
      <c r="AI104">
        <f>IF(P104="100.00",1,0)</f>
        <v>0</v>
      </c>
      <c r="AJ104">
        <f>IF(Q104="100.00",1,0)</f>
        <v>0</v>
      </c>
      <c r="AK104">
        <f>IF(R104="100.00",1,0)</f>
        <v>0</v>
      </c>
      <c r="AL104">
        <f>IF(S104="100.00",1,0)</f>
        <v>0</v>
      </c>
      <c r="AM104">
        <f>IF(T104="100.00",1,0)</f>
        <v>0</v>
      </c>
      <c r="AN104">
        <f>IF(U104="100.00",1,0)</f>
        <v>0</v>
      </c>
      <c r="AO104">
        <f>SUM(V104:AN104)</f>
        <v>0</v>
      </c>
    </row>
    <row r="105" spans="1:41" x14ac:dyDescent="0.35">
      <c r="A105" s="8" t="s">
        <v>92</v>
      </c>
      <c r="B105" s="9">
        <v>95071307406</v>
      </c>
      <c r="C105" s="9" t="s">
        <v>23</v>
      </c>
      <c r="D105" s="9" t="s">
        <v>23</v>
      </c>
      <c r="E105" s="9" t="s">
        <v>23</v>
      </c>
      <c r="F105" s="9" t="s">
        <v>33</v>
      </c>
      <c r="G105" s="9" t="s">
        <v>23</v>
      </c>
      <c r="H105" s="9" t="s">
        <v>23</v>
      </c>
      <c r="I105" s="9" t="s">
        <v>48</v>
      </c>
      <c r="J105" s="9" t="s">
        <v>44</v>
      </c>
      <c r="K105" s="9" t="s">
        <v>23</v>
      </c>
      <c r="L105" s="9" t="s">
        <v>23</v>
      </c>
      <c r="M105" s="9" t="s">
        <v>23</v>
      </c>
      <c r="N105" s="9" t="s">
        <v>23</v>
      </c>
      <c r="O105" s="9" t="s">
        <v>23</v>
      </c>
      <c r="P105" s="9" t="s">
        <v>23</v>
      </c>
      <c r="Q105" s="9" t="s">
        <v>61</v>
      </c>
      <c r="R105" s="9" t="s">
        <v>23</v>
      </c>
      <c r="S105" s="9" t="s">
        <v>76</v>
      </c>
      <c r="T105" s="9" t="s">
        <v>62</v>
      </c>
      <c r="U105" s="10" t="s">
        <v>23</v>
      </c>
      <c r="V105">
        <f>IF(C105="100.00",1,0)</f>
        <v>0</v>
      </c>
      <c r="W105">
        <f>IF(D105="100.00",1,0)</f>
        <v>0</v>
      </c>
      <c r="X105">
        <f>IF(E105="100.00",1,0)</f>
        <v>0</v>
      </c>
      <c r="Y105">
        <f>IF(F105="100.00",1,0)</f>
        <v>0</v>
      </c>
      <c r="Z105">
        <f>IF(G105="100.00",1,0)</f>
        <v>0</v>
      </c>
      <c r="AA105">
        <f>IF(H105="100.00",1,0)</f>
        <v>0</v>
      </c>
      <c r="AB105">
        <f>IF(I105="100.00",1,0)</f>
        <v>0</v>
      </c>
      <c r="AC105">
        <f>IF(J105="100.00",1,0)</f>
        <v>0</v>
      </c>
      <c r="AD105">
        <f>IF(K105="100.00",1,0)</f>
        <v>0</v>
      </c>
      <c r="AE105">
        <f>IF(L105="100.00",1,0)</f>
        <v>0</v>
      </c>
      <c r="AF105">
        <f>IF(M105="100.00",1,0)</f>
        <v>0</v>
      </c>
      <c r="AG105">
        <f>IF(N105="100.00",1,0)</f>
        <v>0</v>
      </c>
      <c r="AH105">
        <f>IF(O105="100.00",1,0)</f>
        <v>0</v>
      </c>
      <c r="AI105">
        <f>IF(P105="100.00",1,0)</f>
        <v>0</v>
      </c>
      <c r="AJ105">
        <f>IF(Q105="100.00",1,0)</f>
        <v>0</v>
      </c>
      <c r="AK105">
        <f>IF(R105="100.00",1,0)</f>
        <v>0</v>
      </c>
      <c r="AL105">
        <f>IF(S105="100.00",1,0)</f>
        <v>0</v>
      </c>
      <c r="AM105">
        <f>IF(T105="100.00",1,0)</f>
        <v>0</v>
      </c>
      <c r="AN105">
        <f>IF(U105="100.00",1,0)</f>
        <v>0</v>
      </c>
      <c r="AO105">
        <f>SUM(V105:AN105)</f>
        <v>0</v>
      </c>
    </row>
    <row r="106" spans="1:41" x14ac:dyDescent="0.35">
      <c r="A106" s="5" t="s">
        <v>92</v>
      </c>
      <c r="B106" s="6">
        <v>95072805323</v>
      </c>
      <c r="C106" s="6" t="s">
        <v>23</v>
      </c>
      <c r="D106" s="6" t="s">
        <v>23</v>
      </c>
      <c r="E106" s="6" t="s">
        <v>23</v>
      </c>
      <c r="F106" s="6" t="s">
        <v>41</v>
      </c>
      <c r="G106" s="6" t="s">
        <v>23</v>
      </c>
      <c r="H106" s="6" t="s">
        <v>23</v>
      </c>
      <c r="I106" s="6" t="s">
        <v>43</v>
      </c>
      <c r="J106" s="6" t="s">
        <v>68</v>
      </c>
      <c r="K106" s="6" t="s">
        <v>23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23</v>
      </c>
      <c r="Q106" s="6" t="s">
        <v>56</v>
      </c>
      <c r="R106" s="6" t="s">
        <v>47</v>
      </c>
      <c r="S106" s="6" t="s">
        <v>75</v>
      </c>
      <c r="T106" s="6" t="s">
        <v>68</v>
      </c>
      <c r="U106" s="7" t="s">
        <v>23</v>
      </c>
      <c r="V106">
        <f>IF(C106="100.00",1,0)</f>
        <v>0</v>
      </c>
      <c r="W106">
        <f>IF(D106="100.00",1,0)</f>
        <v>0</v>
      </c>
      <c r="X106">
        <f>IF(E106="100.00",1,0)</f>
        <v>0</v>
      </c>
      <c r="Y106">
        <f>IF(F106="100.00",1,0)</f>
        <v>0</v>
      </c>
      <c r="Z106">
        <f>IF(G106="100.00",1,0)</f>
        <v>0</v>
      </c>
      <c r="AA106">
        <f>IF(H106="100.00",1,0)</f>
        <v>0</v>
      </c>
      <c r="AB106">
        <f>IF(I106="100.00",1,0)</f>
        <v>0</v>
      </c>
      <c r="AC106">
        <f>IF(J106="100.00",1,0)</f>
        <v>0</v>
      </c>
      <c r="AD106">
        <f>IF(K106="100.00",1,0)</f>
        <v>0</v>
      </c>
      <c r="AE106">
        <f>IF(L106="100.00",1,0)</f>
        <v>0</v>
      </c>
      <c r="AF106">
        <f>IF(M106="100.00",1,0)</f>
        <v>0</v>
      </c>
      <c r="AG106">
        <f>IF(N106="100.00",1,0)</f>
        <v>0</v>
      </c>
      <c r="AH106">
        <f>IF(O106="100.00",1,0)</f>
        <v>0</v>
      </c>
      <c r="AI106">
        <f>IF(P106="100.00",1,0)</f>
        <v>0</v>
      </c>
      <c r="AJ106">
        <f>IF(Q106="100.00",1,0)</f>
        <v>0</v>
      </c>
      <c r="AK106">
        <f>IF(R106="100.00",1,0)</f>
        <v>0</v>
      </c>
      <c r="AL106">
        <f>IF(S106="100.00",1,0)</f>
        <v>0</v>
      </c>
      <c r="AM106">
        <f>IF(T106="100.00",1,0)</f>
        <v>0</v>
      </c>
      <c r="AN106">
        <f>IF(U106="100.00",1,0)</f>
        <v>0</v>
      </c>
      <c r="AO106">
        <f>SUM(V106:AN106)</f>
        <v>0</v>
      </c>
    </row>
    <row r="107" spans="1:41" x14ac:dyDescent="0.35">
      <c r="A107" s="8" t="s">
        <v>92</v>
      </c>
      <c r="B107" s="9">
        <v>95082206507</v>
      </c>
      <c r="C107" s="9" t="s">
        <v>23</v>
      </c>
      <c r="D107" s="9" t="s">
        <v>23</v>
      </c>
      <c r="E107" s="9" t="s">
        <v>23</v>
      </c>
      <c r="F107" s="9" t="s">
        <v>43</v>
      </c>
      <c r="G107" s="9" t="s">
        <v>23</v>
      </c>
      <c r="H107" s="9" t="s">
        <v>23</v>
      </c>
      <c r="I107" s="9" t="s">
        <v>40</v>
      </c>
      <c r="J107" s="9" t="s">
        <v>23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23</v>
      </c>
      <c r="Q107" s="9" t="s">
        <v>48</v>
      </c>
      <c r="R107" s="9" t="s">
        <v>38</v>
      </c>
      <c r="S107" s="9" t="s">
        <v>25</v>
      </c>
      <c r="T107" s="9" t="s">
        <v>23</v>
      </c>
      <c r="U107" s="10" t="s">
        <v>23</v>
      </c>
      <c r="V107">
        <f>IF(C107="100.00",1,0)</f>
        <v>0</v>
      </c>
      <c r="W107">
        <f>IF(D107="100.00",1,0)</f>
        <v>0</v>
      </c>
      <c r="X107">
        <f>IF(E107="100.00",1,0)</f>
        <v>0</v>
      </c>
      <c r="Y107">
        <f>IF(F107="100.00",1,0)</f>
        <v>0</v>
      </c>
      <c r="Z107">
        <f>IF(G107="100.00",1,0)</f>
        <v>0</v>
      </c>
      <c r="AA107">
        <f>IF(H107="100.00",1,0)</f>
        <v>0</v>
      </c>
      <c r="AB107">
        <f>IF(I107="100.00",1,0)</f>
        <v>0</v>
      </c>
      <c r="AC107">
        <f>IF(J107="100.00",1,0)</f>
        <v>0</v>
      </c>
      <c r="AD107">
        <f>IF(K107="100.00",1,0)</f>
        <v>0</v>
      </c>
      <c r="AE107">
        <f>IF(L107="100.00",1,0)</f>
        <v>0</v>
      </c>
      <c r="AF107">
        <f>IF(M107="100.00",1,0)</f>
        <v>0</v>
      </c>
      <c r="AG107">
        <f>IF(N107="100.00",1,0)</f>
        <v>0</v>
      </c>
      <c r="AH107">
        <f>IF(O107="100.00",1,0)</f>
        <v>0</v>
      </c>
      <c r="AI107">
        <f>IF(P107="100.00",1,0)</f>
        <v>0</v>
      </c>
      <c r="AJ107">
        <f>IF(Q107="100.00",1,0)</f>
        <v>0</v>
      </c>
      <c r="AK107">
        <f>IF(R107="100.00",1,0)</f>
        <v>0</v>
      </c>
      <c r="AL107">
        <f>IF(S107="100.00",1,0)</f>
        <v>0</v>
      </c>
      <c r="AM107">
        <f>IF(T107="100.00",1,0)</f>
        <v>0</v>
      </c>
      <c r="AN107">
        <f>IF(U107="100.00",1,0)</f>
        <v>0</v>
      </c>
      <c r="AO107">
        <f>SUM(V107:AN107)</f>
        <v>0</v>
      </c>
    </row>
    <row r="108" spans="1:41" x14ac:dyDescent="0.35">
      <c r="A108" s="5" t="s">
        <v>92</v>
      </c>
      <c r="B108" s="6">
        <v>95091103271</v>
      </c>
      <c r="C108" s="6" t="s">
        <v>23</v>
      </c>
      <c r="D108" s="6" t="s">
        <v>23</v>
      </c>
      <c r="E108" s="6" t="s">
        <v>23</v>
      </c>
      <c r="F108" s="6" t="s">
        <v>58</v>
      </c>
      <c r="G108" s="6" t="s">
        <v>23</v>
      </c>
      <c r="H108" s="6" t="s">
        <v>23</v>
      </c>
      <c r="I108" s="6" t="s">
        <v>60</v>
      </c>
      <c r="J108" s="6" t="s">
        <v>23</v>
      </c>
      <c r="K108" s="6" t="s">
        <v>23</v>
      </c>
      <c r="L108" s="6" t="s">
        <v>23</v>
      </c>
      <c r="M108" s="6" t="s">
        <v>23</v>
      </c>
      <c r="N108" s="6" t="s">
        <v>23</v>
      </c>
      <c r="O108" s="6" t="s">
        <v>23</v>
      </c>
      <c r="P108" s="6" t="s">
        <v>23</v>
      </c>
      <c r="Q108" s="6" t="s">
        <v>61</v>
      </c>
      <c r="R108" s="6" t="s">
        <v>32</v>
      </c>
      <c r="S108" s="6" t="s">
        <v>67</v>
      </c>
      <c r="T108" s="6" t="s">
        <v>23</v>
      </c>
      <c r="U108" s="7" t="s">
        <v>23</v>
      </c>
      <c r="V108">
        <f>IF(C108="100.00",1,0)</f>
        <v>0</v>
      </c>
      <c r="W108">
        <f>IF(D108="100.00",1,0)</f>
        <v>0</v>
      </c>
      <c r="X108">
        <f>IF(E108="100.00",1,0)</f>
        <v>0</v>
      </c>
      <c r="Y108">
        <f>IF(F108="100.00",1,0)</f>
        <v>0</v>
      </c>
      <c r="Z108">
        <f>IF(G108="100.00",1,0)</f>
        <v>0</v>
      </c>
      <c r="AA108">
        <f>IF(H108="100.00",1,0)</f>
        <v>0</v>
      </c>
      <c r="AB108">
        <f>IF(I108="100.00",1,0)</f>
        <v>0</v>
      </c>
      <c r="AC108">
        <f>IF(J108="100.00",1,0)</f>
        <v>0</v>
      </c>
      <c r="AD108">
        <f>IF(K108="100.00",1,0)</f>
        <v>0</v>
      </c>
      <c r="AE108">
        <f>IF(L108="100.00",1,0)</f>
        <v>0</v>
      </c>
      <c r="AF108">
        <f>IF(M108="100.00",1,0)</f>
        <v>0</v>
      </c>
      <c r="AG108">
        <f>IF(N108="100.00",1,0)</f>
        <v>0</v>
      </c>
      <c r="AH108">
        <f>IF(O108="100.00",1,0)</f>
        <v>0</v>
      </c>
      <c r="AI108">
        <f>IF(P108="100.00",1,0)</f>
        <v>0</v>
      </c>
      <c r="AJ108">
        <f>IF(Q108="100.00",1,0)</f>
        <v>0</v>
      </c>
      <c r="AK108">
        <f>IF(R108="100.00",1,0)</f>
        <v>0</v>
      </c>
      <c r="AL108">
        <f>IF(S108="100.00",1,0)</f>
        <v>0</v>
      </c>
      <c r="AM108">
        <f>IF(T108="100.00",1,0)</f>
        <v>0</v>
      </c>
      <c r="AN108">
        <f>IF(U108="100.00",1,0)</f>
        <v>0</v>
      </c>
      <c r="AO108">
        <f>SUM(V108:AN108)</f>
        <v>0</v>
      </c>
    </row>
    <row r="109" spans="1:41" x14ac:dyDescent="0.35">
      <c r="A109" s="8" t="s">
        <v>92</v>
      </c>
      <c r="B109" s="9">
        <v>95092301371</v>
      </c>
      <c r="C109" s="9" t="s">
        <v>23</v>
      </c>
      <c r="D109" s="9" t="s">
        <v>23</v>
      </c>
      <c r="E109" s="9" t="s">
        <v>23</v>
      </c>
      <c r="F109" s="9" t="s">
        <v>23</v>
      </c>
      <c r="G109" s="9" t="s">
        <v>23</v>
      </c>
      <c r="H109" s="9" t="s">
        <v>23</v>
      </c>
      <c r="I109" s="9" t="s">
        <v>49</v>
      </c>
      <c r="J109" s="9" t="s">
        <v>26</v>
      </c>
      <c r="K109" s="9" t="s">
        <v>23</v>
      </c>
      <c r="L109" s="9" t="s">
        <v>23</v>
      </c>
      <c r="M109" s="9" t="s">
        <v>23</v>
      </c>
      <c r="N109" s="9" t="s">
        <v>23</v>
      </c>
      <c r="O109" s="9" t="s">
        <v>23</v>
      </c>
      <c r="P109" s="9" t="s">
        <v>23</v>
      </c>
      <c r="Q109" s="9" t="s">
        <v>26</v>
      </c>
      <c r="R109" s="9" t="s">
        <v>78</v>
      </c>
      <c r="S109" s="9" t="s">
        <v>52</v>
      </c>
      <c r="T109" s="9" t="s">
        <v>23</v>
      </c>
      <c r="U109" s="10" t="s">
        <v>23</v>
      </c>
      <c r="V109">
        <f>IF(C109="100.00",1,0)</f>
        <v>0</v>
      </c>
      <c r="W109">
        <f>IF(D109="100.00",1,0)</f>
        <v>0</v>
      </c>
      <c r="X109">
        <f>IF(E109="100.00",1,0)</f>
        <v>0</v>
      </c>
      <c r="Y109">
        <f>IF(F109="100.00",1,0)</f>
        <v>0</v>
      </c>
      <c r="Z109">
        <f>IF(G109="100.00",1,0)</f>
        <v>0</v>
      </c>
      <c r="AA109">
        <f>IF(H109="100.00",1,0)</f>
        <v>0</v>
      </c>
      <c r="AB109">
        <f>IF(I109="100.00",1,0)</f>
        <v>0</v>
      </c>
      <c r="AC109">
        <f>IF(J109="100.00",1,0)</f>
        <v>0</v>
      </c>
      <c r="AD109">
        <f>IF(K109="100.00",1,0)</f>
        <v>0</v>
      </c>
      <c r="AE109">
        <f>IF(L109="100.00",1,0)</f>
        <v>0</v>
      </c>
      <c r="AF109">
        <f>IF(M109="100.00",1,0)</f>
        <v>0</v>
      </c>
      <c r="AG109">
        <f>IF(N109="100.00",1,0)</f>
        <v>0</v>
      </c>
      <c r="AH109">
        <f>IF(O109="100.00",1,0)</f>
        <v>0</v>
      </c>
      <c r="AI109">
        <f>IF(P109="100.00",1,0)</f>
        <v>0</v>
      </c>
      <c r="AJ109">
        <f>IF(Q109="100.00",1,0)</f>
        <v>0</v>
      </c>
      <c r="AK109">
        <f>IF(R109="100.00",1,0)</f>
        <v>0</v>
      </c>
      <c r="AL109">
        <f>IF(S109="100.00",1,0)</f>
        <v>0</v>
      </c>
      <c r="AM109">
        <f>IF(T109="100.00",1,0)</f>
        <v>0</v>
      </c>
      <c r="AN109">
        <f>IF(U109="100.00",1,0)</f>
        <v>0</v>
      </c>
      <c r="AO109">
        <f>SUM(V109:AN109)</f>
        <v>0</v>
      </c>
    </row>
    <row r="110" spans="1:41" x14ac:dyDescent="0.35">
      <c r="A110" s="8" t="s">
        <v>92</v>
      </c>
      <c r="B110" s="9">
        <v>95102509322</v>
      </c>
      <c r="C110" s="9" t="s">
        <v>23</v>
      </c>
      <c r="D110" s="9" t="s">
        <v>23</v>
      </c>
      <c r="E110" s="9" t="s">
        <v>23</v>
      </c>
      <c r="F110" s="9" t="s">
        <v>52</v>
      </c>
      <c r="G110" s="9" t="s">
        <v>23</v>
      </c>
      <c r="H110" s="9" t="s">
        <v>23</v>
      </c>
      <c r="I110" s="9" t="s">
        <v>71</v>
      </c>
      <c r="J110" s="9" t="s">
        <v>79</v>
      </c>
      <c r="K110" s="9" t="s">
        <v>23</v>
      </c>
      <c r="L110" s="9" t="s">
        <v>23</v>
      </c>
      <c r="M110" s="9" t="s">
        <v>23</v>
      </c>
      <c r="N110" s="9" t="s">
        <v>23</v>
      </c>
      <c r="O110" s="9" t="s">
        <v>23</v>
      </c>
      <c r="P110" s="9" t="s">
        <v>23</v>
      </c>
      <c r="Q110" s="9" t="s">
        <v>39</v>
      </c>
      <c r="R110" s="9" t="s">
        <v>32</v>
      </c>
      <c r="S110" s="9" t="s">
        <v>36</v>
      </c>
      <c r="T110" s="9" t="s">
        <v>23</v>
      </c>
      <c r="U110" s="10" t="s">
        <v>23</v>
      </c>
      <c r="V110">
        <f>IF(C110="100.00",1,0)</f>
        <v>0</v>
      </c>
      <c r="W110">
        <f>IF(D110="100.00",1,0)</f>
        <v>0</v>
      </c>
      <c r="X110">
        <f>IF(E110="100.00",1,0)</f>
        <v>0</v>
      </c>
      <c r="Y110">
        <f>IF(F110="100.00",1,0)</f>
        <v>0</v>
      </c>
      <c r="Z110">
        <f>IF(G110="100.00",1,0)</f>
        <v>0</v>
      </c>
      <c r="AA110">
        <f>IF(H110="100.00",1,0)</f>
        <v>0</v>
      </c>
      <c r="AB110">
        <f>IF(I110="100.00",1,0)</f>
        <v>0</v>
      </c>
      <c r="AC110">
        <f>IF(J110="100.00",1,0)</f>
        <v>0</v>
      </c>
      <c r="AD110">
        <f>IF(K110="100.00",1,0)</f>
        <v>0</v>
      </c>
      <c r="AE110">
        <f>IF(L110="100.00",1,0)</f>
        <v>0</v>
      </c>
      <c r="AF110">
        <f>IF(M110="100.00",1,0)</f>
        <v>0</v>
      </c>
      <c r="AG110">
        <f>IF(N110="100.00",1,0)</f>
        <v>0</v>
      </c>
      <c r="AH110">
        <f>IF(O110="100.00",1,0)</f>
        <v>0</v>
      </c>
      <c r="AI110">
        <f>IF(P110="100.00",1,0)</f>
        <v>0</v>
      </c>
      <c r="AJ110">
        <f>IF(Q110="100.00",1,0)</f>
        <v>0</v>
      </c>
      <c r="AK110">
        <f>IF(R110="100.00",1,0)</f>
        <v>0</v>
      </c>
      <c r="AL110">
        <f>IF(S110="100.00",1,0)</f>
        <v>0</v>
      </c>
      <c r="AM110">
        <f>IF(T110="100.00",1,0)</f>
        <v>0</v>
      </c>
      <c r="AN110">
        <f>IF(U110="100.00",1,0)</f>
        <v>0</v>
      </c>
      <c r="AO110">
        <f>SUM(V110:AN110)</f>
        <v>0</v>
      </c>
    </row>
    <row r="111" spans="1:41" x14ac:dyDescent="0.35">
      <c r="A111" s="8" t="s">
        <v>92</v>
      </c>
      <c r="B111" s="9">
        <v>96010806327</v>
      </c>
      <c r="C111" s="9" t="s">
        <v>23</v>
      </c>
      <c r="D111" s="9" t="s">
        <v>23</v>
      </c>
      <c r="E111" s="9" t="s">
        <v>23</v>
      </c>
      <c r="F111" s="9" t="s">
        <v>74</v>
      </c>
      <c r="G111" s="9" t="s">
        <v>23</v>
      </c>
      <c r="H111" s="9" t="s">
        <v>23</v>
      </c>
      <c r="I111" s="9" t="s">
        <v>49</v>
      </c>
      <c r="J111" s="9" t="s">
        <v>37</v>
      </c>
      <c r="K111" s="9" t="s">
        <v>23</v>
      </c>
      <c r="L111" s="9" t="s">
        <v>23</v>
      </c>
      <c r="M111" s="9" t="s">
        <v>23</v>
      </c>
      <c r="N111" s="9" t="s">
        <v>23</v>
      </c>
      <c r="O111" s="9" t="s">
        <v>23</v>
      </c>
      <c r="P111" s="9" t="s">
        <v>23</v>
      </c>
      <c r="Q111" s="9" t="s">
        <v>41</v>
      </c>
      <c r="R111" s="9" t="s">
        <v>23</v>
      </c>
      <c r="S111" s="9" t="s">
        <v>94</v>
      </c>
      <c r="T111" s="9" t="s">
        <v>23</v>
      </c>
      <c r="U111" s="10" t="s">
        <v>23</v>
      </c>
      <c r="V111">
        <f>IF(C111="100.00",1,0)</f>
        <v>0</v>
      </c>
      <c r="W111">
        <f>IF(D111="100.00",1,0)</f>
        <v>0</v>
      </c>
      <c r="X111">
        <f>IF(E111="100.00",1,0)</f>
        <v>0</v>
      </c>
      <c r="Y111">
        <f>IF(F111="100.00",1,0)</f>
        <v>0</v>
      </c>
      <c r="Z111">
        <f>IF(G111="100.00",1,0)</f>
        <v>0</v>
      </c>
      <c r="AA111">
        <f>IF(H111="100.00",1,0)</f>
        <v>0</v>
      </c>
      <c r="AB111">
        <f>IF(I111="100.00",1,0)</f>
        <v>0</v>
      </c>
      <c r="AC111">
        <f>IF(J111="100.00",1,0)</f>
        <v>0</v>
      </c>
      <c r="AD111">
        <f>IF(K111="100.00",1,0)</f>
        <v>0</v>
      </c>
      <c r="AE111">
        <f>IF(L111="100.00",1,0)</f>
        <v>0</v>
      </c>
      <c r="AF111">
        <f>IF(M111="100.00",1,0)</f>
        <v>0</v>
      </c>
      <c r="AG111">
        <f>IF(N111="100.00",1,0)</f>
        <v>0</v>
      </c>
      <c r="AH111">
        <f>IF(O111="100.00",1,0)</f>
        <v>0</v>
      </c>
      <c r="AI111">
        <f>IF(P111="100.00",1,0)</f>
        <v>0</v>
      </c>
      <c r="AJ111">
        <f>IF(Q111="100.00",1,0)</f>
        <v>0</v>
      </c>
      <c r="AK111">
        <f>IF(R111="100.00",1,0)</f>
        <v>0</v>
      </c>
      <c r="AL111">
        <f>IF(S111="100.00",1,0)</f>
        <v>0</v>
      </c>
      <c r="AM111">
        <f>IF(T111="100.00",1,0)</f>
        <v>0</v>
      </c>
      <c r="AN111">
        <f>IF(U111="100.00",1,0)</f>
        <v>0</v>
      </c>
      <c r="AO111">
        <f>SUM(V111:AN111)</f>
        <v>0</v>
      </c>
    </row>
    <row r="112" spans="1:41" x14ac:dyDescent="0.35">
      <c r="A112" s="5" t="s">
        <v>96</v>
      </c>
      <c r="B112" s="6">
        <v>95010400678</v>
      </c>
      <c r="C112" s="6" t="s">
        <v>23</v>
      </c>
      <c r="D112" s="6" t="s">
        <v>23</v>
      </c>
      <c r="E112" s="6" t="s">
        <v>33</v>
      </c>
      <c r="F112" s="6" t="s">
        <v>23</v>
      </c>
      <c r="G112" s="6" t="s">
        <v>23</v>
      </c>
      <c r="H112" s="6" t="s">
        <v>23</v>
      </c>
      <c r="I112" s="6" t="s">
        <v>49</v>
      </c>
      <c r="J112" s="6" t="s">
        <v>30</v>
      </c>
      <c r="K112" s="6" t="s">
        <v>23</v>
      </c>
      <c r="L112" s="6" t="s">
        <v>23</v>
      </c>
      <c r="M112" s="6" t="s">
        <v>23</v>
      </c>
      <c r="N112" s="6" t="s">
        <v>23</v>
      </c>
      <c r="O112" s="6" t="s">
        <v>23</v>
      </c>
      <c r="P112" s="6" t="s">
        <v>23</v>
      </c>
      <c r="Q112" s="6" t="s">
        <v>38</v>
      </c>
      <c r="R112" s="6" t="s">
        <v>33</v>
      </c>
      <c r="S112" s="6" t="s">
        <v>64</v>
      </c>
      <c r="T112" s="6" t="s">
        <v>23</v>
      </c>
      <c r="U112" s="7" t="s">
        <v>23</v>
      </c>
      <c r="V112">
        <f>IF(C112="100.00",1,0)</f>
        <v>0</v>
      </c>
      <c r="W112">
        <f>IF(D112="100.00",1,0)</f>
        <v>0</v>
      </c>
      <c r="X112">
        <f>IF(E112="100.00",1,0)</f>
        <v>0</v>
      </c>
      <c r="Y112">
        <f>IF(F112="100.00",1,0)</f>
        <v>0</v>
      </c>
      <c r="Z112">
        <f>IF(G112="100.00",1,0)</f>
        <v>0</v>
      </c>
      <c r="AA112">
        <f>IF(H112="100.00",1,0)</f>
        <v>0</v>
      </c>
      <c r="AB112">
        <f>IF(I112="100.00",1,0)</f>
        <v>0</v>
      </c>
      <c r="AC112">
        <f>IF(J112="100.00",1,0)</f>
        <v>0</v>
      </c>
      <c r="AD112">
        <f>IF(K112="100.00",1,0)</f>
        <v>0</v>
      </c>
      <c r="AE112">
        <f>IF(L112="100.00",1,0)</f>
        <v>0</v>
      </c>
      <c r="AF112">
        <f>IF(M112="100.00",1,0)</f>
        <v>0</v>
      </c>
      <c r="AG112">
        <f>IF(N112="100.00",1,0)</f>
        <v>0</v>
      </c>
      <c r="AH112">
        <f>IF(O112="100.00",1,0)</f>
        <v>0</v>
      </c>
      <c r="AI112">
        <f>IF(P112="100.00",1,0)</f>
        <v>0</v>
      </c>
      <c r="AJ112">
        <f>IF(Q112="100.00",1,0)</f>
        <v>0</v>
      </c>
      <c r="AK112">
        <f>IF(R112="100.00",1,0)</f>
        <v>0</v>
      </c>
      <c r="AL112">
        <f>IF(S112="100.00",1,0)</f>
        <v>0</v>
      </c>
      <c r="AM112">
        <f>IF(T112="100.00",1,0)</f>
        <v>0</v>
      </c>
      <c r="AN112">
        <f>IF(U112="100.00",1,0)</f>
        <v>0</v>
      </c>
      <c r="AO112">
        <f>SUM(V112:AN112)</f>
        <v>0</v>
      </c>
    </row>
    <row r="113" spans="1:41" x14ac:dyDescent="0.35">
      <c r="A113" s="8" t="s">
        <v>96</v>
      </c>
      <c r="B113" s="9">
        <v>95012402890</v>
      </c>
      <c r="C113" s="9" t="s">
        <v>23</v>
      </c>
      <c r="D113" s="9" t="s">
        <v>23</v>
      </c>
      <c r="E113" s="9" t="s">
        <v>82</v>
      </c>
      <c r="F113" s="9" t="s">
        <v>23</v>
      </c>
      <c r="G113" s="9" t="s">
        <v>23</v>
      </c>
      <c r="H113" s="9" t="s">
        <v>23</v>
      </c>
      <c r="I113" s="9" t="s">
        <v>48</v>
      </c>
      <c r="J113" s="9" t="s">
        <v>28</v>
      </c>
      <c r="K113" s="9" t="s">
        <v>23</v>
      </c>
      <c r="L113" s="9" t="s">
        <v>23</v>
      </c>
      <c r="M113" s="9" t="s">
        <v>23</v>
      </c>
      <c r="N113" s="9" t="s">
        <v>23</v>
      </c>
      <c r="O113" s="9" t="s">
        <v>23</v>
      </c>
      <c r="P113" s="9" t="s">
        <v>23</v>
      </c>
      <c r="Q113" s="9" t="s">
        <v>38</v>
      </c>
      <c r="R113" s="9" t="s">
        <v>32</v>
      </c>
      <c r="S113" s="9" t="s">
        <v>70</v>
      </c>
      <c r="T113" s="9" t="s">
        <v>23</v>
      </c>
      <c r="U113" s="10" t="s">
        <v>23</v>
      </c>
      <c r="V113">
        <f>IF(C113="100.00",1,0)</f>
        <v>0</v>
      </c>
      <c r="W113">
        <f>IF(D113="100.00",1,0)</f>
        <v>0</v>
      </c>
      <c r="X113">
        <f>IF(E113="100.00",1,0)</f>
        <v>0</v>
      </c>
      <c r="Y113">
        <f>IF(F113="100.00",1,0)</f>
        <v>0</v>
      </c>
      <c r="Z113">
        <f>IF(G113="100.00",1,0)</f>
        <v>0</v>
      </c>
      <c r="AA113">
        <f>IF(H113="100.00",1,0)</f>
        <v>0</v>
      </c>
      <c r="AB113">
        <f>IF(I113="100.00",1,0)</f>
        <v>0</v>
      </c>
      <c r="AC113">
        <f>IF(J113="100.00",1,0)</f>
        <v>0</v>
      </c>
      <c r="AD113">
        <f>IF(K113="100.00",1,0)</f>
        <v>0</v>
      </c>
      <c r="AE113">
        <f>IF(L113="100.00",1,0)</f>
        <v>0</v>
      </c>
      <c r="AF113">
        <f>IF(M113="100.00",1,0)</f>
        <v>0</v>
      </c>
      <c r="AG113">
        <f>IF(N113="100.00",1,0)</f>
        <v>0</v>
      </c>
      <c r="AH113">
        <f>IF(O113="100.00",1,0)</f>
        <v>0</v>
      </c>
      <c r="AI113">
        <f>IF(P113="100.00",1,0)</f>
        <v>0</v>
      </c>
      <c r="AJ113">
        <f>IF(Q113="100.00",1,0)</f>
        <v>0</v>
      </c>
      <c r="AK113">
        <f>IF(R113="100.00",1,0)</f>
        <v>0</v>
      </c>
      <c r="AL113">
        <f>IF(S113="100.00",1,0)</f>
        <v>0</v>
      </c>
      <c r="AM113">
        <f>IF(T113="100.00",1,0)</f>
        <v>0</v>
      </c>
      <c r="AN113">
        <f>IF(U113="100.00",1,0)</f>
        <v>0</v>
      </c>
      <c r="AO113">
        <f>SUM(V113:AN113)</f>
        <v>0</v>
      </c>
    </row>
    <row r="114" spans="1:41" x14ac:dyDescent="0.35">
      <c r="A114" s="5" t="s">
        <v>96</v>
      </c>
      <c r="B114" s="6">
        <v>95020904777</v>
      </c>
      <c r="C114" s="6" t="s">
        <v>23</v>
      </c>
      <c r="D114" s="6" t="s">
        <v>23</v>
      </c>
      <c r="E114" s="6" t="s">
        <v>88</v>
      </c>
      <c r="F114" s="6" t="s">
        <v>23</v>
      </c>
      <c r="G114" s="6" t="s">
        <v>23</v>
      </c>
      <c r="H114" s="6" t="s">
        <v>23</v>
      </c>
      <c r="I114" s="6" t="s">
        <v>48</v>
      </c>
      <c r="J114" s="6" t="s">
        <v>51</v>
      </c>
      <c r="K114" s="6" t="s">
        <v>23</v>
      </c>
      <c r="L114" s="6" t="s">
        <v>23</v>
      </c>
      <c r="M114" s="6" t="s">
        <v>23</v>
      </c>
      <c r="N114" s="6" t="s">
        <v>23</v>
      </c>
      <c r="O114" s="6" t="s">
        <v>23</v>
      </c>
      <c r="P114" s="6" t="s">
        <v>23</v>
      </c>
      <c r="Q114" s="6" t="s">
        <v>74</v>
      </c>
      <c r="R114" s="6" t="s">
        <v>23</v>
      </c>
      <c r="S114" s="6" t="s">
        <v>36</v>
      </c>
      <c r="T114" s="6" t="s">
        <v>97</v>
      </c>
      <c r="U114" s="7" t="s">
        <v>23</v>
      </c>
      <c r="V114">
        <f>IF(C114="100.00",1,0)</f>
        <v>0</v>
      </c>
      <c r="W114">
        <f>IF(D114="100.00",1,0)</f>
        <v>0</v>
      </c>
      <c r="X114">
        <f>IF(E114="100.00",1,0)</f>
        <v>0</v>
      </c>
      <c r="Y114">
        <f>IF(F114="100.00",1,0)</f>
        <v>0</v>
      </c>
      <c r="Z114">
        <f>IF(G114="100.00",1,0)</f>
        <v>0</v>
      </c>
      <c r="AA114">
        <f>IF(H114="100.00",1,0)</f>
        <v>0</v>
      </c>
      <c r="AB114">
        <f>IF(I114="100.00",1,0)</f>
        <v>0</v>
      </c>
      <c r="AC114">
        <f>IF(J114="100.00",1,0)</f>
        <v>0</v>
      </c>
      <c r="AD114">
        <f>IF(K114="100.00",1,0)</f>
        <v>0</v>
      </c>
      <c r="AE114">
        <f>IF(L114="100.00",1,0)</f>
        <v>0</v>
      </c>
      <c r="AF114">
        <f>IF(M114="100.00",1,0)</f>
        <v>0</v>
      </c>
      <c r="AG114">
        <f>IF(N114="100.00",1,0)</f>
        <v>0</v>
      </c>
      <c r="AH114">
        <f>IF(O114="100.00",1,0)</f>
        <v>0</v>
      </c>
      <c r="AI114">
        <f>IF(P114="100.00",1,0)</f>
        <v>0</v>
      </c>
      <c r="AJ114">
        <f>IF(Q114="100.00",1,0)</f>
        <v>0</v>
      </c>
      <c r="AK114">
        <f>IF(R114="100.00",1,0)</f>
        <v>0</v>
      </c>
      <c r="AL114">
        <f>IF(S114="100.00",1,0)</f>
        <v>0</v>
      </c>
      <c r="AM114">
        <f>IF(T114="100.00",1,0)</f>
        <v>0</v>
      </c>
      <c r="AN114">
        <f>IF(U114="100.00",1,0)</f>
        <v>0</v>
      </c>
      <c r="AO114">
        <f>SUM(V114:AN114)</f>
        <v>0</v>
      </c>
    </row>
    <row r="115" spans="1:41" x14ac:dyDescent="0.35">
      <c r="A115" s="8" t="s">
        <v>96</v>
      </c>
      <c r="B115" s="9">
        <v>95021601338</v>
      </c>
      <c r="C115" s="9" t="s">
        <v>23</v>
      </c>
      <c r="D115" s="9" t="s">
        <v>23</v>
      </c>
      <c r="E115" s="9" t="s">
        <v>52</v>
      </c>
      <c r="F115" s="9" t="s">
        <v>23</v>
      </c>
      <c r="G115" s="9" t="s">
        <v>23</v>
      </c>
      <c r="H115" s="9" t="s">
        <v>26</v>
      </c>
      <c r="I115" s="9" t="s">
        <v>40</v>
      </c>
      <c r="J115" s="9" t="s">
        <v>61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23</v>
      </c>
      <c r="Q115" s="9" t="s">
        <v>40</v>
      </c>
      <c r="R115" s="9" t="s">
        <v>41</v>
      </c>
      <c r="S115" s="9" t="s">
        <v>30</v>
      </c>
      <c r="T115" s="9" t="s">
        <v>23</v>
      </c>
      <c r="U115" s="10" t="s">
        <v>23</v>
      </c>
      <c r="V115">
        <f>IF(C115="100.00",1,0)</f>
        <v>0</v>
      </c>
      <c r="W115">
        <f>IF(D115="100.00",1,0)</f>
        <v>0</v>
      </c>
      <c r="X115">
        <f>IF(E115="100.00",1,0)</f>
        <v>0</v>
      </c>
      <c r="Y115">
        <f>IF(F115="100.00",1,0)</f>
        <v>0</v>
      </c>
      <c r="Z115">
        <f>IF(G115="100.00",1,0)</f>
        <v>0</v>
      </c>
      <c r="AA115">
        <f>IF(H115="100.00",1,0)</f>
        <v>0</v>
      </c>
      <c r="AB115">
        <f>IF(I115="100.00",1,0)</f>
        <v>0</v>
      </c>
      <c r="AC115">
        <f>IF(J115="100.00",1,0)</f>
        <v>0</v>
      </c>
      <c r="AD115">
        <f>IF(K115="100.00",1,0)</f>
        <v>0</v>
      </c>
      <c r="AE115">
        <f>IF(L115="100.00",1,0)</f>
        <v>0</v>
      </c>
      <c r="AF115">
        <f>IF(M115="100.00",1,0)</f>
        <v>0</v>
      </c>
      <c r="AG115">
        <f>IF(N115="100.00",1,0)</f>
        <v>0</v>
      </c>
      <c r="AH115">
        <f>IF(O115="100.00",1,0)</f>
        <v>0</v>
      </c>
      <c r="AI115">
        <f>IF(P115="100.00",1,0)</f>
        <v>0</v>
      </c>
      <c r="AJ115">
        <f>IF(Q115="100.00",1,0)</f>
        <v>0</v>
      </c>
      <c r="AK115">
        <f>IF(R115="100.00",1,0)</f>
        <v>0</v>
      </c>
      <c r="AL115">
        <f>IF(S115="100.00",1,0)</f>
        <v>0</v>
      </c>
      <c r="AM115">
        <f>IF(T115="100.00",1,0)</f>
        <v>0</v>
      </c>
      <c r="AN115">
        <f>IF(U115="100.00",1,0)</f>
        <v>0</v>
      </c>
      <c r="AO115">
        <f>SUM(V115:AN115)</f>
        <v>0</v>
      </c>
    </row>
    <row r="116" spans="1:41" x14ac:dyDescent="0.35">
      <c r="A116" s="5" t="s">
        <v>96</v>
      </c>
      <c r="B116" s="6">
        <v>95032801943</v>
      </c>
      <c r="C116" s="6" t="s">
        <v>23</v>
      </c>
      <c r="D116" s="6" t="s">
        <v>23</v>
      </c>
      <c r="E116" s="6" t="s">
        <v>33</v>
      </c>
      <c r="F116" s="6" t="s">
        <v>23</v>
      </c>
      <c r="G116" s="6" t="s">
        <v>23</v>
      </c>
      <c r="H116" s="6" t="s">
        <v>23</v>
      </c>
      <c r="I116" s="6" t="s">
        <v>86</v>
      </c>
      <c r="J116" s="6" t="s">
        <v>45</v>
      </c>
      <c r="K116" s="6" t="s">
        <v>23</v>
      </c>
      <c r="L116" s="6" t="s">
        <v>23</v>
      </c>
      <c r="M116" s="6" t="s">
        <v>23</v>
      </c>
      <c r="N116" s="6" t="s">
        <v>23</v>
      </c>
      <c r="O116" s="6" t="s">
        <v>23</v>
      </c>
      <c r="P116" s="6" t="s">
        <v>23</v>
      </c>
      <c r="Q116" s="6" t="s">
        <v>49</v>
      </c>
      <c r="R116" s="6" t="s">
        <v>39</v>
      </c>
      <c r="S116" s="6" t="s">
        <v>61</v>
      </c>
      <c r="T116" s="6" t="s">
        <v>23</v>
      </c>
      <c r="U116" s="7" t="s">
        <v>23</v>
      </c>
      <c r="V116">
        <f>IF(C116="100.00",1,0)</f>
        <v>0</v>
      </c>
      <c r="W116">
        <f>IF(D116="100.00",1,0)</f>
        <v>0</v>
      </c>
      <c r="X116">
        <f>IF(E116="100.00",1,0)</f>
        <v>0</v>
      </c>
      <c r="Y116">
        <f>IF(F116="100.00",1,0)</f>
        <v>0</v>
      </c>
      <c r="Z116">
        <f>IF(G116="100.00",1,0)</f>
        <v>0</v>
      </c>
      <c r="AA116">
        <f>IF(H116="100.00",1,0)</f>
        <v>0</v>
      </c>
      <c r="AB116">
        <f>IF(I116="100.00",1,0)</f>
        <v>0</v>
      </c>
      <c r="AC116">
        <f>IF(J116="100.00",1,0)</f>
        <v>0</v>
      </c>
      <c r="AD116">
        <f>IF(K116="100.00",1,0)</f>
        <v>0</v>
      </c>
      <c r="AE116">
        <f>IF(L116="100.00",1,0)</f>
        <v>0</v>
      </c>
      <c r="AF116">
        <f>IF(M116="100.00",1,0)</f>
        <v>0</v>
      </c>
      <c r="AG116">
        <f>IF(N116="100.00",1,0)</f>
        <v>0</v>
      </c>
      <c r="AH116">
        <f>IF(O116="100.00",1,0)</f>
        <v>0</v>
      </c>
      <c r="AI116">
        <f>IF(P116="100.00",1,0)</f>
        <v>0</v>
      </c>
      <c r="AJ116">
        <f>IF(Q116="100.00",1,0)</f>
        <v>0</v>
      </c>
      <c r="AK116">
        <f>IF(R116="100.00",1,0)</f>
        <v>0</v>
      </c>
      <c r="AL116">
        <f>IF(S116="100.00",1,0)</f>
        <v>0</v>
      </c>
      <c r="AM116">
        <f>IF(T116="100.00",1,0)</f>
        <v>0</v>
      </c>
      <c r="AN116">
        <f>IF(U116="100.00",1,0)</f>
        <v>0</v>
      </c>
      <c r="AO116">
        <f>SUM(V116:AN116)</f>
        <v>0</v>
      </c>
    </row>
    <row r="117" spans="1:41" x14ac:dyDescent="0.35">
      <c r="A117" s="8" t="s">
        <v>96</v>
      </c>
      <c r="B117" s="9">
        <v>95032801950</v>
      </c>
      <c r="C117" s="9" t="s">
        <v>23</v>
      </c>
      <c r="D117" s="9" t="s">
        <v>23</v>
      </c>
      <c r="E117" s="9" t="s">
        <v>88</v>
      </c>
      <c r="F117" s="9" t="s">
        <v>23</v>
      </c>
      <c r="G117" s="9" t="s">
        <v>23</v>
      </c>
      <c r="H117" s="9" t="s">
        <v>23</v>
      </c>
      <c r="I117" s="9" t="s">
        <v>62</v>
      </c>
      <c r="J117" s="9" t="s">
        <v>46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 t="s">
        <v>71</v>
      </c>
      <c r="R117" s="9" t="s">
        <v>34</v>
      </c>
      <c r="S117" s="9" t="s">
        <v>67</v>
      </c>
      <c r="T117" s="9" t="s">
        <v>23</v>
      </c>
      <c r="U117" s="10" t="s">
        <v>23</v>
      </c>
      <c r="V117">
        <f>IF(C117="100.00",1,0)</f>
        <v>0</v>
      </c>
      <c r="W117">
        <f>IF(D117="100.00",1,0)</f>
        <v>0</v>
      </c>
      <c r="X117">
        <f>IF(E117="100.00",1,0)</f>
        <v>0</v>
      </c>
      <c r="Y117">
        <f>IF(F117="100.00",1,0)</f>
        <v>0</v>
      </c>
      <c r="Z117">
        <f>IF(G117="100.00",1,0)</f>
        <v>0</v>
      </c>
      <c r="AA117">
        <f>IF(H117="100.00",1,0)</f>
        <v>0</v>
      </c>
      <c r="AB117">
        <f>IF(I117="100.00",1,0)</f>
        <v>0</v>
      </c>
      <c r="AC117">
        <f>IF(J117="100.00",1,0)</f>
        <v>0</v>
      </c>
      <c r="AD117">
        <f>IF(K117="100.00",1,0)</f>
        <v>0</v>
      </c>
      <c r="AE117">
        <f>IF(L117="100.00",1,0)</f>
        <v>0</v>
      </c>
      <c r="AF117">
        <f>IF(M117="100.00",1,0)</f>
        <v>0</v>
      </c>
      <c r="AG117">
        <f>IF(N117="100.00",1,0)</f>
        <v>0</v>
      </c>
      <c r="AH117">
        <f>IF(O117="100.00",1,0)</f>
        <v>0</v>
      </c>
      <c r="AI117">
        <f>IF(P117="100.00",1,0)</f>
        <v>0</v>
      </c>
      <c r="AJ117">
        <f>IF(Q117="100.00",1,0)</f>
        <v>0</v>
      </c>
      <c r="AK117">
        <f>IF(R117="100.00",1,0)</f>
        <v>0</v>
      </c>
      <c r="AL117">
        <f>IF(S117="100.00",1,0)</f>
        <v>0</v>
      </c>
      <c r="AM117">
        <f>IF(T117="100.00",1,0)</f>
        <v>0</v>
      </c>
      <c r="AN117">
        <f>IF(U117="100.00",1,0)</f>
        <v>0</v>
      </c>
      <c r="AO117">
        <f>SUM(V117:AN117)</f>
        <v>0</v>
      </c>
    </row>
    <row r="118" spans="1:41" x14ac:dyDescent="0.35">
      <c r="A118" s="5" t="s">
        <v>96</v>
      </c>
      <c r="B118" s="6">
        <v>95040804338</v>
      </c>
      <c r="C118" s="6" t="s">
        <v>98</v>
      </c>
      <c r="D118" s="6" t="s">
        <v>23</v>
      </c>
      <c r="E118" s="6" t="s">
        <v>98</v>
      </c>
      <c r="F118" s="6" t="s">
        <v>23</v>
      </c>
      <c r="G118" s="6" t="s">
        <v>23</v>
      </c>
      <c r="H118" s="6" t="s">
        <v>23</v>
      </c>
      <c r="I118" s="6" t="s">
        <v>48</v>
      </c>
      <c r="J118" s="6" t="s">
        <v>55</v>
      </c>
      <c r="K118" s="6" t="s">
        <v>23</v>
      </c>
      <c r="L118" s="6" t="s">
        <v>23</v>
      </c>
      <c r="M118" s="6" t="s">
        <v>23</v>
      </c>
      <c r="N118" s="6" t="s">
        <v>23</v>
      </c>
      <c r="O118" s="6" t="s">
        <v>23</v>
      </c>
      <c r="P118" s="6" t="s">
        <v>23</v>
      </c>
      <c r="Q118" s="6" t="s">
        <v>56</v>
      </c>
      <c r="R118" s="6" t="s">
        <v>23</v>
      </c>
      <c r="S118" s="6" t="s">
        <v>82</v>
      </c>
      <c r="T118" s="6" t="s">
        <v>23</v>
      </c>
      <c r="U118" s="7" t="s">
        <v>23</v>
      </c>
      <c r="V118">
        <f>IF(C118="100.00",1,0)</f>
        <v>0</v>
      </c>
      <c r="W118">
        <f>IF(D118="100.00",1,0)</f>
        <v>0</v>
      </c>
      <c r="X118">
        <f>IF(E118="100.00",1,0)</f>
        <v>0</v>
      </c>
      <c r="Y118">
        <f>IF(F118="100.00",1,0)</f>
        <v>0</v>
      </c>
      <c r="Z118">
        <f>IF(G118="100.00",1,0)</f>
        <v>0</v>
      </c>
      <c r="AA118">
        <f>IF(H118="100.00",1,0)</f>
        <v>0</v>
      </c>
      <c r="AB118">
        <f>IF(I118="100.00",1,0)</f>
        <v>0</v>
      </c>
      <c r="AC118">
        <f>IF(J118="100.00",1,0)</f>
        <v>0</v>
      </c>
      <c r="AD118">
        <f>IF(K118="100.00",1,0)</f>
        <v>0</v>
      </c>
      <c r="AE118">
        <f>IF(L118="100.00",1,0)</f>
        <v>0</v>
      </c>
      <c r="AF118">
        <f>IF(M118="100.00",1,0)</f>
        <v>0</v>
      </c>
      <c r="AG118">
        <f>IF(N118="100.00",1,0)</f>
        <v>0</v>
      </c>
      <c r="AH118">
        <f>IF(O118="100.00",1,0)</f>
        <v>0</v>
      </c>
      <c r="AI118">
        <f>IF(P118="100.00",1,0)</f>
        <v>0</v>
      </c>
      <c r="AJ118">
        <f>IF(Q118="100.00",1,0)</f>
        <v>0</v>
      </c>
      <c r="AK118">
        <f>IF(R118="100.00",1,0)</f>
        <v>0</v>
      </c>
      <c r="AL118">
        <f>IF(S118="100.00",1,0)</f>
        <v>0</v>
      </c>
      <c r="AM118">
        <f>IF(T118="100.00",1,0)</f>
        <v>0</v>
      </c>
      <c r="AN118">
        <f>IF(U118="100.00",1,0)</f>
        <v>0</v>
      </c>
      <c r="AO118">
        <f>SUM(V118:AN118)</f>
        <v>0</v>
      </c>
    </row>
    <row r="119" spans="1:41" x14ac:dyDescent="0.35">
      <c r="A119" s="8" t="s">
        <v>96</v>
      </c>
      <c r="B119" s="9">
        <v>95050803734</v>
      </c>
      <c r="C119" s="9" t="s">
        <v>23</v>
      </c>
      <c r="D119" s="9" t="s">
        <v>23</v>
      </c>
      <c r="E119" s="9" t="s">
        <v>46</v>
      </c>
      <c r="F119" s="9" t="s">
        <v>23</v>
      </c>
      <c r="G119" s="9" t="s">
        <v>23</v>
      </c>
      <c r="H119" s="9" t="s">
        <v>23</v>
      </c>
      <c r="I119" s="9" t="s">
        <v>40</v>
      </c>
      <c r="J119" s="9" t="s">
        <v>49</v>
      </c>
      <c r="K119" s="9" t="s">
        <v>23</v>
      </c>
      <c r="L119" s="9" t="s">
        <v>23</v>
      </c>
      <c r="M119" s="9" t="s">
        <v>23</v>
      </c>
      <c r="N119" s="9" t="s">
        <v>23</v>
      </c>
      <c r="O119" s="9" t="s">
        <v>23</v>
      </c>
      <c r="P119" s="9" t="s">
        <v>23</v>
      </c>
      <c r="Q119" s="9" t="s">
        <v>55</v>
      </c>
      <c r="R119" s="9" t="s">
        <v>74</v>
      </c>
      <c r="S119" s="9" t="s">
        <v>31</v>
      </c>
      <c r="T119" s="9" t="s">
        <v>23</v>
      </c>
      <c r="U119" s="10" t="s">
        <v>23</v>
      </c>
      <c r="V119">
        <f>IF(C119="100.00",1,0)</f>
        <v>0</v>
      </c>
      <c r="W119">
        <f>IF(D119="100.00",1,0)</f>
        <v>0</v>
      </c>
      <c r="X119">
        <f>IF(E119="100.00",1,0)</f>
        <v>0</v>
      </c>
      <c r="Y119">
        <f>IF(F119="100.00",1,0)</f>
        <v>0</v>
      </c>
      <c r="Z119">
        <f>IF(G119="100.00",1,0)</f>
        <v>0</v>
      </c>
      <c r="AA119">
        <f>IF(H119="100.00",1,0)</f>
        <v>0</v>
      </c>
      <c r="AB119">
        <f>IF(I119="100.00",1,0)</f>
        <v>0</v>
      </c>
      <c r="AC119">
        <f>IF(J119="100.00",1,0)</f>
        <v>0</v>
      </c>
      <c r="AD119">
        <f>IF(K119="100.00",1,0)</f>
        <v>0</v>
      </c>
      <c r="AE119">
        <f>IF(L119="100.00",1,0)</f>
        <v>0</v>
      </c>
      <c r="AF119">
        <f>IF(M119="100.00",1,0)</f>
        <v>0</v>
      </c>
      <c r="AG119">
        <f>IF(N119="100.00",1,0)</f>
        <v>0</v>
      </c>
      <c r="AH119">
        <f>IF(O119="100.00",1,0)</f>
        <v>0</v>
      </c>
      <c r="AI119">
        <f>IF(P119="100.00",1,0)</f>
        <v>0</v>
      </c>
      <c r="AJ119">
        <f>IF(Q119="100.00",1,0)</f>
        <v>0</v>
      </c>
      <c r="AK119">
        <f>IF(R119="100.00",1,0)</f>
        <v>0</v>
      </c>
      <c r="AL119">
        <f>IF(S119="100.00",1,0)</f>
        <v>0</v>
      </c>
      <c r="AM119">
        <f>IF(T119="100.00",1,0)</f>
        <v>0</v>
      </c>
      <c r="AN119">
        <f>IF(U119="100.00",1,0)</f>
        <v>0</v>
      </c>
      <c r="AO119">
        <f>SUM(V119:AN119)</f>
        <v>0</v>
      </c>
    </row>
    <row r="120" spans="1:41" x14ac:dyDescent="0.35">
      <c r="A120" s="5" t="s">
        <v>96</v>
      </c>
      <c r="B120" s="6">
        <v>95052200645</v>
      </c>
      <c r="C120" s="6" t="s">
        <v>23</v>
      </c>
      <c r="D120" s="6" t="s">
        <v>23</v>
      </c>
      <c r="E120" s="6" t="s">
        <v>35</v>
      </c>
      <c r="F120" s="6" t="s">
        <v>23</v>
      </c>
      <c r="G120" s="6" t="s">
        <v>23</v>
      </c>
      <c r="H120" s="6" t="s">
        <v>23</v>
      </c>
      <c r="I120" s="6" t="s">
        <v>40</v>
      </c>
      <c r="J120" s="6" t="s">
        <v>56</v>
      </c>
      <c r="K120" s="6" t="s">
        <v>23</v>
      </c>
      <c r="L120" s="6" t="s">
        <v>23</v>
      </c>
      <c r="M120" s="6" t="s">
        <v>23</v>
      </c>
      <c r="N120" s="6" t="s">
        <v>23</v>
      </c>
      <c r="O120" s="6" t="s">
        <v>23</v>
      </c>
      <c r="P120" s="6" t="s">
        <v>23</v>
      </c>
      <c r="Q120" s="6" t="s">
        <v>49</v>
      </c>
      <c r="R120" s="6" t="s">
        <v>26</v>
      </c>
      <c r="S120" s="6" t="s">
        <v>52</v>
      </c>
      <c r="T120" s="6" t="s">
        <v>23</v>
      </c>
      <c r="U120" s="7" t="s">
        <v>23</v>
      </c>
      <c r="V120">
        <f>IF(C120="100.00",1,0)</f>
        <v>0</v>
      </c>
      <c r="W120">
        <f>IF(D120="100.00",1,0)</f>
        <v>0</v>
      </c>
      <c r="X120">
        <f>IF(E120="100.00",1,0)</f>
        <v>0</v>
      </c>
      <c r="Y120">
        <f>IF(F120="100.00",1,0)</f>
        <v>0</v>
      </c>
      <c r="Z120">
        <f>IF(G120="100.00",1,0)</f>
        <v>0</v>
      </c>
      <c r="AA120">
        <f>IF(H120="100.00",1,0)</f>
        <v>0</v>
      </c>
      <c r="AB120">
        <f>IF(I120="100.00",1,0)</f>
        <v>0</v>
      </c>
      <c r="AC120">
        <f>IF(J120="100.00",1,0)</f>
        <v>0</v>
      </c>
      <c r="AD120">
        <f>IF(K120="100.00",1,0)</f>
        <v>0</v>
      </c>
      <c r="AE120">
        <f>IF(L120="100.00",1,0)</f>
        <v>0</v>
      </c>
      <c r="AF120">
        <f>IF(M120="100.00",1,0)</f>
        <v>0</v>
      </c>
      <c r="AG120">
        <f>IF(N120="100.00",1,0)</f>
        <v>0</v>
      </c>
      <c r="AH120">
        <f>IF(O120="100.00",1,0)</f>
        <v>0</v>
      </c>
      <c r="AI120">
        <f>IF(P120="100.00",1,0)</f>
        <v>0</v>
      </c>
      <c r="AJ120">
        <f>IF(Q120="100.00",1,0)</f>
        <v>0</v>
      </c>
      <c r="AK120">
        <f>IF(R120="100.00",1,0)</f>
        <v>0</v>
      </c>
      <c r="AL120">
        <f>IF(S120="100.00",1,0)</f>
        <v>0</v>
      </c>
      <c r="AM120">
        <f>IF(T120="100.00",1,0)</f>
        <v>0</v>
      </c>
      <c r="AN120">
        <f>IF(U120="100.00",1,0)</f>
        <v>0</v>
      </c>
      <c r="AO120">
        <f>SUM(V120:AN120)</f>
        <v>0</v>
      </c>
    </row>
    <row r="121" spans="1:41" x14ac:dyDescent="0.35">
      <c r="A121" s="8" t="s">
        <v>96</v>
      </c>
      <c r="B121" s="9">
        <v>95060705327</v>
      </c>
      <c r="C121" s="9" t="s">
        <v>23</v>
      </c>
      <c r="D121" s="9" t="s">
        <v>23</v>
      </c>
      <c r="E121" s="9" t="s">
        <v>23</v>
      </c>
      <c r="F121" s="9" t="s">
        <v>23</v>
      </c>
      <c r="G121" s="9" t="s">
        <v>23</v>
      </c>
      <c r="H121" s="9" t="s">
        <v>23</v>
      </c>
      <c r="I121" s="9" t="s">
        <v>40</v>
      </c>
      <c r="J121" s="9" t="s">
        <v>39</v>
      </c>
      <c r="K121" s="9" t="s">
        <v>23</v>
      </c>
      <c r="L121" s="9" t="s">
        <v>23</v>
      </c>
      <c r="M121" s="9" t="s">
        <v>23</v>
      </c>
      <c r="N121" s="9" t="s">
        <v>23</v>
      </c>
      <c r="O121" s="9" t="s">
        <v>23</v>
      </c>
      <c r="P121" s="9" t="s">
        <v>23</v>
      </c>
      <c r="Q121" s="9" t="s">
        <v>70</v>
      </c>
      <c r="R121" s="9" t="s">
        <v>23</v>
      </c>
      <c r="S121" s="9" t="s">
        <v>67</v>
      </c>
      <c r="T121" s="9" t="s">
        <v>23</v>
      </c>
      <c r="U121" s="10" t="s">
        <v>23</v>
      </c>
      <c r="V121">
        <f>IF(C121="100.00",1,0)</f>
        <v>0</v>
      </c>
      <c r="W121">
        <f>IF(D121="100.00",1,0)</f>
        <v>0</v>
      </c>
      <c r="X121">
        <f>IF(E121="100.00",1,0)</f>
        <v>0</v>
      </c>
      <c r="Y121">
        <f>IF(F121="100.00",1,0)</f>
        <v>0</v>
      </c>
      <c r="Z121">
        <f>IF(G121="100.00",1,0)</f>
        <v>0</v>
      </c>
      <c r="AA121">
        <f>IF(H121="100.00",1,0)</f>
        <v>0</v>
      </c>
      <c r="AB121">
        <f>IF(I121="100.00",1,0)</f>
        <v>0</v>
      </c>
      <c r="AC121">
        <f>IF(J121="100.00",1,0)</f>
        <v>0</v>
      </c>
      <c r="AD121">
        <f>IF(K121="100.00",1,0)</f>
        <v>0</v>
      </c>
      <c r="AE121">
        <f>IF(L121="100.00",1,0)</f>
        <v>0</v>
      </c>
      <c r="AF121">
        <f>IF(M121="100.00",1,0)</f>
        <v>0</v>
      </c>
      <c r="AG121">
        <f>IF(N121="100.00",1,0)</f>
        <v>0</v>
      </c>
      <c r="AH121">
        <f>IF(O121="100.00",1,0)</f>
        <v>0</v>
      </c>
      <c r="AI121">
        <f>IF(P121="100.00",1,0)</f>
        <v>0</v>
      </c>
      <c r="AJ121">
        <f>IF(Q121="100.00",1,0)</f>
        <v>0</v>
      </c>
      <c r="AK121">
        <f>IF(R121="100.00",1,0)</f>
        <v>0</v>
      </c>
      <c r="AL121">
        <f>IF(S121="100.00",1,0)</f>
        <v>0</v>
      </c>
      <c r="AM121">
        <f>IF(T121="100.00",1,0)</f>
        <v>0</v>
      </c>
      <c r="AN121">
        <f>IF(U121="100.00",1,0)</f>
        <v>0</v>
      </c>
      <c r="AO121">
        <f>SUM(V121:AN121)</f>
        <v>0</v>
      </c>
    </row>
    <row r="122" spans="1:41" x14ac:dyDescent="0.35">
      <c r="A122" s="5" t="s">
        <v>96</v>
      </c>
      <c r="B122" s="6">
        <v>95080407818</v>
      </c>
      <c r="C122" s="6" t="s">
        <v>23</v>
      </c>
      <c r="D122" s="6" t="s">
        <v>23</v>
      </c>
      <c r="E122" s="6" t="s">
        <v>23</v>
      </c>
      <c r="F122" s="6" t="s">
        <v>23</v>
      </c>
      <c r="G122" s="6" t="s">
        <v>23</v>
      </c>
      <c r="H122" s="6" t="s">
        <v>33</v>
      </c>
      <c r="I122" s="6" t="s">
        <v>40</v>
      </c>
      <c r="J122" s="6" t="s">
        <v>63</v>
      </c>
      <c r="K122" s="6" t="s">
        <v>23</v>
      </c>
      <c r="L122" s="6" t="s">
        <v>23</v>
      </c>
      <c r="M122" s="6" t="s">
        <v>23</v>
      </c>
      <c r="N122" s="6" t="s">
        <v>23</v>
      </c>
      <c r="O122" s="6" t="s">
        <v>23</v>
      </c>
      <c r="P122" s="6" t="s">
        <v>23</v>
      </c>
      <c r="Q122" s="6" t="s">
        <v>49</v>
      </c>
      <c r="R122" s="6" t="s">
        <v>42</v>
      </c>
      <c r="S122" s="6" t="s">
        <v>64</v>
      </c>
      <c r="T122" s="6" t="s">
        <v>23</v>
      </c>
      <c r="U122" s="7" t="s">
        <v>23</v>
      </c>
      <c r="V122">
        <f>IF(C122="100.00",1,0)</f>
        <v>0</v>
      </c>
      <c r="W122">
        <f>IF(D122="100.00",1,0)</f>
        <v>0</v>
      </c>
      <c r="X122">
        <f>IF(E122="100.00",1,0)</f>
        <v>0</v>
      </c>
      <c r="Y122">
        <f>IF(F122="100.00",1,0)</f>
        <v>0</v>
      </c>
      <c r="Z122">
        <f>IF(G122="100.00",1,0)</f>
        <v>0</v>
      </c>
      <c r="AA122">
        <f>IF(H122="100.00",1,0)</f>
        <v>0</v>
      </c>
      <c r="AB122">
        <f>IF(I122="100.00",1,0)</f>
        <v>0</v>
      </c>
      <c r="AC122">
        <f>IF(J122="100.00",1,0)</f>
        <v>0</v>
      </c>
      <c r="AD122">
        <f>IF(K122="100.00",1,0)</f>
        <v>0</v>
      </c>
      <c r="AE122">
        <f>IF(L122="100.00",1,0)</f>
        <v>0</v>
      </c>
      <c r="AF122">
        <f>IF(M122="100.00",1,0)</f>
        <v>0</v>
      </c>
      <c r="AG122">
        <f>IF(N122="100.00",1,0)</f>
        <v>0</v>
      </c>
      <c r="AH122">
        <f>IF(O122="100.00",1,0)</f>
        <v>0</v>
      </c>
      <c r="AI122">
        <f>IF(P122="100.00",1,0)</f>
        <v>0</v>
      </c>
      <c r="AJ122">
        <f>IF(Q122="100.00",1,0)</f>
        <v>0</v>
      </c>
      <c r="AK122">
        <f>IF(R122="100.00",1,0)</f>
        <v>0</v>
      </c>
      <c r="AL122">
        <f>IF(S122="100.00",1,0)</f>
        <v>0</v>
      </c>
      <c r="AM122">
        <f>IF(T122="100.00",1,0)</f>
        <v>0</v>
      </c>
      <c r="AN122">
        <f>IF(U122="100.00",1,0)</f>
        <v>0</v>
      </c>
      <c r="AO122">
        <f>SUM(V122:AN122)</f>
        <v>0</v>
      </c>
    </row>
    <row r="123" spans="1:41" x14ac:dyDescent="0.35">
      <c r="A123" s="8" t="s">
        <v>96</v>
      </c>
      <c r="B123" s="9">
        <v>95080805098</v>
      </c>
      <c r="C123" s="9" t="s">
        <v>23</v>
      </c>
      <c r="D123" s="9" t="s">
        <v>23</v>
      </c>
      <c r="E123" s="9" t="s">
        <v>47</v>
      </c>
      <c r="F123" s="9" t="s">
        <v>23</v>
      </c>
      <c r="G123" s="9" t="s">
        <v>23</v>
      </c>
      <c r="H123" s="9" t="s">
        <v>23</v>
      </c>
      <c r="I123" s="9" t="s">
        <v>55</v>
      </c>
      <c r="J123" s="9" t="s">
        <v>99</v>
      </c>
      <c r="K123" s="9" t="s">
        <v>23</v>
      </c>
      <c r="L123" s="9" t="s">
        <v>23</v>
      </c>
      <c r="M123" s="9" t="s">
        <v>23</v>
      </c>
      <c r="N123" s="9" t="s">
        <v>23</v>
      </c>
      <c r="O123" s="9" t="s">
        <v>23</v>
      </c>
      <c r="P123" s="9" t="s">
        <v>23</v>
      </c>
      <c r="Q123" s="9" t="s">
        <v>26</v>
      </c>
      <c r="R123" s="9" t="s">
        <v>41</v>
      </c>
      <c r="S123" s="9" t="s">
        <v>44</v>
      </c>
      <c r="T123" s="9" t="s">
        <v>23</v>
      </c>
      <c r="U123" s="10" t="s">
        <v>23</v>
      </c>
      <c r="V123">
        <f>IF(C123="100.00",1,0)</f>
        <v>0</v>
      </c>
      <c r="W123">
        <f>IF(D123="100.00",1,0)</f>
        <v>0</v>
      </c>
      <c r="X123">
        <f>IF(E123="100.00",1,0)</f>
        <v>0</v>
      </c>
      <c r="Y123">
        <f>IF(F123="100.00",1,0)</f>
        <v>0</v>
      </c>
      <c r="Z123">
        <f>IF(G123="100.00",1,0)</f>
        <v>0</v>
      </c>
      <c r="AA123">
        <f>IF(H123="100.00",1,0)</f>
        <v>0</v>
      </c>
      <c r="AB123">
        <f>IF(I123="100.00",1,0)</f>
        <v>0</v>
      </c>
      <c r="AC123">
        <f>IF(J123="100.00",1,0)</f>
        <v>0</v>
      </c>
      <c r="AD123">
        <f>IF(K123="100.00",1,0)</f>
        <v>0</v>
      </c>
      <c r="AE123">
        <f>IF(L123="100.00",1,0)</f>
        <v>0</v>
      </c>
      <c r="AF123">
        <f>IF(M123="100.00",1,0)</f>
        <v>0</v>
      </c>
      <c r="AG123">
        <f>IF(N123="100.00",1,0)</f>
        <v>0</v>
      </c>
      <c r="AH123">
        <f>IF(O123="100.00",1,0)</f>
        <v>0</v>
      </c>
      <c r="AI123">
        <f>IF(P123="100.00",1,0)</f>
        <v>0</v>
      </c>
      <c r="AJ123">
        <f>IF(Q123="100.00",1,0)</f>
        <v>0</v>
      </c>
      <c r="AK123">
        <f>IF(R123="100.00",1,0)</f>
        <v>0</v>
      </c>
      <c r="AL123">
        <f>IF(S123="100.00",1,0)</f>
        <v>0</v>
      </c>
      <c r="AM123">
        <f>IF(T123="100.00",1,0)</f>
        <v>0</v>
      </c>
      <c r="AN123">
        <f>IF(U123="100.00",1,0)</f>
        <v>0</v>
      </c>
      <c r="AO123">
        <f>SUM(V123:AN123)</f>
        <v>0</v>
      </c>
    </row>
    <row r="124" spans="1:41" x14ac:dyDescent="0.35">
      <c r="A124" s="8" t="s">
        <v>96</v>
      </c>
      <c r="B124" s="9">
        <v>95091803737</v>
      </c>
      <c r="C124" s="9" t="s">
        <v>23</v>
      </c>
      <c r="D124" s="9" t="s">
        <v>23</v>
      </c>
      <c r="E124" s="9" t="s">
        <v>23</v>
      </c>
      <c r="F124" s="9" t="s">
        <v>23</v>
      </c>
      <c r="G124" s="9" t="s">
        <v>23</v>
      </c>
      <c r="H124" s="9" t="s">
        <v>40</v>
      </c>
      <c r="I124" s="9" t="s">
        <v>66</v>
      </c>
      <c r="J124" s="9" t="s">
        <v>55</v>
      </c>
      <c r="K124" s="9" t="s">
        <v>23</v>
      </c>
      <c r="L124" s="9" t="s">
        <v>23</v>
      </c>
      <c r="M124" s="9" t="s">
        <v>23</v>
      </c>
      <c r="N124" s="9" t="s">
        <v>23</v>
      </c>
      <c r="O124" s="9" t="s">
        <v>23</v>
      </c>
      <c r="P124" s="9" t="s">
        <v>23</v>
      </c>
      <c r="Q124" s="9" t="s">
        <v>48</v>
      </c>
      <c r="R124" s="9" t="s">
        <v>35</v>
      </c>
      <c r="S124" s="9" t="s">
        <v>76</v>
      </c>
      <c r="T124" s="9" t="s">
        <v>23</v>
      </c>
      <c r="U124" s="10" t="s">
        <v>23</v>
      </c>
      <c r="V124">
        <f>IF(C124="100.00",1,0)</f>
        <v>0</v>
      </c>
      <c r="W124">
        <f>IF(D124="100.00",1,0)</f>
        <v>0</v>
      </c>
      <c r="X124">
        <f>IF(E124="100.00",1,0)</f>
        <v>0</v>
      </c>
      <c r="Y124">
        <f>IF(F124="100.00",1,0)</f>
        <v>0</v>
      </c>
      <c r="Z124">
        <f>IF(G124="100.00",1,0)</f>
        <v>0</v>
      </c>
      <c r="AA124">
        <f>IF(H124="100.00",1,0)</f>
        <v>0</v>
      </c>
      <c r="AB124">
        <f>IF(I124="100.00",1,0)</f>
        <v>0</v>
      </c>
      <c r="AC124">
        <f>IF(J124="100.00",1,0)</f>
        <v>0</v>
      </c>
      <c r="AD124">
        <f>IF(K124="100.00",1,0)</f>
        <v>0</v>
      </c>
      <c r="AE124">
        <f>IF(L124="100.00",1,0)</f>
        <v>0</v>
      </c>
      <c r="AF124">
        <f>IF(M124="100.00",1,0)</f>
        <v>0</v>
      </c>
      <c r="AG124">
        <f>IF(N124="100.00",1,0)</f>
        <v>0</v>
      </c>
      <c r="AH124">
        <f>IF(O124="100.00",1,0)</f>
        <v>0</v>
      </c>
      <c r="AI124">
        <f>IF(P124="100.00",1,0)</f>
        <v>0</v>
      </c>
      <c r="AJ124">
        <f>IF(Q124="100.00",1,0)</f>
        <v>0</v>
      </c>
      <c r="AK124">
        <f>IF(R124="100.00",1,0)</f>
        <v>0</v>
      </c>
      <c r="AL124">
        <f>IF(S124="100.00",1,0)</f>
        <v>0</v>
      </c>
      <c r="AM124">
        <f>IF(T124="100.00",1,0)</f>
        <v>0</v>
      </c>
      <c r="AN124">
        <f>IF(U124="100.00",1,0)</f>
        <v>0</v>
      </c>
      <c r="AO124">
        <f>SUM(V124:AN124)</f>
        <v>0</v>
      </c>
    </row>
    <row r="125" spans="1:41" x14ac:dyDescent="0.35">
      <c r="A125" s="5" t="s">
        <v>96</v>
      </c>
      <c r="B125" s="6">
        <v>95100400649</v>
      </c>
      <c r="C125" s="6" t="s">
        <v>23</v>
      </c>
      <c r="D125" s="6" t="s">
        <v>23</v>
      </c>
      <c r="E125" s="6" t="s">
        <v>23</v>
      </c>
      <c r="F125" s="6" t="s">
        <v>23</v>
      </c>
      <c r="G125" s="6" t="s">
        <v>23</v>
      </c>
      <c r="H125" s="6" t="s">
        <v>23</v>
      </c>
      <c r="I125" s="6" t="s">
        <v>48</v>
      </c>
      <c r="J125" s="6" t="s">
        <v>56</v>
      </c>
      <c r="K125" s="6" t="s">
        <v>23</v>
      </c>
      <c r="L125" s="6" t="s">
        <v>23</v>
      </c>
      <c r="M125" s="6" t="s">
        <v>23</v>
      </c>
      <c r="N125" s="6" t="s">
        <v>23</v>
      </c>
      <c r="O125" s="6" t="s">
        <v>23</v>
      </c>
      <c r="P125" s="6" t="s">
        <v>23</v>
      </c>
      <c r="Q125" s="6" t="s">
        <v>49</v>
      </c>
      <c r="R125" s="6" t="s">
        <v>36</v>
      </c>
      <c r="S125" s="6" t="s">
        <v>57</v>
      </c>
      <c r="T125" s="6" t="s">
        <v>23</v>
      </c>
      <c r="U125" s="7" t="s">
        <v>23</v>
      </c>
      <c r="V125">
        <f>IF(C125="100.00",1,0)</f>
        <v>0</v>
      </c>
      <c r="W125">
        <f>IF(D125="100.00",1,0)</f>
        <v>0</v>
      </c>
      <c r="X125">
        <f>IF(E125="100.00",1,0)</f>
        <v>0</v>
      </c>
      <c r="Y125">
        <f>IF(F125="100.00",1,0)</f>
        <v>0</v>
      </c>
      <c r="Z125">
        <f>IF(G125="100.00",1,0)</f>
        <v>0</v>
      </c>
      <c r="AA125">
        <f>IF(H125="100.00",1,0)</f>
        <v>0</v>
      </c>
      <c r="AB125">
        <f>IF(I125="100.00",1,0)</f>
        <v>0</v>
      </c>
      <c r="AC125">
        <f>IF(J125="100.00",1,0)</f>
        <v>0</v>
      </c>
      <c r="AD125">
        <f>IF(K125="100.00",1,0)</f>
        <v>0</v>
      </c>
      <c r="AE125">
        <f>IF(L125="100.00",1,0)</f>
        <v>0</v>
      </c>
      <c r="AF125">
        <f>IF(M125="100.00",1,0)</f>
        <v>0</v>
      </c>
      <c r="AG125">
        <f>IF(N125="100.00",1,0)</f>
        <v>0</v>
      </c>
      <c r="AH125">
        <f>IF(O125="100.00",1,0)</f>
        <v>0</v>
      </c>
      <c r="AI125">
        <f>IF(P125="100.00",1,0)</f>
        <v>0</v>
      </c>
      <c r="AJ125">
        <f>IF(Q125="100.00",1,0)</f>
        <v>0</v>
      </c>
      <c r="AK125">
        <f>IF(R125="100.00",1,0)</f>
        <v>0</v>
      </c>
      <c r="AL125">
        <f>IF(S125="100.00",1,0)</f>
        <v>0</v>
      </c>
      <c r="AM125">
        <f>IF(T125="100.00",1,0)</f>
        <v>0</v>
      </c>
      <c r="AN125">
        <f>IF(U125="100.00",1,0)</f>
        <v>0</v>
      </c>
      <c r="AO125">
        <f>SUM(V125:AN125)</f>
        <v>0</v>
      </c>
    </row>
    <row r="126" spans="1:41" x14ac:dyDescent="0.35">
      <c r="A126" s="8" t="s">
        <v>96</v>
      </c>
      <c r="B126" s="9">
        <v>95101104184</v>
      </c>
      <c r="C126" s="9" t="s">
        <v>23</v>
      </c>
      <c r="D126" s="9" t="s">
        <v>23</v>
      </c>
      <c r="E126" s="9" t="s">
        <v>68</v>
      </c>
      <c r="F126" s="9" t="s">
        <v>23</v>
      </c>
      <c r="G126" s="9" t="s">
        <v>23</v>
      </c>
      <c r="H126" s="9" t="s">
        <v>23</v>
      </c>
      <c r="I126" s="9" t="s">
        <v>86</v>
      </c>
      <c r="J126" s="9" t="s">
        <v>35</v>
      </c>
      <c r="K126" s="9" t="s">
        <v>23</v>
      </c>
      <c r="L126" s="9" t="s">
        <v>23</v>
      </c>
      <c r="M126" s="9" t="s">
        <v>23</v>
      </c>
      <c r="N126" s="9" t="s">
        <v>23</v>
      </c>
      <c r="O126" s="9" t="s">
        <v>23</v>
      </c>
      <c r="P126" s="9" t="s">
        <v>23</v>
      </c>
      <c r="Q126" s="9" t="s">
        <v>49</v>
      </c>
      <c r="R126" s="9" t="s">
        <v>39</v>
      </c>
      <c r="S126" s="9" t="s">
        <v>75</v>
      </c>
      <c r="T126" s="9" t="s">
        <v>23</v>
      </c>
      <c r="U126" s="10" t="s">
        <v>23</v>
      </c>
      <c r="V126">
        <f>IF(C126="100.00",1,0)</f>
        <v>0</v>
      </c>
      <c r="W126">
        <f>IF(D126="100.00",1,0)</f>
        <v>0</v>
      </c>
      <c r="X126">
        <f>IF(E126="100.00",1,0)</f>
        <v>0</v>
      </c>
      <c r="Y126">
        <f>IF(F126="100.00",1,0)</f>
        <v>0</v>
      </c>
      <c r="Z126">
        <f>IF(G126="100.00",1,0)</f>
        <v>0</v>
      </c>
      <c r="AA126">
        <f>IF(H126="100.00",1,0)</f>
        <v>0</v>
      </c>
      <c r="AB126">
        <f>IF(I126="100.00",1,0)</f>
        <v>0</v>
      </c>
      <c r="AC126">
        <f>IF(J126="100.00",1,0)</f>
        <v>0</v>
      </c>
      <c r="AD126">
        <f>IF(K126="100.00",1,0)</f>
        <v>0</v>
      </c>
      <c r="AE126">
        <f>IF(L126="100.00",1,0)</f>
        <v>0</v>
      </c>
      <c r="AF126">
        <f>IF(M126="100.00",1,0)</f>
        <v>0</v>
      </c>
      <c r="AG126">
        <f>IF(N126="100.00",1,0)</f>
        <v>0</v>
      </c>
      <c r="AH126">
        <f>IF(O126="100.00",1,0)</f>
        <v>0</v>
      </c>
      <c r="AI126">
        <f>IF(P126="100.00",1,0)</f>
        <v>0</v>
      </c>
      <c r="AJ126">
        <f>IF(Q126="100.00",1,0)</f>
        <v>0</v>
      </c>
      <c r="AK126">
        <f>IF(R126="100.00",1,0)</f>
        <v>0</v>
      </c>
      <c r="AL126">
        <f>IF(S126="100.00",1,0)</f>
        <v>0</v>
      </c>
      <c r="AM126">
        <f>IF(T126="100.00",1,0)</f>
        <v>0</v>
      </c>
      <c r="AN126">
        <f>IF(U126="100.00",1,0)</f>
        <v>0</v>
      </c>
      <c r="AO126">
        <f>SUM(V126:AN126)</f>
        <v>0</v>
      </c>
    </row>
    <row r="127" spans="1:41" x14ac:dyDescent="0.35">
      <c r="A127" s="8" t="s">
        <v>96</v>
      </c>
      <c r="B127" s="9">
        <v>95101902775</v>
      </c>
      <c r="C127" s="9" t="s">
        <v>23</v>
      </c>
      <c r="D127" s="9" t="s">
        <v>23</v>
      </c>
      <c r="E127" s="9" t="s">
        <v>23</v>
      </c>
      <c r="F127" s="9" t="s">
        <v>23</v>
      </c>
      <c r="G127" s="9" t="s">
        <v>23</v>
      </c>
      <c r="H127" s="9" t="s">
        <v>22</v>
      </c>
      <c r="I127" s="9" t="s">
        <v>48</v>
      </c>
      <c r="J127" s="9" t="s">
        <v>41</v>
      </c>
      <c r="K127" s="9" t="s">
        <v>23</v>
      </c>
      <c r="L127" s="9" t="s">
        <v>23</v>
      </c>
      <c r="M127" s="9" t="s">
        <v>23</v>
      </c>
      <c r="N127" s="9" t="s">
        <v>23</v>
      </c>
      <c r="O127" s="9" t="s">
        <v>23</v>
      </c>
      <c r="P127" s="9" t="s">
        <v>23</v>
      </c>
      <c r="Q127" s="9" t="s">
        <v>49</v>
      </c>
      <c r="R127" s="9" t="s">
        <v>31</v>
      </c>
      <c r="S127" s="9" t="s">
        <v>57</v>
      </c>
      <c r="T127" s="9" t="s">
        <v>23</v>
      </c>
      <c r="U127" s="10" t="s">
        <v>23</v>
      </c>
      <c r="V127">
        <f>IF(C127="100.00",1,0)</f>
        <v>0</v>
      </c>
      <c r="W127">
        <f>IF(D127="100.00",1,0)</f>
        <v>0</v>
      </c>
      <c r="X127">
        <f>IF(E127="100.00",1,0)</f>
        <v>0</v>
      </c>
      <c r="Y127">
        <f>IF(F127="100.00",1,0)</f>
        <v>0</v>
      </c>
      <c r="Z127">
        <f>IF(G127="100.00",1,0)</f>
        <v>0</v>
      </c>
      <c r="AA127">
        <f>IF(H127="100.00",1,0)</f>
        <v>0</v>
      </c>
      <c r="AB127">
        <f>IF(I127="100.00",1,0)</f>
        <v>0</v>
      </c>
      <c r="AC127">
        <f>IF(J127="100.00",1,0)</f>
        <v>0</v>
      </c>
      <c r="AD127">
        <f>IF(K127="100.00",1,0)</f>
        <v>0</v>
      </c>
      <c r="AE127">
        <f>IF(L127="100.00",1,0)</f>
        <v>0</v>
      </c>
      <c r="AF127">
        <f>IF(M127="100.00",1,0)</f>
        <v>0</v>
      </c>
      <c r="AG127">
        <f>IF(N127="100.00",1,0)</f>
        <v>0</v>
      </c>
      <c r="AH127">
        <f>IF(O127="100.00",1,0)</f>
        <v>0</v>
      </c>
      <c r="AI127">
        <f>IF(P127="100.00",1,0)</f>
        <v>0</v>
      </c>
      <c r="AJ127">
        <f>IF(Q127="100.00",1,0)</f>
        <v>0</v>
      </c>
      <c r="AK127">
        <f>IF(R127="100.00",1,0)</f>
        <v>0</v>
      </c>
      <c r="AL127">
        <f>IF(S127="100.00",1,0)</f>
        <v>0</v>
      </c>
      <c r="AM127">
        <f>IF(T127="100.00",1,0)</f>
        <v>0</v>
      </c>
      <c r="AN127">
        <f>IF(U127="100.00",1,0)</f>
        <v>0</v>
      </c>
      <c r="AO127">
        <f>SUM(V127:AN127)</f>
        <v>0</v>
      </c>
    </row>
    <row r="128" spans="1:41" x14ac:dyDescent="0.35">
      <c r="A128" s="8" t="s">
        <v>96</v>
      </c>
      <c r="B128" s="9">
        <v>95102301894</v>
      </c>
      <c r="C128" s="9" t="s">
        <v>23</v>
      </c>
      <c r="D128" s="9" t="s">
        <v>23</v>
      </c>
      <c r="E128" s="9" t="s">
        <v>88</v>
      </c>
      <c r="F128" s="9" t="s">
        <v>23</v>
      </c>
      <c r="G128" s="9" t="s">
        <v>23</v>
      </c>
      <c r="H128" s="9" t="s">
        <v>23</v>
      </c>
      <c r="I128" s="9" t="s">
        <v>48</v>
      </c>
      <c r="J128" s="9" t="s">
        <v>39</v>
      </c>
      <c r="K128" s="9" t="s">
        <v>23</v>
      </c>
      <c r="L128" s="9" t="s">
        <v>23</v>
      </c>
      <c r="M128" s="9" t="s">
        <v>23</v>
      </c>
      <c r="N128" s="9" t="s">
        <v>23</v>
      </c>
      <c r="O128" s="9" t="s">
        <v>23</v>
      </c>
      <c r="P128" s="9" t="s">
        <v>23</v>
      </c>
      <c r="Q128" s="9" t="s">
        <v>38</v>
      </c>
      <c r="R128" s="9" t="s">
        <v>51</v>
      </c>
      <c r="S128" s="9" t="s">
        <v>51</v>
      </c>
      <c r="T128" s="9" t="s">
        <v>23</v>
      </c>
      <c r="U128" s="10" t="s">
        <v>23</v>
      </c>
      <c r="V128">
        <f>IF(C128="100.00",1,0)</f>
        <v>0</v>
      </c>
      <c r="W128">
        <f>IF(D128="100.00",1,0)</f>
        <v>0</v>
      </c>
      <c r="X128">
        <f>IF(E128="100.00",1,0)</f>
        <v>0</v>
      </c>
      <c r="Y128">
        <f>IF(F128="100.00",1,0)</f>
        <v>0</v>
      </c>
      <c r="Z128">
        <f>IF(G128="100.00",1,0)</f>
        <v>0</v>
      </c>
      <c r="AA128">
        <f>IF(H128="100.00",1,0)</f>
        <v>0</v>
      </c>
      <c r="AB128">
        <f>IF(I128="100.00",1,0)</f>
        <v>0</v>
      </c>
      <c r="AC128">
        <f>IF(J128="100.00",1,0)</f>
        <v>0</v>
      </c>
      <c r="AD128">
        <f>IF(K128="100.00",1,0)</f>
        <v>0</v>
      </c>
      <c r="AE128">
        <f>IF(L128="100.00",1,0)</f>
        <v>0</v>
      </c>
      <c r="AF128">
        <f>IF(M128="100.00",1,0)</f>
        <v>0</v>
      </c>
      <c r="AG128">
        <f>IF(N128="100.00",1,0)</f>
        <v>0</v>
      </c>
      <c r="AH128">
        <f>IF(O128="100.00",1,0)</f>
        <v>0</v>
      </c>
      <c r="AI128">
        <f>IF(P128="100.00",1,0)</f>
        <v>0</v>
      </c>
      <c r="AJ128">
        <f>IF(Q128="100.00",1,0)</f>
        <v>0</v>
      </c>
      <c r="AK128">
        <f>IF(R128="100.00",1,0)</f>
        <v>0</v>
      </c>
      <c r="AL128">
        <f>IF(S128="100.00",1,0)</f>
        <v>0</v>
      </c>
      <c r="AM128">
        <f>IF(T128="100.00",1,0)</f>
        <v>0</v>
      </c>
      <c r="AN128">
        <f>IF(U128="100.00",1,0)</f>
        <v>0</v>
      </c>
      <c r="AO128">
        <f>SUM(V128:AN128)</f>
        <v>0</v>
      </c>
    </row>
    <row r="129" spans="1:41" x14ac:dyDescent="0.35">
      <c r="A129" s="8" t="s">
        <v>96</v>
      </c>
      <c r="B129" s="9">
        <v>95112702337</v>
      </c>
      <c r="C129" s="9" t="s">
        <v>23</v>
      </c>
      <c r="D129" s="9" t="s">
        <v>23</v>
      </c>
      <c r="E129" s="9" t="s">
        <v>75</v>
      </c>
      <c r="F129" s="9" t="s">
        <v>23</v>
      </c>
      <c r="G129" s="9" t="s">
        <v>23</v>
      </c>
      <c r="H129" s="9" t="s">
        <v>23</v>
      </c>
      <c r="I129" s="9" t="s">
        <v>48</v>
      </c>
      <c r="J129" s="9" t="s">
        <v>23</v>
      </c>
      <c r="K129" s="9" t="s">
        <v>23</v>
      </c>
      <c r="L129" s="9" t="s">
        <v>23</v>
      </c>
      <c r="M129" s="9" t="s">
        <v>23</v>
      </c>
      <c r="N129" s="9" t="s">
        <v>23</v>
      </c>
      <c r="O129" s="9" t="s">
        <v>23</v>
      </c>
      <c r="P129" s="9" t="s">
        <v>23</v>
      </c>
      <c r="Q129" s="9" t="s">
        <v>48</v>
      </c>
      <c r="R129" s="9" t="s">
        <v>35</v>
      </c>
      <c r="S129" s="9" t="s">
        <v>28</v>
      </c>
      <c r="T129" s="9" t="s">
        <v>23</v>
      </c>
      <c r="U129" s="10" t="s">
        <v>23</v>
      </c>
      <c r="V129">
        <f>IF(C129="100.00",1,0)</f>
        <v>0</v>
      </c>
      <c r="W129">
        <f>IF(D129="100.00",1,0)</f>
        <v>0</v>
      </c>
      <c r="X129">
        <f>IF(E129="100.00",1,0)</f>
        <v>0</v>
      </c>
      <c r="Y129">
        <f>IF(F129="100.00",1,0)</f>
        <v>0</v>
      </c>
      <c r="Z129">
        <f>IF(G129="100.00",1,0)</f>
        <v>0</v>
      </c>
      <c r="AA129">
        <f>IF(H129="100.00",1,0)</f>
        <v>0</v>
      </c>
      <c r="AB129">
        <f>IF(I129="100.00",1,0)</f>
        <v>0</v>
      </c>
      <c r="AC129">
        <f>IF(J129="100.00",1,0)</f>
        <v>0</v>
      </c>
      <c r="AD129">
        <f>IF(K129="100.00",1,0)</f>
        <v>0</v>
      </c>
      <c r="AE129">
        <f>IF(L129="100.00",1,0)</f>
        <v>0</v>
      </c>
      <c r="AF129">
        <f>IF(M129="100.00",1,0)</f>
        <v>0</v>
      </c>
      <c r="AG129">
        <f>IF(N129="100.00",1,0)</f>
        <v>0</v>
      </c>
      <c r="AH129">
        <f>IF(O129="100.00",1,0)</f>
        <v>0</v>
      </c>
      <c r="AI129">
        <f>IF(P129="100.00",1,0)</f>
        <v>0</v>
      </c>
      <c r="AJ129">
        <f>IF(Q129="100.00",1,0)</f>
        <v>0</v>
      </c>
      <c r="AK129">
        <f>IF(R129="100.00",1,0)</f>
        <v>0</v>
      </c>
      <c r="AL129">
        <f>IF(S129="100.00",1,0)</f>
        <v>0</v>
      </c>
      <c r="AM129">
        <f>IF(T129="100.00",1,0)</f>
        <v>0</v>
      </c>
      <c r="AN129">
        <f>IF(U129="100.00",1,0)</f>
        <v>0</v>
      </c>
      <c r="AO129">
        <f>SUM(V129:AN129)</f>
        <v>0</v>
      </c>
    </row>
    <row r="130" spans="1:41" x14ac:dyDescent="0.35">
      <c r="A130" s="5" t="s">
        <v>96</v>
      </c>
      <c r="B130" s="6">
        <v>95122110962</v>
      </c>
      <c r="C130" s="6" t="s">
        <v>23</v>
      </c>
      <c r="D130" s="6" t="s">
        <v>23</v>
      </c>
      <c r="E130" s="6" t="s">
        <v>23</v>
      </c>
      <c r="F130" s="6" t="s">
        <v>23</v>
      </c>
      <c r="G130" s="6" t="s">
        <v>23</v>
      </c>
      <c r="H130" s="6" t="s">
        <v>23</v>
      </c>
      <c r="I130" s="6" t="s">
        <v>40</v>
      </c>
      <c r="J130" s="6" t="s">
        <v>45</v>
      </c>
      <c r="K130" s="6" t="s">
        <v>23</v>
      </c>
      <c r="L130" s="6" t="s">
        <v>23</v>
      </c>
      <c r="M130" s="6" t="s">
        <v>23</v>
      </c>
      <c r="N130" s="6" t="s">
        <v>23</v>
      </c>
      <c r="O130" s="6" t="s">
        <v>23</v>
      </c>
      <c r="P130" s="6" t="s">
        <v>23</v>
      </c>
      <c r="Q130" s="6" t="s">
        <v>49</v>
      </c>
      <c r="R130" s="6" t="s">
        <v>41</v>
      </c>
      <c r="S130" s="6" t="s">
        <v>80</v>
      </c>
      <c r="T130" s="6" t="s">
        <v>23</v>
      </c>
      <c r="U130" s="7" t="s">
        <v>23</v>
      </c>
      <c r="V130">
        <f>IF(C130="100.00",1,0)</f>
        <v>0</v>
      </c>
      <c r="W130">
        <f>IF(D130="100.00",1,0)</f>
        <v>0</v>
      </c>
      <c r="X130">
        <f>IF(E130="100.00",1,0)</f>
        <v>0</v>
      </c>
      <c r="Y130">
        <f>IF(F130="100.00",1,0)</f>
        <v>0</v>
      </c>
      <c r="Z130">
        <f>IF(G130="100.00",1,0)</f>
        <v>0</v>
      </c>
      <c r="AA130">
        <f>IF(H130="100.00",1,0)</f>
        <v>0</v>
      </c>
      <c r="AB130">
        <f>IF(I130="100.00",1,0)</f>
        <v>0</v>
      </c>
      <c r="AC130">
        <f>IF(J130="100.00",1,0)</f>
        <v>0</v>
      </c>
      <c r="AD130">
        <f>IF(K130="100.00",1,0)</f>
        <v>0</v>
      </c>
      <c r="AE130">
        <f>IF(L130="100.00",1,0)</f>
        <v>0</v>
      </c>
      <c r="AF130">
        <f>IF(M130="100.00",1,0)</f>
        <v>0</v>
      </c>
      <c r="AG130">
        <f>IF(N130="100.00",1,0)</f>
        <v>0</v>
      </c>
      <c r="AH130">
        <f>IF(O130="100.00",1,0)</f>
        <v>0</v>
      </c>
      <c r="AI130">
        <f>IF(P130="100.00",1,0)</f>
        <v>0</v>
      </c>
      <c r="AJ130">
        <f>IF(Q130="100.00",1,0)</f>
        <v>0</v>
      </c>
      <c r="AK130">
        <f>IF(R130="100.00",1,0)</f>
        <v>0</v>
      </c>
      <c r="AL130">
        <f>IF(S130="100.00",1,0)</f>
        <v>0</v>
      </c>
      <c r="AM130">
        <f>IF(T130="100.00",1,0)</f>
        <v>0</v>
      </c>
      <c r="AN130">
        <f>IF(U130="100.00",1,0)</f>
        <v>0</v>
      </c>
      <c r="AO130">
        <f>SUM(V130:AN130)</f>
        <v>0</v>
      </c>
    </row>
    <row r="131" spans="1:41" x14ac:dyDescent="0.35">
      <c r="A131" s="8" t="s">
        <v>96</v>
      </c>
      <c r="B131" s="9">
        <v>95123001771</v>
      </c>
      <c r="C131" s="9" t="s">
        <v>23</v>
      </c>
      <c r="D131" s="9" t="s">
        <v>23</v>
      </c>
      <c r="E131" s="9" t="s">
        <v>23</v>
      </c>
      <c r="F131" s="9" t="s">
        <v>23</v>
      </c>
      <c r="G131" s="9" t="s">
        <v>23</v>
      </c>
      <c r="H131" s="9" t="s">
        <v>23</v>
      </c>
      <c r="I131" s="9" t="s">
        <v>40</v>
      </c>
      <c r="J131" s="9" t="s">
        <v>55</v>
      </c>
      <c r="K131" s="9" t="s">
        <v>23</v>
      </c>
      <c r="L131" s="9" t="s">
        <v>23</v>
      </c>
      <c r="M131" s="9" t="s">
        <v>23</v>
      </c>
      <c r="N131" s="9" t="s">
        <v>23</v>
      </c>
      <c r="O131" s="9" t="s">
        <v>23</v>
      </c>
      <c r="P131" s="9" t="s">
        <v>23</v>
      </c>
      <c r="Q131" s="9" t="s">
        <v>74</v>
      </c>
      <c r="R131" s="9" t="s">
        <v>67</v>
      </c>
      <c r="S131" s="9" t="s">
        <v>30</v>
      </c>
      <c r="T131" s="9" t="s">
        <v>23</v>
      </c>
      <c r="U131" s="10" t="s">
        <v>23</v>
      </c>
      <c r="V131">
        <f>IF(C131="100.00",1,0)</f>
        <v>0</v>
      </c>
      <c r="W131">
        <f>IF(D131="100.00",1,0)</f>
        <v>0</v>
      </c>
      <c r="X131">
        <f>IF(E131="100.00",1,0)</f>
        <v>0</v>
      </c>
      <c r="Y131">
        <f>IF(F131="100.00",1,0)</f>
        <v>0</v>
      </c>
      <c r="Z131">
        <f>IF(G131="100.00",1,0)</f>
        <v>0</v>
      </c>
      <c r="AA131">
        <f>IF(H131="100.00",1,0)</f>
        <v>0</v>
      </c>
      <c r="AB131">
        <f>IF(I131="100.00",1,0)</f>
        <v>0</v>
      </c>
      <c r="AC131">
        <f>IF(J131="100.00",1,0)</f>
        <v>0</v>
      </c>
      <c r="AD131">
        <f>IF(K131="100.00",1,0)</f>
        <v>0</v>
      </c>
      <c r="AE131">
        <f>IF(L131="100.00",1,0)</f>
        <v>0</v>
      </c>
      <c r="AF131">
        <f>IF(M131="100.00",1,0)</f>
        <v>0</v>
      </c>
      <c r="AG131">
        <f>IF(N131="100.00",1,0)</f>
        <v>0</v>
      </c>
      <c r="AH131">
        <f>IF(O131="100.00",1,0)</f>
        <v>0</v>
      </c>
      <c r="AI131">
        <f>IF(P131="100.00",1,0)</f>
        <v>0</v>
      </c>
      <c r="AJ131">
        <f>IF(Q131="100.00",1,0)</f>
        <v>0</v>
      </c>
      <c r="AK131">
        <f>IF(R131="100.00",1,0)</f>
        <v>0</v>
      </c>
      <c r="AL131">
        <f>IF(S131="100.00",1,0)</f>
        <v>0</v>
      </c>
      <c r="AM131">
        <f>IF(T131="100.00",1,0)</f>
        <v>0</v>
      </c>
      <c r="AN131">
        <f>IF(U131="100.00",1,0)</f>
        <v>0</v>
      </c>
      <c r="AO131">
        <f>SUM(V131:AN131)</f>
        <v>0</v>
      </c>
    </row>
    <row r="132" spans="1:41" x14ac:dyDescent="0.35">
      <c r="A132" s="5" t="s">
        <v>96</v>
      </c>
      <c r="B132" s="6">
        <v>96011200502</v>
      </c>
      <c r="C132" s="6" t="s">
        <v>23</v>
      </c>
      <c r="D132" s="6" t="s">
        <v>23</v>
      </c>
      <c r="E132" s="6" t="s">
        <v>52</v>
      </c>
      <c r="F132" s="6" t="s">
        <v>23</v>
      </c>
      <c r="G132" s="6" t="s">
        <v>23</v>
      </c>
      <c r="H132" s="6" t="s">
        <v>23</v>
      </c>
      <c r="I132" s="6" t="s">
        <v>49</v>
      </c>
      <c r="J132" s="6" t="s">
        <v>56</v>
      </c>
      <c r="K132" s="6" t="s">
        <v>23</v>
      </c>
      <c r="L132" s="6" t="s">
        <v>23</v>
      </c>
      <c r="M132" s="6" t="s">
        <v>23</v>
      </c>
      <c r="N132" s="6" t="s">
        <v>23</v>
      </c>
      <c r="O132" s="6" t="s">
        <v>23</v>
      </c>
      <c r="P132" s="6" t="s">
        <v>23</v>
      </c>
      <c r="Q132" s="6" t="s">
        <v>40</v>
      </c>
      <c r="R132" s="6" t="s">
        <v>70</v>
      </c>
      <c r="S132" s="6" t="s">
        <v>64</v>
      </c>
      <c r="T132" s="6" t="s">
        <v>23</v>
      </c>
      <c r="U132" s="7" t="s">
        <v>23</v>
      </c>
      <c r="V132">
        <f>IF(C132="100.00",1,0)</f>
        <v>0</v>
      </c>
      <c r="W132">
        <f>IF(D132="100.00",1,0)</f>
        <v>0</v>
      </c>
      <c r="X132">
        <f>IF(E132="100.00",1,0)</f>
        <v>0</v>
      </c>
      <c r="Y132">
        <f>IF(F132="100.00",1,0)</f>
        <v>0</v>
      </c>
      <c r="Z132">
        <f>IF(G132="100.00",1,0)</f>
        <v>0</v>
      </c>
      <c r="AA132">
        <f>IF(H132="100.00",1,0)</f>
        <v>0</v>
      </c>
      <c r="AB132">
        <f>IF(I132="100.00",1,0)</f>
        <v>0</v>
      </c>
      <c r="AC132">
        <f>IF(J132="100.00",1,0)</f>
        <v>0</v>
      </c>
      <c r="AD132">
        <f>IF(K132="100.00",1,0)</f>
        <v>0</v>
      </c>
      <c r="AE132">
        <f>IF(L132="100.00",1,0)</f>
        <v>0</v>
      </c>
      <c r="AF132">
        <f>IF(M132="100.00",1,0)</f>
        <v>0</v>
      </c>
      <c r="AG132">
        <f>IF(N132="100.00",1,0)</f>
        <v>0</v>
      </c>
      <c r="AH132">
        <f>IF(O132="100.00",1,0)</f>
        <v>0</v>
      </c>
      <c r="AI132">
        <f>IF(P132="100.00",1,0)</f>
        <v>0</v>
      </c>
      <c r="AJ132">
        <f>IF(Q132="100.00",1,0)</f>
        <v>0</v>
      </c>
      <c r="AK132">
        <f>IF(R132="100.00",1,0)</f>
        <v>0</v>
      </c>
      <c r="AL132">
        <f>IF(S132="100.00",1,0)</f>
        <v>0</v>
      </c>
      <c r="AM132">
        <f>IF(T132="100.00",1,0)</f>
        <v>0</v>
      </c>
      <c r="AN132">
        <f>IF(U132="100.00",1,0)</f>
        <v>0</v>
      </c>
      <c r="AO132">
        <f>SUM(V132:AN132)</f>
        <v>0</v>
      </c>
    </row>
    <row r="133" spans="1:41" x14ac:dyDescent="0.35">
      <c r="A133" s="8" t="s">
        <v>100</v>
      </c>
      <c r="B133" s="9">
        <v>94011110436</v>
      </c>
      <c r="C133" s="9" t="s">
        <v>23</v>
      </c>
      <c r="D133" s="9" t="s">
        <v>23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 t="s">
        <v>48</v>
      </c>
      <c r="J133" s="9" t="s">
        <v>23</v>
      </c>
      <c r="K133" s="9" t="s">
        <v>23</v>
      </c>
      <c r="L133" s="9" t="s">
        <v>23</v>
      </c>
      <c r="M133" s="9" t="s">
        <v>86</v>
      </c>
      <c r="N133" s="9" t="s">
        <v>30</v>
      </c>
      <c r="O133" s="9" t="s">
        <v>23</v>
      </c>
      <c r="P133" s="9" t="s">
        <v>23</v>
      </c>
      <c r="Q133" s="9" t="s">
        <v>34</v>
      </c>
      <c r="R133" s="9" t="s">
        <v>23</v>
      </c>
      <c r="S133" s="9" t="s">
        <v>83</v>
      </c>
      <c r="T133" s="9" t="s">
        <v>45</v>
      </c>
      <c r="U133" s="10" t="s">
        <v>23</v>
      </c>
      <c r="V133">
        <f>IF(C133="100.00",1,0)</f>
        <v>0</v>
      </c>
      <c r="W133">
        <f>IF(D133="100.00",1,0)</f>
        <v>0</v>
      </c>
      <c r="X133">
        <f>IF(E133="100.00",1,0)</f>
        <v>0</v>
      </c>
      <c r="Y133">
        <f>IF(F133="100.00",1,0)</f>
        <v>0</v>
      </c>
      <c r="Z133">
        <f>IF(G133="100.00",1,0)</f>
        <v>0</v>
      </c>
      <c r="AA133">
        <f>IF(H133="100.00",1,0)</f>
        <v>0</v>
      </c>
      <c r="AB133">
        <f>IF(I133="100.00",1,0)</f>
        <v>0</v>
      </c>
      <c r="AC133">
        <f>IF(J133="100.00",1,0)</f>
        <v>0</v>
      </c>
      <c r="AD133">
        <f>IF(K133="100.00",1,0)</f>
        <v>0</v>
      </c>
      <c r="AE133">
        <f>IF(L133="100.00",1,0)</f>
        <v>0</v>
      </c>
      <c r="AF133">
        <f>IF(M133="100.00",1,0)</f>
        <v>0</v>
      </c>
      <c r="AG133">
        <f>IF(N133="100.00",1,0)</f>
        <v>0</v>
      </c>
      <c r="AH133">
        <f>IF(O133="100.00",1,0)</f>
        <v>0</v>
      </c>
      <c r="AI133">
        <f>IF(P133="100.00",1,0)</f>
        <v>0</v>
      </c>
      <c r="AJ133">
        <f>IF(Q133="100.00",1,0)</f>
        <v>0</v>
      </c>
      <c r="AK133">
        <f>IF(R133="100.00",1,0)</f>
        <v>0</v>
      </c>
      <c r="AL133">
        <f>IF(S133="100.00",1,0)</f>
        <v>0</v>
      </c>
      <c r="AM133">
        <f>IF(T133="100.00",1,0)</f>
        <v>0</v>
      </c>
      <c r="AN133">
        <f>IF(U133="100.00",1,0)</f>
        <v>0</v>
      </c>
      <c r="AO133">
        <f>SUM(V133:AN133)</f>
        <v>0</v>
      </c>
    </row>
    <row r="134" spans="1:41" x14ac:dyDescent="0.35">
      <c r="A134" s="5" t="s">
        <v>100</v>
      </c>
      <c r="B134" s="6">
        <v>94013113642</v>
      </c>
      <c r="C134" s="6" t="s">
        <v>23</v>
      </c>
      <c r="D134" s="6" t="s">
        <v>23</v>
      </c>
      <c r="E134" s="6" t="s">
        <v>23</v>
      </c>
      <c r="F134" s="6" t="s">
        <v>23</v>
      </c>
      <c r="G134" s="6" t="s">
        <v>23</v>
      </c>
      <c r="H134" s="6" t="s">
        <v>23</v>
      </c>
      <c r="I134" s="6" t="s">
        <v>48</v>
      </c>
      <c r="J134" s="6" t="s">
        <v>23</v>
      </c>
      <c r="K134" s="6" t="s">
        <v>23</v>
      </c>
      <c r="L134" s="6" t="s">
        <v>23</v>
      </c>
      <c r="M134" s="6" t="s">
        <v>65</v>
      </c>
      <c r="N134" s="6" t="s">
        <v>37</v>
      </c>
      <c r="O134" s="6" t="s">
        <v>23</v>
      </c>
      <c r="P134" s="6" t="s">
        <v>23</v>
      </c>
      <c r="Q134" s="6" t="s">
        <v>41</v>
      </c>
      <c r="R134" s="6" t="s">
        <v>23</v>
      </c>
      <c r="S134" s="6" t="s">
        <v>83</v>
      </c>
      <c r="T134" s="6" t="s">
        <v>34</v>
      </c>
      <c r="U134" s="7" t="s">
        <v>23</v>
      </c>
      <c r="V134">
        <f>IF(C134="100.00",1,0)</f>
        <v>0</v>
      </c>
      <c r="W134">
        <f>IF(D134="100.00",1,0)</f>
        <v>0</v>
      </c>
      <c r="X134">
        <f>IF(E134="100.00",1,0)</f>
        <v>0</v>
      </c>
      <c r="Y134">
        <f>IF(F134="100.00",1,0)</f>
        <v>0</v>
      </c>
      <c r="Z134">
        <f>IF(G134="100.00",1,0)</f>
        <v>0</v>
      </c>
      <c r="AA134">
        <f>IF(H134="100.00",1,0)</f>
        <v>0</v>
      </c>
      <c r="AB134">
        <f>IF(I134="100.00",1,0)</f>
        <v>0</v>
      </c>
      <c r="AC134">
        <f>IF(J134="100.00",1,0)</f>
        <v>0</v>
      </c>
      <c r="AD134">
        <f>IF(K134="100.00",1,0)</f>
        <v>0</v>
      </c>
      <c r="AE134">
        <f>IF(L134="100.00",1,0)</f>
        <v>0</v>
      </c>
      <c r="AF134">
        <f>IF(M134="100.00",1,0)</f>
        <v>0</v>
      </c>
      <c r="AG134">
        <f>IF(N134="100.00",1,0)</f>
        <v>0</v>
      </c>
      <c r="AH134">
        <f>IF(O134="100.00",1,0)</f>
        <v>0</v>
      </c>
      <c r="AI134">
        <f>IF(P134="100.00",1,0)</f>
        <v>0</v>
      </c>
      <c r="AJ134">
        <f>IF(Q134="100.00",1,0)</f>
        <v>0</v>
      </c>
      <c r="AK134">
        <f>IF(R134="100.00",1,0)</f>
        <v>0</v>
      </c>
      <c r="AL134">
        <f>IF(S134="100.00",1,0)</f>
        <v>0</v>
      </c>
      <c r="AM134">
        <f>IF(T134="100.00",1,0)</f>
        <v>0</v>
      </c>
      <c r="AN134">
        <f>IF(U134="100.00",1,0)</f>
        <v>0</v>
      </c>
      <c r="AO134">
        <f>SUM(V134:AN134)</f>
        <v>0</v>
      </c>
    </row>
    <row r="135" spans="1:41" x14ac:dyDescent="0.35">
      <c r="A135" s="8" t="s">
        <v>100</v>
      </c>
      <c r="B135" s="9">
        <v>94020211283</v>
      </c>
      <c r="C135" s="9" t="s">
        <v>23</v>
      </c>
      <c r="D135" s="9" t="s">
        <v>23</v>
      </c>
      <c r="E135" s="9" t="s">
        <v>23</v>
      </c>
      <c r="F135" s="9" t="s">
        <v>23</v>
      </c>
      <c r="G135" s="9" t="s">
        <v>23</v>
      </c>
      <c r="H135" s="9" t="s">
        <v>23</v>
      </c>
      <c r="I135" s="9" t="s">
        <v>26</v>
      </c>
      <c r="J135" s="9" t="s">
        <v>23</v>
      </c>
      <c r="K135" s="9" t="s">
        <v>23</v>
      </c>
      <c r="L135" s="9" t="s">
        <v>23</v>
      </c>
      <c r="M135" s="9" t="s">
        <v>38</v>
      </c>
      <c r="N135" s="9" t="s">
        <v>45</v>
      </c>
      <c r="O135" s="9" t="s">
        <v>23</v>
      </c>
      <c r="P135" s="9" t="s">
        <v>23</v>
      </c>
      <c r="Q135" s="9" t="s">
        <v>72</v>
      </c>
      <c r="R135" s="9" t="s">
        <v>23</v>
      </c>
      <c r="S135" s="9" t="s">
        <v>80</v>
      </c>
      <c r="T135" s="9" t="s">
        <v>34</v>
      </c>
      <c r="U135" s="10" t="s">
        <v>23</v>
      </c>
      <c r="V135">
        <f>IF(C135="100.00",1,0)</f>
        <v>0</v>
      </c>
      <c r="W135">
        <f>IF(D135="100.00",1,0)</f>
        <v>0</v>
      </c>
      <c r="X135">
        <f>IF(E135="100.00",1,0)</f>
        <v>0</v>
      </c>
      <c r="Y135">
        <f>IF(F135="100.00",1,0)</f>
        <v>0</v>
      </c>
      <c r="Z135">
        <f>IF(G135="100.00",1,0)</f>
        <v>0</v>
      </c>
      <c r="AA135">
        <f>IF(H135="100.00",1,0)</f>
        <v>0</v>
      </c>
      <c r="AB135">
        <f>IF(I135="100.00",1,0)</f>
        <v>0</v>
      </c>
      <c r="AC135">
        <f>IF(J135="100.00",1,0)</f>
        <v>0</v>
      </c>
      <c r="AD135">
        <f>IF(K135="100.00",1,0)</f>
        <v>0</v>
      </c>
      <c r="AE135">
        <f>IF(L135="100.00",1,0)</f>
        <v>0</v>
      </c>
      <c r="AF135">
        <f>IF(M135="100.00",1,0)</f>
        <v>0</v>
      </c>
      <c r="AG135">
        <f>IF(N135="100.00",1,0)</f>
        <v>0</v>
      </c>
      <c r="AH135">
        <f>IF(O135="100.00",1,0)</f>
        <v>0</v>
      </c>
      <c r="AI135">
        <f>IF(P135="100.00",1,0)</f>
        <v>0</v>
      </c>
      <c r="AJ135">
        <f>IF(Q135="100.00",1,0)</f>
        <v>0</v>
      </c>
      <c r="AK135">
        <f>IF(R135="100.00",1,0)</f>
        <v>0</v>
      </c>
      <c r="AL135">
        <f>IF(S135="100.00",1,0)</f>
        <v>0</v>
      </c>
      <c r="AM135">
        <f>IF(T135="100.00",1,0)</f>
        <v>0</v>
      </c>
      <c r="AN135">
        <f>IF(U135="100.00",1,0)</f>
        <v>0</v>
      </c>
      <c r="AO135">
        <f>SUM(V135:AN135)</f>
        <v>0</v>
      </c>
    </row>
    <row r="136" spans="1:41" x14ac:dyDescent="0.35">
      <c r="A136" s="5" t="s">
        <v>100</v>
      </c>
      <c r="B136" s="6">
        <v>94021306625</v>
      </c>
      <c r="C136" s="6" t="s">
        <v>23</v>
      </c>
      <c r="D136" s="6" t="s">
        <v>23</v>
      </c>
      <c r="E136" s="6" t="s">
        <v>23</v>
      </c>
      <c r="F136" s="6" t="s">
        <v>23</v>
      </c>
      <c r="G136" s="6" t="s">
        <v>23</v>
      </c>
      <c r="H136" s="6" t="s">
        <v>23</v>
      </c>
      <c r="I136" s="6" t="s">
        <v>38</v>
      </c>
      <c r="J136" s="6" t="s">
        <v>23</v>
      </c>
      <c r="K136" s="6" t="s">
        <v>23</v>
      </c>
      <c r="L136" s="6" t="s">
        <v>23</v>
      </c>
      <c r="M136" s="6" t="s">
        <v>55</v>
      </c>
      <c r="N136" s="6" t="s">
        <v>41</v>
      </c>
      <c r="O136" s="6" t="s">
        <v>23</v>
      </c>
      <c r="P136" s="6" t="s">
        <v>23</v>
      </c>
      <c r="Q136" s="6" t="s">
        <v>34</v>
      </c>
      <c r="R136" s="6" t="s">
        <v>23</v>
      </c>
      <c r="S136" s="6" t="s">
        <v>61</v>
      </c>
      <c r="T136" s="6" t="s">
        <v>26</v>
      </c>
      <c r="U136" s="7" t="s">
        <v>23</v>
      </c>
      <c r="V136">
        <f>IF(C136="100.00",1,0)</f>
        <v>0</v>
      </c>
      <c r="W136">
        <f>IF(D136="100.00",1,0)</f>
        <v>0</v>
      </c>
      <c r="X136">
        <f>IF(E136="100.00",1,0)</f>
        <v>0</v>
      </c>
      <c r="Y136">
        <f>IF(F136="100.00",1,0)</f>
        <v>0</v>
      </c>
      <c r="Z136">
        <f>IF(G136="100.00",1,0)</f>
        <v>0</v>
      </c>
      <c r="AA136">
        <f>IF(H136="100.00",1,0)</f>
        <v>0</v>
      </c>
      <c r="AB136">
        <f>IF(I136="100.00",1,0)</f>
        <v>0</v>
      </c>
      <c r="AC136">
        <f>IF(J136="100.00",1,0)</f>
        <v>0</v>
      </c>
      <c r="AD136">
        <f>IF(K136="100.00",1,0)</f>
        <v>0</v>
      </c>
      <c r="AE136">
        <f>IF(L136="100.00",1,0)</f>
        <v>0</v>
      </c>
      <c r="AF136">
        <f>IF(M136="100.00",1,0)</f>
        <v>0</v>
      </c>
      <c r="AG136">
        <f>IF(N136="100.00",1,0)</f>
        <v>0</v>
      </c>
      <c r="AH136">
        <f>IF(O136="100.00",1,0)</f>
        <v>0</v>
      </c>
      <c r="AI136">
        <f>IF(P136="100.00",1,0)</f>
        <v>0</v>
      </c>
      <c r="AJ136">
        <f>IF(Q136="100.00",1,0)</f>
        <v>0</v>
      </c>
      <c r="AK136">
        <f>IF(R136="100.00",1,0)</f>
        <v>0</v>
      </c>
      <c r="AL136">
        <f>IF(S136="100.00",1,0)</f>
        <v>0</v>
      </c>
      <c r="AM136">
        <f>IF(T136="100.00",1,0)</f>
        <v>0</v>
      </c>
      <c r="AN136">
        <f>IF(U136="100.00",1,0)</f>
        <v>0</v>
      </c>
      <c r="AO136">
        <f>SUM(V136:AN136)</f>
        <v>0</v>
      </c>
    </row>
    <row r="137" spans="1:41" x14ac:dyDescent="0.35">
      <c r="A137" s="5" t="s">
        <v>100</v>
      </c>
      <c r="B137" s="6">
        <v>94031410644</v>
      </c>
      <c r="C137" s="6" t="s">
        <v>23</v>
      </c>
      <c r="D137" s="6" t="s">
        <v>23</v>
      </c>
      <c r="E137" s="6" t="s">
        <v>23</v>
      </c>
      <c r="F137" s="6" t="s">
        <v>23</v>
      </c>
      <c r="G137" s="6" t="s">
        <v>23</v>
      </c>
      <c r="H137" s="6" t="s">
        <v>23</v>
      </c>
      <c r="I137" s="6" t="s">
        <v>48</v>
      </c>
      <c r="J137" s="6" t="s">
        <v>23</v>
      </c>
      <c r="K137" s="6" t="s">
        <v>23</v>
      </c>
      <c r="L137" s="6" t="s">
        <v>23</v>
      </c>
      <c r="M137" s="6" t="s">
        <v>23</v>
      </c>
      <c r="N137" s="6" t="s">
        <v>69</v>
      </c>
      <c r="O137" s="6" t="s">
        <v>23</v>
      </c>
      <c r="P137" s="6" t="s">
        <v>23</v>
      </c>
      <c r="Q137" s="6" t="s">
        <v>51</v>
      </c>
      <c r="R137" s="6" t="s">
        <v>23</v>
      </c>
      <c r="S137" s="6" t="s">
        <v>37</v>
      </c>
      <c r="T137" s="6" t="s">
        <v>65</v>
      </c>
      <c r="U137" s="7" t="s">
        <v>23</v>
      </c>
      <c r="V137">
        <f>IF(C137="100.00",1,0)</f>
        <v>0</v>
      </c>
      <c r="W137">
        <f>IF(D137="100.00",1,0)</f>
        <v>0</v>
      </c>
      <c r="X137">
        <f>IF(E137="100.00",1,0)</f>
        <v>0</v>
      </c>
      <c r="Y137">
        <f>IF(F137="100.00",1,0)</f>
        <v>0</v>
      </c>
      <c r="Z137">
        <f>IF(G137="100.00",1,0)</f>
        <v>0</v>
      </c>
      <c r="AA137">
        <f>IF(H137="100.00",1,0)</f>
        <v>0</v>
      </c>
      <c r="AB137">
        <f>IF(I137="100.00",1,0)</f>
        <v>0</v>
      </c>
      <c r="AC137">
        <f>IF(J137="100.00",1,0)</f>
        <v>0</v>
      </c>
      <c r="AD137">
        <f>IF(K137="100.00",1,0)</f>
        <v>0</v>
      </c>
      <c r="AE137">
        <f>IF(L137="100.00",1,0)</f>
        <v>0</v>
      </c>
      <c r="AF137">
        <f>IF(M137="100.00",1,0)</f>
        <v>0</v>
      </c>
      <c r="AG137">
        <f>IF(N137="100.00",1,0)</f>
        <v>0</v>
      </c>
      <c r="AH137">
        <f>IF(O137="100.00",1,0)</f>
        <v>0</v>
      </c>
      <c r="AI137">
        <f>IF(P137="100.00",1,0)</f>
        <v>0</v>
      </c>
      <c r="AJ137">
        <f>IF(Q137="100.00",1,0)</f>
        <v>0</v>
      </c>
      <c r="AK137">
        <f>IF(R137="100.00",1,0)</f>
        <v>0</v>
      </c>
      <c r="AL137">
        <f>IF(S137="100.00",1,0)</f>
        <v>0</v>
      </c>
      <c r="AM137">
        <f>IF(T137="100.00",1,0)</f>
        <v>0</v>
      </c>
      <c r="AN137">
        <f>IF(U137="100.00",1,0)</f>
        <v>0</v>
      </c>
      <c r="AO137">
        <f>SUM(V137:AN137)</f>
        <v>0</v>
      </c>
    </row>
    <row r="138" spans="1:41" x14ac:dyDescent="0.35">
      <c r="A138" s="8" t="s">
        <v>100</v>
      </c>
      <c r="B138" s="9">
        <v>94040607118</v>
      </c>
      <c r="C138" s="9" t="s">
        <v>23</v>
      </c>
      <c r="D138" s="9" t="s">
        <v>23</v>
      </c>
      <c r="E138" s="9" t="s">
        <v>23</v>
      </c>
      <c r="F138" s="9" t="s">
        <v>23</v>
      </c>
      <c r="G138" s="9" t="s">
        <v>23</v>
      </c>
      <c r="H138" s="9" t="s">
        <v>23</v>
      </c>
      <c r="I138" s="9" t="s">
        <v>49</v>
      </c>
      <c r="J138" s="9" t="s">
        <v>63</v>
      </c>
      <c r="K138" s="9" t="s">
        <v>23</v>
      </c>
      <c r="L138" s="9" t="s">
        <v>23</v>
      </c>
      <c r="M138" s="9" t="s">
        <v>23</v>
      </c>
      <c r="N138" s="9" t="s">
        <v>63</v>
      </c>
      <c r="O138" s="9" t="s">
        <v>23</v>
      </c>
      <c r="P138" s="9" t="s">
        <v>23</v>
      </c>
      <c r="Q138" s="9" t="s">
        <v>70</v>
      </c>
      <c r="R138" s="9" t="s">
        <v>23</v>
      </c>
      <c r="S138" s="9" t="s">
        <v>51</v>
      </c>
      <c r="T138" s="9" t="s">
        <v>82</v>
      </c>
      <c r="U138" s="10" t="s">
        <v>23</v>
      </c>
      <c r="V138">
        <f>IF(C138="100.00",1,0)</f>
        <v>0</v>
      </c>
      <c r="W138">
        <f>IF(D138="100.00",1,0)</f>
        <v>0</v>
      </c>
      <c r="X138">
        <f>IF(E138="100.00",1,0)</f>
        <v>0</v>
      </c>
      <c r="Y138">
        <f>IF(F138="100.00",1,0)</f>
        <v>0</v>
      </c>
      <c r="Z138">
        <f>IF(G138="100.00",1,0)</f>
        <v>0</v>
      </c>
      <c r="AA138">
        <f>IF(H138="100.00",1,0)</f>
        <v>0</v>
      </c>
      <c r="AB138">
        <f>IF(I138="100.00",1,0)</f>
        <v>0</v>
      </c>
      <c r="AC138">
        <f>IF(J138="100.00",1,0)</f>
        <v>0</v>
      </c>
      <c r="AD138">
        <f>IF(K138="100.00",1,0)</f>
        <v>0</v>
      </c>
      <c r="AE138">
        <f>IF(L138="100.00",1,0)</f>
        <v>0</v>
      </c>
      <c r="AF138">
        <f>IF(M138="100.00",1,0)</f>
        <v>0</v>
      </c>
      <c r="AG138">
        <f>IF(N138="100.00",1,0)</f>
        <v>0</v>
      </c>
      <c r="AH138">
        <f>IF(O138="100.00",1,0)</f>
        <v>0</v>
      </c>
      <c r="AI138">
        <f>IF(P138="100.00",1,0)</f>
        <v>0</v>
      </c>
      <c r="AJ138">
        <f>IF(Q138="100.00",1,0)</f>
        <v>0</v>
      </c>
      <c r="AK138">
        <f>IF(R138="100.00",1,0)</f>
        <v>0</v>
      </c>
      <c r="AL138">
        <f>IF(S138="100.00",1,0)</f>
        <v>0</v>
      </c>
      <c r="AM138">
        <f>IF(T138="100.00",1,0)</f>
        <v>0</v>
      </c>
      <c r="AN138">
        <f>IF(U138="100.00",1,0)</f>
        <v>0</v>
      </c>
      <c r="AO138">
        <f>SUM(V138:AN138)</f>
        <v>0</v>
      </c>
    </row>
    <row r="139" spans="1:41" x14ac:dyDescent="0.35">
      <c r="A139" s="5" t="s">
        <v>100</v>
      </c>
      <c r="B139" s="6">
        <v>94042912726</v>
      </c>
      <c r="C139" s="6" t="s">
        <v>23</v>
      </c>
      <c r="D139" s="6" t="s">
        <v>23</v>
      </c>
      <c r="E139" s="6" t="s">
        <v>23</v>
      </c>
      <c r="F139" s="6" t="s">
        <v>84</v>
      </c>
      <c r="G139" s="6" t="s">
        <v>23</v>
      </c>
      <c r="H139" s="6" t="s">
        <v>23</v>
      </c>
      <c r="I139" s="6" t="s">
        <v>43</v>
      </c>
      <c r="J139" s="6" t="s">
        <v>83</v>
      </c>
      <c r="K139" s="6" t="s">
        <v>23</v>
      </c>
      <c r="L139" s="6" t="s">
        <v>23</v>
      </c>
      <c r="M139" s="6" t="s">
        <v>23</v>
      </c>
      <c r="N139" s="6" t="s">
        <v>71</v>
      </c>
      <c r="O139" s="6" t="s">
        <v>23</v>
      </c>
      <c r="P139" s="6" t="s">
        <v>23</v>
      </c>
      <c r="Q139" s="6" t="s">
        <v>31</v>
      </c>
      <c r="R139" s="6" t="s">
        <v>23</v>
      </c>
      <c r="S139" s="6" t="s">
        <v>67</v>
      </c>
      <c r="T139" s="6" t="s">
        <v>36</v>
      </c>
      <c r="U139" s="7" t="s">
        <v>23</v>
      </c>
      <c r="V139">
        <f>IF(C139="100.00",1,0)</f>
        <v>0</v>
      </c>
      <c r="W139">
        <f>IF(D139="100.00",1,0)</f>
        <v>0</v>
      </c>
      <c r="X139">
        <f>IF(E139="100.00",1,0)</f>
        <v>0</v>
      </c>
      <c r="Y139">
        <f>IF(F139="100.00",1,0)</f>
        <v>0</v>
      </c>
      <c r="Z139">
        <f>IF(G139="100.00",1,0)</f>
        <v>0</v>
      </c>
      <c r="AA139">
        <f>IF(H139="100.00",1,0)</f>
        <v>0</v>
      </c>
      <c r="AB139">
        <f>IF(I139="100.00",1,0)</f>
        <v>0</v>
      </c>
      <c r="AC139">
        <f>IF(J139="100.00",1,0)</f>
        <v>0</v>
      </c>
      <c r="AD139">
        <f>IF(K139="100.00",1,0)</f>
        <v>0</v>
      </c>
      <c r="AE139">
        <f>IF(L139="100.00",1,0)</f>
        <v>0</v>
      </c>
      <c r="AF139">
        <f>IF(M139="100.00",1,0)</f>
        <v>0</v>
      </c>
      <c r="AG139">
        <f>IF(N139="100.00",1,0)</f>
        <v>0</v>
      </c>
      <c r="AH139">
        <f>IF(O139="100.00",1,0)</f>
        <v>0</v>
      </c>
      <c r="AI139">
        <f>IF(P139="100.00",1,0)</f>
        <v>0</v>
      </c>
      <c r="AJ139">
        <f>IF(Q139="100.00",1,0)</f>
        <v>0</v>
      </c>
      <c r="AK139">
        <f>IF(R139="100.00",1,0)</f>
        <v>0</v>
      </c>
      <c r="AL139">
        <f>IF(S139="100.00",1,0)</f>
        <v>0</v>
      </c>
      <c r="AM139">
        <f>IF(T139="100.00",1,0)</f>
        <v>0</v>
      </c>
      <c r="AN139">
        <f>IF(U139="100.00",1,0)</f>
        <v>0</v>
      </c>
      <c r="AO139">
        <f>SUM(V139:AN139)</f>
        <v>0</v>
      </c>
    </row>
    <row r="140" spans="1:41" x14ac:dyDescent="0.35">
      <c r="A140" s="8" t="s">
        <v>100</v>
      </c>
      <c r="B140" s="9">
        <v>94060604247</v>
      </c>
      <c r="C140" s="9" t="s">
        <v>42</v>
      </c>
      <c r="D140" s="9" t="s">
        <v>87</v>
      </c>
      <c r="E140" s="9" t="s">
        <v>23</v>
      </c>
      <c r="F140" s="9" t="s">
        <v>23</v>
      </c>
      <c r="G140" s="9" t="s">
        <v>23</v>
      </c>
      <c r="H140" s="9" t="s">
        <v>23</v>
      </c>
      <c r="I140" s="9" t="s">
        <v>86</v>
      </c>
      <c r="J140" s="9" t="s">
        <v>23</v>
      </c>
      <c r="K140" s="9" t="s">
        <v>23</v>
      </c>
      <c r="L140" s="9" t="s">
        <v>23</v>
      </c>
      <c r="M140" s="9" t="s">
        <v>35</v>
      </c>
      <c r="N140" s="9" t="s">
        <v>22</v>
      </c>
      <c r="O140" s="9" t="s">
        <v>23</v>
      </c>
      <c r="P140" s="9" t="s">
        <v>23</v>
      </c>
      <c r="Q140" s="9" t="s">
        <v>31</v>
      </c>
      <c r="R140" s="9" t="s">
        <v>23</v>
      </c>
      <c r="S140" s="9" t="s">
        <v>28</v>
      </c>
      <c r="T140" s="9" t="s">
        <v>23</v>
      </c>
      <c r="U140" s="10" t="s">
        <v>23</v>
      </c>
      <c r="V140">
        <f>IF(C140="100.00",1,0)</f>
        <v>0</v>
      </c>
      <c r="W140">
        <f>IF(D140="100.00",1,0)</f>
        <v>0</v>
      </c>
      <c r="X140">
        <f>IF(E140="100.00",1,0)</f>
        <v>0</v>
      </c>
      <c r="Y140">
        <f>IF(F140="100.00",1,0)</f>
        <v>0</v>
      </c>
      <c r="Z140">
        <f>IF(G140="100.00",1,0)</f>
        <v>0</v>
      </c>
      <c r="AA140">
        <f>IF(H140="100.00",1,0)</f>
        <v>0</v>
      </c>
      <c r="AB140">
        <f>IF(I140="100.00",1,0)</f>
        <v>0</v>
      </c>
      <c r="AC140">
        <f>IF(J140="100.00",1,0)</f>
        <v>0</v>
      </c>
      <c r="AD140">
        <f>IF(K140="100.00",1,0)</f>
        <v>0</v>
      </c>
      <c r="AE140">
        <f>IF(L140="100.00",1,0)</f>
        <v>0</v>
      </c>
      <c r="AF140">
        <f>IF(M140="100.00",1,0)</f>
        <v>0</v>
      </c>
      <c r="AG140">
        <f>IF(N140="100.00",1,0)</f>
        <v>0</v>
      </c>
      <c r="AH140">
        <f>IF(O140="100.00",1,0)</f>
        <v>0</v>
      </c>
      <c r="AI140">
        <f>IF(P140="100.00",1,0)</f>
        <v>0</v>
      </c>
      <c r="AJ140">
        <f>IF(Q140="100.00",1,0)</f>
        <v>0</v>
      </c>
      <c r="AK140">
        <f>IF(R140="100.00",1,0)</f>
        <v>0</v>
      </c>
      <c r="AL140">
        <f>IF(S140="100.00",1,0)</f>
        <v>0</v>
      </c>
      <c r="AM140">
        <f>IF(T140="100.00",1,0)</f>
        <v>0</v>
      </c>
      <c r="AN140">
        <f>IF(U140="100.00",1,0)</f>
        <v>0</v>
      </c>
      <c r="AO140">
        <f>SUM(V140:AN140)</f>
        <v>0</v>
      </c>
    </row>
    <row r="141" spans="1:41" x14ac:dyDescent="0.35">
      <c r="A141" s="5" t="s">
        <v>100</v>
      </c>
      <c r="B141" s="6">
        <v>94062703166</v>
      </c>
      <c r="C141" s="6" t="s">
        <v>23</v>
      </c>
      <c r="D141" s="6" t="s">
        <v>23</v>
      </c>
      <c r="E141" s="6" t="s">
        <v>23</v>
      </c>
      <c r="F141" s="6" t="s">
        <v>72</v>
      </c>
      <c r="G141" s="6" t="s">
        <v>23</v>
      </c>
      <c r="H141" s="6" t="s">
        <v>23</v>
      </c>
      <c r="I141" s="6" t="s">
        <v>35</v>
      </c>
      <c r="J141" s="6" t="s">
        <v>23</v>
      </c>
      <c r="K141" s="6" t="s">
        <v>23</v>
      </c>
      <c r="L141" s="6" t="s">
        <v>23</v>
      </c>
      <c r="M141" s="6" t="s">
        <v>55</v>
      </c>
      <c r="N141" s="6" t="s">
        <v>75</v>
      </c>
      <c r="O141" s="6" t="s">
        <v>23</v>
      </c>
      <c r="P141" s="6" t="s">
        <v>23</v>
      </c>
      <c r="Q141" s="6" t="s">
        <v>67</v>
      </c>
      <c r="R141" s="6" t="s">
        <v>23</v>
      </c>
      <c r="S141" s="6" t="s">
        <v>36</v>
      </c>
      <c r="T141" s="6" t="s">
        <v>23</v>
      </c>
      <c r="U141" s="7" t="s">
        <v>23</v>
      </c>
      <c r="V141">
        <f>IF(C141="100.00",1,0)</f>
        <v>0</v>
      </c>
      <c r="W141">
        <f>IF(D141="100.00",1,0)</f>
        <v>0</v>
      </c>
      <c r="X141">
        <f>IF(E141="100.00",1,0)</f>
        <v>0</v>
      </c>
      <c r="Y141">
        <f>IF(F141="100.00",1,0)</f>
        <v>0</v>
      </c>
      <c r="Z141">
        <f>IF(G141="100.00",1,0)</f>
        <v>0</v>
      </c>
      <c r="AA141">
        <f>IF(H141="100.00",1,0)</f>
        <v>0</v>
      </c>
      <c r="AB141">
        <f>IF(I141="100.00",1,0)</f>
        <v>0</v>
      </c>
      <c r="AC141">
        <f>IF(J141="100.00",1,0)</f>
        <v>0</v>
      </c>
      <c r="AD141">
        <f>IF(K141="100.00",1,0)</f>
        <v>0</v>
      </c>
      <c r="AE141">
        <f>IF(L141="100.00",1,0)</f>
        <v>0</v>
      </c>
      <c r="AF141">
        <f>IF(M141="100.00",1,0)</f>
        <v>0</v>
      </c>
      <c r="AG141">
        <f>IF(N141="100.00",1,0)</f>
        <v>0</v>
      </c>
      <c r="AH141">
        <f>IF(O141="100.00",1,0)</f>
        <v>0</v>
      </c>
      <c r="AI141">
        <f>IF(P141="100.00",1,0)</f>
        <v>0</v>
      </c>
      <c r="AJ141">
        <f>IF(Q141="100.00",1,0)</f>
        <v>0</v>
      </c>
      <c r="AK141">
        <f>IF(R141="100.00",1,0)</f>
        <v>0</v>
      </c>
      <c r="AL141">
        <f>IF(S141="100.00",1,0)</f>
        <v>0</v>
      </c>
      <c r="AM141">
        <f>IF(T141="100.00",1,0)</f>
        <v>0</v>
      </c>
      <c r="AN141">
        <f>IF(U141="100.00",1,0)</f>
        <v>0</v>
      </c>
      <c r="AO141">
        <f>SUM(V141:AN141)</f>
        <v>0</v>
      </c>
    </row>
    <row r="142" spans="1:41" x14ac:dyDescent="0.35">
      <c r="A142" s="5" t="s">
        <v>100</v>
      </c>
      <c r="B142" s="6">
        <v>94081102166</v>
      </c>
      <c r="C142" s="6" t="s">
        <v>23</v>
      </c>
      <c r="D142" s="6" t="s">
        <v>23</v>
      </c>
      <c r="E142" s="6" t="s">
        <v>23</v>
      </c>
      <c r="F142" s="6" t="s">
        <v>23</v>
      </c>
      <c r="G142" s="6" t="s">
        <v>23</v>
      </c>
      <c r="H142" s="6" t="s">
        <v>23</v>
      </c>
      <c r="I142" s="6" t="s">
        <v>48</v>
      </c>
      <c r="J142" s="6" t="s">
        <v>23</v>
      </c>
      <c r="K142" s="6" t="s">
        <v>23</v>
      </c>
      <c r="L142" s="6" t="s">
        <v>23</v>
      </c>
      <c r="M142" s="6" t="s">
        <v>23</v>
      </c>
      <c r="N142" s="6" t="s">
        <v>63</v>
      </c>
      <c r="O142" s="6" t="s">
        <v>23</v>
      </c>
      <c r="P142" s="6" t="s">
        <v>23</v>
      </c>
      <c r="Q142" s="6" t="s">
        <v>31</v>
      </c>
      <c r="R142" s="6" t="s">
        <v>23</v>
      </c>
      <c r="S142" s="6" t="s">
        <v>80</v>
      </c>
      <c r="T142" s="6" t="s">
        <v>65</v>
      </c>
      <c r="U142" s="7" t="s">
        <v>23</v>
      </c>
      <c r="V142">
        <f>IF(C142="100.00",1,0)</f>
        <v>0</v>
      </c>
      <c r="W142">
        <f>IF(D142="100.00",1,0)</f>
        <v>0</v>
      </c>
      <c r="X142">
        <f>IF(E142="100.00",1,0)</f>
        <v>0</v>
      </c>
      <c r="Y142">
        <f>IF(F142="100.00",1,0)</f>
        <v>0</v>
      </c>
      <c r="Z142">
        <f>IF(G142="100.00",1,0)</f>
        <v>0</v>
      </c>
      <c r="AA142">
        <f>IF(H142="100.00",1,0)</f>
        <v>0</v>
      </c>
      <c r="AB142">
        <f>IF(I142="100.00",1,0)</f>
        <v>0</v>
      </c>
      <c r="AC142">
        <f>IF(J142="100.00",1,0)</f>
        <v>0</v>
      </c>
      <c r="AD142">
        <f>IF(K142="100.00",1,0)</f>
        <v>0</v>
      </c>
      <c r="AE142">
        <f>IF(L142="100.00",1,0)</f>
        <v>0</v>
      </c>
      <c r="AF142">
        <f>IF(M142="100.00",1,0)</f>
        <v>0</v>
      </c>
      <c r="AG142">
        <f>IF(N142="100.00",1,0)</f>
        <v>0</v>
      </c>
      <c r="AH142">
        <f>IF(O142="100.00",1,0)</f>
        <v>0</v>
      </c>
      <c r="AI142">
        <f>IF(P142="100.00",1,0)</f>
        <v>0</v>
      </c>
      <c r="AJ142">
        <f>IF(Q142="100.00",1,0)</f>
        <v>0</v>
      </c>
      <c r="AK142">
        <f>IF(R142="100.00",1,0)</f>
        <v>0</v>
      </c>
      <c r="AL142">
        <f>IF(S142="100.00",1,0)</f>
        <v>0</v>
      </c>
      <c r="AM142">
        <f>IF(T142="100.00",1,0)</f>
        <v>0</v>
      </c>
      <c r="AN142">
        <f>IF(U142="100.00",1,0)</f>
        <v>0</v>
      </c>
      <c r="AO142">
        <f>SUM(V142:AN142)</f>
        <v>0</v>
      </c>
    </row>
    <row r="143" spans="1:41" x14ac:dyDescent="0.35">
      <c r="A143" s="8" t="s">
        <v>100</v>
      </c>
      <c r="B143" s="9">
        <v>94082905447</v>
      </c>
      <c r="C143" s="9" t="s">
        <v>23</v>
      </c>
      <c r="D143" s="9" t="s">
        <v>23</v>
      </c>
      <c r="E143" s="9" t="s">
        <v>23</v>
      </c>
      <c r="F143" s="9" t="s">
        <v>23</v>
      </c>
      <c r="G143" s="9" t="s">
        <v>23</v>
      </c>
      <c r="H143" s="9" t="s">
        <v>23</v>
      </c>
      <c r="I143" s="9" t="s">
        <v>48</v>
      </c>
      <c r="J143" s="9" t="s">
        <v>23</v>
      </c>
      <c r="K143" s="9" t="s">
        <v>23</v>
      </c>
      <c r="L143" s="9" t="s">
        <v>23</v>
      </c>
      <c r="M143" s="9" t="s">
        <v>40</v>
      </c>
      <c r="N143" s="9" t="s">
        <v>48</v>
      </c>
      <c r="O143" s="9" t="s">
        <v>23</v>
      </c>
      <c r="P143" s="9" t="s">
        <v>23</v>
      </c>
      <c r="Q143" s="9" t="s">
        <v>79</v>
      </c>
      <c r="R143" s="9" t="s">
        <v>23</v>
      </c>
      <c r="S143" s="9" t="s">
        <v>83</v>
      </c>
      <c r="T143" s="9" t="s">
        <v>23</v>
      </c>
      <c r="U143" s="10" t="s">
        <v>23</v>
      </c>
      <c r="V143">
        <f>IF(C143="100.00",1,0)</f>
        <v>0</v>
      </c>
      <c r="W143">
        <f>IF(D143="100.00",1,0)</f>
        <v>0</v>
      </c>
      <c r="X143">
        <f>IF(E143="100.00",1,0)</f>
        <v>0</v>
      </c>
      <c r="Y143">
        <f>IF(F143="100.00",1,0)</f>
        <v>0</v>
      </c>
      <c r="Z143">
        <f>IF(G143="100.00",1,0)</f>
        <v>0</v>
      </c>
      <c r="AA143">
        <f>IF(H143="100.00",1,0)</f>
        <v>0</v>
      </c>
      <c r="AB143">
        <f>IF(I143="100.00",1,0)</f>
        <v>0</v>
      </c>
      <c r="AC143">
        <f>IF(J143="100.00",1,0)</f>
        <v>0</v>
      </c>
      <c r="AD143">
        <f>IF(K143="100.00",1,0)</f>
        <v>0</v>
      </c>
      <c r="AE143">
        <f>IF(L143="100.00",1,0)</f>
        <v>0</v>
      </c>
      <c r="AF143">
        <f>IF(M143="100.00",1,0)</f>
        <v>0</v>
      </c>
      <c r="AG143">
        <f>IF(N143="100.00",1,0)</f>
        <v>0</v>
      </c>
      <c r="AH143">
        <f>IF(O143="100.00",1,0)</f>
        <v>0</v>
      </c>
      <c r="AI143">
        <f>IF(P143="100.00",1,0)</f>
        <v>0</v>
      </c>
      <c r="AJ143">
        <f>IF(Q143="100.00",1,0)</f>
        <v>0</v>
      </c>
      <c r="AK143">
        <f>IF(R143="100.00",1,0)</f>
        <v>0</v>
      </c>
      <c r="AL143">
        <f>IF(S143="100.00",1,0)</f>
        <v>0</v>
      </c>
      <c r="AM143">
        <f>IF(T143="100.00",1,0)</f>
        <v>0</v>
      </c>
      <c r="AN143">
        <f>IF(U143="100.00",1,0)</f>
        <v>0</v>
      </c>
      <c r="AO143">
        <f>SUM(V143:AN143)</f>
        <v>0</v>
      </c>
    </row>
    <row r="144" spans="1:41" x14ac:dyDescent="0.35">
      <c r="A144" s="8" t="s">
        <v>100</v>
      </c>
      <c r="B144" s="9">
        <v>94090909307</v>
      </c>
      <c r="C144" s="9" t="s">
        <v>23</v>
      </c>
      <c r="D144" s="9" t="s">
        <v>23</v>
      </c>
      <c r="E144" s="9" t="s">
        <v>23</v>
      </c>
      <c r="F144" s="9" t="s">
        <v>23</v>
      </c>
      <c r="G144" s="9" t="s">
        <v>71</v>
      </c>
      <c r="H144" s="9" t="s">
        <v>23</v>
      </c>
      <c r="I144" s="9" t="s">
        <v>40</v>
      </c>
      <c r="J144" s="9" t="s">
        <v>61</v>
      </c>
      <c r="K144" s="9" t="s">
        <v>23</v>
      </c>
      <c r="L144" s="9" t="s">
        <v>23</v>
      </c>
      <c r="M144" s="9" t="s">
        <v>23</v>
      </c>
      <c r="N144" s="9" t="s">
        <v>52</v>
      </c>
      <c r="O144" s="9" t="s">
        <v>23</v>
      </c>
      <c r="P144" s="9" t="s">
        <v>23</v>
      </c>
      <c r="Q144" s="9" t="s">
        <v>70</v>
      </c>
      <c r="R144" s="9" t="s">
        <v>23</v>
      </c>
      <c r="S144" s="9" t="s">
        <v>63</v>
      </c>
      <c r="T144" s="9" t="s">
        <v>46</v>
      </c>
      <c r="U144" s="10" t="s">
        <v>78</v>
      </c>
      <c r="V144">
        <f>IF(C144="100.00",1,0)</f>
        <v>0</v>
      </c>
      <c r="W144">
        <f>IF(D144="100.00",1,0)</f>
        <v>0</v>
      </c>
      <c r="X144">
        <f>IF(E144="100.00",1,0)</f>
        <v>0</v>
      </c>
      <c r="Y144">
        <f>IF(F144="100.00",1,0)</f>
        <v>0</v>
      </c>
      <c r="Z144">
        <f>IF(G144="100.00",1,0)</f>
        <v>0</v>
      </c>
      <c r="AA144">
        <f>IF(H144="100.00",1,0)</f>
        <v>0</v>
      </c>
      <c r="AB144">
        <f>IF(I144="100.00",1,0)</f>
        <v>0</v>
      </c>
      <c r="AC144">
        <f>IF(J144="100.00",1,0)</f>
        <v>0</v>
      </c>
      <c r="AD144">
        <f>IF(K144="100.00",1,0)</f>
        <v>0</v>
      </c>
      <c r="AE144">
        <f>IF(L144="100.00",1,0)</f>
        <v>0</v>
      </c>
      <c r="AF144">
        <f>IF(M144="100.00",1,0)</f>
        <v>0</v>
      </c>
      <c r="AG144">
        <f>IF(N144="100.00",1,0)</f>
        <v>0</v>
      </c>
      <c r="AH144">
        <f>IF(O144="100.00",1,0)</f>
        <v>0</v>
      </c>
      <c r="AI144">
        <f>IF(P144="100.00",1,0)</f>
        <v>0</v>
      </c>
      <c r="AJ144">
        <f>IF(Q144="100.00",1,0)</f>
        <v>0</v>
      </c>
      <c r="AK144">
        <f>IF(R144="100.00",1,0)</f>
        <v>0</v>
      </c>
      <c r="AL144">
        <f>IF(S144="100.00",1,0)</f>
        <v>0</v>
      </c>
      <c r="AM144">
        <f>IF(T144="100.00",1,0)</f>
        <v>0</v>
      </c>
      <c r="AN144">
        <f>IF(U144="100.00",1,0)</f>
        <v>0</v>
      </c>
      <c r="AO144">
        <f>SUM(V144:AN144)</f>
        <v>0</v>
      </c>
    </row>
    <row r="145" spans="1:41" x14ac:dyDescent="0.35">
      <c r="A145" s="5" t="s">
        <v>100</v>
      </c>
      <c r="B145" s="6">
        <v>94091301085</v>
      </c>
      <c r="C145" s="6" t="s">
        <v>23</v>
      </c>
      <c r="D145" s="6" t="s">
        <v>23</v>
      </c>
      <c r="E145" s="6" t="s">
        <v>23</v>
      </c>
      <c r="F145" s="6" t="s">
        <v>23</v>
      </c>
      <c r="G145" s="6" t="s">
        <v>23</v>
      </c>
      <c r="H145" s="6" t="s">
        <v>23</v>
      </c>
      <c r="I145" s="6" t="s">
        <v>48</v>
      </c>
      <c r="J145" s="6" t="s">
        <v>94</v>
      </c>
      <c r="K145" s="6" t="s">
        <v>23</v>
      </c>
      <c r="L145" s="6" t="s">
        <v>23</v>
      </c>
      <c r="M145" s="6" t="s">
        <v>23</v>
      </c>
      <c r="N145" s="6" t="s">
        <v>33</v>
      </c>
      <c r="O145" s="6" t="s">
        <v>23</v>
      </c>
      <c r="P145" s="6" t="s">
        <v>23</v>
      </c>
      <c r="Q145" s="6" t="s">
        <v>32</v>
      </c>
      <c r="R145" s="6" t="s">
        <v>23</v>
      </c>
      <c r="S145" s="6" t="s">
        <v>98</v>
      </c>
      <c r="T145" s="6" t="s">
        <v>68</v>
      </c>
      <c r="U145" s="7" t="s">
        <v>23</v>
      </c>
      <c r="V145">
        <f>IF(C145="100.00",1,0)</f>
        <v>0</v>
      </c>
      <c r="W145">
        <f>IF(D145="100.00",1,0)</f>
        <v>0</v>
      </c>
      <c r="X145">
        <f>IF(E145="100.00",1,0)</f>
        <v>0</v>
      </c>
      <c r="Y145">
        <f>IF(F145="100.00",1,0)</f>
        <v>0</v>
      </c>
      <c r="Z145">
        <f>IF(G145="100.00",1,0)</f>
        <v>0</v>
      </c>
      <c r="AA145">
        <f>IF(H145="100.00",1,0)</f>
        <v>0</v>
      </c>
      <c r="AB145">
        <f>IF(I145="100.00",1,0)</f>
        <v>0</v>
      </c>
      <c r="AC145">
        <f>IF(J145="100.00",1,0)</f>
        <v>0</v>
      </c>
      <c r="AD145">
        <f>IF(K145="100.00",1,0)</f>
        <v>0</v>
      </c>
      <c r="AE145">
        <f>IF(L145="100.00",1,0)</f>
        <v>0</v>
      </c>
      <c r="AF145">
        <f>IF(M145="100.00",1,0)</f>
        <v>0</v>
      </c>
      <c r="AG145">
        <f>IF(N145="100.00",1,0)</f>
        <v>0</v>
      </c>
      <c r="AH145">
        <f>IF(O145="100.00",1,0)</f>
        <v>0</v>
      </c>
      <c r="AI145">
        <f>IF(P145="100.00",1,0)</f>
        <v>0</v>
      </c>
      <c r="AJ145">
        <f>IF(Q145="100.00",1,0)</f>
        <v>0</v>
      </c>
      <c r="AK145">
        <f>IF(R145="100.00",1,0)</f>
        <v>0</v>
      </c>
      <c r="AL145">
        <f>IF(S145="100.00",1,0)</f>
        <v>0</v>
      </c>
      <c r="AM145">
        <f>IF(T145="100.00",1,0)</f>
        <v>0</v>
      </c>
      <c r="AN145">
        <f>IF(U145="100.00",1,0)</f>
        <v>0</v>
      </c>
      <c r="AO145">
        <f>SUM(V145:AN145)</f>
        <v>0</v>
      </c>
    </row>
    <row r="146" spans="1:41" x14ac:dyDescent="0.35">
      <c r="A146" s="8" t="s">
        <v>100</v>
      </c>
      <c r="B146" s="9">
        <v>94092207960</v>
      </c>
      <c r="C146" s="9" t="s">
        <v>23</v>
      </c>
      <c r="D146" s="9" t="s">
        <v>23</v>
      </c>
      <c r="E146" s="9" t="s">
        <v>23</v>
      </c>
      <c r="F146" s="9" t="s">
        <v>23</v>
      </c>
      <c r="G146" s="9" t="s">
        <v>23</v>
      </c>
      <c r="H146" s="9" t="s">
        <v>23</v>
      </c>
      <c r="I146" s="9" t="s">
        <v>23</v>
      </c>
      <c r="J146" s="9" t="s">
        <v>60</v>
      </c>
      <c r="K146" s="9" t="s">
        <v>23</v>
      </c>
      <c r="L146" s="9" t="s">
        <v>23</v>
      </c>
      <c r="M146" s="9" t="s">
        <v>48</v>
      </c>
      <c r="N146" s="9" t="s">
        <v>23</v>
      </c>
      <c r="O146" s="9" t="s">
        <v>23</v>
      </c>
      <c r="P146" s="9" t="s">
        <v>23</v>
      </c>
      <c r="Q146" s="9" t="s">
        <v>31</v>
      </c>
      <c r="R146" s="9" t="s">
        <v>23</v>
      </c>
      <c r="S146" s="9" t="s">
        <v>57</v>
      </c>
      <c r="T146" s="9" t="s">
        <v>75</v>
      </c>
      <c r="U146" s="10" t="s">
        <v>23</v>
      </c>
      <c r="V146">
        <f>IF(C146="100.00",1,0)</f>
        <v>0</v>
      </c>
      <c r="W146">
        <f>IF(D146="100.00",1,0)</f>
        <v>0</v>
      </c>
      <c r="X146">
        <f>IF(E146="100.00",1,0)</f>
        <v>0</v>
      </c>
      <c r="Y146">
        <f>IF(F146="100.00",1,0)</f>
        <v>0</v>
      </c>
      <c r="Z146">
        <f>IF(G146="100.00",1,0)</f>
        <v>0</v>
      </c>
      <c r="AA146">
        <f>IF(H146="100.00",1,0)</f>
        <v>0</v>
      </c>
      <c r="AB146">
        <f>IF(I146="100.00",1,0)</f>
        <v>0</v>
      </c>
      <c r="AC146">
        <f>IF(J146="100.00",1,0)</f>
        <v>0</v>
      </c>
      <c r="AD146">
        <f>IF(K146="100.00",1,0)</f>
        <v>0</v>
      </c>
      <c r="AE146">
        <f>IF(L146="100.00",1,0)</f>
        <v>0</v>
      </c>
      <c r="AF146">
        <f>IF(M146="100.00",1,0)</f>
        <v>0</v>
      </c>
      <c r="AG146">
        <f>IF(N146="100.00",1,0)</f>
        <v>0</v>
      </c>
      <c r="AH146">
        <f>IF(O146="100.00",1,0)</f>
        <v>0</v>
      </c>
      <c r="AI146">
        <f>IF(P146="100.00",1,0)</f>
        <v>0</v>
      </c>
      <c r="AJ146">
        <f>IF(Q146="100.00",1,0)</f>
        <v>0</v>
      </c>
      <c r="AK146">
        <f>IF(R146="100.00",1,0)</f>
        <v>0</v>
      </c>
      <c r="AL146">
        <f>IF(S146="100.00",1,0)</f>
        <v>0</v>
      </c>
      <c r="AM146">
        <f>IF(T146="100.00",1,0)</f>
        <v>0</v>
      </c>
      <c r="AN146">
        <f>IF(U146="100.00",1,0)</f>
        <v>0</v>
      </c>
      <c r="AO146">
        <f>SUM(V146:AN146)</f>
        <v>0</v>
      </c>
    </row>
    <row r="147" spans="1:41" x14ac:dyDescent="0.35">
      <c r="A147" s="5" t="s">
        <v>100</v>
      </c>
      <c r="B147" s="6">
        <v>94100706007</v>
      </c>
      <c r="C147" s="6" t="s">
        <v>23</v>
      </c>
      <c r="D147" s="6" t="s">
        <v>23</v>
      </c>
      <c r="E147" s="6" t="s">
        <v>23</v>
      </c>
      <c r="F147" s="6" t="s">
        <v>23</v>
      </c>
      <c r="G147" s="6" t="s">
        <v>23</v>
      </c>
      <c r="H147" s="6" t="s">
        <v>23</v>
      </c>
      <c r="I147" s="6" t="s">
        <v>23</v>
      </c>
      <c r="J147" s="6" t="s">
        <v>51</v>
      </c>
      <c r="K147" s="6" t="s">
        <v>23</v>
      </c>
      <c r="L147" s="6" t="s">
        <v>23</v>
      </c>
      <c r="M147" s="6" t="s">
        <v>40</v>
      </c>
      <c r="N147" s="6" t="s">
        <v>23</v>
      </c>
      <c r="O147" s="6" t="s">
        <v>23</v>
      </c>
      <c r="P147" s="6" t="s">
        <v>23</v>
      </c>
      <c r="Q147" s="6" t="s">
        <v>76</v>
      </c>
      <c r="R147" s="6" t="s">
        <v>23</v>
      </c>
      <c r="S147" s="6" t="s">
        <v>31</v>
      </c>
      <c r="T147" s="6" t="s">
        <v>23</v>
      </c>
      <c r="U147" s="7" t="s">
        <v>23</v>
      </c>
      <c r="V147">
        <f>IF(C147="100.00",1,0)</f>
        <v>0</v>
      </c>
      <c r="W147">
        <f>IF(D147="100.00",1,0)</f>
        <v>0</v>
      </c>
      <c r="X147">
        <f>IF(E147="100.00",1,0)</f>
        <v>0</v>
      </c>
      <c r="Y147">
        <f>IF(F147="100.00",1,0)</f>
        <v>0</v>
      </c>
      <c r="Z147">
        <f>IF(G147="100.00",1,0)</f>
        <v>0</v>
      </c>
      <c r="AA147">
        <f>IF(H147="100.00",1,0)</f>
        <v>0</v>
      </c>
      <c r="AB147">
        <f>IF(I147="100.00",1,0)</f>
        <v>0</v>
      </c>
      <c r="AC147">
        <f>IF(J147="100.00",1,0)</f>
        <v>0</v>
      </c>
      <c r="AD147">
        <f>IF(K147="100.00",1,0)</f>
        <v>0</v>
      </c>
      <c r="AE147">
        <f>IF(L147="100.00",1,0)</f>
        <v>0</v>
      </c>
      <c r="AF147">
        <f>IF(M147="100.00",1,0)</f>
        <v>0</v>
      </c>
      <c r="AG147">
        <f>IF(N147="100.00",1,0)</f>
        <v>0</v>
      </c>
      <c r="AH147">
        <f>IF(O147="100.00",1,0)</f>
        <v>0</v>
      </c>
      <c r="AI147">
        <f>IF(P147="100.00",1,0)</f>
        <v>0</v>
      </c>
      <c r="AJ147">
        <f>IF(Q147="100.00",1,0)</f>
        <v>0</v>
      </c>
      <c r="AK147">
        <f>IF(R147="100.00",1,0)</f>
        <v>0</v>
      </c>
      <c r="AL147">
        <f>IF(S147="100.00",1,0)</f>
        <v>0</v>
      </c>
      <c r="AM147">
        <f>IF(T147="100.00",1,0)</f>
        <v>0</v>
      </c>
      <c r="AN147">
        <f>IF(U147="100.00",1,0)</f>
        <v>0</v>
      </c>
      <c r="AO147">
        <f>SUM(V147:AN147)</f>
        <v>0</v>
      </c>
    </row>
    <row r="148" spans="1:41" x14ac:dyDescent="0.35">
      <c r="A148" s="8" t="s">
        <v>100</v>
      </c>
      <c r="B148" s="9">
        <v>94102604723</v>
      </c>
      <c r="C148" s="9" t="s">
        <v>23</v>
      </c>
      <c r="D148" s="9" t="s">
        <v>23</v>
      </c>
      <c r="E148" s="9" t="s">
        <v>23</v>
      </c>
      <c r="F148" s="9" t="s">
        <v>23</v>
      </c>
      <c r="G148" s="9" t="s">
        <v>23</v>
      </c>
      <c r="H148" s="9" t="s">
        <v>23</v>
      </c>
      <c r="I148" s="9" t="s">
        <v>23</v>
      </c>
      <c r="J148" s="9" t="s">
        <v>23</v>
      </c>
      <c r="K148" s="9" t="s">
        <v>23</v>
      </c>
      <c r="L148" s="9" t="s">
        <v>30</v>
      </c>
      <c r="M148" s="9" t="s">
        <v>40</v>
      </c>
      <c r="N148" s="9" t="s">
        <v>74</v>
      </c>
      <c r="O148" s="9" t="s">
        <v>23</v>
      </c>
      <c r="P148" s="9" t="s">
        <v>23</v>
      </c>
      <c r="Q148" s="9" t="s">
        <v>41</v>
      </c>
      <c r="R148" s="9" t="s">
        <v>23</v>
      </c>
      <c r="S148" s="9" t="s">
        <v>72</v>
      </c>
      <c r="T148" s="9" t="s">
        <v>33</v>
      </c>
      <c r="U148" s="10" t="s">
        <v>23</v>
      </c>
      <c r="V148">
        <f>IF(C148="100.00",1,0)</f>
        <v>0</v>
      </c>
      <c r="W148">
        <f>IF(D148="100.00",1,0)</f>
        <v>0</v>
      </c>
      <c r="X148">
        <f>IF(E148="100.00",1,0)</f>
        <v>0</v>
      </c>
      <c r="Y148">
        <f>IF(F148="100.00",1,0)</f>
        <v>0</v>
      </c>
      <c r="Z148">
        <f>IF(G148="100.00",1,0)</f>
        <v>0</v>
      </c>
      <c r="AA148">
        <f>IF(H148="100.00",1,0)</f>
        <v>0</v>
      </c>
      <c r="AB148">
        <f>IF(I148="100.00",1,0)</f>
        <v>0</v>
      </c>
      <c r="AC148">
        <f>IF(J148="100.00",1,0)</f>
        <v>0</v>
      </c>
      <c r="AD148">
        <f>IF(K148="100.00",1,0)</f>
        <v>0</v>
      </c>
      <c r="AE148">
        <f>IF(L148="100.00",1,0)</f>
        <v>0</v>
      </c>
      <c r="AF148">
        <f>IF(M148="100.00",1,0)</f>
        <v>0</v>
      </c>
      <c r="AG148">
        <f>IF(N148="100.00",1,0)</f>
        <v>0</v>
      </c>
      <c r="AH148">
        <f>IF(O148="100.00",1,0)</f>
        <v>0</v>
      </c>
      <c r="AI148">
        <f>IF(P148="100.00",1,0)</f>
        <v>0</v>
      </c>
      <c r="AJ148">
        <f>IF(Q148="100.00",1,0)</f>
        <v>0</v>
      </c>
      <c r="AK148">
        <f>IF(R148="100.00",1,0)</f>
        <v>0</v>
      </c>
      <c r="AL148">
        <f>IF(S148="100.00",1,0)</f>
        <v>0</v>
      </c>
      <c r="AM148">
        <f>IF(T148="100.00",1,0)</f>
        <v>0</v>
      </c>
      <c r="AN148">
        <f>IF(U148="100.00",1,0)</f>
        <v>0</v>
      </c>
      <c r="AO148">
        <f>SUM(V148:AN148)</f>
        <v>0</v>
      </c>
    </row>
    <row r="149" spans="1:41" x14ac:dyDescent="0.35">
      <c r="A149" s="5" t="s">
        <v>100</v>
      </c>
      <c r="B149" s="6">
        <v>94103100907</v>
      </c>
      <c r="C149" s="6" t="s">
        <v>102</v>
      </c>
      <c r="D149" s="6" t="s">
        <v>103</v>
      </c>
      <c r="E149" s="6" t="s">
        <v>23</v>
      </c>
      <c r="F149" s="6" t="s">
        <v>23</v>
      </c>
      <c r="G149" s="6" t="s">
        <v>23</v>
      </c>
      <c r="H149" s="6" t="s">
        <v>23</v>
      </c>
      <c r="I149" s="6" t="s">
        <v>33</v>
      </c>
      <c r="J149" s="6" t="s">
        <v>23</v>
      </c>
      <c r="K149" s="6" t="s">
        <v>23</v>
      </c>
      <c r="L149" s="6" t="s">
        <v>23</v>
      </c>
      <c r="M149" s="6" t="s">
        <v>34</v>
      </c>
      <c r="N149" s="6" t="s">
        <v>23</v>
      </c>
      <c r="O149" s="6" t="s">
        <v>23</v>
      </c>
      <c r="P149" s="6" t="s">
        <v>23</v>
      </c>
      <c r="Q149" s="6" t="s">
        <v>34</v>
      </c>
      <c r="R149" s="6" t="s">
        <v>23</v>
      </c>
      <c r="S149" s="6" t="s">
        <v>59</v>
      </c>
      <c r="T149" s="6" t="s">
        <v>23</v>
      </c>
      <c r="U149" s="7" t="s">
        <v>23</v>
      </c>
      <c r="V149">
        <f>IF(C149="100.00",1,0)</f>
        <v>0</v>
      </c>
      <c r="W149">
        <f>IF(D149="100.00",1,0)</f>
        <v>0</v>
      </c>
      <c r="X149">
        <f>IF(E149="100.00",1,0)</f>
        <v>0</v>
      </c>
      <c r="Y149">
        <f>IF(F149="100.00",1,0)</f>
        <v>0</v>
      </c>
      <c r="Z149">
        <f>IF(G149="100.00",1,0)</f>
        <v>0</v>
      </c>
      <c r="AA149">
        <f>IF(H149="100.00",1,0)</f>
        <v>0</v>
      </c>
      <c r="AB149">
        <f>IF(I149="100.00",1,0)</f>
        <v>0</v>
      </c>
      <c r="AC149">
        <f>IF(J149="100.00",1,0)</f>
        <v>0</v>
      </c>
      <c r="AD149">
        <f>IF(K149="100.00",1,0)</f>
        <v>0</v>
      </c>
      <c r="AE149">
        <f>IF(L149="100.00",1,0)</f>
        <v>0</v>
      </c>
      <c r="AF149">
        <f>IF(M149="100.00",1,0)</f>
        <v>0</v>
      </c>
      <c r="AG149">
        <f>IF(N149="100.00",1,0)</f>
        <v>0</v>
      </c>
      <c r="AH149">
        <f>IF(O149="100.00",1,0)</f>
        <v>0</v>
      </c>
      <c r="AI149">
        <f>IF(P149="100.00",1,0)</f>
        <v>0</v>
      </c>
      <c r="AJ149">
        <f>IF(Q149="100.00",1,0)</f>
        <v>0</v>
      </c>
      <c r="AK149">
        <f>IF(R149="100.00",1,0)</f>
        <v>0</v>
      </c>
      <c r="AL149">
        <f>IF(S149="100.00",1,0)</f>
        <v>0</v>
      </c>
      <c r="AM149">
        <f>IF(T149="100.00",1,0)</f>
        <v>0</v>
      </c>
      <c r="AN149">
        <f>IF(U149="100.00",1,0)</f>
        <v>0</v>
      </c>
      <c r="AO149">
        <f>SUM(V149:AN149)</f>
        <v>0</v>
      </c>
    </row>
    <row r="150" spans="1:41" x14ac:dyDescent="0.35">
      <c r="A150" s="5" t="s">
        <v>100</v>
      </c>
      <c r="B150" s="6">
        <v>94121203482</v>
      </c>
      <c r="C150" s="6" t="s">
        <v>23</v>
      </c>
      <c r="D150" s="6" t="s">
        <v>23</v>
      </c>
      <c r="E150" s="6" t="s">
        <v>23</v>
      </c>
      <c r="F150" s="6" t="s">
        <v>23</v>
      </c>
      <c r="G150" s="6" t="s">
        <v>23</v>
      </c>
      <c r="H150" s="6" t="s">
        <v>23</v>
      </c>
      <c r="I150" s="6" t="s">
        <v>38</v>
      </c>
      <c r="J150" s="6" t="s">
        <v>23</v>
      </c>
      <c r="K150" s="6" t="s">
        <v>23</v>
      </c>
      <c r="L150" s="6" t="s">
        <v>23</v>
      </c>
      <c r="M150" s="6" t="s">
        <v>35</v>
      </c>
      <c r="N150" s="6" t="s">
        <v>94</v>
      </c>
      <c r="O150" s="6" t="s">
        <v>23</v>
      </c>
      <c r="P150" s="6" t="s">
        <v>23</v>
      </c>
      <c r="Q150" s="6" t="s">
        <v>84</v>
      </c>
      <c r="R150" s="6" t="s">
        <v>23</v>
      </c>
      <c r="S150" s="6" t="s">
        <v>58</v>
      </c>
      <c r="T150" s="6" t="s">
        <v>34</v>
      </c>
      <c r="U150" s="7" t="s">
        <v>23</v>
      </c>
      <c r="V150">
        <f>IF(C150="100.00",1,0)</f>
        <v>0</v>
      </c>
      <c r="W150">
        <f>IF(D150="100.00",1,0)</f>
        <v>0</v>
      </c>
      <c r="X150">
        <f>IF(E150="100.00",1,0)</f>
        <v>0</v>
      </c>
      <c r="Y150">
        <f>IF(F150="100.00",1,0)</f>
        <v>0</v>
      </c>
      <c r="Z150">
        <f>IF(G150="100.00",1,0)</f>
        <v>0</v>
      </c>
      <c r="AA150">
        <f>IF(H150="100.00",1,0)</f>
        <v>0</v>
      </c>
      <c r="AB150">
        <f>IF(I150="100.00",1,0)</f>
        <v>0</v>
      </c>
      <c r="AC150">
        <f>IF(J150="100.00",1,0)</f>
        <v>0</v>
      </c>
      <c r="AD150">
        <f>IF(K150="100.00",1,0)</f>
        <v>0</v>
      </c>
      <c r="AE150">
        <f>IF(L150="100.00",1,0)</f>
        <v>0</v>
      </c>
      <c r="AF150">
        <f>IF(M150="100.00",1,0)</f>
        <v>0</v>
      </c>
      <c r="AG150">
        <f>IF(N150="100.00",1,0)</f>
        <v>0</v>
      </c>
      <c r="AH150">
        <f>IF(O150="100.00",1,0)</f>
        <v>0</v>
      </c>
      <c r="AI150">
        <f>IF(P150="100.00",1,0)</f>
        <v>0</v>
      </c>
      <c r="AJ150">
        <f>IF(Q150="100.00",1,0)</f>
        <v>0</v>
      </c>
      <c r="AK150">
        <f>IF(R150="100.00",1,0)</f>
        <v>0</v>
      </c>
      <c r="AL150">
        <f>IF(S150="100.00",1,0)</f>
        <v>0</v>
      </c>
      <c r="AM150">
        <f>IF(T150="100.00",1,0)</f>
        <v>0</v>
      </c>
      <c r="AN150">
        <f>IF(U150="100.00",1,0)</f>
        <v>0</v>
      </c>
      <c r="AO150">
        <f>SUM(V150:AN150)</f>
        <v>0</v>
      </c>
    </row>
    <row r="151" spans="1:41" x14ac:dyDescent="0.35">
      <c r="A151" s="8" t="s">
        <v>100</v>
      </c>
      <c r="B151" s="9">
        <v>94121709025</v>
      </c>
      <c r="C151" s="9" t="s">
        <v>23</v>
      </c>
      <c r="D151" s="9" t="s">
        <v>23</v>
      </c>
      <c r="E151" s="9" t="s">
        <v>23</v>
      </c>
      <c r="F151" s="9" t="s">
        <v>82</v>
      </c>
      <c r="G151" s="9" t="s">
        <v>23</v>
      </c>
      <c r="H151" s="9" t="s">
        <v>23</v>
      </c>
      <c r="I151" s="9" t="s">
        <v>40</v>
      </c>
      <c r="J151" s="9" t="s">
        <v>76</v>
      </c>
      <c r="K151" s="9" t="s">
        <v>23</v>
      </c>
      <c r="L151" s="9" t="s">
        <v>23</v>
      </c>
      <c r="M151" s="9" t="s">
        <v>23</v>
      </c>
      <c r="N151" s="9" t="s">
        <v>28</v>
      </c>
      <c r="O151" s="9" t="s">
        <v>23</v>
      </c>
      <c r="P151" s="9" t="s">
        <v>23</v>
      </c>
      <c r="Q151" s="9" t="s">
        <v>42</v>
      </c>
      <c r="R151" s="9" t="s">
        <v>23</v>
      </c>
      <c r="S151" s="9" t="s">
        <v>94</v>
      </c>
      <c r="T151" s="9" t="s">
        <v>75</v>
      </c>
      <c r="U151" s="10" t="s">
        <v>23</v>
      </c>
      <c r="V151">
        <f>IF(C151="100.00",1,0)</f>
        <v>0</v>
      </c>
      <c r="W151">
        <f>IF(D151="100.00",1,0)</f>
        <v>0</v>
      </c>
      <c r="X151">
        <f>IF(E151="100.00",1,0)</f>
        <v>0</v>
      </c>
      <c r="Y151">
        <f>IF(F151="100.00",1,0)</f>
        <v>0</v>
      </c>
      <c r="Z151">
        <f>IF(G151="100.00",1,0)</f>
        <v>0</v>
      </c>
      <c r="AA151">
        <f>IF(H151="100.00",1,0)</f>
        <v>0</v>
      </c>
      <c r="AB151">
        <f>IF(I151="100.00",1,0)</f>
        <v>0</v>
      </c>
      <c r="AC151">
        <f>IF(J151="100.00",1,0)</f>
        <v>0</v>
      </c>
      <c r="AD151">
        <f>IF(K151="100.00",1,0)</f>
        <v>0</v>
      </c>
      <c r="AE151">
        <f>IF(L151="100.00",1,0)</f>
        <v>0</v>
      </c>
      <c r="AF151">
        <f>IF(M151="100.00",1,0)</f>
        <v>0</v>
      </c>
      <c r="AG151">
        <f>IF(N151="100.00",1,0)</f>
        <v>0</v>
      </c>
      <c r="AH151">
        <f>IF(O151="100.00",1,0)</f>
        <v>0</v>
      </c>
      <c r="AI151">
        <f>IF(P151="100.00",1,0)</f>
        <v>0</v>
      </c>
      <c r="AJ151">
        <f>IF(Q151="100.00",1,0)</f>
        <v>0</v>
      </c>
      <c r="AK151">
        <f>IF(R151="100.00",1,0)</f>
        <v>0</v>
      </c>
      <c r="AL151">
        <f>IF(S151="100.00",1,0)</f>
        <v>0</v>
      </c>
      <c r="AM151">
        <f>IF(T151="100.00",1,0)</f>
        <v>0</v>
      </c>
      <c r="AN151">
        <f>IF(U151="100.00",1,0)</f>
        <v>0</v>
      </c>
      <c r="AO151">
        <f>SUM(V151:AN151)</f>
        <v>0</v>
      </c>
    </row>
    <row r="152" spans="1:41" x14ac:dyDescent="0.35">
      <c r="A152" s="5" t="s">
        <v>100</v>
      </c>
      <c r="B152" s="6">
        <v>95011300625</v>
      </c>
      <c r="C152" s="6" t="s">
        <v>23</v>
      </c>
      <c r="D152" s="6" t="s">
        <v>23</v>
      </c>
      <c r="E152" s="6" t="s">
        <v>23</v>
      </c>
      <c r="F152" s="6" t="s">
        <v>22</v>
      </c>
      <c r="G152" s="6" t="s">
        <v>23</v>
      </c>
      <c r="H152" s="6" t="s">
        <v>23</v>
      </c>
      <c r="I152" s="6" t="s">
        <v>40</v>
      </c>
      <c r="J152" s="6" t="s">
        <v>23</v>
      </c>
      <c r="K152" s="6" t="s">
        <v>23</v>
      </c>
      <c r="L152" s="6" t="s">
        <v>23</v>
      </c>
      <c r="M152" s="6" t="s">
        <v>54</v>
      </c>
      <c r="N152" s="6" t="s">
        <v>33</v>
      </c>
      <c r="O152" s="6" t="s">
        <v>23</v>
      </c>
      <c r="P152" s="6" t="s">
        <v>23</v>
      </c>
      <c r="Q152" s="6" t="s">
        <v>34</v>
      </c>
      <c r="R152" s="6" t="s">
        <v>81</v>
      </c>
      <c r="S152" s="6" t="s">
        <v>85</v>
      </c>
      <c r="T152" s="6" t="s">
        <v>23</v>
      </c>
      <c r="U152" s="7" t="s">
        <v>23</v>
      </c>
      <c r="V152">
        <f>IF(C152="100.00",1,0)</f>
        <v>0</v>
      </c>
      <c r="W152">
        <f>IF(D152="100.00",1,0)</f>
        <v>0</v>
      </c>
      <c r="X152">
        <f>IF(E152="100.00",1,0)</f>
        <v>0</v>
      </c>
      <c r="Y152">
        <f>IF(F152="100.00",1,0)</f>
        <v>0</v>
      </c>
      <c r="Z152">
        <f>IF(G152="100.00",1,0)</f>
        <v>0</v>
      </c>
      <c r="AA152">
        <f>IF(H152="100.00",1,0)</f>
        <v>0</v>
      </c>
      <c r="AB152">
        <f>IF(I152="100.00",1,0)</f>
        <v>0</v>
      </c>
      <c r="AC152">
        <f>IF(J152="100.00",1,0)</f>
        <v>0</v>
      </c>
      <c r="AD152">
        <f>IF(K152="100.00",1,0)</f>
        <v>0</v>
      </c>
      <c r="AE152">
        <f>IF(L152="100.00",1,0)</f>
        <v>0</v>
      </c>
      <c r="AF152">
        <f>IF(M152="100.00",1,0)</f>
        <v>0</v>
      </c>
      <c r="AG152">
        <f>IF(N152="100.00",1,0)</f>
        <v>0</v>
      </c>
      <c r="AH152">
        <f>IF(O152="100.00",1,0)</f>
        <v>0</v>
      </c>
      <c r="AI152">
        <f>IF(P152="100.00",1,0)</f>
        <v>0</v>
      </c>
      <c r="AJ152">
        <f>IF(Q152="100.00",1,0)</f>
        <v>0</v>
      </c>
      <c r="AK152">
        <f>IF(R152="100.00",1,0)</f>
        <v>0</v>
      </c>
      <c r="AL152">
        <f>IF(S152="100.00",1,0)</f>
        <v>0</v>
      </c>
      <c r="AM152">
        <f>IF(T152="100.00",1,0)</f>
        <v>0</v>
      </c>
      <c r="AN152">
        <f>IF(U152="100.00",1,0)</f>
        <v>0</v>
      </c>
      <c r="AO152">
        <f>SUM(V152:AN152)</f>
        <v>0</v>
      </c>
    </row>
    <row r="153" spans="1:41" x14ac:dyDescent="0.35">
      <c r="A153" s="11" t="s">
        <v>100</v>
      </c>
      <c r="B153" s="1">
        <v>95032804489</v>
      </c>
      <c r="C153" s="1" t="s">
        <v>59</v>
      </c>
      <c r="D153" s="1" t="s">
        <v>59</v>
      </c>
      <c r="E153" s="1" t="s">
        <v>23</v>
      </c>
      <c r="F153" s="1" t="s">
        <v>23</v>
      </c>
      <c r="G153" s="1" t="s">
        <v>23</v>
      </c>
      <c r="H153" s="1" t="s">
        <v>23</v>
      </c>
      <c r="I153" s="1" t="s">
        <v>62</v>
      </c>
      <c r="J153" s="1" t="s">
        <v>23</v>
      </c>
      <c r="K153" s="1" t="s">
        <v>23</v>
      </c>
      <c r="L153" s="1" t="s">
        <v>23</v>
      </c>
      <c r="M153" s="1" t="s">
        <v>23</v>
      </c>
      <c r="N153" s="1" t="s">
        <v>33</v>
      </c>
      <c r="O153" s="1" t="s">
        <v>23</v>
      </c>
      <c r="P153" s="1" t="s">
        <v>23</v>
      </c>
      <c r="Q153" s="1" t="s">
        <v>42</v>
      </c>
      <c r="R153" s="1" t="s">
        <v>23</v>
      </c>
      <c r="S153" s="1" t="s">
        <v>64</v>
      </c>
      <c r="T153" s="1" t="s">
        <v>23</v>
      </c>
      <c r="U153" s="12" t="s">
        <v>23</v>
      </c>
      <c r="V153">
        <f>IF(C153="100.00",1,0)</f>
        <v>0</v>
      </c>
      <c r="W153">
        <f>IF(D153="100.00",1,0)</f>
        <v>0</v>
      </c>
      <c r="X153">
        <f>IF(E153="100.00",1,0)</f>
        <v>0</v>
      </c>
      <c r="Y153">
        <f>IF(F153="100.00",1,0)</f>
        <v>0</v>
      </c>
      <c r="Z153">
        <f>IF(G153="100.00",1,0)</f>
        <v>0</v>
      </c>
      <c r="AA153">
        <f>IF(H153="100.00",1,0)</f>
        <v>0</v>
      </c>
      <c r="AB153">
        <f>IF(I153="100.00",1,0)</f>
        <v>0</v>
      </c>
      <c r="AC153">
        <f>IF(J153="100.00",1,0)</f>
        <v>0</v>
      </c>
      <c r="AD153">
        <f>IF(K153="100.00",1,0)</f>
        <v>0</v>
      </c>
      <c r="AE153">
        <f>IF(L153="100.00",1,0)</f>
        <v>0</v>
      </c>
      <c r="AF153">
        <f>IF(M153="100.00",1,0)</f>
        <v>0</v>
      </c>
      <c r="AG153">
        <f>IF(N153="100.00",1,0)</f>
        <v>0</v>
      </c>
      <c r="AH153">
        <f>IF(O153="100.00",1,0)</f>
        <v>0</v>
      </c>
      <c r="AI153">
        <f>IF(P153="100.00",1,0)</f>
        <v>0</v>
      </c>
      <c r="AJ153">
        <f>IF(Q153="100.00",1,0)</f>
        <v>0</v>
      </c>
      <c r="AK153">
        <f>IF(R153="100.00",1,0)</f>
        <v>0</v>
      </c>
      <c r="AL153">
        <f>IF(S153="100.00",1,0)</f>
        <v>0</v>
      </c>
      <c r="AM153">
        <f>IF(T153="100.00",1,0)</f>
        <v>0</v>
      </c>
      <c r="AN153">
        <f>IF(U153="100.00",1,0)</f>
        <v>0</v>
      </c>
      <c r="AO153">
        <f>SUM(V153:AN153)</f>
        <v>0</v>
      </c>
    </row>
  </sheetData>
  <autoFilter ref="AO1:AO153" xr:uid="{36F49D4B-0944-47EC-98D6-0775C5F495E5}"/>
  <sortState xmlns:xlrd2="http://schemas.microsoft.com/office/spreadsheetml/2017/richdata2" ref="A1:AO153">
    <sortCondition descending="1" ref="AO1:AO1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627A-63D5-4F85-B307-1715DDEAA2CA}">
  <dimension ref="A1:AO155"/>
  <sheetViews>
    <sheetView topLeftCell="AA1" zoomScale="65" workbookViewId="0">
      <selection activeCell="V1" sqref="V1:AO3"/>
    </sheetView>
  </sheetViews>
  <sheetFormatPr defaultRowHeight="14.5" x14ac:dyDescent="0.35"/>
  <cols>
    <col min="1" max="2" width="16" bestFit="1" customWidth="1"/>
    <col min="3" max="3" width="11.36328125" bestFit="1" customWidth="1"/>
    <col min="4" max="4" width="11.08984375" bestFit="1" customWidth="1"/>
    <col min="5" max="5" width="9.90625" bestFit="1" customWidth="1"/>
    <col min="6" max="6" width="12.90625" bestFit="1" customWidth="1"/>
    <col min="7" max="7" width="11.36328125" bestFit="1" customWidth="1"/>
    <col min="8" max="8" width="15.26953125" bestFit="1" customWidth="1"/>
    <col min="9" max="10" width="12.1796875" bestFit="1" customWidth="1"/>
    <col min="11" max="12" width="12.7265625" bestFit="1" customWidth="1"/>
    <col min="13" max="14" width="13.6328125" bestFit="1" customWidth="1"/>
    <col min="15" max="16" width="12.90625" bestFit="1" customWidth="1"/>
    <col min="17" max="18" width="15.6328125" bestFit="1" customWidth="1"/>
    <col min="19" max="20" width="9.7265625" bestFit="1" customWidth="1"/>
    <col min="21" max="21" width="8.90625" bestFit="1" customWidth="1"/>
    <col min="22" max="22" width="16" bestFit="1" customWidth="1"/>
    <col min="23" max="23" width="9.36328125" bestFit="1" customWidth="1"/>
    <col min="24" max="24" width="8.453125" bestFit="1" customWidth="1"/>
    <col min="25" max="25" width="11.453125" bestFit="1" customWidth="1"/>
    <col min="26" max="26" width="9.7265625" bestFit="1" customWidth="1"/>
    <col min="27" max="27" width="13.6328125" bestFit="1" customWidth="1"/>
    <col min="28" max="28" width="10.54296875" bestFit="1" customWidth="1"/>
    <col min="29" max="29" width="10.7265625" bestFit="1" customWidth="1"/>
    <col min="30" max="30" width="10.90625" bestFit="1" customWidth="1"/>
    <col min="31" max="31" width="11.08984375" bestFit="1" customWidth="1"/>
    <col min="32" max="32" width="11.90625" bestFit="1" customWidth="1"/>
    <col min="33" max="33" width="12.08984375" bestFit="1" customWidth="1"/>
    <col min="34" max="34" width="11.453125" bestFit="1" customWidth="1"/>
    <col min="35" max="35" width="11.54296875" bestFit="1" customWidth="1"/>
    <col min="36" max="36" width="14" bestFit="1" customWidth="1"/>
    <col min="37" max="37" width="14.1796875" bestFit="1" customWidth="1"/>
    <col min="38" max="38" width="7.81640625" bestFit="1" customWidth="1"/>
    <col min="39" max="39" width="8" bestFit="1" customWidth="1"/>
    <col min="40" max="40" width="7.26953125" bestFit="1" customWidth="1"/>
  </cols>
  <sheetData>
    <row r="1" spans="1:4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107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10</v>
      </c>
      <c r="AF1" s="3" t="s">
        <v>11</v>
      </c>
      <c r="AG1" s="3" t="s">
        <v>12</v>
      </c>
      <c r="AH1" s="3" t="s">
        <v>13</v>
      </c>
      <c r="AI1" s="3" t="s">
        <v>14</v>
      </c>
      <c r="AJ1" s="3" t="s">
        <v>15</v>
      </c>
      <c r="AK1" s="3" t="s">
        <v>16</v>
      </c>
      <c r="AL1" s="3" t="s">
        <v>17</v>
      </c>
      <c r="AM1" s="3" t="s">
        <v>18</v>
      </c>
      <c r="AN1" s="3" t="s">
        <v>19</v>
      </c>
      <c r="AO1" s="4" t="s">
        <v>20</v>
      </c>
    </row>
    <row r="2" spans="1:41" x14ac:dyDescent="0.35">
      <c r="A2" s="5" t="s">
        <v>21</v>
      </c>
      <c r="B2" s="6">
        <v>95010405222</v>
      </c>
      <c r="C2" s="21">
        <v>52</v>
      </c>
      <c r="D2" s="14" t="s">
        <v>23</v>
      </c>
      <c r="E2" s="14" t="s">
        <v>23</v>
      </c>
      <c r="F2" s="14" t="s">
        <v>23</v>
      </c>
      <c r="G2" s="14" t="s">
        <v>23</v>
      </c>
      <c r="H2" s="14" t="s">
        <v>23</v>
      </c>
      <c r="I2" s="14">
        <v>100</v>
      </c>
      <c r="J2" s="14">
        <v>91</v>
      </c>
      <c r="K2" s="14" t="s">
        <v>23</v>
      </c>
      <c r="L2" s="14">
        <v>88</v>
      </c>
      <c r="M2" s="14" t="s">
        <v>23</v>
      </c>
      <c r="N2" s="14" t="s">
        <v>23</v>
      </c>
      <c r="O2" s="14" t="s">
        <v>23</v>
      </c>
      <c r="P2" s="14" t="s">
        <v>23</v>
      </c>
      <c r="Q2" s="14">
        <v>80</v>
      </c>
      <c r="R2" s="14" t="s">
        <v>23</v>
      </c>
      <c r="S2" s="14">
        <v>67</v>
      </c>
      <c r="T2" s="14" t="s">
        <v>23</v>
      </c>
      <c r="U2" s="15" t="s">
        <v>23</v>
      </c>
      <c r="V2" s="13" t="s">
        <v>105</v>
      </c>
      <c r="W2" s="20">
        <v>40</v>
      </c>
      <c r="X2" s="20">
        <v>33</v>
      </c>
      <c r="Y2" s="20">
        <v>27</v>
      </c>
      <c r="Z2" s="20">
        <v>32</v>
      </c>
      <c r="AA2" s="20">
        <v>20</v>
      </c>
      <c r="AB2" s="20">
        <v>5</v>
      </c>
      <c r="AC2" s="20">
        <v>146</v>
      </c>
      <c r="AD2" s="20">
        <v>101</v>
      </c>
      <c r="AE2" s="20">
        <v>5</v>
      </c>
      <c r="AF2" s="20">
        <v>2</v>
      </c>
      <c r="AG2" s="20">
        <v>19</v>
      </c>
      <c r="AH2" s="20">
        <v>20</v>
      </c>
      <c r="AI2" s="20">
        <v>5</v>
      </c>
      <c r="AJ2" s="20">
        <v>2</v>
      </c>
      <c r="AK2" s="20">
        <v>152</v>
      </c>
      <c r="AL2" s="20">
        <v>61</v>
      </c>
      <c r="AM2" s="20">
        <v>152</v>
      </c>
      <c r="AN2" s="20">
        <v>53</v>
      </c>
      <c r="AO2" s="20">
        <v>19</v>
      </c>
    </row>
    <row r="3" spans="1:41" x14ac:dyDescent="0.35">
      <c r="A3" s="8" t="s">
        <v>21</v>
      </c>
      <c r="B3" s="9">
        <v>95011310048</v>
      </c>
      <c r="C3" s="16">
        <v>33</v>
      </c>
      <c r="D3" s="16">
        <v>52</v>
      </c>
      <c r="E3" s="16" t="s">
        <v>23</v>
      </c>
      <c r="F3" s="16" t="s">
        <v>23</v>
      </c>
      <c r="G3" s="16" t="s">
        <v>23</v>
      </c>
      <c r="H3" s="16" t="s">
        <v>23</v>
      </c>
      <c r="I3" s="16">
        <v>73</v>
      </c>
      <c r="J3" s="16" t="s">
        <v>23</v>
      </c>
      <c r="K3" s="16" t="s">
        <v>23</v>
      </c>
      <c r="L3" s="16" t="s">
        <v>23</v>
      </c>
      <c r="M3" s="16" t="s">
        <v>23</v>
      </c>
      <c r="N3" s="16" t="s">
        <v>23</v>
      </c>
      <c r="O3" s="16" t="s">
        <v>23</v>
      </c>
      <c r="P3" s="16" t="s">
        <v>23</v>
      </c>
      <c r="Q3" s="16">
        <v>56</v>
      </c>
      <c r="R3" s="16" t="s">
        <v>23</v>
      </c>
      <c r="S3" s="16">
        <v>40</v>
      </c>
      <c r="T3" s="16" t="s">
        <v>23</v>
      </c>
      <c r="U3" s="17" t="s">
        <v>23</v>
      </c>
      <c r="V3" s="22" t="s">
        <v>106</v>
      </c>
      <c r="W3" s="23">
        <v>66.599999999999994</v>
      </c>
      <c r="X3" s="23">
        <v>59.545454545454547</v>
      </c>
      <c r="Y3" s="23">
        <v>63.25925925925926</v>
      </c>
      <c r="Z3" s="23">
        <v>65.5625</v>
      </c>
      <c r="AA3" s="23">
        <v>77.8</v>
      </c>
      <c r="AB3" s="23">
        <v>77.2</v>
      </c>
      <c r="AC3" s="23">
        <v>92.705479452054789</v>
      </c>
      <c r="AD3" s="23">
        <v>77.643564356435647</v>
      </c>
      <c r="AE3" s="23">
        <v>79.400000000000006</v>
      </c>
      <c r="AF3" s="23">
        <v>80.5</v>
      </c>
      <c r="AG3" s="23">
        <v>89.89473684210526</v>
      </c>
      <c r="AH3" s="23">
        <v>70.2</v>
      </c>
      <c r="AI3" s="23">
        <v>98.4</v>
      </c>
      <c r="AJ3" s="23">
        <v>79.5</v>
      </c>
      <c r="AK3" s="23">
        <v>73.78947368421052</v>
      </c>
      <c r="AL3" s="23">
        <v>59.442622950819676</v>
      </c>
      <c r="AM3" s="23">
        <v>61.907894736842103</v>
      </c>
      <c r="AN3" s="23">
        <v>67.547169811320757</v>
      </c>
      <c r="AO3" s="23">
        <v>56.315789473684212</v>
      </c>
    </row>
    <row r="4" spans="1:41" x14ac:dyDescent="0.35">
      <c r="A4" s="5" t="s">
        <v>21</v>
      </c>
      <c r="B4" s="6">
        <v>95012311345</v>
      </c>
      <c r="C4" s="14">
        <v>70</v>
      </c>
      <c r="D4" s="14">
        <v>58</v>
      </c>
      <c r="E4" s="14" t="s">
        <v>23</v>
      </c>
      <c r="F4" s="14" t="s">
        <v>23</v>
      </c>
      <c r="G4" s="14" t="s">
        <v>23</v>
      </c>
      <c r="H4" s="14" t="s">
        <v>23</v>
      </c>
      <c r="I4" s="14">
        <v>92</v>
      </c>
      <c r="J4" s="14" t="s">
        <v>23</v>
      </c>
      <c r="K4" s="14" t="s">
        <v>23</v>
      </c>
      <c r="L4" s="14" t="s">
        <v>23</v>
      </c>
      <c r="M4" s="14" t="s">
        <v>23</v>
      </c>
      <c r="N4" s="14" t="s">
        <v>23</v>
      </c>
      <c r="O4" s="14" t="s">
        <v>23</v>
      </c>
      <c r="P4" s="14" t="s">
        <v>23</v>
      </c>
      <c r="Q4" s="14">
        <v>60</v>
      </c>
      <c r="R4" s="14" t="s">
        <v>23</v>
      </c>
      <c r="S4" s="14">
        <v>61</v>
      </c>
      <c r="T4" s="14" t="s">
        <v>23</v>
      </c>
      <c r="U4" s="15" t="s">
        <v>23</v>
      </c>
    </row>
    <row r="5" spans="1:41" x14ac:dyDescent="0.35">
      <c r="A5" s="8" t="s">
        <v>21</v>
      </c>
      <c r="B5" s="9">
        <v>95030607404</v>
      </c>
      <c r="C5" s="16">
        <v>90</v>
      </c>
      <c r="D5" s="16">
        <v>78</v>
      </c>
      <c r="E5" s="16" t="s">
        <v>23</v>
      </c>
      <c r="F5" s="16" t="s">
        <v>23</v>
      </c>
      <c r="G5" s="16" t="s">
        <v>23</v>
      </c>
      <c r="H5" s="16" t="s">
        <v>23</v>
      </c>
      <c r="I5" s="16">
        <v>98</v>
      </c>
      <c r="J5" s="16">
        <v>68</v>
      </c>
      <c r="K5" s="16" t="s">
        <v>23</v>
      </c>
      <c r="L5" s="16" t="s">
        <v>23</v>
      </c>
      <c r="M5" s="16" t="s">
        <v>23</v>
      </c>
      <c r="N5" s="16" t="s">
        <v>23</v>
      </c>
      <c r="O5" s="16" t="s">
        <v>23</v>
      </c>
      <c r="P5" s="16" t="s">
        <v>23</v>
      </c>
      <c r="Q5" s="16">
        <v>70</v>
      </c>
      <c r="R5" s="16" t="s">
        <v>23</v>
      </c>
      <c r="S5" s="16">
        <v>73</v>
      </c>
      <c r="T5" s="16" t="s">
        <v>23</v>
      </c>
      <c r="U5" s="17" t="s">
        <v>23</v>
      </c>
    </row>
    <row r="6" spans="1:41" x14ac:dyDescent="0.35">
      <c r="A6" s="5" t="s">
        <v>21</v>
      </c>
      <c r="B6" s="6">
        <v>95031506511</v>
      </c>
      <c r="C6" s="14">
        <v>62</v>
      </c>
      <c r="D6" s="14">
        <v>62</v>
      </c>
      <c r="E6" s="14" t="s">
        <v>23</v>
      </c>
      <c r="F6" s="14" t="s">
        <v>23</v>
      </c>
      <c r="G6" s="14" t="s">
        <v>23</v>
      </c>
      <c r="H6" s="14" t="s">
        <v>23</v>
      </c>
      <c r="I6" s="14">
        <v>87</v>
      </c>
      <c r="J6" s="14" t="s">
        <v>23</v>
      </c>
      <c r="K6" s="14" t="s">
        <v>23</v>
      </c>
      <c r="L6" s="14" t="s">
        <v>23</v>
      </c>
      <c r="M6" s="14" t="s">
        <v>23</v>
      </c>
      <c r="N6" s="14" t="s">
        <v>23</v>
      </c>
      <c r="O6" s="14" t="s">
        <v>23</v>
      </c>
      <c r="P6" s="14" t="s">
        <v>23</v>
      </c>
      <c r="Q6" s="14">
        <v>70</v>
      </c>
      <c r="R6" s="14" t="s">
        <v>23</v>
      </c>
      <c r="S6" s="14">
        <v>51</v>
      </c>
      <c r="T6" s="14" t="s">
        <v>23</v>
      </c>
      <c r="U6" s="15" t="s">
        <v>23</v>
      </c>
    </row>
    <row r="7" spans="1:41" x14ac:dyDescent="0.35">
      <c r="A7" s="8" t="s">
        <v>21</v>
      </c>
      <c r="B7" s="9">
        <v>95031714219</v>
      </c>
      <c r="C7" s="16">
        <v>65</v>
      </c>
      <c r="D7" s="16">
        <v>65</v>
      </c>
      <c r="E7" s="16" t="s">
        <v>23</v>
      </c>
      <c r="F7" s="16" t="s">
        <v>23</v>
      </c>
      <c r="G7" s="16" t="s">
        <v>23</v>
      </c>
      <c r="H7" s="16" t="s">
        <v>23</v>
      </c>
      <c r="I7" s="16">
        <v>75</v>
      </c>
      <c r="J7" s="16" t="s">
        <v>23</v>
      </c>
      <c r="K7" s="16" t="s">
        <v>23</v>
      </c>
      <c r="L7" s="16" t="s">
        <v>23</v>
      </c>
      <c r="M7" s="16" t="s">
        <v>23</v>
      </c>
      <c r="N7" s="16" t="s">
        <v>23</v>
      </c>
      <c r="O7" s="16" t="s">
        <v>23</v>
      </c>
      <c r="P7" s="16" t="s">
        <v>23</v>
      </c>
      <c r="Q7" s="16">
        <v>48</v>
      </c>
      <c r="R7" s="16" t="s">
        <v>23</v>
      </c>
      <c r="S7" s="16">
        <v>40</v>
      </c>
      <c r="T7" s="16" t="s">
        <v>23</v>
      </c>
      <c r="U7" s="17" t="s">
        <v>23</v>
      </c>
    </row>
    <row r="8" spans="1:41" x14ac:dyDescent="0.35">
      <c r="A8" s="5" t="s">
        <v>21</v>
      </c>
      <c r="B8" s="6">
        <v>95032402083</v>
      </c>
      <c r="C8" s="14" t="s">
        <v>23</v>
      </c>
      <c r="D8" s="14">
        <v>58</v>
      </c>
      <c r="E8" s="14" t="s">
        <v>23</v>
      </c>
      <c r="F8" s="14" t="s">
        <v>23</v>
      </c>
      <c r="G8" s="14" t="s">
        <v>23</v>
      </c>
      <c r="H8" s="14" t="s">
        <v>23</v>
      </c>
      <c r="I8" s="14">
        <v>96</v>
      </c>
      <c r="J8" s="14">
        <v>61</v>
      </c>
      <c r="K8" s="14" t="s">
        <v>23</v>
      </c>
      <c r="L8" s="14" t="s">
        <v>23</v>
      </c>
      <c r="M8" s="14" t="s">
        <v>23</v>
      </c>
      <c r="N8" s="14" t="s">
        <v>23</v>
      </c>
      <c r="O8" s="14" t="s">
        <v>23</v>
      </c>
      <c r="P8" s="14" t="s">
        <v>23</v>
      </c>
      <c r="Q8" s="14">
        <v>94</v>
      </c>
      <c r="R8" s="14">
        <v>34</v>
      </c>
      <c r="S8" s="14">
        <v>74</v>
      </c>
      <c r="T8" s="14" t="s">
        <v>23</v>
      </c>
      <c r="U8" s="15" t="s">
        <v>23</v>
      </c>
    </row>
    <row r="9" spans="1:41" x14ac:dyDescent="0.35">
      <c r="A9" s="8" t="s">
        <v>21</v>
      </c>
      <c r="B9" s="9">
        <v>95032701960</v>
      </c>
      <c r="C9" s="16">
        <v>77</v>
      </c>
      <c r="D9" s="16">
        <v>85</v>
      </c>
      <c r="E9" s="16" t="s">
        <v>23</v>
      </c>
      <c r="F9" s="16" t="s">
        <v>23</v>
      </c>
      <c r="G9" s="16" t="s">
        <v>23</v>
      </c>
      <c r="H9" s="16" t="s">
        <v>23</v>
      </c>
      <c r="I9" s="16">
        <v>96</v>
      </c>
      <c r="J9" s="16" t="s">
        <v>23</v>
      </c>
      <c r="K9" s="16" t="s">
        <v>23</v>
      </c>
      <c r="L9" s="16" t="s">
        <v>23</v>
      </c>
      <c r="M9" s="16" t="s">
        <v>23</v>
      </c>
      <c r="N9" s="16" t="s">
        <v>23</v>
      </c>
      <c r="O9" s="16" t="s">
        <v>23</v>
      </c>
      <c r="P9" s="16" t="s">
        <v>23</v>
      </c>
      <c r="Q9" s="16">
        <v>96</v>
      </c>
      <c r="R9" s="16" t="s">
        <v>23</v>
      </c>
      <c r="S9" s="16">
        <v>77</v>
      </c>
      <c r="T9" s="16" t="s">
        <v>23</v>
      </c>
      <c r="U9" s="17" t="s">
        <v>23</v>
      </c>
    </row>
    <row r="10" spans="1:41" x14ac:dyDescent="0.35">
      <c r="A10" s="5" t="s">
        <v>21</v>
      </c>
      <c r="B10" s="6">
        <v>95040412034</v>
      </c>
      <c r="C10" s="14">
        <v>93</v>
      </c>
      <c r="D10" s="14">
        <v>67</v>
      </c>
      <c r="E10" s="14" t="s">
        <v>23</v>
      </c>
      <c r="F10" s="14" t="s">
        <v>23</v>
      </c>
      <c r="G10" s="14" t="s">
        <v>23</v>
      </c>
      <c r="H10" s="14" t="s">
        <v>23</v>
      </c>
      <c r="I10" s="14">
        <v>84</v>
      </c>
      <c r="J10" s="14" t="s">
        <v>23</v>
      </c>
      <c r="K10" s="14" t="s">
        <v>23</v>
      </c>
      <c r="L10" s="14" t="s">
        <v>23</v>
      </c>
      <c r="M10" s="14" t="s">
        <v>23</v>
      </c>
      <c r="N10" s="14" t="s">
        <v>23</v>
      </c>
      <c r="O10" s="14" t="s">
        <v>23</v>
      </c>
      <c r="P10" s="14" t="s">
        <v>23</v>
      </c>
      <c r="Q10" s="14">
        <v>86</v>
      </c>
      <c r="R10" s="14" t="s">
        <v>23</v>
      </c>
      <c r="S10" s="14">
        <v>73</v>
      </c>
      <c r="T10" s="14" t="s">
        <v>23</v>
      </c>
      <c r="U10" s="15" t="s">
        <v>23</v>
      </c>
    </row>
    <row r="11" spans="1:41" x14ac:dyDescent="0.35">
      <c r="A11" s="8" t="s">
        <v>21</v>
      </c>
      <c r="B11" s="9">
        <v>95040908766</v>
      </c>
      <c r="C11" s="16">
        <v>57</v>
      </c>
      <c r="D11" s="16">
        <v>47</v>
      </c>
      <c r="E11" s="16" t="s">
        <v>23</v>
      </c>
      <c r="F11" s="16" t="s">
        <v>23</v>
      </c>
      <c r="G11" s="16" t="s">
        <v>23</v>
      </c>
      <c r="H11" s="16" t="s">
        <v>23</v>
      </c>
      <c r="I11" s="16">
        <v>87</v>
      </c>
      <c r="J11" s="16" t="s">
        <v>23</v>
      </c>
      <c r="K11" s="16" t="s">
        <v>23</v>
      </c>
      <c r="L11" s="16" t="s">
        <v>23</v>
      </c>
      <c r="M11" s="16" t="s">
        <v>23</v>
      </c>
      <c r="N11" s="16" t="s">
        <v>23</v>
      </c>
      <c r="O11" s="16" t="s">
        <v>23</v>
      </c>
      <c r="P11" s="16" t="s">
        <v>23</v>
      </c>
      <c r="Q11" s="16">
        <v>40</v>
      </c>
      <c r="R11" s="16" t="s">
        <v>23</v>
      </c>
      <c r="S11" s="16">
        <v>43</v>
      </c>
      <c r="T11" s="16" t="s">
        <v>23</v>
      </c>
      <c r="U11" s="17" t="s">
        <v>23</v>
      </c>
    </row>
    <row r="12" spans="1:41" x14ac:dyDescent="0.35">
      <c r="A12" s="5" t="s">
        <v>21</v>
      </c>
      <c r="B12" s="6">
        <v>95041309368</v>
      </c>
      <c r="C12" s="14">
        <v>60</v>
      </c>
      <c r="D12" s="14" t="s">
        <v>23</v>
      </c>
      <c r="E12" s="14" t="s">
        <v>23</v>
      </c>
      <c r="F12" s="14" t="s">
        <v>23</v>
      </c>
      <c r="G12" s="14" t="s">
        <v>23</v>
      </c>
      <c r="H12" s="14" t="s">
        <v>23</v>
      </c>
      <c r="I12" s="14">
        <v>96</v>
      </c>
      <c r="J12" s="14">
        <v>89</v>
      </c>
      <c r="K12" s="14" t="s">
        <v>23</v>
      </c>
      <c r="L12" s="14" t="s">
        <v>23</v>
      </c>
      <c r="M12" s="14" t="s">
        <v>23</v>
      </c>
      <c r="N12" s="14" t="s">
        <v>23</v>
      </c>
      <c r="O12" s="14" t="s">
        <v>23</v>
      </c>
      <c r="P12" s="14" t="s">
        <v>23</v>
      </c>
      <c r="Q12" s="14">
        <v>70</v>
      </c>
      <c r="R12" s="14" t="s">
        <v>23</v>
      </c>
      <c r="S12" s="14">
        <v>76</v>
      </c>
      <c r="T12" s="14" t="s">
        <v>23</v>
      </c>
      <c r="U12" s="15" t="s">
        <v>23</v>
      </c>
    </row>
    <row r="13" spans="1:41" x14ac:dyDescent="0.35">
      <c r="A13" s="8" t="s">
        <v>21</v>
      </c>
      <c r="B13" s="9">
        <v>95052600643</v>
      </c>
      <c r="C13" s="16" t="s">
        <v>23</v>
      </c>
      <c r="D13" s="16" t="s">
        <v>23</v>
      </c>
      <c r="E13" s="16" t="s">
        <v>23</v>
      </c>
      <c r="F13" s="16">
        <v>90</v>
      </c>
      <c r="G13" s="16" t="s">
        <v>23</v>
      </c>
      <c r="H13" s="16" t="s">
        <v>23</v>
      </c>
      <c r="I13" s="16">
        <v>100</v>
      </c>
      <c r="J13" s="16">
        <v>100</v>
      </c>
      <c r="K13" s="16" t="s">
        <v>23</v>
      </c>
      <c r="L13" s="16" t="s">
        <v>23</v>
      </c>
      <c r="M13" s="16" t="s">
        <v>23</v>
      </c>
      <c r="N13" s="16" t="s">
        <v>23</v>
      </c>
      <c r="O13" s="16">
        <v>100</v>
      </c>
      <c r="P13" s="16" t="s">
        <v>23</v>
      </c>
      <c r="Q13" s="16">
        <v>98</v>
      </c>
      <c r="R13" s="16">
        <v>86</v>
      </c>
      <c r="S13" s="16">
        <v>80</v>
      </c>
      <c r="T13" s="16" t="s">
        <v>23</v>
      </c>
      <c r="U13" s="17" t="s">
        <v>23</v>
      </c>
    </row>
    <row r="14" spans="1:41" x14ac:dyDescent="0.35">
      <c r="A14" s="5" t="s">
        <v>21</v>
      </c>
      <c r="B14" s="6">
        <v>95061500402</v>
      </c>
      <c r="C14" s="14">
        <v>95</v>
      </c>
      <c r="D14" s="14">
        <v>88</v>
      </c>
      <c r="E14" s="14" t="s">
        <v>23</v>
      </c>
      <c r="F14" s="14" t="s">
        <v>23</v>
      </c>
      <c r="G14" s="14" t="s">
        <v>23</v>
      </c>
      <c r="H14" s="14" t="s">
        <v>23</v>
      </c>
      <c r="I14" s="14">
        <v>92</v>
      </c>
      <c r="J14" s="14" t="s">
        <v>23</v>
      </c>
      <c r="K14" s="14" t="s">
        <v>23</v>
      </c>
      <c r="L14" s="14" t="s">
        <v>23</v>
      </c>
      <c r="M14" s="14" t="s">
        <v>23</v>
      </c>
      <c r="N14" s="14" t="s">
        <v>23</v>
      </c>
      <c r="O14" s="14" t="s">
        <v>23</v>
      </c>
      <c r="P14" s="14" t="s">
        <v>23</v>
      </c>
      <c r="Q14" s="14">
        <v>92</v>
      </c>
      <c r="R14" s="14" t="s">
        <v>23</v>
      </c>
      <c r="S14" s="14">
        <v>79</v>
      </c>
      <c r="T14" s="14" t="s">
        <v>23</v>
      </c>
      <c r="U14" s="15" t="s">
        <v>23</v>
      </c>
    </row>
    <row r="15" spans="1:41" x14ac:dyDescent="0.35">
      <c r="A15" s="8" t="s">
        <v>21</v>
      </c>
      <c r="B15" s="9">
        <v>95061702842</v>
      </c>
      <c r="C15" s="16">
        <v>75</v>
      </c>
      <c r="D15" s="16">
        <v>67</v>
      </c>
      <c r="E15" s="16" t="s">
        <v>23</v>
      </c>
      <c r="F15" s="16" t="s">
        <v>23</v>
      </c>
      <c r="G15" s="16" t="s">
        <v>23</v>
      </c>
      <c r="H15" s="16" t="s">
        <v>23</v>
      </c>
      <c r="I15" s="16">
        <v>91</v>
      </c>
      <c r="J15" s="16" t="s">
        <v>23</v>
      </c>
      <c r="K15" s="16" t="s">
        <v>23</v>
      </c>
      <c r="L15" s="16" t="s">
        <v>23</v>
      </c>
      <c r="M15" s="16" t="s">
        <v>23</v>
      </c>
      <c r="N15" s="16" t="s">
        <v>23</v>
      </c>
      <c r="O15" s="16" t="s">
        <v>23</v>
      </c>
      <c r="P15" s="16" t="s">
        <v>23</v>
      </c>
      <c r="Q15" s="16">
        <v>88</v>
      </c>
      <c r="R15" s="16" t="s">
        <v>23</v>
      </c>
      <c r="S15" s="16">
        <v>59</v>
      </c>
      <c r="T15" s="16" t="s">
        <v>23</v>
      </c>
      <c r="U15" s="17" t="s">
        <v>23</v>
      </c>
    </row>
    <row r="16" spans="1:41" x14ac:dyDescent="0.35">
      <c r="A16" s="5" t="s">
        <v>21</v>
      </c>
      <c r="B16" s="6">
        <v>95062301712</v>
      </c>
      <c r="C16" s="14">
        <v>85</v>
      </c>
      <c r="D16" s="14">
        <v>83</v>
      </c>
      <c r="E16" s="14">
        <v>48</v>
      </c>
      <c r="F16" s="14" t="s">
        <v>23</v>
      </c>
      <c r="G16" s="14" t="s">
        <v>23</v>
      </c>
      <c r="H16" s="14" t="s">
        <v>23</v>
      </c>
      <c r="I16" s="14">
        <v>94</v>
      </c>
      <c r="J16" s="14" t="s">
        <v>23</v>
      </c>
      <c r="K16" s="14" t="s">
        <v>23</v>
      </c>
      <c r="L16" s="14" t="s">
        <v>23</v>
      </c>
      <c r="M16" s="14" t="s">
        <v>23</v>
      </c>
      <c r="N16" s="14" t="s">
        <v>23</v>
      </c>
      <c r="O16" s="14" t="s">
        <v>23</v>
      </c>
      <c r="P16" s="14" t="s">
        <v>23</v>
      </c>
      <c r="Q16" s="14">
        <v>92</v>
      </c>
      <c r="R16" s="14" t="s">
        <v>23</v>
      </c>
      <c r="S16" s="14">
        <v>56</v>
      </c>
      <c r="T16" s="14" t="s">
        <v>23</v>
      </c>
      <c r="U16" s="15" t="s">
        <v>23</v>
      </c>
    </row>
    <row r="17" spans="1:21" x14ac:dyDescent="0.35">
      <c r="A17" s="8" t="s">
        <v>21</v>
      </c>
      <c r="B17" s="9">
        <v>95071508265</v>
      </c>
      <c r="C17" s="16">
        <v>62</v>
      </c>
      <c r="D17" s="16">
        <v>48</v>
      </c>
      <c r="E17" s="16" t="s">
        <v>23</v>
      </c>
      <c r="F17" s="16" t="s">
        <v>23</v>
      </c>
      <c r="G17" s="16" t="s">
        <v>23</v>
      </c>
      <c r="H17" s="16" t="s">
        <v>23</v>
      </c>
      <c r="I17" s="16">
        <v>85</v>
      </c>
      <c r="J17" s="16" t="s">
        <v>23</v>
      </c>
      <c r="K17" s="16" t="s">
        <v>23</v>
      </c>
      <c r="L17" s="16" t="s">
        <v>23</v>
      </c>
      <c r="M17" s="16" t="s">
        <v>23</v>
      </c>
      <c r="N17" s="16" t="s">
        <v>23</v>
      </c>
      <c r="O17" s="16" t="s">
        <v>23</v>
      </c>
      <c r="P17" s="16" t="s">
        <v>23</v>
      </c>
      <c r="Q17" s="16">
        <v>58</v>
      </c>
      <c r="R17" s="16" t="s">
        <v>23</v>
      </c>
      <c r="S17" s="16">
        <v>59</v>
      </c>
      <c r="T17" s="16" t="s">
        <v>23</v>
      </c>
      <c r="U17" s="17" t="s">
        <v>23</v>
      </c>
    </row>
    <row r="18" spans="1:21" x14ac:dyDescent="0.35">
      <c r="A18" s="5" t="s">
        <v>21</v>
      </c>
      <c r="B18" s="6">
        <v>95071807500</v>
      </c>
      <c r="C18" s="14">
        <v>68</v>
      </c>
      <c r="D18" s="14">
        <v>62</v>
      </c>
      <c r="E18" s="14" t="s">
        <v>23</v>
      </c>
      <c r="F18" s="14" t="s">
        <v>23</v>
      </c>
      <c r="G18" s="14" t="s">
        <v>23</v>
      </c>
      <c r="H18" s="14" t="s">
        <v>23</v>
      </c>
      <c r="I18" s="14">
        <v>99</v>
      </c>
      <c r="J18" s="14">
        <v>93</v>
      </c>
      <c r="K18" s="14" t="s">
        <v>23</v>
      </c>
      <c r="L18" s="14" t="s">
        <v>23</v>
      </c>
      <c r="M18" s="14" t="s">
        <v>23</v>
      </c>
      <c r="N18" s="14" t="s">
        <v>23</v>
      </c>
      <c r="O18" s="14" t="s">
        <v>23</v>
      </c>
      <c r="P18" s="14" t="s">
        <v>23</v>
      </c>
      <c r="Q18" s="14">
        <v>78</v>
      </c>
      <c r="R18" s="14" t="s">
        <v>23</v>
      </c>
      <c r="S18" s="14">
        <v>54</v>
      </c>
      <c r="T18" s="14" t="s">
        <v>23</v>
      </c>
      <c r="U18" s="15" t="s">
        <v>23</v>
      </c>
    </row>
    <row r="19" spans="1:21" x14ac:dyDescent="0.35">
      <c r="A19" s="8" t="s">
        <v>21</v>
      </c>
      <c r="B19" s="9">
        <v>95072900844</v>
      </c>
      <c r="C19" s="16">
        <v>55</v>
      </c>
      <c r="D19" s="16">
        <v>62</v>
      </c>
      <c r="E19" s="16" t="s">
        <v>23</v>
      </c>
      <c r="F19" s="16" t="s">
        <v>23</v>
      </c>
      <c r="G19" s="16" t="s">
        <v>23</v>
      </c>
      <c r="H19" s="16" t="s">
        <v>23</v>
      </c>
      <c r="I19" s="16">
        <v>96</v>
      </c>
      <c r="J19" s="16">
        <v>86</v>
      </c>
      <c r="K19" s="16" t="s">
        <v>23</v>
      </c>
      <c r="L19" s="16" t="s">
        <v>23</v>
      </c>
      <c r="M19" s="16" t="s">
        <v>23</v>
      </c>
      <c r="N19" s="16" t="s">
        <v>23</v>
      </c>
      <c r="O19" s="16" t="s">
        <v>23</v>
      </c>
      <c r="P19" s="16" t="s">
        <v>23</v>
      </c>
      <c r="Q19" s="16">
        <v>92</v>
      </c>
      <c r="R19" s="16" t="s">
        <v>23</v>
      </c>
      <c r="S19" s="16">
        <v>73</v>
      </c>
      <c r="T19" s="16" t="s">
        <v>23</v>
      </c>
      <c r="U19" s="17" t="s">
        <v>23</v>
      </c>
    </row>
    <row r="20" spans="1:21" x14ac:dyDescent="0.35">
      <c r="A20" s="5" t="s">
        <v>21</v>
      </c>
      <c r="B20" s="6">
        <v>95073111506</v>
      </c>
      <c r="C20" s="14">
        <v>68</v>
      </c>
      <c r="D20" s="14">
        <v>45</v>
      </c>
      <c r="E20" s="14" t="s">
        <v>23</v>
      </c>
      <c r="F20" s="14" t="s">
        <v>23</v>
      </c>
      <c r="G20" s="14" t="s">
        <v>23</v>
      </c>
      <c r="H20" s="14" t="s">
        <v>23</v>
      </c>
      <c r="I20" s="14">
        <v>92</v>
      </c>
      <c r="J20" s="14" t="s">
        <v>23</v>
      </c>
      <c r="K20" s="14" t="s">
        <v>23</v>
      </c>
      <c r="L20" s="14" t="s">
        <v>23</v>
      </c>
      <c r="M20" s="14" t="s">
        <v>23</v>
      </c>
      <c r="N20" s="14" t="s">
        <v>23</v>
      </c>
      <c r="O20" s="14" t="s">
        <v>23</v>
      </c>
      <c r="P20" s="14" t="s">
        <v>23</v>
      </c>
      <c r="Q20" s="14">
        <v>78</v>
      </c>
      <c r="R20" s="14" t="s">
        <v>23</v>
      </c>
      <c r="S20" s="14">
        <v>56</v>
      </c>
      <c r="T20" s="14" t="s">
        <v>23</v>
      </c>
      <c r="U20" s="15" t="s">
        <v>23</v>
      </c>
    </row>
    <row r="21" spans="1:21" x14ac:dyDescent="0.35">
      <c r="A21" s="8" t="s">
        <v>21</v>
      </c>
      <c r="B21" s="9">
        <v>95080409087</v>
      </c>
      <c r="C21" s="16">
        <v>78</v>
      </c>
      <c r="D21" s="16" t="s">
        <v>23</v>
      </c>
      <c r="E21" s="16" t="s">
        <v>23</v>
      </c>
      <c r="F21" s="16" t="s">
        <v>23</v>
      </c>
      <c r="G21" s="16" t="s">
        <v>23</v>
      </c>
      <c r="H21" s="16" t="s">
        <v>23</v>
      </c>
      <c r="I21" s="16">
        <v>95</v>
      </c>
      <c r="J21" s="16">
        <v>77</v>
      </c>
      <c r="K21" s="16" t="s">
        <v>23</v>
      </c>
      <c r="L21" s="16" t="s">
        <v>23</v>
      </c>
      <c r="M21" s="16" t="s">
        <v>23</v>
      </c>
      <c r="N21" s="16" t="s">
        <v>23</v>
      </c>
      <c r="O21" s="16" t="s">
        <v>23</v>
      </c>
      <c r="P21" s="16" t="s">
        <v>23</v>
      </c>
      <c r="Q21" s="16">
        <v>64</v>
      </c>
      <c r="R21" s="16" t="s">
        <v>23</v>
      </c>
      <c r="S21" s="16">
        <v>84</v>
      </c>
      <c r="T21" s="16" t="s">
        <v>23</v>
      </c>
      <c r="U21" s="17" t="s">
        <v>23</v>
      </c>
    </row>
    <row r="22" spans="1:21" x14ac:dyDescent="0.35">
      <c r="A22" s="5" t="s">
        <v>21</v>
      </c>
      <c r="B22" s="6">
        <v>95081008322</v>
      </c>
      <c r="C22" s="14">
        <v>72</v>
      </c>
      <c r="D22" s="14">
        <v>68</v>
      </c>
      <c r="E22" s="14" t="s">
        <v>23</v>
      </c>
      <c r="F22" s="14" t="s">
        <v>23</v>
      </c>
      <c r="G22" s="14" t="s">
        <v>23</v>
      </c>
      <c r="H22" s="14" t="s">
        <v>23</v>
      </c>
      <c r="I22" s="14">
        <v>92</v>
      </c>
      <c r="J22" s="14" t="s">
        <v>23</v>
      </c>
      <c r="K22" s="14" t="s">
        <v>23</v>
      </c>
      <c r="L22" s="14" t="s">
        <v>23</v>
      </c>
      <c r="M22" s="14" t="s">
        <v>23</v>
      </c>
      <c r="N22" s="14" t="s">
        <v>23</v>
      </c>
      <c r="O22" s="14" t="s">
        <v>23</v>
      </c>
      <c r="P22" s="14" t="s">
        <v>23</v>
      </c>
      <c r="Q22" s="14">
        <v>70</v>
      </c>
      <c r="R22" s="14" t="s">
        <v>23</v>
      </c>
      <c r="S22" s="14">
        <v>64</v>
      </c>
      <c r="T22" s="14" t="s">
        <v>23</v>
      </c>
      <c r="U22" s="15" t="s">
        <v>23</v>
      </c>
    </row>
    <row r="23" spans="1:21" x14ac:dyDescent="0.35">
      <c r="A23" s="8" t="s">
        <v>21</v>
      </c>
      <c r="B23" s="9">
        <v>95081802841</v>
      </c>
      <c r="C23" s="16">
        <v>55</v>
      </c>
      <c r="D23" s="16">
        <v>50</v>
      </c>
      <c r="E23" s="16" t="s">
        <v>23</v>
      </c>
      <c r="F23" s="16" t="s">
        <v>23</v>
      </c>
      <c r="G23" s="16" t="s">
        <v>23</v>
      </c>
      <c r="H23" s="16" t="s">
        <v>23</v>
      </c>
      <c r="I23" s="16">
        <v>84</v>
      </c>
      <c r="J23" s="16" t="s">
        <v>23</v>
      </c>
      <c r="K23" s="16" t="s">
        <v>23</v>
      </c>
      <c r="L23" s="16" t="s">
        <v>23</v>
      </c>
      <c r="M23" s="16" t="s">
        <v>23</v>
      </c>
      <c r="N23" s="16" t="s">
        <v>23</v>
      </c>
      <c r="O23" s="16" t="s">
        <v>23</v>
      </c>
      <c r="P23" s="16" t="s">
        <v>23</v>
      </c>
      <c r="Q23" s="16">
        <v>58</v>
      </c>
      <c r="R23" s="16" t="s">
        <v>23</v>
      </c>
      <c r="S23" s="16">
        <v>54</v>
      </c>
      <c r="T23" s="16" t="s">
        <v>23</v>
      </c>
      <c r="U23" s="17" t="s">
        <v>23</v>
      </c>
    </row>
    <row r="24" spans="1:21" x14ac:dyDescent="0.35">
      <c r="A24" s="5" t="s">
        <v>21</v>
      </c>
      <c r="B24" s="6">
        <v>95082400949</v>
      </c>
      <c r="C24" s="14">
        <v>67</v>
      </c>
      <c r="D24" s="14">
        <v>60</v>
      </c>
      <c r="E24" s="14" t="s">
        <v>23</v>
      </c>
      <c r="F24" s="14" t="s">
        <v>23</v>
      </c>
      <c r="G24" s="14" t="s">
        <v>23</v>
      </c>
      <c r="H24" s="14" t="s">
        <v>23</v>
      </c>
      <c r="I24" s="14">
        <v>92</v>
      </c>
      <c r="J24" s="14" t="s">
        <v>23</v>
      </c>
      <c r="K24" s="14" t="s">
        <v>23</v>
      </c>
      <c r="L24" s="14" t="s">
        <v>23</v>
      </c>
      <c r="M24" s="14" t="s">
        <v>23</v>
      </c>
      <c r="N24" s="14" t="s">
        <v>23</v>
      </c>
      <c r="O24" s="14" t="s">
        <v>23</v>
      </c>
      <c r="P24" s="14" t="s">
        <v>23</v>
      </c>
      <c r="Q24" s="14">
        <v>76</v>
      </c>
      <c r="R24" s="14" t="s">
        <v>23</v>
      </c>
      <c r="S24" s="14">
        <v>50</v>
      </c>
      <c r="T24" s="14" t="s">
        <v>23</v>
      </c>
      <c r="U24" s="15" t="s">
        <v>23</v>
      </c>
    </row>
    <row r="25" spans="1:21" x14ac:dyDescent="0.35">
      <c r="A25" s="8" t="s">
        <v>21</v>
      </c>
      <c r="B25" s="9">
        <v>95082502641</v>
      </c>
      <c r="C25" s="16">
        <v>45</v>
      </c>
      <c r="D25" s="16">
        <v>30</v>
      </c>
      <c r="E25" s="16" t="s">
        <v>23</v>
      </c>
      <c r="F25" s="16" t="s">
        <v>23</v>
      </c>
      <c r="G25" s="16" t="s">
        <v>23</v>
      </c>
      <c r="H25" s="16" t="s">
        <v>23</v>
      </c>
      <c r="I25" s="16">
        <v>61</v>
      </c>
      <c r="J25" s="16" t="s">
        <v>23</v>
      </c>
      <c r="K25" s="16" t="s">
        <v>23</v>
      </c>
      <c r="L25" s="16" t="s">
        <v>23</v>
      </c>
      <c r="M25" s="16" t="s">
        <v>23</v>
      </c>
      <c r="N25" s="16" t="s">
        <v>23</v>
      </c>
      <c r="O25" s="16" t="s">
        <v>23</v>
      </c>
      <c r="P25" s="16" t="s">
        <v>23</v>
      </c>
      <c r="Q25" s="16">
        <v>50</v>
      </c>
      <c r="R25" s="16" t="s">
        <v>23</v>
      </c>
      <c r="S25" s="16">
        <v>33</v>
      </c>
      <c r="T25" s="16" t="s">
        <v>23</v>
      </c>
      <c r="U25" s="17" t="s">
        <v>23</v>
      </c>
    </row>
    <row r="26" spans="1:21" x14ac:dyDescent="0.35">
      <c r="A26" s="5" t="s">
        <v>21</v>
      </c>
      <c r="B26" s="6">
        <v>95090501360</v>
      </c>
      <c r="C26" s="14">
        <v>83</v>
      </c>
      <c r="D26" s="14">
        <v>50</v>
      </c>
      <c r="E26" s="14" t="s">
        <v>23</v>
      </c>
      <c r="F26" s="14" t="s">
        <v>23</v>
      </c>
      <c r="G26" s="14" t="s">
        <v>23</v>
      </c>
      <c r="H26" s="14" t="s">
        <v>23</v>
      </c>
      <c r="I26" s="14">
        <v>100</v>
      </c>
      <c r="J26" s="14">
        <v>83</v>
      </c>
      <c r="K26" s="14" t="s">
        <v>23</v>
      </c>
      <c r="L26" s="14" t="s">
        <v>23</v>
      </c>
      <c r="M26" s="14" t="s">
        <v>23</v>
      </c>
      <c r="N26" s="14" t="s">
        <v>23</v>
      </c>
      <c r="O26" s="14" t="s">
        <v>23</v>
      </c>
      <c r="P26" s="14" t="s">
        <v>23</v>
      </c>
      <c r="Q26" s="14">
        <v>62</v>
      </c>
      <c r="R26" s="14" t="s">
        <v>23</v>
      </c>
      <c r="S26" s="14">
        <v>76</v>
      </c>
      <c r="T26" s="14" t="s">
        <v>23</v>
      </c>
      <c r="U26" s="15" t="s">
        <v>23</v>
      </c>
    </row>
    <row r="27" spans="1:21" x14ac:dyDescent="0.35">
      <c r="A27" s="8" t="s">
        <v>21</v>
      </c>
      <c r="B27" s="9">
        <v>95091604864</v>
      </c>
      <c r="C27" s="16">
        <v>80</v>
      </c>
      <c r="D27" s="16" t="s">
        <v>23</v>
      </c>
      <c r="E27" s="16" t="s">
        <v>23</v>
      </c>
      <c r="F27" s="16" t="s">
        <v>23</v>
      </c>
      <c r="G27" s="16" t="s">
        <v>23</v>
      </c>
      <c r="H27" s="16" t="s">
        <v>23</v>
      </c>
      <c r="I27" s="16">
        <v>99</v>
      </c>
      <c r="J27" s="16">
        <v>83</v>
      </c>
      <c r="K27" s="16" t="s">
        <v>23</v>
      </c>
      <c r="L27" s="16" t="s">
        <v>23</v>
      </c>
      <c r="M27" s="16" t="s">
        <v>23</v>
      </c>
      <c r="N27" s="16" t="s">
        <v>23</v>
      </c>
      <c r="O27" s="16" t="s">
        <v>23</v>
      </c>
      <c r="P27" s="16" t="s">
        <v>23</v>
      </c>
      <c r="Q27" s="16">
        <v>72</v>
      </c>
      <c r="R27" s="16" t="s">
        <v>23</v>
      </c>
      <c r="S27" s="16">
        <v>84</v>
      </c>
      <c r="T27" s="16" t="s">
        <v>23</v>
      </c>
      <c r="U27" s="17" t="s">
        <v>23</v>
      </c>
    </row>
    <row r="28" spans="1:21" x14ac:dyDescent="0.35">
      <c r="A28" s="5" t="s">
        <v>21</v>
      </c>
      <c r="B28" s="6">
        <v>95110304166</v>
      </c>
      <c r="C28" s="14">
        <v>70</v>
      </c>
      <c r="D28" s="14">
        <v>60</v>
      </c>
      <c r="E28" s="14" t="s">
        <v>23</v>
      </c>
      <c r="F28" s="14" t="s">
        <v>23</v>
      </c>
      <c r="G28" s="14" t="s">
        <v>23</v>
      </c>
      <c r="H28" s="14" t="s">
        <v>23</v>
      </c>
      <c r="I28" s="14">
        <v>91</v>
      </c>
      <c r="J28" s="14" t="s">
        <v>23</v>
      </c>
      <c r="K28" s="14" t="s">
        <v>23</v>
      </c>
      <c r="L28" s="14" t="s">
        <v>23</v>
      </c>
      <c r="M28" s="14" t="s">
        <v>23</v>
      </c>
      <c r="N28" s="14" t="s">
        <v>23</v>
      </c>
      <c r="O28" s="14" t="s">
        <v>23</v>
      </c>
      <c r="P28" s="14" t="s">
        <v>23</v>
      </c>
      <c r="Q28" s="14">
        <v>80</v>
      </c>
      <c r="R28" s="14" t="s">
        <v>23</v>
      </c>
      <c r="S28" s="14">
        <v>74</v>
      </c>
      <c r="T28" s="14" t="s">
        <v>23</v>
      </c>
      <c r="U28" s="15" t="s">
        <v>23</v>
      </c>
    </row>
    <row r="29" spans="1:21" x14ac:dyDescent="0.35">
      <c r="A29" s="8" t="s">
        <v>21</v>
      </c>
      <c r="B29" s="9">
        <v>95110400947</v>
      </c>
      <c r="C29" s="16" t="s">
        <v>23</v>
      </c>
      <c r="D29" s="16" t="s">
        <v>23</v>
      </c>
      <c r="E29" s="16">
        <v>55</v>
      </c>
      <c r="F29" s="16" t="s">
        <v>23</v>
      </c>
      <c r="G29" s="16" t="s">
        <v>23</v>
      </c>
      <c r="H29" s="16" t="s">
        <v>23</v>
      </c>
      <c r="I29" s="16">
        <v>96</v>
      </c>
      <c r="J29" s="16">
        <v>86</v>
      </c>
      <c r="K29" s="16" t="s">
        <v>23</v>
      </c>
      <c r="L29" s="16" t="s">
        <v>23</v>
      </c>
      <c r="M29" s="16" t="s">
        <v>23</v>
      </c>
      <c r="N29" s="16" t="s">
        <v>23</v>
      </c>
      <c r="O29" s="16" t="s">
        <v>23</v>
      </c>
      <c r="P29" s="16" t="s">
        <v>23</v>
      </c>
      <c r="Q29" s="16">
        <v>86</v>
      </c>
      <c r="R29" s="16" t="s">
        <v>23</v>
      </c>
      <c r="S29" s="16">
        <v>64</v>
      </c>
      <c r="T29" s="16" t="s">
        <v>23</v>
      </c>
      <c r="U29" s="17" t="s">
        <v>23</v>
      </c>
    </row>
    <row r="30" spans="1:21" x14ac:dyDescent="0.35">
      <c r="A30" s="5" t="s">
        <v>21</v>
      </c>
      <c r="B30" s="6">
        <v>95111004447</v>
      </c>
      <c r="C30" s="14">
        <v>73</v>
      </c>
      <c r="D30" s="14">
        <v>78</v>
      </c>
      <c r="E30" s="14" t="s">
        <v>23</v>
      </c>
      <c r="F30" s="14" t="s">
        <v>23</v>
      </c>
      <c r="G30" s="14" t="s">
        <v>23</v>
      </c>
      <c r="H30" s="14" t="s">
        <v>23</v>
      </c>
      <c r="I30" s="14">
        <v>96</v>
      </c>
      <c r="J30" s="14" t="s">
        <v>23</v>
      </c>
      <c r="K30" s="14" t="s">
        <v>23</v>
      </c>
      <c r="L30" s="14" t="s">
        <v>23</v>
      </c>
      <c r="M30" s="14" t="s">
        <v>23</v>
      </c>
      <c r="N30" s="14" t="s">
        <v>23</v>
      </c>
      <c r="O30" s="14" t="s">
        <v>23</v>
      </c>
      <c r="P30" s="14" t="s">
        <v>23</v>
      </c>
      <c r="Q30" s="14">
        <v>82</v>
      </c>
      <c r="R30" s="14" t="s">
        <v>23</v>
      </c>
      <c r="S30" s="14">
        <v>60</v>
      </c>
      <c r="T30" s="14" t="s">
        <v>23</v>
      </c>
      <c r="U30" s="15" t="s">
        <v>23</v>
      </c>
    </row>
    <row r="31" spans="1:21" x14ac:dyDescent="0.35">
      <c r="A31" s="8" t="s">
        <v>21</v>
      </c>
      <c r="B31" s="9">
        <v>95112301543</v>
      </c>
      <c r="C31" s="16">
        <v>80</v>
      </c>
      <c r="D31" s="16">
        <v>60</v>
      </c>
      <c r="E31" s="16" t="s">
        <v>23</v>
      </c>
      <c r="F31" s="16" t="s">
        <v>23</v>
      </c>
      <c r="G31" s="16" t="s">
        <v>23</v>
      </c>
      <c r="H31" s="16" t="s">
        <v>23</v>
      </c>
      <c r="I31" s="16">
        <v>88</v>
      </c>
      <c r="J31" s="16">
        <v>67</v>
      </c>
      <c r="K31" s="16" t="s">
        <v>23</v>
      </c>
      <c r="L31" s="16" t="s">
        <v>23</v>
      </c>
      <c r="M31" s="16" t="s">
        <v>23</v>
      </c>
      <c r="N31" s="16" t="s">
        <v>23</v>
      </c>
      <c r="O31" s="16" t="s">
        <v>23</v>
      </c>
      <c r="P31" s="16" t="s">
        <v>23</v>
      </c>
      <c r="Q31" s="16">
        <v>80</v>
      </c>
      <c r="R31" s="16" t="s">
        <v>23</v>
      </c>
      <c r="S31" s="16">
        <v>63</v>
      </c>
      <c r="T31" s="16" t="s">
        <v>23</v>
      </c>
      <c r="U31" s="17" t="s">
        <v>23</v>
      </c>
    </row>
    <row r="32" spans="1:21" x14ac:dyDescent="0.35">
      <c r="A32" s="5" t="s">
        <v>21</v>
      </c>
      <c r="B32" s="6">
        <v>95120101108</v>
      </c>
      <c r="C32" s="14">
        <v>93</v>
      </c>
      <c r="D32" s="14">
        <v>88</v>
      </c>
      <c r="E32" s="14" t="s">
        <v>23</v>
      </c>
      <c r="F32" s="14" t="s">
        <v>23</v>
      </c>
      <c r="G32" s="14" t="s">
        <v>23</v>
      </c>
      <c r="H32" s="14" t="s">
        <v>23</v>
      </c>
      <c r="I32" s="14">
        <v>100</v>
      </c>
      <c r="J32" s="14">
        <v>76</v>
      </c>
      <c r="K32" s="14" t="s">
        <v>23</v>
      </c>
      <c r="L32" s="14" t="s">
        <v>23</v>
      </c>
      <c r="M32" s="14" t="s">
        <v>23</v>
      </c>
      <c r="N32" s="14" t="s">
        <v>23</v>
      </c>
      <c r="O32" s="14" t="s">
        <v>23</v>
      </c>
      <c r="P32" s="14" t="s">
        <v>23</v>
      </c>
      <c r="Q32" s="14">
        <v>92</v>
      </c>
      <c r="R32" s="14" t="s">
        <v>23</v>
      </c>
      <c r="S32" s="14">
        <v>76</v>
      </c>
      <c r="T32" s="14" t="s">
        <v>23</v>
      </c>
      <c r="U32" s="15" t="s">
        <v>23</v>
      </c>
    </row>
    <row r="33" spans="1:21" x14ac:dyDescent="0.35">
      <c r="A33" s="8" t="s">
        <v>21</v>
      </c>
      <c r="B33" s="9">
        <v>95120600768</v>
      </c>
      <c r="C33" s="16">
        <v>85</v>
      </c>
      <c r="D33" s="16">
        <v>93</v>
      </c>
      <c r="E33" s="16">
        <v>82</v>
      </c>
      <c r="F33" s="16" t="s">
        <v>23</v>
      </c>
      <c r="G33" s="16" t="s">
        <v>23</v>
      </c>
      <c r="H33" s="16" t="s">
        <v>23</v>
      </c>
      <c r="I33" s="16">
        <v>96</v>
      </c>
      <c r="J33" s="16" t="s">
        <v>23</v>
      </c>
      <c r="K33" s="16" t="s">
        <v>23</v>
      </c>
      <c r="L33" s="16" t="s">
        <v>23</v>
      </c>
      <c r="M33" s="16" t="s">
        <v>23</v>
      </c>
      <c r="N33" s="16" t="s">
        <v>23</v>
      </c>
      <c r="O33" s="16" t="s">
        <v>23</v>
      </c>
      <c r="P33" s="16" t="s">
        <v>23</v>
      </c>
      <c r="Q33" s="16">
        <v>94</v>
      </c>
      <c r="R33" s="16">
        <v>74</v>
      </c>
      <c r="S33" s="16">
        <v>66</v>
      </c>
      <c r="T33" s="16" t="s">
        <v>23</v>
      </c>
      <c r="U33" s="17" t="s">
        <v>23</v>
      </c>
    </row>
    <row r="34" spans="1:21" x14ac:dyDescent="0.35">
      <c r="A34" s="5" t="s">
        <v>21</v>
      </c>
      <c r="B34" s="6">
        <v>95120903939</v>
      </c>
      <c r="C34" s="14">
        <v>90</v>
      </c>
      <c r="D34" s="14">
        <v>82</v>
      </c>
      <c r="E34" s="14" t="s">
        <v>23</v>
      </c>
      <c r="F34" s="14" t="s">
        <v>23</v>
      </c>
      <c r="G34" s="14" t="s">
        <v>23</v>
      </c>
      <c r="H34" s="14" t="s">
        <v>23</v>
      </c>
      <c r="I34" s="14">
        <v>92</v>
      </c>
      <c r="J34" s="14" t="s">
        <v>23</v>
      </c>
      <c r="K34" s="14" t="s">
        <v>23</v>
      </c>
      <c r="L34" s="14" t="s">
        <v>23</v>
      </c>
      <c r="M34" s="14" t="s">
        <v>23</v>
      </c>
      <c r="N34" s="14" t="s">
        <v>23</v>
      </c>
      <c r="O34" s="14" t="s">
        <v>23</v>
      </c>
      <c r="P34" s="14" t="s">
        <v>23</v>
      </c>
      <c r="Q34" s="14">
        <v>86</v>
      </c>
      <c r="R34" s="14" t="s">
        <v>23</v>
      </c>
      <c r="S34" s="14">
        <v>63</v>
      </c>
      <c r="T34" s="14" t="s">
        <v>23</v>
      </c>
      <c r="U34" s="15" t="s">
        <v>23</v>
      </c>
    </row>
    <row r="35" spans="1:21" x14ac:dyDescent="0.35">
      <c r="A35" s="8" t="s">
        <v>21</v>
      </c>
      <c r="B35" s="9">
        <v>95122401008</v>
      </c>
      <c r="C35" s="16">
        <v>87</v>
      </c>
      <c r="D35" s="16" t="s">
        <v>23</v>
      </c>
      <c r="E35" s="16" t="s">
        <v>23</v>
      </c>
      <c r="F35" s="16" t="s">
        <v>23</v>
      </c>
      <c r="G35" s="16" t="s">
        <v>23</v>
      </c>
      <c r="H35" s="16" t="s">
        <v>23</v>
      </c>
      <c r="I35" s="16">
        <v>100</v>
      </c>
      <c r="J35" s="16" t="s">
        <v>23</v>
      </c>
      <c r="K35" s="16" t="s">
        <v>23</v>
      </c>
      <c r="L35" s="16" t="s">
        <v>23</v>
      </c>
      <c r="M35" s="16" t="s">
        <v>23</v>
      </c>
      <c r="N35" s="16" t="s">
        <v>23</v>
      </c>
      <c r="O35" s="16" t="s">
        <v>23</v>
      </c>
      <c r="P35" s="16" t="s">
        <v>23</v>
      </c>
      <c r="Q35" s="16">
        <v>82</v>
      </c>
      <c r="R35" s="16" t="s">
        <v>23</v>
      </c>
      <c r="S35" s="16">
        <v>79</v>
      </c>
      <c r="T35" s="16">
        <v>73</v>
      </c>
      <c r="U35" s="17">
        <v>64</v>
      </c>
    </row>
    <row r="36" spans="1:21" x14ac:dyDescent="0.35">
      <c r="A36" s="5" t="s">
        <v>77</v>
      </c>
      <c r="B36" s="6">
        <v>95011505013</v>
      </c>
      <c r="C36" s="14" t="s">
        <v>23</v>
      </c>
      <c r="D36" s="14" t="s">
        <v>23</v>
      </c>
      <c r="E36" s="14" t="s">
        <v>23</v>
      </c>
      <c r="F36" s="14" t="s">
        <v>23</v>
      </c>
      <c r="G36" s="14" t="s">
        <v>23</v>
      </c>
      <c r="H36" s="14" t="s">
        <v>23</v>
      </c>
      <c r="I36" s="14">
        <v>93</v>
      </c>
      <c r="J36" s="14">
        <v>60</v>
      </c>
      <c r="K36" s="14" t="s">
        <v>23</v>
      </c>
      <c r="L36" s="14" t="s">
        <v>23</v>
      </c>
      <c r="M36" s="14" t="s">
        <v>23</v>
      </c>
      <c r="N36" s="14" t="s">
        <v>23</v>
      </c>
      <c r="O36" s="14" t="s">
        <v>23</v>
      </c>
      <c r="P36" s="14" t="s">
        <v>23</v>
      </c>
      <c r="Q36" s="14">
        <v>46</v>
      </c>
      <c r="R36" s="14" t="s">
        <v>23</v>
      </c>
      <c r="S36" s="14">
        <v>60</v>
      </c>
      <c r="T36" s="14">
        <v>75</v>
      </c>
      <c r="U36" s="15" t="s">
        <v>23</v>
      </c>
    </row>
    <row r="37" spans="1:21" x14ac:dyDescent="0.35">
      <c r="A37" s="8" t="s">
        <v>77</v>
      </c>
      <c r="B37" s="9">
        <v>95012403389</v>
      </c>
      <c r="C37" s="16" t="s">
        <v>23</v>
      </c>
      <c r="D37" s="16" t="s">
        <v>23</v>
      </c>
      <c r="E37" s="16" t="s">
        <v>23</v>
      </c>
      <c r="F37" s="16" t="s">
        <v>23</v>
      </c>
      <c r="G37" s="16" t="s">
        <v>23</v>
      </c>
      <c r="H37" s="16" t="s">
        <v>23</v>
      </c>
      <c r="I37" s="16">
        <v>96</v>
      </c>
      <c r="J37" s="16">
        <v>87</v>
      </c>
      <c r="K37" s="16" t="s">
        <v>23</v>
      </c>
      <c r="L37" s="16" t="s">
        <v>23</v>
      </c>
      <c r="M37" s="16" t="s">
        <v>23</v>
      </c>
      <c r="N37" s="16" t="s">
        <v>23</v>
      </c>
      <c r="O37" s="16" t="s">
        <v>23</v>
      </c>
      <c r="P37" s="16" t="s">
        <v>23</v>
      </c>
      <c r="Q37" s="16">
        <v>50</v>
      </c>
      <c r="R37" s="16" t="s">
        <v>23</v>
      </c>
      <c r="S37" s="16">
        <v>40</v>
      </c>
      <c r="T37" s="16">
        <v>70</v>
      </c>
      <c r="U37" s="17">
        <v>44</v>
      </c>
    </row>
    <row r="38" spans="1:21" x14ac:dyDescent="0.35">
      <c r="A38" s="5" t="s">
        <v>77</v>
      </c>
      <c r="B38" s="6">
        <v>95020804428</v>
      </c>
      <c r="C38" s="14" t="s">
        <v>23</v>
      </c>
      <c r="D38" s="14" t="s">
        <v>23</v>
      </c>
      <c r="E38" s="14" t="s">
        <v>23</v>
      </c>
      <c r="F38" s="14" t="s">
        <v>23</v>
      </c>
      <c r="G38" s="14">
        <v>92</v>
      </c>
      <c r="H38" s="14" t="s">
        <v>23</v>
      </c>
      <c r="I38" s="14">
        <v>100</v>
      </c>
      <c r="J38" s="14">
        <v>81</v>
      </c>
      <c r="K38" s="14" t="s">
        <v>23</v>
      </c>
      <c r="L38" s="14" t="s">
        <v>23</v>
      </c>
      <c r="M38" s="14" t="s">
        <v>23</v>
      </c>
      <c r="N38" s="14" t="s">
        <v>23</v>
      </c>
      <c r="O38" s="14" t="s">
        <v>23</v>
      </c>
      <c r="P38" s="14" t="s">
        <v>23</v>
      </c>
      <c r="Q38" s="14">
        <v>88</v>
      </c>
      <c r="R38" s="14" t="s">
        <v>23</v>
      </c>
      <c r="S38" s="14">
        <v>57</v>
      </c>
      <c r="T38" s="14">
        <v>70</v>
      </c>
      <c r="U38" s="15" t="s">
        <v>23</v>
      </c>
    </row>
    <row r="39" spans="1:21" x14ac:dyDescent="0.35">
      <c r="A39" s="8" t="s">
        <v>77</v>
      </c>
      <c r="B39" s="9">
        <v>95021807901</v>
      </c>
      <c r="C39" s="16" t="s">
        <v>23</v>
      </c>
      <c r="D39" s="16" t="s">
        <v>23</v>
      </c>
      <c r="E39" s="16" t="s">
        <v>23</v>
      </c>
      <c r="F39" s="16" t="s">
        <v>23</v>
      </c>
      <c r="G39" s="16">
        <v>86</v>
      </c>
      <c r="H39" s="16" t="s">
        <v>23</v>
      </c>
      <c r="I39" s="16">
        <v>100</v>
      </c>
      <c r="J39" s="16">
        <v>90</v>
      </c>
      <c r="K39" s="16" t="s">
        <v>23</v>
      </c>
      <c r="L39" s="16" t="s">
        <v>23</v>
      </c>
      <c r="M39" s="16" t="s">
        <v>23</v>
      </c>
      <c r="N39" s="16" t="s">
        <v>23</v>
      </c>
      <c r="O39" s="16" t="s">
        <v>23</v>
      </c>
      <c r="P39" s="16" t="s">
        <v>23</v>
      </c>
      <c r="Q39" s="16">
        <v>70</v>
      </c>
      <c r="R39" s="16" t="s">
        <v>23</v>
      </c>
      <c r="S39" s="16">
        <v>56</v>
      </c>
      <c r="T39" s="16">
        <v>68</v>
      </c>
      <c r="U39" s="17">
        <v>78</v>
      </c>
    </row>
    <row r="40" spans="1:21" x14ac:dyDescent="0.35">
      <c r="A40" s="5" t="s">
        <v>77</v>
      </c>
      <c r="B40" s="6">
        <v>95022105039</v>
      </c>
      <c r="C40" s="14" t="s">
        <v>23</v>
      </c>
      <c r="D40" s="14" t="s">
        <v>23</v>
      </c>
      <c r="E40" s="14" t="s">
        <v>23</v>
      </c>
      <c r="F40" s="14" t="s">
        <v>23</v>
      </c>
      <c r="G40" s="14">
        <v>90</v>
      </c>
      <c r="H40" s="14" t="s">
        <v>23</v>
      </c>
      <c r="I40" s="14">
        <v>96</v>
      </c>
      <c r="J40" s="14">
        <v>93</v>
      </c>
      <c r="K40" s="14" t="s">
        <v>23</v>
      </c>
      <c r="L40" s="14" t="s">
        <v>23</v>
      </c>
      <c r="M40" s="14" t="s">
        <v>23</v>
      </c>
      <c r="N40" s="14" t="s">
        <v>23</v>
      </c>
      <c r="O40" s="14" t="s">
        <v>23</v>
      </c>
      <c r="P40" s="14" t="s">
        <v>23</v>
      </c>
      <c r="Q40" s="14">
        <v>86</v>
      </c>
      <c r="R40" s="14">
        <v>36</v>
      </c>
      <c r="S40" s="14">
        <v>53</v>
      </c>
      <c r="T40" s="14">
        <v>73</v>
      </c>
      <c r="U40" s="15">
        <v>100</v>
      </c>
    </row>
    <row r="41" spans="1:21" x14ac:dyDescent="0.35">
      <c r="A41" s="8" t="s">
        <v>77</v>
      </c>
      <c r="B41" s="9">
        <v>95031012300</v>
      </c>
      <c r="C41" s="16" t="s">
        <v>23</v>
      </c>
      <c r="D41" s="16" t="s">
        <v>23</v>
      </c>
      <c r="E41" s="16" t="s">
        <v>23</v>
      </c>
      <c r="F41" s="16" t="s">
        <v>23</v>
      </c>
      <c r="G41" s="16" t="s">
        <v>23</v>
      </c>
      <c r="H41" s="16" t="s">
        <v>23</v>
      </c>
      <c r="I41" s="16">
        <v>59</v>
      </c>
      <c r="J41" s="16">
        <v>44</v>
      </c>
      <c r="K41" s="16" t="s">
        <v>23</v>
      </c>
      <c r="L41" s="16" t="s">
        <v>23</v>
      </c>
      <c r="M41" s="16" t="s">
        <v>23</v>
      </c>
      <c r="N41" s="16" t="s">
        <v>23</v>
      </c>
      <c r="O41" s="16" t="s">
        <v>23</v>
      </c>
      <c r="P41" s="16" t="s">
        <v>23</v>
      </c>
      <c r="Q41" s="16">
        <v>34</v>
      </c>
      <c r="R41" s="16" t="s">
        <v>23</v>
      </c>
      <c r="S41" s="16">
        <v>30</v>
      </c>
      <c r="T41" s="16">
        <v>53</v>
      </c>
      <c r="U41" s="17">
        <v>34</v>
      </c>
    </row>
    <row r="42" spans="1:21" x14ac:dyDescent="0.35">
      <c r="A42" s="5" t="s">
        <v>77</v>
      </c>
      <c r="B42" s="6">
        <v>95032101746</v>
      </c>
      <c r="C42" s="14" t="s">
        <v>23</v>
      </c>
      <c r="D42" s="14" t="s">
        <v>23</v>
      </c>
      <c r="E42" s="14" t="s">
        <v>23</v>
      </c>
      <c r="F42" s="14" t="s">
        <v>23</v>
      </c>
      <c r="G42" s="14">
        <v>88</v>
      </c>
      <c r="H42" s="14" t="s">
        <v>23</v>
      </c>
      <c r="I42" s="14">
        <v>98</v>
      </c>
      <c r="J42" s="14">
        <v>95</v>
      </c>
      <c r="K42" s="14" t="s">
        <v>23</v>
      </c>
      <c r="L42" s="14" t="s">
        <v>23</v>
      </c>
      <c r="M42" s="14" t="s">
        <v>23</v>
      </c>
      <c r="N42" s="14" t="s">
        <v>23</v>
      </c>
      <c r="O42" s="14" t="s">
        <v>23</v>
      </c>
      <c r="P42" s="14">
        <v>69</v>
      </c>
      <c r="Q42" s="14">
        <v>68</v>
      </c>
      <c r="R42" s="14" t="s">
        <v>23</v>
      </c>
      <c r="S42" s="14">
        <v>70</v>
      </c>
      <c r="T42" s="14">
        <v>80</v>
      </c>
      <c r="U42" s="15">
        <v>72</v>
      </c>
    </row>
    <row r="43" spans="1:21" x14ac:dyDescent="0.35">
      <c r="A43" s="8" t="s">
        <v>77</v>
      </c>
      <c r="B43" s="9">
        <v>95032204296</v>
      </c>
      <c r="C43" s="16" t="s">
        <v>23</v>
      </c>
      <c r="D43" s="16" t="s">
        <v>23</v>
      </c>
      <c r="E43" s="16" t="s">
        <v>23</v>
      </c>
      <c r="F43" s="16" t="s">
        <v>23</v>
      </c>
      <c r="G43" s="16">
        <v>92</v>
      </c>
      <c r="H43" s="16" t="s">
        <v>23</v>
      </c>
      <c r="I43" s="16">
        <v>93</v>
      </c>
      <c r="J43" s="16">
        <v>95</v>
      </c>
      <c r="K43" s="16" t="s">
        <v>23</v>
      </c>
      <c r="L43" s="16" t="s">
        <v>23</v>
      </c>
      <c r="M43" s="16" t="s">
        <v>23</v>
      </c>
      <c r="N43" s="16" t="s">
        <v>23</v>
      </c>
      <c r="O43" s="16" t="s">
        <v>23</v>
      </c>
      <c r="P43" s="16" t="s">
        <v>23</v>
      </c>
      <c r="Q43" s="16">
        <v>56</v>
      </c>
      <c r="R43" s="16" t="s">
        <v>23</v>
      </c>
      <c r="S43" s="16">
        <v>79</v>
      </c>
      <c r="T43" s="16">
        <v>55</v>
      </c>
      <c r="U43" s="17">
        <v>72</v>
      </c>
    </row>
    <row r="44" spans="1:21" x14ac:dyDescent="0.35">
      <c r="A44" s="5" t="s">
        <v>77</v>
      </c>
      <c r="B44" s="6">
        <v>95042205755</v>
      </c>
      <c r="C44" s="14" t="s">
        <v>23</v>
      </c>
      <c r="D44" s="14" t="s">
        <v>23</v>
      </c>
      <c r="E44" s="14" t="s">
        <v>23</v>
      </c>
      <c r="F44" s="14" t="s">
        <v>23</v>
      </c>
      <c r="G44" s="14">
        <v>94</v>
      </c>
      <c r="H44" s="14" t="s">
        <v>23</v>
      </c>
      <c r="I44" s="14">
        <v>90</v>
      </c>
      <c r="J44" s="14">
        <v>67</v>
      </c>
      <c r="K44" s="14" t="s">
        <v>23</v>
      </c>
      <c r="L44" s="14" t="s">
        <v>23</v>
      </c>
      <c r="M44" s="14" t="s">
        <v>23</v>
      </c>
      <c r="N44" s="14" t="s">
        <v>23</v>
      </c>
      <c r="O44" s="14" t="s">
        <v>23</v>
      </c>
      <c r="P44" s="14" t="s">
        <v>23</v>
      </c>
      <c r="Q44" s="14">
        <v>40</v>
      </c>
      <c r="R44" s="14" t="s">
        <v>23</v>
      </c>
      <c r="S44" s="14">
        <v>80</v>
      </c>
      <c r="T44" s="14">
        <v>60</v>
      </c>
      <c r="U44" s="15" t="s">
        <v>23</v>
      </c>
    </row>
    <row r="45" spans="1:21" x14ac:dyDescent="0.35">
      <c r="A45" s="8" t="s">
        <v>77</v>
      </c>
      <c r="B45" s="9">
        <v>95050205185</v>
      </c>
      <c r="C45" s="16" t="s">
        <v>23</v>
      </c>
      <c r="D45" s="16" t="s">
        <v>23</v>
      </c>
      <c r="E45" s="16" t="s">
        <v>23</v>
      </c>
      <c r="F45" s="16" t="s">
        <v>23</v>
      </c>
      <c r="G45" s="16">
        <v>66</v>
      </c>
      <c r="H45" s="16" t="s">
        <v>23</v>
      </c>
      <c r="I45" s="16">
        <v>98</v>
      </c>
      <c r="J45" s="16">
        <v>67</v>
      </c>
      <c r="K45" s="16" t="s">
        <v>23</v>
      </c>
      <c r="L45" s="16" t="s">
        <v>23</v>
      </c>
      <c r="M45" s="16" t="s">
        <v>23</v>
      </c>
      <c r="N45" s="16" t="s">
        <v>23</v>
      </c>
      <c r="O45" s="16" t="s">
        <v>23</v>
      </c>
      <c r="P45" s="16" t="s">
        <v>23</v>
      </c>
      <c r="Q45" s="16">
        <v>50</v>
      </c>
      <c r="R45" s="16" t="s">
        <v>23</v>
      </c>
      <c r="S45" s="16">
        <v>54</v>
      </c>
      <c r="T45" s="16">
        <v>80</v>
      </c>
      <c r="U45" s="17">
        <v>68</v>
      </c>
    </row>
    <row r="46" spans="1:21" x14ac:dyDescent="0.35">
      <c r="A46" s="5" t="s">
        <v>77</v>
      </c>
      <c r="B46" s="6">
        <v>95050904503</v>
      </c>
      <c r="C46" s="14" t="s">
        <v>23</v>
      </c>
      <c r="D46" s="14" t="s">
        <v>23</v>
      </c>
      <c r="E46" s="14" t="s">
        <v>23</v>
      </c>
      <c r="F46" s="14" t="s">
        <v>23</v>
      </c>
      <c r="G46" s="14" t="s">
        <v>23</v>
      </c>
      <c r="H46" s="14" t="s">
        <v>23</v>
      </c>
      <c r="I46" s="14">
        <v>100</v>
      </c>
      <c r="J46" s="14">
        <v>92</v>
      </c>
      <c r="K46" s="14" t="s">
        <v>23</v>
      </c>
      <c r="L46" s="14" t="s">
        <v>23</v>
      </c>
      <c r="M46" s="14" t="s">
        <v>23</v>
      </c>
      <c r="N46" s="14" t="s">
        <v>23</v>
      </c>
      <c r="O46" s="14" t="s">
        <v>23</v>
      </c>
      <c r="P46" s="14" t="s">
        <v>23</v>
      </c>
      <c r="Q46" s="14">
        <v>70</v>
      </c>
      <c r="R46" s="14" t="s">
        <v>23</v>
      </c>
      <c r="S46" s="14">
        <v>63</v>
      </c>
      <c r="T46" s="14">
        <v>45</v>
      </c>
      <c r="U46" s="15" t="s">
        <v>23</v>
      </c>
    </row>
    <row r="47" spans="1:21" x14ac:dyDescent="0.35">
      <c r="A47" s="8" t="s">
        <v>77</v>
      </c>
      <c r="B47" s="9">
        <v>95051201982</v>
      </c>
      <c r="C47" s="16" t="s">
        <v>23</v>
      </c>
      <c r="D47" s="16" t="s">
        <v>23</v>
      </c>
      <c r="E47" s="16" t="s">
        <v>23</v>
      </c>
      <c r="F47" s="16" t="s">
        <v>23</v>
      </c>
      <c r="G47" s="16" t="s">
        <v>23</v>
      </c>
      <c r="H47" s="16" t="s">
        <v>23</v>
      </c>
      <c r="I47" s="16">
        <v>96</v>
      </c>
      <c r="J47" s="16">
        <v>63</v>
      </c>
      <c r="K47" s="16" t="s">
        <v>23</v>
      </c>
      <c r="L47" s="16" t="s">
        <v>23</v>
      </c>
      <c r="M47" s="16" t="s">
        <v>23</v>
      </c>
      <c r="N47" s="16" t="s">
        <v>23</v>
      </c>
      <c r="O47" s="16" t="s">
        <v>23</v>
      </c>
      <c r="P47" s="16" t="s">
        <v>23</v>
      </c>
      <c r="Q47" s="16">
        <v>64</v>
      </c>
      <c r="R47" s="16" t="s">
        <v>23</v>
      </c>
      <c r="S47" s="16">
        <v>63</v>
      </c>
      <c r="T47" s="16">
        <v>58</v>
      </c>
      <c r="U47" s="17">
        <v>48</v>
      </c>
    </row>
    <row r="48" spans="1:21" x14ac:dyDescent="0.35">
      <c r="A48" s="5" t="s">
        <v>77</v>
      </c>
      <c r="B48" s="6">
        <v>95052501302</v>
      </c>
      <c r="C48" s="14" t="s">
        <v>23</v>
      </c>
      <c r="D48" s="14" t="s">
        <v>23</v>
      </c>
      <c r="E48" s="14" t="s">
        <v>23</v>
      </c>
      <c r="F48" s="14" t="s">
        <v>23</v>
      </c>
      <c r="G48" s="14" t="s">
        <v>23</v>
      </c>
      <c r="H48" s="14" t="s">
        <v>23</v>
      </c>
      <c r="I48" s="14">
        <v>96</v>
      </c>
      <c r="J48" s="14">
        <v>69</v>
      </c>
      <c r="K48" s="14" t="s">
        <v>23</v>
      </c>
      <c r="L48" s="14" t="s">
        <v>23</v>
      </c>
      <c r="M48" s="14" t="s">
        <v>23</v>
      </c>
      <c r="N48" s="14" t="s">
        <v>23</v>
      </c>
      <c r="O48" s="14" t="s">
        <v>23</v>
      </c>
      <c r="P48" s="14" t="s">
        <v>23</v>
      </c>
      <c r="Q48" s="14">
        <v>68</v>
      </c>
      <c r="R48" s="14" t="s">
        <v>23</v>
      </c>
      <c r="S48" s="14">
        <v>51</v>
      </c>
      <c r="T48" s="14">
        <v>70</v>
      </c>
      <c r="U48" s="15">
        <v>38</v>
      </c>
    </row>
    <row r="49" spans="1:21" x14ac:dyDescent="0.35">
      <c r="A49" s="8" t="s">
        <v>77</v>
      </c>
      <c r="B49" s="9">
        <v>95060201793</v>
      </c>
      <c r="C49" s="16">
        <v>73</v>
      </c>
      <c r="D49" s="16">
        <v>65</v>
      </c>
      <c r="E49" s="16" t="s">
        <v>23</v>
      </c>
      <c r="F49" s="16" t="s">
        <v>23</v>
      </c>
      <c r="G49" s="16" t="s">
        <v>23</v>
      </c>
      <c r="H49" s="16" t="s">
        <v>23</v>
      </c>
      <c r="I49" s="16">
        <v>80</v>
      </c>
      <c r="J49" s="16" t="s">
        <v>23</v>
      </c>
      <c r="K49" s="16" t="s">
        <v>23</v>
      </c>
      <c r="L49" s="16" t="s">
        <v>23</v>
      </c>
      <c r="M49" s="16" t="s">
        <v>23</v>
      </c>
      <c r="N49" s="16" t="s">
        <v>23</v>
      </c>
      <c r="O49" s="16" t="s">
        <v>23</v>
      </c>
      <c r="P49" s="16" t="s">
        <v>23</v>
      </c>
      <c r="Q49" s="16">
        <v>52</v>
      </c>
      <c r="R49" s="16" t="s">
        <v>23</v>
      </c>
      <c r="S49" s="16">
        <v>56</v>
      </c>
      <c r="T49" s="16" t="s">
        <v>23</v>
      </c>
      <c r="U49" s="17" t="s">
        <v>23</v>
      </c>
    </row>
    <row r="50" spans="1:21" x14ac:dyDescent="0.35">
      <c r="A50" s="5" t="s">
        <v>77</v>
      </c>
      <c r="B50" s="6">
        <v>95062400343</v>
      </c>
      <c r="C50" s="14">
        <v>50</v>
      </c>
      <c r="D50" s="14">
        <v>47</v>
      </c>
      <c r="E50" s="14" t="s">
        <v>23</v>
      </c>
      <c r="F50" s="14" t="s">
        <v>23</v>
      </c>
      <c r="G50" s="14" t="s">
        <v>23</v>
      </c>
      <c r="H50" s="14" t="s">
        <v>23</v>
      </c>
      <c r="I50" s="14">
        <v>92</v>
      </c>
      <c r="J50" s="14" t="s">
        <v>23</v>
      </c>
      <c r="K50" s="14" t="s">
        <v>23</v>
      </c>
      <c r="L50" s="14" t="s">
        <v>23</v>
      </c>
      <c r="M50" s="14" t="s">
        <v>23</v>
      </c>
      <c r="N50" s="14" t="s">
        <v>23</v>
      </c>
      <c r="O50" s="14" t="s">
        <v>23</v>
      </c>
      <c r="P50" s="14" t="s">
        <v>23</v>
      </c>
      <c r="Q50" s="14">
        <v>58</v>
      </c>
      <c r="R50" s="14" t="s">
        <v>23</v>
      </c>
      <c r="S50" s="14">
        <v>51</v>
      </c>
      <c r="T50" s="14" t="s">
        <v>23</v>
      </c>
      <c r="U50" s="15" t="s">
        <v>23</v>
      </c>
    </row>
    <row r="51" spans="1:21" x14ac:dyDescent="0.35">
      <c r="A51" s="8" t="s">
        <v>77</v>
      </c>
      <c r="B51" s="9">
        <v>95070400070</v>
      </c>
      <c r="C51" s="16" t="s">
        <v>23</v>
      </c>
      <c r="D51" s="16" t="s">
        <v>23</v>
      </c>
      <c r="E51" s="16" t="s">
        <v>23</v>
      </c>
      <c r="F51" s="16" t="s">
        <v>23</v>
      </c>
      <c r="G51" s="16">
        <v>92</v>
      </c>
      <c r="H51" s="16" t="s">
        <v>23</v>
      </c>
      <c r="I51" s="16">
        <v>92</v>
      </c>
      <c r="J51" s="16">
        <v>59</v>
      </c>
      <c r="K51" s="16" t="s">
        <v>23</v>
      </c>
      <c r="L51" s="16" t="s">
        <v>23</v>
      </c>
      <c r="M51" s="16" t="s">
        <v>23</v>
      </c>
      <c r="N51" s="16" t="s">
        <v>23</v>
      </c>
      <c r="O51" s="16" t="s">
        <v>23</v>
      </c>
      <c r="P51" s="16" t="s">
        <v>23</v>
      </c>
      <c r="Q51" s="16">
        <v>72</v>
      </c>
      <c r="R51" s="16" t="s">
        <v>23</v>
      </c>
      <c r="S51" s="16">
        <v>41</v>
      </c>
      <c r="T51" s="16">
        <v>60</v>
      </c>
      <c r="U51" s="17">
        <v>68</v>
      </c>
    </row>
    <row r="52" spans="1:21" x14ac:dyDescent="0.35">
      <c r="A52" s="5" t="s">
        <v>77</v>
      </c>
      <c r="B52" s="6">
        <v>95080101408</v>
      </c>
      <c r="C52" s="14">
        <v>73</v>
      </c>
      <c r="D52" s="14" t="s">
        <v>23</v>
      </c>
      <c r="E52" s="14" t="s">
        <v>23</v>
      </c>
      <c r="F52" s="14" t="s">
        <v>23</v>
      </c>
      <c r="G52" s="14" t="s">
        <v>23</v>
      </c>
      <c r="H52" s="14" t="s">
        <v>23</v>
      </c>
      <c r="I52" s="14">
        <v>97</v>
      </c>
      <c r="J52" s="14">
        <v>74</v>
      </c>
      <c r="K52" s="14" t="s">
        <v>23</v>
      </c>
      <c r="L52" s="14" t="s">
        <v>23</v>
      </c>
      <c r="M52" s="14" t="s">
        <v>23</v>
      </c>
      <c r="N52" s="14" t="s">
        <v>23</v>
      </c>
      <c r="O52" s="14" t="s">
        <v>23</v>
      </c>
      <c r="P52" s="14" t="s">
        <v>23</v>
      </c>
      <c r="Q52" s="14">
        <v>56</v>
      </c>
      <c r="R52" s="14" t="s">
        <v>23</v>
      </c>
      <c r="S52" s="14">
        <v>60</v>
      </c>
      <c r="T52" s="14">
        <v>73</v>
      </c>
      <c r="U52" s="15" t="s">
        <v>23</v>
      </c>
    </row>
    <row r="53" spans="1:21" x14ac:dyDescent="0.35">
      <c r="A53" s="8" t="s">
        <v>77</v>
      </c>
      <c r="B53" s="9">
        <v>95080902016</v>
      </c>
      <c r="C53" s="16" t="s">
        <v>23</v>
      </c>
      <c r="D53" s="16" t="s">
        <v>23</v>
      </c>
      <c r="E53" s="16" t="s">
        <v>23</v>
      </c>
      <c r="F53" s="16" t="s">
        <v>23</v>
      </c>
      <c r="G53" s="16">
        <v>80</v>
      </c>
      <c r="H53" s="16" t="s">
        <v>23</v>
      </c>
      <c r="I53" s="16">
        <v>97</v>
      </c>
      <c r="J53" s="16">
        <v>83</v>
      </c>
      <c r="K53" s="16" t="s">
        <v>23</v>
      </c>
      <c r="L53" s="16" t="s">
        <v>23</v>
      </c>
      <c r="M53" s="16" t="s">
        <v>23</v>
      </c>
      <c r="N53" s="16" t="s">
        <v>23</v>
      </c>
      <c r="O53" s="16" t="s">
        <v>23</v>
      </c>
      <c r="P53" s="16" t="s">
        <v>23</v>
      </c>
      <c r="Q53" s="16">
        <v>44</v>
      </c>
      <c r="R53" s="16" t="s">
        <v>23</v>
      </c>
      <c r="S53" s="16">
        <v>66</v>
      </c>
      <c r="T53" s="16">
        <v>63</v>
      </c>
      <c r="U53" s="17" t="s">
        <v>23</v>
      </c>
    </row>
    <row r="54" spans="1:21" x14ac:dyDescent="0.35">
      <c r="A54" s="5" t="s">
        <v>77</v>
      </c>
      <c r="B54" s="6">
        <v>95081001141</v>
      </c>
      <c r="C54" s="14">
        <v>35</v>
      </c>
      <c r="D54" s="14" t="s">
        <v>23</v>
      </c>
      <c r="E54" s="14" t="s">
        <v>23</v>
      </c>
      <c r="F54" s="14" t="s">
        <v>23</v>
      </c>
      <c r="G54" s="14" t="s">
        <v>23</v>
      </c>
      <c r="H54" s="14" t="s">
        <v>23</v>
      </c>
      <c r="I54" s="14">
        <v>96</v>
      </c>
      <c r="J54" s="14">
        <v>84</v>
      </c>
      <c r="K54" s="14" t="s">
        <v>23</v>
      </c>
      <c r="L54" s="14" t="s">
        <v>23</v>
      </c>
      <c r="M54" s="14" t="s">
        <v>23</v>
      </c>
      <c r="N54" s="14" t="s">
        <v>23</v>
      </c>
      <c r="O54" s="14" t="s">
        <v>23</v>
      </c>
      <c r="P54" s="14" t="s">
        <v>23</v>
      </c>
      <c r="Q54" s="14">
        <v>32</v>
      </c>
      <c r="R54" s="14" t="s">
        <v>23</v>
      </c>
      <c r="S54" s="14">
        <v>51</v>
      </c>
      <c r="T54" s="14">
        <v>63</v>
      </c>
      <c r="U54" s="15" t="s">
        <v>23</v>
      </c>
    </row>
    <row r="55" spans="1:21" x14ac:dyDescent="0.35">
      <c r="A55" s="8" t="s">
        <v>77</v>
      </c>
      <c r="B55" s="9">
        <v>95081600739</v>
      </c>
      <c r="C55" s="16" t="s">
        <v>23</v>
      </c>
      <c r="D55" s="16" t="s">
        <v>23</v>
      </c>
      <c r="E55" s="16" t="s">
        <v>23</v>
      </c>
      <c r="F55" s="16">
        <v>47</v>
      </c>
      <c r="G55" s="16" t="s">
        <v>23</v>
      </c>
      <c r="H55" s="16" t="s">
        <v>23</v>
      </c>
      <c r="I55" s="16">
        <v>86</v>
      </c>
      <c r="J55" s="16">
        <v>60</v>
      </c>
      <c r="K55" s="16" t="s">
        <v>23</v>
      </c>
      <c r="L55" s="16" t="s">
        <v>23</v>
      </c>
      <c r="M55" s="16" t="s">
        <v>23</v>
      </c>
      <c r="N55" s="16" t="s">
        <v>23</v>
      </c>
      <c r="O55" s="16" t="s">
        <v>23</v>
      </c>
      <c r="P55" s="16" t="s">
        <v>23</v>
      </c>
      <c r="Q55" s="16">
        <v>66</v>
      </c>
      <c r="R55" s="16" t="s">
        <v>23</v>
      </c>
      <c r="S55" s="16">
        <v>34</v>
      </c>
      <c r="T55" s="16">
        <v>58</v>
      </c>
      <c r="U55" s="17">
        <v>58</v>
      </c>
    </row>
    <row r="56" spans="1:21" x14ac:dyDescent="0.35">
      <c r="A56" s="5" t="s">
        <v>77</v>
      </c>
      <c r="B56" s="6">
        <v>95083106189</v>
      </c>
      <c r="C56" s="14" t="s">
        <v>23</v>
      </c>
      <c r="D56" s="14" t="s">
        <v>23</v>
      </c>
      <c r="E56" s="14" t="s">
        <v>23</v>
      </c>
      <c r="F56" s="14" t="s">
        <v>23</v>
      </c>
      <c r="G56" s="14">
        <v>42</v>
      </c>
      <c r="H56" s="14" t="s">
        <v>23</v>
      </c>
      <c r="I56" s="14">
        <v>66</v>
      </c>
      <c r="J56" s="14" t="s">
        <v>23</v>
      </c>
      <c r="K56" s="14" t="s">
        <v>23</v>
      </c>
      <c r="L56" s="14" t="s">
        <v>23</v>
      </c>
      <c r="M56" s="14" t="s">
        <v>23</v>
      </c>
      <c r="N56" s="14" t="s">
        <v>23</v>
      </c>
      <c r="O56" s="14" t="s">
        <v>23</v>
      </c>
      <c r="P56" s="14" t="s">
        <v>23</v>
      </c>
      <c r="Q56" s="14">
        <v>64</v>
      </c>
      <c r="R56" s="14" t="s">
        <v>23</v>
      </c>
      <c r="S56" s="14">
        <v>56</v>
      </c>
      <c r="T56" s="14">
        <v>75</v>
      </c>
      <c r="U56" s="15" t="s">
        <v>23</v>
      </c>
    </row>
    <row r="57" spans="1:21" x14ac:dyDescent="0.35">
      <c r="A57" s="8" t="s">
        <v>77</v>
      </c>
      <c r="B57" s="9">
        <v>95092111585</v>
      </c>
      <c r="C57" s="16" t="s">
        <v>23</v>
      </c>
      <c r="D57" s="16" t="s">
        <v>23</v>
      </c>
      <c r="E57" s="16" t="s">
        <v>23</v>
      </c>
      <c r="F57" s="16" t="s">
        <v>23</v>
      </c>
      <c r="G57" s="16">
        <v>76</v>
      </c>
      <c r="H57" s="16" t="s">
        <v>23</v>
      </c>
      <c r="I57" s="16">
        <v>97</v>
      </c>
      <c r="J57" s="16">
        <v>78</v>
      </c>
      <c r="K57" s="16" t="s">
        <v>23</v>
      </c>
      <c r="L57" s="16" t="s">
        <v>23</v>
      </c>
      <c r="M57" s="16" t="s">
        <v>23</v>
      </c>
      <c r="N57" s="16" t="s">
        <v>23</v>
      </c>
      <c r="O57" s="16" t="s">
        <v>23</v>
      </c>
      <c r="P57" s="16" t="s">
        <v>23</v>
      </c>
      <c r="Q57" s="16">
        <v>72</v>
      </c>
      <c r="R57" s="16" t="s">
        <v>23</v>
      </c>
      <c r="S57" s="16">
        <v>60</v>
      </c>
      <c r="T57" s="16">
        <v>80</v>
      </c>
      <c r="U57" s="17" t="s">
        <v>23</v>
      </c>
    </row>
    <row r="58" spans="1:21" x14ac:dyDescent="0.35">
      <c r="A58" s="5" t="s">
        <v>77</v>
      </c>
      <c r="B58" s="6">
        <v>95092712281</v>
      </c>
      <c r="C58" s="14" t="s">
        <v>23</v>
      </c>
      <c r="D58" s="14" t="s">
        <v>23</v>
      </c>
      <c r="E58" s="14" t="s">
        <v>23</v>
      </c>
      <c r="F58" s="14" t="s">
        <v>23</v>
      </c>
      <c r="G58" s="14">
        <v>80</v>
      </c>
      <c r="H58" s="14" t="s">
        <v>23</v>
      </c>
      <c r="I58" s="14">
        <v>78</v>
      </c>
      <c r="J58" s="14">
        <v>34</v>
      </c>
      <c r="K58" s="14" t="s">
        <v>23</v>
      </c>
      <c r="L58" s="14" t="s">
        <v>23</v>
      </c>
      <c r="M58" s="14" t="s">
        <v>23</v>
      </c>
      <c r="N58" s="14" t="s">
        <v>23</v>
      </c>
      <c r="O58" s="14" t="s">
        <v>23</v>
      </c>
      <c r="P58" s="14" t="s">
        <v>23</v>
      </c>
      <c r="Q58" s="14">
        <v>52</v>
      </c>
      <c r="R58" s="14" t="s">
        <v>23</v>
      </c>
      <c r="S58" s="14">
        <v>46</v>
      </c>
      <c r="T58" s="14">
        <v>80</v>
      </c>
      <c r="U58" s="15">
        <v>62</v>
      </c>
    </row>
    <row r="59" spans="1:21" x14ac:dyDescent="0.35">
      <c r="A59" s="8" t="s">
        <v>77</v>
      </c>
      <c r="B59" s="9">
        <v>95100600025</v>
      </c>
      <c r="C59" s="16" t="s">
        <v>23</v>
      </c>
      <c r="D59" s="16" t="s">
        <v>23</v>
      </c>
      <c r="E59" s="16" t="s">
        <v>23</v>
      </c>
      <c r="F59" s="16" t="s">
        <v>23</v>
      </c>
      <c r="G59" s="16" t="s">
        <v>23</v>
      </c>
      <c r="H59" s="16" t="s">
        <v>23</v>
      </c>
      <c r="I59" s="16">
        <v>65</v>
      </c>
      <c r="J59" s="16" t="s">
        <v>23</v>
      </c>
      <c r="K59" s="16" t="s">
        <v>23</v>
      </c>
      <c r="L59" s="16" t="s">
        <v>23</v>
      </c>
      <c r="M59" s="16" t="s">
        <v>23</v>
      </c>
      <c r="N59" s="16" t="s">
        <v>23</v>
      </c>
      <c r="O59" s="16" t="s">
        <v>23</v>
      </c>
      <c r="P59" s="16" t="s">
        <v>23</v>
      </c>
      <c r="Q59" s="16">
        <v>50</v>
      </c>
      <c r="R59" s="16" t="s">
        <v>23</v>
      </c>
      <c r="S59" s="16">
        <v>43</v>
      </c>
      <c r="T59" s="16">
        <v>78</v>
      </c>
      <c r="U59" s="17">
        <v>24</v>
      </c>
    </row>
    <row r="60" spans="1:21" x14ac:dyDescent="0.35">
      <c r="A60" s="5" t="s">
        <v>77</v>
      </c>
      <c r="B60" s="6">
        <v>95100606458</v>
      </c>
      <c r="C60" s="14" t="s">
        <v>23</v>
      </c>
      <c r="D60" s="14" t="s">
        <v>23</v>
      </c>
      <c r="E60" s="14" t="s">
        <v>23</v>
      </c>
      <c r="F60" s="14" t="s">
        <v>23</v>
      </c>
      <c r="G60" s="14">
        <v>88</v>
      </c>
      <c r="H60" s="14" t="s">
        <v>23</v>
      </c>
      <c r="I60" s="14">
        <v>96</v>
      </c>
      <c r="J60" s="14">
        <v>92</v>
      </c>
      <c r="K60" s="14" t="s">
        <v>23</v>
      </c>
      <c r="L60" s="14" t="s">
        <v>23</v>
      </c>
      <c r="M60" s="14" t="s">
        <v>23</v>
      </c>
      <c r="N60" s="14" t="s">
        <v>23</v>
      </c>
      <c r="O60" s="14" t="s">
        <v>23</v>
      </c>
      <c r="P60" s="14" t="s">
        <v>23</v>
      </c>
      <c r="Q60" s="14">
        <v>58</v>
      </c>
      <c r="R60" s="14" t="s">
        <v>23</v>
      </c>
      <c r="S60" s="14">
        <v>59</v>
      </c>
      <c r="T60" s="14">
        <v>53</v>
      </c>
      <c r="U60" s="15">
        <v>72</v>
      </c>
    </row>
    <row r="61" spans="1:21" x14ac:dyDescent="0.35">
      <c r="A61" s="8" t="s">
        <v>77</v>
      </c>
      <c r="B61" s="9">
        <v>95100700282</v>
      </c>
      <c r="C61" s="16" t="s">
        <v>23</v>
      </c>
      <c r="D61" s="16" t="s">
        <v>23</v>
      </c>
      <c r="E61" s="16" t="s">
        <v>23</v>
      </c>
      <c r="F61" s="16" t="s">
        <v>23</v>
      </c>
      <c r="G61" s="16">
        <v>76</v>
      </c>
      <c r="H61" s="16" t="s">
        <v>23</v>
      </c>
      <c r="I61" s="16">
        <v>100</v>
      </c>
      <c r="J61" s="16">
        <v>90</v>
      </c>
      <c r="K61" s="16" t="s">
        <v>23</v>
      </c>
      <c r="L61" s="16" t="s">
        <v>23</v>
      </c>
      <c r="M61" s="16" t="s">
        <v>23</v>
      </c>
      <c r="N61" s="16" t="s">
        <v>23</v>
      </c>
      <c r="O61" s="16">
        <v>100</v>
      </c>
      <c r="P61" s="16" t="s">
        <v>23</v>
      </c>
      <c r="Q61" s="16">
        <v>78</v>
      </c>
      <c r="R61" s="16" t="s">
        <v>23</v>
      </c>
      <c r="S61" s="16">
        <v>66</v>
      </c>
      <c r="T61" s="16">
        <v>75</v>
      </c>
      <c r="U61" s="17" t="s">
        <v>23</v>
      </c>
    </row>
    <row r="62" spans="1:21" x14ac:dyDescent="0.35">
      <c r="A62" s="5" t="s">
        <v>77</v>
      </c>
      <c r="B62" s="6">
        <v>95101000947</v>
      </c>
      <c r="C62" s="14" t="s">
        <v>23</v>
      </c>
      <c r="D62" s="14" t="s">
        <v>23</v>
      </c>
      <c r="E62" s="14" t="s">
        <v>23</v>
      </c>
      <c r="F62" s="14" t="s">
        <v>23</v>
      </c>
      <c r="G62" s="14">
        <v>96</v>
      </c>
      <c r="H62" s="14" t="s">
        <v>23</v>
      </c>
      <c r="I62" s="14">
        <v>98</v>
      </c>
      <c r="J62" s="14">
        <v>91</v>
      </c>
      <c r="K62" s="14" t="s">
        <v>23</v>
      </c>
      <c r="L62" s="14" t="s">
        <v>23</v>
      </c>
      <c r="M62" s="14" t="s">
        <v>23</v>
      </c>
      <c r="N62" s="14" t="s">
        <v>23</v>
      </c>
      <c r="O62" s="14" t="s">
        <v>23</v>
      </c>
      <c r="P62" s="14" t="s">
        <v>23</v>
      </c>
      <c r="Q62" s="14">
        <v>72</v>
      </c>
      <c r="R62" s="14" t="s">
        <v>23</v>
      </c>
      <c r="S62" s="14">
        <v>69</v>
      </c>
      <c r="T62" s="14">
        <v>85</v>
      </c>
      <c r="U62" s="15" t="s">
        <v>23</v>
      </c>
    </row>
    <row r="63" spans="1:21" x14ac:dyDescent="0.35">
      <c r="A63" s="8" t="s">
        <v>77</v>
      </c>
      <c r="B63" s="9">
        <v>95110605809</v>
      </c>
      <c r="C63" s="16" t="s">
        <v>23</v>
      </c>
      <c r="D63" s="16" t="s">
        <v>23</v>
      </c>
      <c r="E63" s="16" t="s">
        <v>23</v>
      </c>
      <c r="F63" s="16" t="s">
        <v>23</v>
      </c>
      <c r="G63" s="16">
        <v>76</v>
      </c>
      <c r="H63" s="16" t="s">
        <v>23</v>
      </c>
      <c r="I63" s="16">
        <v>99</v>
      </c>
      <c r="J63" s="16">
        <v>84</v>
      </c>
      <c r="K63" s="16">
        <v>78</v>
      </c>
      <c r="L63" s="16" t="s">
        <v>23</v>
      </c>
      <c r="M63" s="16" t="s">
        <v>23</v>
      </c>
      <c r="N63" s="16" t="s">
        <v>23</v>
      </c>
      <c r="O63" s="16" t="s">
        <v>23</v>
      </c>
      <c r="P63" s="16" t="s">
        <v>23</v>
      </c>
      <c r="Q63" s="16">
        <v>70</v>
      </c>
      <c r="R63" s="16" t="s">
        <v>23</v>
      </c>
      <c r="S63" s="16">
        <v>53</v>
      </c>
      <c r="T63" s="16">
        <v>73</v>
      </c>
      <c r="U63" s="17" t="s">
        <v>23</v>
      </c>
    </row>
    <row r="64" spans="1:21" x14ac:dyDescent="0.35">
      <c r="A64" s="5" t="s">
        <v>77</v>
      </c>
      <c r="B64" s="6">
        <v>95110704362</v>
      </c>
      <c r="C64" s="14">
        <v>48</v>
      </c>
      <c r="D64" s="14">
        <v>17</v>
      </c>
      <c r="E64" s="14" t="s">
        <v>23</v>
      </c>
      <c r="F64" s="14" t="s">
        <v>23</v>
      </c>
      <c r="G64" s="14" t="s">
        <v>23</v>
      </c>
      <c r="H64" s="14" t="s">
        <v>23</v>
      </c>
      <c r="I64" s="14">
        <v>100</v>
      </c>
      <c r="J64" s="14">
        <v>92</v>
      </c>
      <c r="K64" s="14" t="s">
        <v>23</v>
      </c>
      <c r="L64" s="14" t="s">
        <v>23</v>
      </c>
      <c r="M64" s="14" t="s">
        <v>23</v>
      </c>
      <c r="N64" s="14" t="s">
        <v>23</v>
      </c>
      <c r="O64" s="14" t="s">
        <v>23</v>
      </c>
      <c r="P64" s="14" t="s">
        <v>23</v>
      </c>
      <c r="Q64" s="14">
        <v>60</v>
      </c>
      <c r="R64" s="14" t="s">
        <v>23</v>
      </c>
      <c r="S64" s="14">
        <v>47</v>
      </c>
      <c r="T64" s="14" t="s">
        <v>23</v>
      </c>
      <c r="U64" s="15" t="s">
        <v>23</v>
      </c>
    </row>
    <row r="65" spans="1:21" x14ac:dyDescent="0.35">
      <c r="A65" s="8" t="s">
        <v>77</v>
      </c>
      <c r="B65" s="9">
        <v>95111800425</v>
      </c>
      <c r="C65" s="16" t="s">
        <v>23</v>
      </c>
      <c r="D65" s="16" t="s">
        <v>23</v>
      </c>
      <c r="E65" s="16" t="s">
        <v>23</v>
      </c>
      <c r="F65" s="16" t="s">
        <v>23</v>
      </c>
      <c r="G65" s="16">
        <v>80</v>
      </c>
      <c r="H65" s="16" t="s">
        <v>23</v>
      </c>
      <c r="I65" s="16">
        <v>98</v>
      </c>
      <c r="J65" s="16">
        <v>79</v>
      </c>
      <c r="K65" s="16" t="s">
        <v>23</v>
      </c>
      <c r="L65" s="16" t="s">
        <v>23</v>
      </c>
      <c r="M65" s="16" t="s">
        <v>23</v>
      </c>
      <c r="N65" s="16" t="s">
        <v>23</v>
      </c>
      <c r="O65" s="16" t="s">
        <v>23</v>
      </c>
      <c r="P65" s="16" t="s">
        <v>23</v>
      </c>
      <c r="Q65" s="16">
        <v>66</v>
      </c>
      <c r="R65" s="16" t="s">
        <v>23</v>
      </c>
      <c r="S65" s="16">
        <v>66</v>
      </c>
      <c r="T65" s="16">
        <v>63</v>
      </c>
      <c r="U65" s="17">
        <v>60</v>
      </c>
    </row>
    <row r="66" spans="1:21" x14ac:dyDescent="0.35">
      <c r="A66" s="5" t="s">
        <v>77</v>
      </c>
      <c r="B66" s="6">
        <v>95112902461</v>
      </c>
      <c r="C66" s="14" t="s">
        <v>23</v>
      </c>
      <c r="D66" s="14" t="s">
        <v>23</v>
      </c>
      <c r="E66" s="14" t="s">
        <v>23</v>
      </c>
      <c r="F66" s="14" t="s">
        <v>23</v>
      </c>
      <c r="G66" s="14" t="s">
        <v>23</v>
      </c>
      <c r="H66" s="14" t="s">
        <v>23</v>
      </c>
      <c r="I66" s="14">
        <v>94</v>
      </c>
      <c r="J66" s="14">
        <v>66</v>
      </c>
      <c r="K66" s="14" t="s">
        <v>23</v>
      </c>
      <c r="L66" s="14" t="s">
        <v>23</v>
      </c>
      <c r="M66" s="14" t="s">
        <v>23</v>
      </c>
      <c r="N66" s="14" t="s">
        <v>23</v>
      </c>
      <c r="O66" s="14" t="s">
        <v>23</v>
      </c>
      <c r="P66" s="14" t="s">
        <v>23</v>
      </c>
      <c r="Q66" s="14">
        <v>76</v>
      </c>
      <c r="R66" s="14">
        <v>24</v>
      </c>
      <c r="S66" s="14">
        <v>44</v>
      </c>
      <c r="T66" s="14">
        <v>40</v>
      </c>
      <c r="U66" s="15" t="s">
        <v>23</v>
      </c>
    </row>
    <row r="67" spans="1:21" x14ac:dyDescent="0.35">
      <c r="A67" s="8" t="s">
        <v>92</v>
      </c>
      <c r="B67" s="9">
        <v>94120209724</v>
      </c>
      <c r="C67" s="16" t="s">
        <v>23</v>
      </c>
      <c r="D67" s="16" t="s">
        <v>23</v>
      </c>
      <c r="E67" s="16" t="s">
        <v>23</v>
      </c>
      <c r="F67" s="16" t="s">
        <v>23</v>
      </c>
      <c r="G67" s="16" t="s">
        <v>23</v>
      </c>
      <c r="H67" s="16" t="s">
        <v>23</v>
      </c>
      <c r="I67" s="16">
        <v>95</v>
      </c>
      <c r="J67" s="16">
        <v>70</v>
      </c>
      <c r="K67" s="16" t="s">
        <v>23</v>
      </c>
      <c r="L67" s="16" t="s">
        <v>23</v>
      </c>
      <c r="M67" s="16">
        <v>51</v>
      </c>
      <c r="N67" s="16" t="s">
        <v>23</v>
      </c>
      <c r="O67" s="16" t="s">
        <v>23</v>
      </c>
      <c r="P67" s="16" t="s">
        <v>23</v>
      </c>
      <c r="Q67" s="16">
        <v>76</v>
      </c>
      <c r="R67" s="16">
        <v>52</v>
      </c>
      <c r="S67" s="16">
        <v>49</v>
      </c>
      <c r="T67" s="16" t="s">
        <v>23</v>
      </c>
      <c r="U67" s="17" t="s">
        <v>23</v>
      </c>
    </row>
    <row r="68" spans="1:21" x14ac:dyDescent="0.35">
      <c r="A68" s="5" t="s">
        <v>92</v>
      </c>
      <c r="B68" s="6">
        <v>95011303864</v>
      </c>
      <c r="C68" s="14" t="s">
        <v>23</v>
      </c>
      <c r="D68" s="14" t="s">
        <v>23</v>
      </c>
      <c r="E68" s="14" t="s">
        <v>23</v>
      </c>
      <c r="F68" s="14">
        <v>42</v>
      </c>
      <c r="G68" s="14" t="s">
        <v>23</v>
      </c>
      <c r="H68" s="14" t="s">
        <v>23</v>
      </c>
      <c r="I68" s="14">
        <v>52</v>
      </c>
      <c r="J68" s="14" t="s">
        <v>23</v>
      </c>
      <c r="K68" s="14" t="s">
        <v>23</v>
      </c>
      <c r="L68" s="14" t="s">
        <v>23</v>
      </c>
      <c r="M68" s="14" t="s">
        <v>23</v>
      </c>
      <c r="N68" s="14" t="s">
        <v>23</v>
      </c>
      <c r="O68" s="14" t="s">
        <v>23</v>
      </c>
      <c r="P68" s="14" t="s">
        <v>23</v>
      </c>
      <c r="Q68" s="14">
        <v>76</v>
      </c>
      <c r="R68" s="14">
        <v>40</v>
      </c>
      <c r="S68" s="14">
        <v>36</v>
      </c>
      <c r="T68" s="14" t="s">
        <v>23</v>
      </c>
      <c r="U68" s="15" t="s">
        <v>23</v>
      </c>
    </row>
    <row r="69" spans="1:21" x14ac:dyDescent="0.35">
      <c r="A69" s="8" t="s">
        <v>92</v>
      </c>
      <c r="B69" s="9">
        <v>95012701920</v>
      </c>
      <c r="C69" s="16" t="s">
        <v>23</v>
      </c>
      <c r="D69" s="16" t="s">
        <v>23</v>
      </c>
      <c r="E69" s="16" t="s">
        <v>23</v>
      </c>
      <c r="F69" s="16">
        <v>77</v>
      </c>
      <c r="G69" s="16" t="s">
        <v>23</v>
      </c>
      <c r="H69" s="16" t="s">
        <v>23</v>
      </c>
      <c r="I69" s="16">
        <v>92</v>
      </c>
      <c r="J69" s="16">
        <v>80</v>
      </c>
      <c r="K69" s="16">
        <v>68</v>
      </c>
      <c r="L69" s="16" t="s">
        <v>23</v>
      </c>
      <c r="M69" s="16" t="s">
        <v>23</v>
      </c>
      <c r="N69" s="16" t="s">
        <v>23</v>
      </c>
      <c r="O69" s="16" t="s">
        <v>23</v>
      </c>
      <c r="P69" s="16" t="s">
        <v>23</v>
      </c>
      <c r="Q69" s="16">
        <v>66</v>
      </c>
      <c r="R69" s="16">
        <v>44</v>
      </c>
      <c r="S69" s="16">
        <v>54</v>
      </c>
      <c r="T69" s="16" t="s">
        <v>23</v>
      </c>
      <c r="U69" s="17" t="s">
        <v>23</v>
      </c>
    </row>
    <row r="70" spans="1:21" x14ac:dyDescent="0.35">
      <c r="A70" s="5" t="s">
        <v>92</v>
      </c>
      <c r="B70" s="6">
        <v>95012707551</v>
      </c>
      <c r="C70" s="14" t="s">
        <v>23</v>
      </c>
      <c r="D70" s="14" t="s">
        <v>23</v>
      </c>
      <c r="E70" s="14" t="s">
        <v>23</v>
      </c>
      <c r="F70" s="14">
        <v>55</v>
      </c>
      <c r="G70" s="14" t="s">
        <v>23</v>
      </c>
      <c r="H70" s="14" t="s">
        <v>23</v>
      </c>
      <c r="I70" s="14">
        <v>88</v>
      </c>
      <c r="J70" s="14" t="s">
        <v>23</v>
      </c>
      <c r="K70" s="14" t="s">
        <v>23</v>
      </c>
      <c r="L70" s="14" t="s">
        <v>23</v>
      </c>
      <c r="M70" s="14" t="s">
        <v>23</v>
      </c>
      <c r="N70" s="14" t="s">
        <v>23</v>
      </c>
      <c r="O70" s="14" t="s">
        <v>23</v>
      </c>
      <c r="P70" s="14" t="s">
        <v>23</v>
      </c>
      <c r="Q70" s="14">
        <v>72</v>
      </c>
      <c r="R70" s="14">
        <v>42</v>
      </c>
      <c r="S70" s="14">
        <v>49</v>
      </c>
      <c r="T70" s="14" t="s">
        <v>23</v>
      </c>
      <c r="U70" s="15" t="s">
        <v>23</v>
      </c>
    </row>
    <row r="71" spans="1:21" x14ac:dyDescent="0.35">
      <c r="A71" s="8" t="s">
        <v>92</v>
      </c>
      <c r="B71" s="9">
        <v>95021105139</v>
      </c>
      <c r="C71" s="16" t="s">
        <v>23</v>
      </c>
      <c r="D71" s="16" t="s">
        <v>23</v>
      </c>
      <c r="E71" s="16" t="s">
        <v>23</v>
      </c>
      <c r="F71" s="16">
        <v>85</v>
      </c>
      <c r="G71" s="16" t="s">
        <v>23</v>
      </c>
      <c r="H71" s="16" t="s">
        <v>23</v>
      </c>
      <c r="I71" s="16">
        <v>100</v>
      </c>
      <c r="J71" s="16">
        <v>81</v>
      </c>
      <c r="K71" s="16" t="s">
        <v>23</v>
      </c>
      <c r="L71" s="16" t="s">
        <v>23</v>
      </c>
      <c r="M71" s="16">
        <v>94</v>
      </c>
      <c r="N71" s="16" t="s">
        <v>23</v>
      </c>
      <c r="O71" s="16" t="s">
        <v>23</v>
      </c>
      <c r="P71" s="16" t="s">
        <v>23</v>
      </c>
      <c r="Q71" s="16">
        <v>94</v>
      </c>
      <c r="R71" s="16">
        <v>52</v>
      </c>
      <c r="S71" s="16">
        <v>71</v>
      </c>
      <c r="T71" s="16" t="s">
        <v>23</v>
      </c>
      <c r="U71" s="17" t="s">
        <v>23</v>
      </c>
    </row>
    <row r="72" spans="1:21" x14ac:dyDescent="0.35">
      <c r="A72" s="5" t="s">
        <v>92</v>
      </c>
      <c r="B72" s="6">
        <v>95021201255</v>
      </c>
      <c r="C72" s="14" t="s">
        <v>23</v>
      </c>
      <c r="D72" s="14" t="s">
        <v>23</v>
      </c>
      <c r="E72" s="14" t="s">
        <v>23</v>
      </c>
      <c r="F72" s="14">
        <v>68</v>
      </c>
      <c r="G72" s="14" t="s">
        <v>23</v>
      </c>
      <c r="H72" s="14" t="s">
        <v>23</v>
      </c>
      <c r="I72" s="14">
        <v>84</v>
      </c>
      <c r="J72" s="14" t="s">
        <v>23</v>
      </c>
      <c r="K72" s="14" t="s">
        <v>23</v>
      </c>
      <c r="L72" s="14" t="s">
        <v>23</v>
      </c>
      <c r="M72" s="14" t="s">
        <v>23</v>
      </c>
      <c r="N72" s="14" t="s">
        <v>23</v>
      </c>
      <c r="O72" s="14" t="s">
        <v>23</v>
      </c>
      <c r="P72" s="14" t="s">
        <v>23</v>
      </c>
      <c r="Q72" s="14">
        <v>52</v>
      </c>
      <c r="R72" s="14">
        <v>14</v>
      </c>
      <c r="S72" s="14">
        <v>34</v>
      </c>
      <c r="T72" s="14" t="s">
        <v>23</v>
      </c>
      <c r="U72" s="15" t="s">
        <v>23</v>
      </c>
    </row>
    <row r="73" spans="1:21" x14ac:dyDescent="0.35">
      <c r="A73" s="8" t="s">
        <v>92</v>
      </c>
      <c r="B73" s="9">
        <v>95021303223</v>
      </c>
      <c r="C73" s="16" t="s">
        <v>23</v>
      </c>
      <c r="D73" s="16" t="s">
        <v>23</v>
      </c>
      <c r="E73" s="16" t="s">
        <v>23</v>
      </c>
      <c r="F73" s="16">
        <v>60</v>
      </c>
      <c r="G73" s="16" t="s">
        <v>23</v>
      </c>
      <c r="H73" s="16" t="s">
        <v>23</v>
      </c>
      <c r="I73" s="16">
        <v>92</v>
      </c>
      <c r="J73" s="16" t="s">
        <v>23</v>
      </c>
      <c r="K73" s="16" t="s">
        <v>23</v>
      </c>
      <c r="L73" s="16" t="s">
        <v>23</v>
      </c>
      <c r="M73" s="16" t="s">
        <v>23</v>
      </c>
      <c r="N73" s="16" t="s">
        <v>23</v>
      </c>
      <c r="O73" s="16" t="s">
        <v>23</v>
      </c>
      <c r="P73" s="16" t="s">
        <v>23</v>
      </c>
      <c r="Q73" s="16">
        <v>70</v>
      </c>
      <c r="R73" s="16">
        <v>32</v>
      </c>
      <c r="S73" s="16">
        <v>63</v>
      </c>
      <c r="T73" s="16" t="s">
        <v>23</v>
      </c>
      <c r="U73" s="17" t="s">
        <v>23</v>
      </c>
    </row>
    <row r="74" spans="1:21" x14ac:dyDescent="0.35">
      <c r="A74" s="5" t="s">
        <v>92</v>
      </c>
      <c r="B74" s="6">
        <v>95030407844</v>
      </c>
      <c r="C74" s="14" t="s">
        <v>23</v>
      </c>
      <c r="D74" s="14" t="s">
        <v>23</v>
      </c>
      <c r="E74" s="14" t="s">
        <v>23</v>
      </c>
      <c r="F74" s="14">
        <v>70</v>
      </c>
      <c r="G74" s="14" t="s">
        <v>23</v>
      </c>
      <c r="H74" s="14" t="s">
        <v>23</v>
      </c>
      <c r="I74" s="14">
        <v>94</v>
      </c>
      <c r="J74" s="14">
        <v>84</v>
      </c>
      <c r="K74" s="14" t="s">
        <v>23</v>
      </c>
      <c r="L74" s="14" t="s">
        <v>23</v>
      </c>
      <c r="M74" s="14" t="s">
        <v>23</v>
      </c>
      <c r="N74" s="14" t="s">
        <v>23</v>
      </c>
      <c r="O74" s="14" t="s">
        <v>23</v>
      </c>
      <c r="P74" s="14">
        <v>90</v>
      </c>
      <c r="Q74" s="14">
        <v>88</v>
      </c>
      <c r="R74" s="14">
        <v>56</v>
      </c>
      <c r="S74" s="14">
        <v>64</v>
      </c>
      <c r="T74" s="14" t="s">
        <v>23</v>
      </c>
      <c r="U74" s="15" t="s">
        <v>23</v>
      </c>
    </row>
    <row r="75" spans="1:21" x14ac:dyDescent="0.35">
      <c r="A75" s="8" t="s">
        <v>92</v>
      </c>
      <c r="B75" s="9">
        <v>95040309147</v>
      </c>
      <c r="C75" s="16" t="s">
        <v>23</v>
      </c>
      <c r="D75" s="16" t="s">
        <v>23</v>
      </c>
      <c r="E75" s="16" t="s">
        <v>23</v>
      </c>
      <c r="F75" s="16">
        <v>38</v>
      </c>
      <c r="G75" s="16" t="s">
        <v>23</v>
      </c>
      <c r="H75" s="16" t="s">
        <v>23</v>
      </c>
      <c r="I75" s="16">
        <v>51</v>
      </c>
      <c r="J75" s="16" t="s">
        <v>23</v>
      </c>
      <c r="K75" s="16" t="s">
        <v>23</v>
      </c>
      <c r="L75" s="16" t="s">
        <v>23</v>
      </c>
      <c r="M75" s="16" t="s">
        <v>23</v>
      </c>
      <c r="N75" s="16" t="s">
        <v>23</v>
      </c>
      <c r="O75" s="16" t="s">
        <v>23</v>
      </c>
      <c r="P75" s="16" t="s">
        <v>23</v>
      </c>
      <c r="Q75" s="16">
        <v>48</v>
      </c>
      <c r="R75" s="16" t="s">
        <v>23</v>
      </c>
      <c r="S75" s="16">
        <v>49</v>
      </c>
      <c r="T75" s="16" t="s">
        <v>23</v>
      </c>
      <c r="U75" s="17" t="s">
        <v>23</v>
      </c>
    </row>
    <row r="76" spans="1:21" x14ac:dyDescent="0.35">
      <c r="A76" s="5" t="s">
        <v>92</v>
      </c>
      <c r="B76" s="6">
        <v>95040502267</v>
      </c>
      <c r="C76" s="14" t="s">
        <v>23</v>
      </c>
      <c r="D76" s="14" t="s">
        <v>23</v>
      </c>
      <c r="E76" s="14" t="s">
        <v>23</v>
      </c>
      <c r="F76" s="14">
        <v>83</v>
      </c>
      <c r="G76" s="14" t="s">
        <v>23</v>
      </c>
      <c r="H76" s="14" t="s">
        <v>23</v>
      </c>
      <c r="I76" s="14" t="s">
        <v>23</v>
      </c>
      <c r="J76" s="14">
        <v>93</v>
      </c>
      <c r="K76" s="14" t="s">
        <v>23</v>
      </c>
      <c r="L76" s="14" t="s">
        <v>23</v>
      </c>
      <c r="M76" s="14" t="s">
        <v>23</v>
      </c>
      <c r="N76" s="14" t="s">
        <v>23</v>
      </c>
      <c r="O76" s="14">
        <v>96</v>
      </c>
      <c r="P76" s="14" t="s">
        <v>23</v>
      </c>
      <c r="Q76" s="14">
        <v>72</v>
      </c>
      <c r="R76" s="14">
        <v>64</v>
      </c>
      <c r="S76" s="14">
        <v>57</v>
      </c>
      <c r="T76" s="14" t="s">
        <v>23</v>
      </c>
      <c r="U76" s="15" t="s">
        <v>23</v>
      </c>
    </row>
    <row r="77" spans="1:21" x14ac:dyDescent="0.35">
      <c r="A77" s="8" t="s">
        <v>92</v>
      </c>
      <c r="B77" s="9">
        <v>95040601874</v>
      </c>
      <c r="C77" s="16" t="s">
        <v>23</v>
      </c>
      <c r="D77" s="16" t="s">
        <v>23</v>
      </c>
      <c r="E77" s="16" t="s">
        <v>23</v>
      </c>
      <c r="F77" s="16">
        <v>93</v>
      </c>
      <c r="G77" s="16" t="s">
        <v>23</v>
      </c>
      <c r="H77" s="16" t="s">
        <v>23</v>
      </c>
      <c r="I77" s="16">
        <v>98</v>
      </c>
      <c r="J77" s="16">
        <v>80</v>
      </c>
      <c r="K77" s="16">
        <v>80</v>
      </c>
      <c r="L77" s="16" t="s">
        <v>23</v>
      </c>
      <c r="M77" s="16" t="s">
        <v>23</v>
      </c>
      <c r="N77" s="16" t="s">
        <v>23</v>
      </c>
      <c r="O77" s="16" t="s">
        <v>23</v>
      </c>
      <c r="P77" s="16" t="s">
        <v>23</v>
      </c>
      <c r="Q77" s="16">
        <v>78</v>
      </c>
      <c r="R77" s="16">
        <v>64</v>
      </c>
      <c r="S77" s="16">
        <v>63</v>
      </c>
      <c r="T77" s="16" t="s">
        <v>23</v>
      </c>
      <c r="U77" s="17" t="s">
        <v>23</v>
      </c>
    </row>
    <row r="78" spans="1:21" x14ac:dyDescent="0.35">
      <c r="A78" s="5" t="s">
        <v>92</v>
      </c>
      <c r="B78" s="6">
        <v>95062703248</v>
      </c>
      <c r="C78" s="14" t="s">
        <v>23</v>
      </c>
      <c r="D78" s="14" t="s">
        <v>23</v>
      </c>
      <c r="E78" s="14" t="s">
        <v>23</v>
      </c>
      <c r="F78" s="14">
        <v>63</v>
      </c>
      <c r="G78" s="14" t="s">
        <v>23</v>
      </c>
      <c r="H78" s="14" t="s">
        <v>23</v>
      </c>
      <c r="I78" s="14">
        <v>88</v>
      </c>
      <c r="J78" s="14" t="s">
        <v>23</v>
      </c>
      <c r="K78" s="14" t="s">
        <v>23</v>
      </c>
      <c r="L78" s="14" t="s">
        <v>23</v>
      </c>
      <c r="M78" s="14" t="s">
        <v>23</v>
      </c>
      <c r="N78" s="14" t="s">
        <v>23</v>
      </c>
      <c r="O78" s="14" t="s">
        <v>23</v>
      </c>
      <c r="P78" s="14" t="s">
        <v>23</v>
      </c>
      <c r="Q78" s="14">
        <v>64</v>
      </c>
      <c r="R78" s="14" t="s">
        <v>23</v>
      </c>
      <c r="S78" s="14">
        <v>63</v>
      </c>
      <c r="T78" s="14">
        <v>43</v>
      </c>
      <c r="U78" s="15" t="s">
        <v>23</v>
      </c>
    </row>
    <row r="79" spans="1:21" x14ac:dyDescent="0.35">
      <c r="A79" s="8" t="s">
        <v>92</v>
      </c>
      <c r="B79" s="9">
        <v>95062704850</v>
      </c>
      <c r="C79" s="16" t="s">
        <v>23</v>
      </c>
      <c r="D79" s="16" t="s">
        <v>23</v>
      </c>
      <c r="E79" s="16" t="s">
        <v>23</v>
      </c>
      <c r="F79" s="16">
        <v>65</v>
      </c>
      <c r="G79" s="16" t="s">
        <v>23</v>
      </c>
      <c r="H79" s="16" t="s">
        <v>23</v>
      </c>
      <c r="I79" s="16">
        <v>69</v>
      </c>
      <c r="J79" s="16" t="s">
        <v>23</v>
      </c>
      <c r="K79" s="16" t="s">
        <v>23</v>
      </c>
      <c r="L79" s="16" t="s">
        <v>23</v>
      </c>
      <c r="M79" s="16" t="s">
        <v>23</v>
      </c>
      <c r="N79" s="16" t="s">
        <v>23</v>
      </c>
      <c r="O79" s="16" t="s">
        <v>23</v>
      </c>
      <c r="P79" s="16" t="s">
        <v>23</v>
      </c>
      <c r="Q79" s="16">
        <v>52</v>
      </c>
      <c r="R79" s="16" t="s">
        <v>23</v>
      </c>
      <c r="S79" s="16">
        <v>51</v>
      </c>
      <c r="T79" s="16" t="s">
        <v>23</v>
      </c>
      <c r="U79" s="17" t="s">
        <v>23</v>
      </c>
    </row>
    <row r="80" spans="1:21" x14ac:dyDescent="0.35">
      <c r="A80" s="5" t="s">
        <v>92</v>
      </c>
      <c r="B80" s="6">
        <v>95070400629</v>
      </c>
      <c r="C80" s="14" t="s">
        <v>23</v>
      </c>
      <c r="D80" s="14" t="s">
        <v>23</v>
      </c>
      <c r="E80" s="14" t="s">
        <v>23</v>
      </c>
      <c r="F80" s="14">
        <v>50</v>
      </c>
      <c r="G80" s="14" t="s">
        <v>23</v>
      </c>
      <c r="H80" s="14" t="s">
        <v>23</v>
      </c>
      <c r="I80" s="14">
        <v>82</v>
      </c>
      <c r="J80" s="14" t="s">
        <v>23</v>
      </c>
      <c r="K80" s="14" t="s">
        <v>23</v>
      </c>
      <c r="L80" s="14" t="s">
        <v>23</v>
      </c>
      <c r="M80" s="14" t="s">
        <v>23</v>
      </c>
      <c r="N80" s="14" t="s">
        <v>23</v>
      </c>
      <c r="O80" s="14" t="s">
        <v>23</v>
      </c>
      <c r="P80" s="14" t="s">
        <v>23</v>
      </c>
      <c r="Q80" s="14">
        <v>68</v>
      </c>
      <c r="R80" s="14">
        <v>36</v>
      </c>
      <c r="S80" s="14">
        <v>47</v>
      </c>
      <c r="T80" s="14" t="s">
        <v>23</v>
      </c>
      <c r="U80" s="15" t="s">
        <v>23</v>
      </c>
    </row>
    <row r="81" spans="1:21" x14ac:dyDescent="0.35">
      <c r="A81" s="8" t="s">
        <v>92</v>
      </c>
      <c r="B81" s="9">
        <v>95070600715</v>
      </c>
      <c r="C81" s="16" t="s">
        <v>23</v>
      </c>
      <c r="D81" s="16" t="s">
        <v>23</v>
      </c>
      <c r="E81" s="16" t="s">
        <v>23</v>
      </c>
      <c r="F81" s="16">
        <v>53</v>
      </c>
      <c r="G81" s="16" t="s">
        <v>23</v>
      </c>
      <c r="H81" s="16" t="s">
        <v>23</v>
      </c>
      <c r="I81" s="16">
        <v>100</v>
      </c>
      <c r="J81" s="16">
        <v>77</v>
      </c>
      <c r="K81" s="16" t="s">
        <v>23</v>
      </c>
      <c r="L81" s="16" t="s">
        <v>23</v>
      </c>
      <c r="M81" s="16" t="s">
        <v>23</v>
      </c>
      <c r="N81" s="16" t="s">
        <v>23</v>
      </c>
      <c r="O81" s="16" t="s">
        <v>23</v>
      </c>
      <c r="P81" s="16" t="s">
        <v>23</v>
      </c>
      <c r="Q81" s="16">
        <v>82</v>
      </c>
      <c r="R81" s="16">
        <v>38</v>
      </c>
      <c r="S81" s="16">
        <v>53</v>
      </c>
      <c r="T81" s="16" t="s">
        <v>23</v>
      </c>
      <c r="U81" s="17">
        <v>46</v>
      </c>
    </row>
    <row r="82" spans="1:21" x14ac:dyDescent="0.35">
      <c r="A82" s="5" t="s">
        <v>92</v>
      </c>
      <c r="B82" s="6">
        <v>95071306764</v>
      </c>
      <c r="C82" s="14" t="s">
        <v>23</v>
      </c>
      <c r="D82" s="14" t="s">
        <v>23</v>
      </c>
      <c r="E82" s="14" t="s">
        <v>23</v>
      </c>
      <c r="F82" s="14" t="s">
        <v>23</v>
      </c>
      <c r="G82" s="14" t="s">
        <v>23</v>
      </c>
      <c r="H82" s="14" t="s">
        <v>23</v>
      </c>
      <c r="I82" s="14">
        <v>98</v>
      </c>
      <c r="J82" s="14">
        <v>81</v>
      </c>
      <c r="K82" s="14" t="s">
        <v>23</v>
      </c>
      <c r="L82" s="14" t="s">
        <v>23</v>
      </c>
      <c r="M82" s="14" t="s">
        <v>23</v>
      </c>
      <c r="N82" s="14" t="s">
        <v>23</v>
      </c>
      <c r="O82" s="14" t="s">
        <v>23</v>
      </c>
      <c r="P82" s="14" t="s">
        <v>23</v>
      </c>
      <c r="Q82" s="14">
        <v>88</v>
      </c>
      <c r="R82" s="14">
        <v>40</v>
      </c>
      <c r="S82" s="14">
        <v>59</v>
      </c>
      <c r="T82" s="14" t="s">
        <v>23</v>
      </c>
      <c r="U82" s="15" t="s">
        <v>23</v>
      </c>
    </row>
    <row r="83" spans="1:21" x14ac:dyDescent="0.35">
      <c r="A83" s="8" t="s">
        <v>92</v>
      </c>
      <c r="B83" s="9">
        <v>95071307406</v>
      </c>
      <c r="C83" s="16" t="s">
        <v>23</v>
      </c>
      <c r="D83" s="16" t="s">
        <v>23</v>
      </c>
      <c r="E83" s="16" t="s">
        <v>23</v>
      </c>
      <c r="F83" s="16">
        <v>70</v>
      </c>
      <c r="G83" s="16" t="s">
        <v>23</v>
      </c>
      <c r="H83" s="16" t="s">
        <v>23</v>
      </c>
      <c r="I83" s="16">
        <v>96</v>
      </c>
      <c r="J83" s="16">
        <v>51</v>
      </c>
      <c r="K83" s="16" t="s">
        <v>23</v>
      </c>
      <c r="L83" s="16" t="s">
        <v>23</v>
      </c>
      <c r="M83" s="16" t="s">
        <v>23</v>
      </c>
      <c r="N83" s="16" t="s">
        <v>23</v>
      </c>
      <c r="O83" s="16" t="s">
        <v>23</v>
      </c>
      <c r="P83" s="16" t="s">
        <v>23</v>
      </c>
      <c r="Q83" s="16">
        <v>76</v>
      </c>
      <c r="R83" s="16" t="s">
        <v>23</v>
      </c>
      <c r="S83" s="16">
        <v>66</v>
      </c>
      <c r="T83" s="16">
        <v>95</v>
      </c>
      <c r="U83" s="17" t="s">
        <v>23</v>
      </c>
    </row>
    <row r="84" spans="1:21" x14ac:dyDescent="0.35">
      <c r="A84" s="5" t="s">
        <v>92</v>
      </c>
      <c r="B84" s="6">
        <v>95072805323</v>
      </c>
      <c r="C84" s="14" t="s">
        <v>23</v>
      </c>
      <c r="D84" s="14" t="s">
        <v>23</v>
      </c>
      <c r="E84" s="14" t="s">
        <v>23</v>
      </c>
      <c r="F84" s="14">
        <v>68</v>
      </c>
      <c r="G84" s="14" t="s">
        <v>23</v>
      </c>
      <c r="H84" s="14" t="s">
        <v>23</v>
      </c>
      <c r="I84" s="14">
        <v>87</v>
      </c>
      <c r="J84" s="14">
        <v>55</v>
      </c>
      <c r="K84" s="14" t="s">
        <v>23</v>
      </c>
      <c r="L84" s="14" t="s">
        <v>23</v>
      </c>
      <c r="M84" s="14" t="s">
        <v>23</v>
      </c>
      <c r="N84" s="14" t="s">
        <v>23</v>
      </c>
      <c r="O84" s="14" t="s">
        <v>23</v>
      </c>
      <c r="P84" s="14" t="s">
        <v>23</v>
      </c>
      <c r="Q84" s="14">
        <v>86</v>
      </c>
      <c r="R84" s="14">
        <v>48</v>
      </c>
      <c r="S84" s="14">
        <v>63</v>
      </c>
      <c r="T84" s="14">
        <v>55</v>
      </c>
      <c r="U84" s="15" t="s">
        <v>23</v>
      </c>
    </row>
    <row r="85" spans="1:21" x14ac:dyDescent="0.35">
      <c r="A85" s="8" t="s">
        <v>92</v>
      </c>
      <c r="B85" s="9">
        <v>95072901340</v>
      </c>
      <c r="C85" s="16" t="s">
        <v>23</v>
      </c>
      <c r="D85" s="16" t="s">
        <v>23</v>
      </c>
      <c r="E85" s="16" t="s">
        <v>23</v>
      </c>
      <c r="F85" s="16" t="s">
        <v>23</v>
      </c>
      <c r="G85" s="16" t="s">
        <v>23</v>
      </c>
      <c r="H85" s="16" t="s">
        <v>23</v>
      </c>
      <c r="I85" s="16">
        <v>91</v>
      </c>
      <c r="J85" s="16">
        <v>66</v>
      </c>
      <c r="K85" s="16" t="s">
        <v>23</v>
      </c>
      <c r="L85" s="16" t="s">
        <v>23</v>
      </c>
      <c r="M85" s="16" t="s">
        <v>23</v>
      </c>
      <c r="N85" s="16" t="s">
        <v>23</v>
      </c>
      <c r="O85" s="16" t="s">
        <v>23</v>
      </c>
      <c r="P85" s="16" t="s">
        <v>23</v>
      </c>
      <c r="Q85" s="16">
        <v>100</v>
      </c>
      <c r="R85" s="16">
        <v>66</v>
      </c>
      <c r="S85" s="16">
        <v>76</v>
      </c>
      <c r="T85" s="16">
        <v>70</v>
      </c>
      <c r="U85" s="17" t="s">
        <v>23</v>
      </c>
    </row>
    <row r="86" spans="1:21" x14ac:dyDescent="0.35">
      <c r="A86" s="5" t="s">
        <v>92</v>
      </c>
      <c r="B86" s="6">
        <v>95072901364</v>
      </c>
      <c r="C86" s="14" t="s">
        <v>23</v>
      </c>
      <c r="D86" s="14" t="s">
        <v>23</v>
      </c>
      <c r="E86" s="14" t="s">
        <v>23</v>
      </c>
      <c r="F86" s="14" t="s">
        <v>23</v>
      </c>
      <c r="G86" s="14" t="s">
        <v>23</v>
      </c>
      <c r="H86" s="14" t="s">
        <v>23</v>
      </c>
      <c r="I86" s="14">
        <v>100</v>
      </c>
      <c r="J86" s="14">
        <v>92</v>
      </c>
      <c r="K86" s="14">
        <v>72</v>
      </c>
      <c r="L86" s="14" t="s">
        <v>23</v>
      </c>
      <c r="M86" s="14" t="s">
        <v>23</v>
      </c>
      <c r="N86" s="14" t="s">
        <v>23</v>
      </c>
      <c r="O86" s="14" t="s">
        <v>23</v>
      </c>
      <c r="P86" s="14" t="s">
        <v>23</v>
      </c>
      <c r="Q86" s="14">
        <v>74</v>
      </c>
      <c r="R86" s="14">
        <v>52</v>
      </c>
      <c r="S86" s="14">
        <v>54</v>
      </c>
      <c r="T86" s="14" t="s">
        <v>23</v>
      </c>
      <c r="U86" s="15" t="s">
        <v>23</v>
      </c>
    </row>
    <row r="87" spans="1:21" x14ac:dyDescent="0.35">
      <c r="A87" s="8" t="s">
        <v>92</v>
      </c>
      <c r="B87" s="9">
        <v>95082206507</v>
      </c>
      <c r="C87" s="16" t="s">
        <v>23</v>
      </c>
      <c r="D87" s="16" t="s">
        <v>23</v>
      </c>
      <c r="E87" s="16" t="s">
        <v>23</v>
      </c>
      <c r="F87" s="16">
        <v>87</v>
      </c>
      <c r="G87" s="16" t="s">
        <v>23</v>
      </c>
      <c r="H87" s="16" t="s">
        <v>23</v>
      </c>
      <c r="I87" s="16">
        <v>98</v>
      </c>
      <c r="J87" s="16" t="s">
        <v>23</v>
      </c>
      <c r="K87" s="16" t="s">
        <v>23</v>
      </c>
      <c r="L87" s="16" t="s">
        <v>23</v>
      </c>
      <c r="M87" s="16" t="s">
        <v>23</v>
      </c>
      <c r="N87" s="16" t="s">
        <v>23</v>
      </c>
      <c r="O87" s="16" t="s">
        <v>23</v>
      </c>
      <c r="P87" s="16" t="s">
        <v>23</v>
      </c>
      <c r="Q87" s="16">
        <v>96</v>
      </c>
      <c r="R87" s="16">
        <v>90</v>
      </c>
      <c r="S87" s="16">
        <v>91</v>
      </c>
      <c r="T87" s="16" t="s">
        <v>23</v>
      </c>
      <c r="U87" s="17" t="s">
        <v>23</v>
      </c>
    </row>
    <row r="88" spans="1:21" x14ac:dyDescent="0.35">
      <c r="A88" s="5" t="s">
        <v>92</v>
      </c>
      <c r="B88" s="6">
        <v>95091103271</v>
      </c>
      <c r="C88" s="14" t="s">
        <v>23</v>
      </c>
      <c r="D88" s="14" t="s">
        <v>23</v>
      </c>
      <c r="E88" s="14" t="s">
        <v>23</v>
      </c>
      <c r="F88" s="14">
        <v>47</v>
      </c>
      <c r="G88" s="14" t="s">
        <v>23</v>
      </c>
      <c r="H88" s="14" t="s">
        <v>23</v>
      </c>
      <c r="I88" s="14">
        <v>89</v>
      </c>
      <c r="J88" s="14" t="s">
        <v>23</v>
      </c>
      <c r="K88" s="14" t="s">
        <v>23</v>
      </c>
      <c r="L88" s="14" t="s">
        <v>23</v>
      </c>
      <c r="M88" s="14" t="s">
        <v>23</v>
      </c>
      <c r="N88" s="14" t="s">
        <v>23</v>
      </c>
      <c r="O88" s="14" t="s">
        <v>23</v>
      </c>
      <c r="P88" s="14" t="s">
        <v>23</v>
      </c>
      <c r="Q88" s="14">
        <v>76</v>
      </c>
      <c r="R88" s="14">
        <v>40</v>
      </c>
      <c r="S88" s="14">
        <v>54</v>
      </c>
      <c r="T88" s="14" t="s">
        <v>23</v>
      </c>
      <c r="U88" s="15" t="s">
        <v>23</v>
      </c>
    </row>
    <row r="89" spans="1:21" x14ac:dyDescent="0.35">
      <c r="A89" s="8" t="s">
        <v>92</v>
      </c>
      <c r="B89" s="9">
        <v>95092301371</v>
      </c>
      <c r="C89" s="16" t="s">
        <v>23</v>
      </c>
      <c r="D89" s="16" t="s">
        <v>23</v>
      </c>
      <c r="E89" s="16" t="s">
        <v>23</v>
      </c>
      <c r="F89" s="16" t="s">
        <v>23</v>
      </c>
      <c r="G89" s="16" t="s">
        <v>23</v>
      </c>
      <c r="H89" s="16" t="s">
        <v>23</v>
      </c>
      <c r="I89" s="16">
        <v>94</v>
      </c>
      <c r="J89" s="16">
        <v>88</v>
      </c>
      <c r="K89" s="16" t="s">
        <v>23</v>
      </c>
      <c r="L89" s="16" t="s">
        <v>23</v>
      </c>
      <c r="M89" s="16" t="s">
        <v>23</v>
      </c>
      <c r="N89" s="16" t="s">
        <v>23</v>
      </c>
      <c r="O89" s="16" t="s">
        <v>23</v>
      </c>
      <c r="P89" s="16" t="s">
        <v>23</v>
      </c>
      <c r="Q89" s="16">
        <v>88</v>
      </c>
      <c r="R89" s="16">
        <v>46</v>
      </c>
      <c r="S89" s="16">
        <v>77</v>
      </c>
      <c r="T89" s="16" t="s">
        <v>23</v>
      </c>
      <c r="U89" s="17" t="s">
        <v>23</v>
      </c>
    </row>
    <row r="90" spans="1:21" x14ac:dyDescent="0.35">
      <c r="A90" s="5" t="s">
        <v>92</v>
      </c>
      <c r="B90" s="6">
        <v>95100703063</v>
      </c>
      <c r="C90" s="14" t="s">
        <v>23</v>
      </c>
      <c r="D90" s="14" t="s">
        <v>23</v>
      </c>
      <c r="E90" s="14" t="s">
        <v>23</v>
      </c>
      <c r="F90" s="14">
        <v>68</v>
      </c>
      <c r="G90" s="14" t="s">
        <v>23</v>
      </c>
      <c r="H90" s="14" t="s">
        <v>23</v>
      </c>
      <c r="I90" s="14">
        <v>94</v>
      </c>
      <c r="J90" s="14">
        <v>78</v>
      </c>
      <c r="K90" s="14" t="s">
        <v>23</v>
      </c>
      <c r="L90" s="14" t="s">
        <v>23</v>
      </c>
      <c r="M90" s="14" t="s">
        <v>23</v>
      </c>
      <c r="N90" s="14" t="s">
        <v>23</v>
      </c>
      <c r="O90" s="14">
        <v>96</v>
      </c>
      <c r="P90" s="14" t="s">
        <v>23</v>
      </c>
      <c r="Q90" s="14">
        <v>100</v>
      </c>
      <c r="R90" s="14">
        <v>54</v>
      </c>
      <c r="S90" s="14">
        <v>50</v>
      </c>
      <c r="T90" s="14" t="s">
        <v>23</v>
      </c>
      <c r="U90" s="15" t="s">
        <v>23</v>
      </c>
    </row>
    <row r="91" spans="1:21" x14ac:dyDescent="0.35">
      <c r="A91" s="8" t="s">
        <v>92</v>
      </c>
      <c r="B91" s="9">
        <v>95102509322</v>
      </c>
      <c r="C91" s="16" t="s">
        <v>23</v>
      </c>
      <c r="D91" s="16" t="s">
        <v>23</v>
      </c>
      <c r="E91" s="16" t="s">
        <v>23</v>
      </c>
      <c r="F91" s="16">
        <v>77</v>
      </c>
      <c r="G91" s="16" t="s">
        <v>23</v>
      </c>
      <c r="H91" s="16" t="s">
        <v>23</v>
      </c>
      <c r="I91" s="16">
        <v>72</v>
      </c>
      <c r="J91" s="16">
        <v>44</v>
      </c>
      <c r="K91" s="16" t="s">
        <v>23</v>
      </c>
      <c r="L91" s="16" t="s">
        <v>23</v>
      </c>
      <c r="M91" s="16" t="s">
        <v>23</v>
      </c>
      <c r="N91" s="16" t="s">
        <v>23</v>
      </c>
      <c r="O91" s="16" t="s">
        <v>23</v>
      </c>
      <c r="P91" s="16" t="s">
        <v>23</v>
      </c>
      <c r="Q91" s="16">
        <v>78</v>
      </c>
      <c r="R91" s="16">
        <v>40</v>
      </c>
      <c r="S91" s="16">
        <v>60</v>
      </c>
      <c r="T91" s="16" t="s">
        <v>23</v>
      </c>
      <c r="U91" s="17" t="s">
        <v>23</v>
      </c>
    </row>
    <row r="92" spans="1:21" x14ac:dyDescent="0.35">
      <c r="A92" s="5" t="s">
        <v>92</v>
      </c>
      <c r="B92" s="6">
        <v>95121002200</v>
      </c>
      <c r="C92" s="14" t="s">
        <v>23</v>
      </c>
      <c r="D92" s="14" t="s">
        <v>23</v>
      </c>
      <c r="E92" s="14" t="s">
        <v>23</v>
      </c>
      <c r="F92" s="14">
        <v>80</v>
      </c>
      <c r="G92" s="14" t="s">
        <v>23</v>
      </c>
      <c r="H92" s="14" t="s">
        <v>23</v>
      </c>
      <c r="I92" s="14">
        <v>100</v>
      </c>
      <c r="J92" s="14">
        <v>82</v>
      </c>
      <c r="K92" s="14" t="s">
        <v>23</v>
      </c>
      <c r="L92" s="14" t="s">
        <v>23</v>
      </c>
      <c r="M92" s="14" t="s">
        <v>23</v>
      </c>
      <c r="N92" s="14" t="s">
        <v>23</v>
      </c>
      <c r="O92" s="14">
        <v>100</v>
      </c>
      <c r="P92" s="14" t="s">
        <v>23</v>
      </c>
      <c r="Q92" s="14">
        <v>86</v>
      </c>
      <c r="R92" s="14">
        <v>94</v>
      </c>
      <c r="S92" s="14">
        <v>63</v>
      </c>
      <c r="T92" s="14" t="s">
        <v>23</v>
      </c>
      <c r="U92" s="15" t="s">
        <v>23</v>
      </c>
    </row>
    <row r="93" spans="1:21" x14ac:dyDescent="0.35">
      <c r="A93" s="8" t="s">
        <v>92</v>
      </c>
      <c r="B93" s="9">
        <v>96010806327</v>
      </c>
      <c r="C93" s="16" t="s">
        <v>23</v>
      </c>
      <c r="D93" s="16" t="s">
        <v>23</v>
      </c>
      <c r="E93" s="16" t="s">
        <v>23</v>
      </c>
      <c r="F93" s="16">
        <v>82</v>
      </c>
      <c r="G93" s="16" t="s">
        <v>23</v>
      </c>
      <c r="H93" s="16" t="s">
        <v>23</v>
      </c>
      <c r="I93" s="16">
        <v>94</v>
      </c>
      <c r="J93" s="16">
        <v>61</v>
      </c>
      <c r="K93" s="16" t="s">
        <v>23</v>
      </c>
      <c r="L93" s="16" t="s">
        <v>23</v>
      </c>
      <c r="M93" s="16" t="s">
        <v>23</v>
      </c>
      <c r="N93" s="16" t="s">
        <v>23</v>
      </c>
      <c r="O93" s="16" t="s">
        <v>23</v>
      </c>
      <c r="P93" s="16" t="s">
        <v>23</v>
      </c>
      <c r="Q93" s="16">
        <v>68</v>
      </c>
      <c r="R93" s="16" t="s">
        <v>23</v>
      </c>
      <c r="S93" s="16">
        <v>71</v>
      </c>
      <c r="T93" s="16" t="s">
        <v>23</v>
      </c>
      <c r="U93" s="17" t="s">
        <v>23</v>
      </c>
    </row>
    <row r="94" spans="1:21" x14ac:dyDescent="0.35">
      <c r="A94" s="5" t="s">
        <v>96</v>
      </c>
      <c r="B94" s="6">
        <v>95010400678</v>
      </c>
      <c r="C94" s="14" t="s">
        <v>23</v>
      </c>
      <c r="D94" s="14" t="s">
        <v>23</v>
      </c>
      <c r="E94" s="14">
        <v>70</v>
      </c>
      <c r="F94" s="14" t="s">
        <v>23</v>
      </c>
      <c r="G94" s="14" t="s">
        <v>23</v>
      </c>
      <c r="H94" s="14" t="s">
        <v>23</v>
      </c>
      <c r="I94" s="14">
        <v>94</v>
      </c>
      <c r="J94" s="14">
        <v>73</v>
      </c>
      <c r="K94" s="14" t="s">
        <v>23</v>
      </c>
      <c r="L94" s="14" t="s">
        <v>23</v>
      </c>
      <c r="M94" s="14" t="s">
        <v>23</v>
      </c>
      <c r="N94" s="14" t="s">
        <v>23</v>
      </c>
      <c r="O94" s="14" t="s">
        <v>23</v>
      </c>
      <c r="P94" s="14" t="s">
        <v>23</v>
      </c>
      <c r="Q94" s="14">
        <v>90</v>
      </c>
      <c r="R94" s="14">
        <v>70</v>
      </c>
      <c r="S94" s="14">
        <v>59</v>
      </c>
      <c r="T94" s="14" t="s">
        <v>23</v>
      </c>
      <c r="U94" s="15" t="s">
        <v>23</v>
      </c>
    </row>
    <row r="95" spans="1:21" x14ac:dyDescent="0.35">
      <c r="A95" s="8" t="s">
        <v>96</v>
      </c>
      <c r="B95" s="9">
        <v>95012402890</v>
      </c>
      <c r="C95" s="16" t="s">
        <v>23</v>
      </c>
      <c r="D95" s="16" t="s">
        <v>23</v>
      </c>
      <c r="E95" s="16">
        <v>53</v>
      </c>
      <c r="F95" s="16" t="s">
        <v>23</v>
      </c>
      <c r="G95" s="16" t="s">
        <v>23</v>
      </c>
      <c r="H95" s="16" t="s">
        <v>23</v>
      </c>
      <c r="I95" s="16">
        <v>96</v>
      </c>
      <c r="J95" s="16">
        <v>67</v>
      </c>
      <c r="K95" s="16" t="s">
        <v>23</v>
      </c>
      <c r="L95" s="16" t="s">
        <v>23</v>
      </c>
      <c r="M95" s="16" t="s">
        <v>23</v>
      </c>
      <c r="N95" s="16" t="s">
        <v>23</v>
      </c>
      <c r="O95" s="16" t="s">
        <v>23</v>
      </c>
      <c r="P95" s="16" t="s">
        <v>23</v>
      </c>
      <c r="Q95" s="16">
        <v>90</v>
      </c>
      <c r="R95" s="16">
        <v>40</v>
      </c>
      <c r="S95" s="16">
        <v>64</v>
      </c>
      <c r="T95" s="16" t="s">
        <v>23</v>
      </c>
      <c r="U95" s="17" t="s">
        <v>23</v>
      </c>
    </row>
    <row r="96" spans="1:21" x14ac:dyDescent="0.35">
      <c r="A96" s="5" t="s">
        <v>96</v>
      </c>
      <c r="B96" s="6">
        <v>95012801194</v>
      </c>
      <c r="C96" s="14" t="s">
        <v>23</v>
      </c>
      <c r="D96" s="14" t="s">
        <v>23</v>
      </c>
      <c r="E96" s="14">
        <v>75</v>
      </c>
      <c r="F96" s="14" t="s">
        <v>23</v>
      </c>
      <c r="G96" s="14" t="s">
        <v>23</v>
      </c>
      <c r="H96" s="14">
        <v>78</v>
      </c>
      <c r="I96" s="14">
        <v>98</v>
      </c>
      <c r="J96" s="14">
        <v>96</v>
      </c>
      <c r="K96" s="14" t="s">
        <v>23</v>
      </c>
      <c r="L96" s="14" t="s">
        <v>23</v>
      </c>
      <c r="M96" s="14" t="s">
        <v>23</v>
      </c>
      <c r="N96" s="14" t="s">
        <v>23</v>
      </c>
      <c r="O96" s="14" t="s">
        <v>23</v>
      </c>
      <c r="P96" s="14" t="s">
        <v>23</v>
      </c>
      <c r="Q96" s="14">
        <v>100</v>
      </c>
      <c r="R96" s="14">
        <v>90</v>
      </c>
      <c r="S96" s="14">
        <v>80</v>
      </c>
      <c r="T96" s="14" t="s">
        <v>23</v>
      </c>
      <c r="U96" s="15" t="s">
        <v>23</v>
      </c>
    </row>
    <row r="97" spans="1:21" x14ac:dyDescent="0.35">
      <c r="A97" s="8" t="s">
        <v>96</v>
      </c>
      <c r="B97" s="9">
        <v>95012904927</v>
      </c>
      <c r="C97" s="16" t="s">
        <v>23</v>
      </c>
      <c r="D97" s="16" t="s">
        <v>23</v>
      </c>
      <c r="E97" s="16">
        <v>82</v>
      </c>
      <c r="F97" s="16" t="s">
        <v>23</v>
      </c>
      <c r="G97" s="16" t="s">
        <v>23</v>
      </c>
      <c r="H97" s="16" t="s">
        <v>23</v>
      </c>
      <c r="I97" s="16">
        <v>100</v>
      </c>
      <c r="J97" s="16">
        <v>91</v>
      </c>
      <c r="K97" s="16" t="s">
        <v>23</v>
      </c>
      <c r="L97" s="16" t="s">
        <v>23</v>
      </c>
      <c r="M97" s="16" t="s">
        <v>23</v>
      </c>
      <c r="N97" s="16" t="s">
        <v>23</v>
      </c>
      <c r="O97" s="16" t="s">
        <v>23</v>
      </c>
      <c r="P97" s="16" t="s">
        <v>23</v>
      </c>
      <c r="Q97" s="16">
        <v>86</v>
      </c>
      <c r="R97" s="16">
        <v>80</v>
      </c>
      <c r="S97" s="16">
        <v>84</v>
      </c>
      <c r="T97" s="16" t="s">
        <v>23</v>
      </c>
      <c r="U97" s="17" t="s">
        <v>23</v>
      </c>
    </row>
    <row r="98" spans="1:21" x14ac:dyDescent="0.35">
      <c r="A98" s="5" t="s">
        <v>96</v>
      </c>
      <c r="B98" s="6">
        <v>95020904777</v>
      </c>
      <c r="C98" s="14" t="s">
        <v>23</v>
      </c>
      <c r="D98" s="14" t="s">
        <v>23</v>
      </c>
      <c r="E98" s="14">
        <v>32</v>
      </c>
      <c r="F98" s="14" t="s">
        <v>23</v>
      </c>
      <c r="G98" s="14" t="s">
        <v>23</v>
      </c>
      <c r="H98" s="14" t="s">
        <v>23</v>
      </c>
      <c r="I98" s="14">
        <v>96</v>
      </c>
      <c r="J98" s="14">
        <v>74</v>
      </c>
      <c r="K98" s="14" t="s">
        <v>23</v>
      </c>
      <c r="L98" s="14" t="s">
        <v>23</v>
      </c>
      <c r="M98" s="14" t="s">
        <v>23</v>
      </c>
      <c r="N98" s="14" t="s">
        <v>23</v>
      </c>
      <c r="O98" s="14" t="s">
        <v>23</v>
      </c>
      <c r="P98" s="14" t="s">
        <v>23</v>
      </c>
      <c r="Q98" s="14">
        <v>82</v>
      </c>
      <c r="R98" s="14" t="s">
        <v>23</v>
      </c>
      <c r="S98" s="14">
        <v>60</v>
      </c>
      <c r="T98" s="14">
        <v>25</v>
      </c>
      <c r="U98" s="15" t="s">
        <v>23</v>
      </c>
    </row>
    <row r="99" spans="1:21" x14ac:dyDescent="0.35">
      <c r="A99" s="8" t="s">
        <v>96</v>
      </c>
      <c r="B99" s="9">
        <v>95021601338</v>
      </c>
      <c r="C99" s="16" t="s">
        <v>23</v>
      </c>
      <c r="D99" s="16" t="s">
        <v>23</v>
      </c>
      <c r="E99" s="16">
        <v>77</v>
      </c>
      <c r="F99" s="16" t="s">
        <v>23</v>
      </c>
      <c r="G99" s="16" t="s">
        <v>23</v>
      </c>
      <c r="H99" s="16">
        <v>88</v>
      </c>
      <c r="I99" s="16">
        <v>98</v>
      </c>
      <c r="J99" s="16">
        <v>76</v>
      </c>
      <c r="K99" s="16" t="s">
        <v>23</v>
      </c>
      <c r="L99" s="16" t="s">
        <v>23</v>
      </c>
      <c r="M99" s="16" t="s">
        <v>23</v>
      </c>
      <c r="N99" s="16" t="s">
        <v>23</v>
      </c>
      <c r="O99" s="16" t="s">
        <v>23</v>
      </c>
      <c r="P99" s="16" t="s">
        <v>23</v>
      </c>
      <c r="Q99" s="16">
        <v>98</v>
      </c>
      <c r="R99" s="16">
        <v>68</v>
      </c>
      <c r="S99" s="16">
        <v>73</v>
      </c>
      <c r="T99" s="16" t="s">
        <v>23</v>
      </c>
      <c r="U99" s="17" t="s">
        <v>23</v>
      </c>
    </row>
    <row r="100" spans="1:21" x14ac:dyDescent="0.35">
      <c r="A100" s="5" t="s">
        <v>96</v>
      </c>
      <c r="B100" s="6">
        <v>95032801943</v>
      </c>
      <c r="C100" s="14" t="s">
        <v>23</v>
      </c>
      <c r="D100" s="14" t="s">
        <v>23</v>
      </c>
      <c r="E100" s="14">
        <v>70</v>
      </c>
      <c r="F100" s="14" t="s">
        <v>23</v>
      </c>
      <c r="G100" s="14" t="s">
        <v>23</v>
      </c>
      <c r="H100" s="14" t="s">
        <v>23</v>
      </c>
      <c r="I100" s="14">
        <v>97</v>
      </c>
      <c r="J100" s="14">
        <v>65</v>
      </c>
      <c r="K100" s="14" t="s">
        <v>23</v>
      </c>
      <c r="L100" s="14" t="s">
        <v>23</v>
      </c>
      <c r="M100" s="14" t="s">
        <v>23</v>
      </c>
      <c r="N100" s="14" t="s">
        <v>23</v>
      </c>
      <c r="O100" s="14" t="s">
        <v>23</v>
      </c>
      <c r="P100" s="14" t="s">
        <v>23</v>
      </c>
      <c r="Q100" s="14">
        <v>94</v>
      </c>
      <c r="R100" s="14">
        <v>78</v>
      </c>
      <c r="S100" s="14">
        <v>76</v>
      </c>
      <c r="T100" s="14" t="s">
        <v>23</v>
      </c>
      <c r="U100" s="15" t="s">
        <v>23</v>
      </c>
    </row>
    <row r="101" spans="1:21" x14ac:dyDescent="0.35">
      <c r="A101" s="8" t="s">
        <v>96</v>
      </c>
      <c r="B101" s="9">
        <v>95032801950</v>
      </c>
      <c r="C101" s="16" t="s">
        <v>23</v>
      </c>
      <c r="D101" s="16" t="s">
        <v>23</v>
      </c>
      <c r="E101" s="16">
        <v>32</v>
      </c>
      <c r="F101" s="16" t="s">
        <v>23</v>
      </c>
      <c r="G101" s="16" t="s">
        <v>23</v>
      </c>
      <c r="H101" s="16" t="s">
        <v>23</v>
      </c>
      <c r="I101" s="16">
        <v>95</v>
      </c>
      <c r="J101" s="16">
        <v>75</v>
      </c>
      <c r="K101" s="16" t="s">
        <v>23</v>
      </c>
      <c r="L101" s="16" t="s">
        <v>23</v>
      </c>
      <c r="M101" s="16" t="s">
        <v>23</v>
      </c>
      <c r="N101" s="16" t="s">
        <v>23</v>
      </c>
      <c r="O101" s="16" t="s">
        <v>23</v>
      </c>
      <c r="P101" s="16" t="s">
        <v>23</v>
      </c>
      <c r="Q101" s="16">
        <v>72</v>
      </c>
      <c r="R101" s="16">
        <v>58</v>
      </c>
      <c r="S101" s="16">
        <v>54</v>
      </c>
      <c r="T101" s="16" t="s">
        <v>23</v>
      </c>
      <c r="U101" s="17" t="s">
        <v>23</v>
      </c>
    </row>
    <row r="102" spans="1:21" x14ac:dyDescent="0.35">
      <c r="A102" s="5" t="s">
        <v>96</v>
      </c>
      <c r="B102" s="6">
        <v>95040804338</v>
      </c>
      <c r="C102" s="14">
        <v>37</v>
      </c>
      <c r="D102" s="14" t="s">
        <v>23</v>
      </c>
      <c r="E102" s="14">
        <v>37</v>
      </c>
      <c r="F102" s="14" t="s">
        <v>23</v>
      </c>
      <c r="G102" s="14" t="s">
        <v>23</v>
      </c>
      <c r="H102" s="14" t="s">
        <v>23</v>
      </c>
      <c r="I102" s="14">
        <v>96</v>
      </c>
      <c r="J102" s="14">
        <v>84</v>
      </c>
      <c r="K102" s="14" t="s">
        <v>23</v>
      </c>
      <c r="L102" s="14" t="s">
        <v>23</v>
      </c>
      <c r="M102" s="14" t="s">
        <v>23</v>
      </c>
      <c r="N102" s="14" t="s">
        <v>23</v>
      </c>
      <c r="O102" s="14" t="s">
        <v>23</v>
      </c>
      <c r="P102" s="14" t="s">
        <v>23</v>
      </c>
      <c r="Q102" s="14">
        <v>86</v>
      </c>
      <c r="R102" s="14" t="s">
        <v>23</v>
      </c>
      <c r="S102" s="14">
        <v>53</v>
      </c>
      <c r="T102" s="14" t="s">
        <v>23</v>
      </c>
      <c r="U102" s="15" t="s">
        <v>23</v>
      </c>
    </row>
    <row r="103" spans="1:21" x14ac:dyDescent="0.35">
      <c r="A103" s="8" t="s">
        <v>96</v>
      </c>
      <c r="B103" s="9">
        <v>95050803734</v>
      </c>
      <c r="C103" s="16" t="s">
        <v>23</v>
      </c>
      <c r="D103" s="16" t="s">
        <v>23</v>
      </c>
      <c r="E103" s="16">
        <v>75</v>
      </c>
      <c r="F103" s="16" t="s">
        <v>23</v>
      </c>
      <c r="G103" s="16" t="s">
        <v>23</v>
      </c>
      <c r="H103" s="16" t="s">
        <v>23</v>
      </c>
      <c r="I103" s="16">
        <v>98</v>
      </c>
      <c r="J103" s="16">
        <v>94</v>
      </c>
      <c r="K103" s="16" t="s">
        <v>23</v>
      </c>
      <c r="L103" s="16" t="s">
        <v>23</v>
      </c>
      <c r="M103" s="16" t="s">
        <v>23</v>
      </c>
      <c r="N103" s="16" t="s">
        <v>23</v>
      </c>
      <c r="O103" s="16" t="s">
        <v>23</v>
      </c>
      <c r="P103" s="16" t="s">
        <v>23</v>
      </c>
      <c r="Q103" s="16">
        <v>84</v>
      </c>
      <c r="R103" s="16">
        <v>82</v>
      </c>
      <c r="S103" s="16">
        <v>56</v>
      </c>
      <c r="T103" s="16" t="s">
        <v>23</v>
      </c>
      <c r="U103" s="17" t="s">
        <v>23</v>
      </c>
    </row>
    <row r="104" spans="1:21" x14ac:dyDescent="0.35">
      <c r="A104" s="5" t="s">
        <v>96</v>
      </c>
      <c r="B104" s="6">
        <v>95052200645</v>
      </c>
      <c r="C104" s="14" t="s">
        <v>23</v>
      </c>
      <c r="D104" s="14" t="s">
        <v>23</v>
      </c>
      <c r="E104" s="14">
        <v>92</v>
      </c>
      <c r="F104" s="14" t="s">
        <v>23</v>
      </c>
      <c r="G104" s="14" t="s">
        <v>23</v>
      </c>
      <c r="H104" s="14" t="s">
        <v>23</v>
      </c>
      <c r="I104" s="14">
        <v>98</v>
      </c>
      <c r="J104" s="14">
        <v>86</v>
      </c>
      <c r="K104" s="14" t="s">
        <v>23</v>
      </c>
      <c r="L104" s="14" t="s">
        <v>23</v>
      </c>
      <c r="M104" s="14" t="s">
        <v>23</v>
      </c>
      <c r="N104" s="14" t="s">
        <v>23</v>
      </c>
      <c r="O104" s="14" t="s">
        <v>23</v>
      </c>
      <c r="P104" s="14" t="s">
        <v>23</v>
      </c>
      <c r="Q104" s="14">
        <v>94</v>
      </c>
      <c r="R104" s="14">
        <v>88</v>
      </c>
      <c r="S104" s="14">
        <v>77</v>
      </c>
      <c r="T104" s="14" t="s">
        <v>23</v>
      </c>
      <c r="U104" s="15" t="s">
        <v>23</v>
      </c>
    </row>
    <row r="105" spans="1:21" x14ac:dyDescent="0.35">
      <c r="A105" s="8" t="s">
        <v>96</v>
      </c>
      <c r="B105" s="9">
        <v>95052901713</v>
      </c>
      <c r="C105" s="16" t="s">
        <v>23</v>
      </c>
      <c r="D105" s="16" t="s">
        <v>23</v>
      </c>
      <c r="E105" s="16" t="s">
        <v>23</v>
      </c>
      <c r="F105" s="16">
        <v>45</v>
      </c>
      <c r="G105" s="16" t="s">
        <v>23</v>
      </c>
      <c r="H105" s="16" t="s">
        <v>23</v>
      </c>
      <c r="I105" s="16">
        <v>100</v>
      </c>
      <c r="J105" s="16">
        <v>80</v>
      </c>
      <c r="K105" s="16" t="s">
        <v>23</v>
      </c>
      <c r="L105" s="16" t="s">
        <v>23</v>
      </c>
      <c r="M105" s="16" t="s">
        <v>23</v>
      </c>
      <c r="N105" s="16" t="s">
        <v>23</v>
      </c>
      <c r="O105" s="16" t="s">
        <v>23</v>
      </c>
      <c r="P105" s="16" t="s">
        <v>23</v>
      </c>
      <c r="Q105" s="16">
        <v>78</v>
      </c>
      <c r="R105" s="16">
        <v>36</v>
      </c>
      <c r="S105" s="16">
        <v>30</v>
      </c>
      <c r="T105" s="16" t="s">
        <v>23</v>
      </c>
      <c r="U105" s="17" t="s">
        <v>23</v>
      </c>
    </row>
    <row r="106" spans="1:21" x14ac:dyDescent="0.35">
      <c r="A106" s="5" t="s">
        <v>96</v>
      </c>
      <c r="B106" s="6">
        <v>95060303600</v>
      </c>
      <c r="C106" s="14" t="s">
        <v>23</v>
      </c>
      <c r="D106" s="14" t="s">
        <v>23</v>
      </c>
      <c r="E106" s="14" t="s">
        <v>23</v>
      </c>
      <c r="F106" s="14" t="s">
        <v>23</v>
      </c>
      <c r="G106" s="14" t="s">
        <v>23</v>
      </c>
      <c r="H106" s="14" t="s">
        <v>23</v>
      </c>
      <c r="I106" s="14">
        <v>100</v>
      </c>
      <c r="J106" s="14">
        <v>94</v>
      </c>
      <c r="K106" s="14">
        <v>99</v>
      </c>
      <c r="L106" s="14" t="s">
        <v>23</v>
      </c>
      <c r="M106" s="14" t="s">
        <v>23</v>
      </c>
      <c r="N106" s="14" t="s">
        <v>23</v>
      </c>
      <c r="O106" s="14" t="s">
        <v>23</v>
      </c>
      <c r="P106" s="14" t="s">
        <v>23</v>
      </c>
      <c r="Q106" s="14">
        <v>80</v>
      </c>
      <c r="R106" s="14">
        <v>74</v>
      </c>
      <c r="S106" s="14">
        <v>74</v>
      </c>
      <c r="T106" s="14" t="s">
        <v>23</v>
      </c>
      <c r="U106" s="15" t="s">
        <v>23</v>
      </c>
    </row>
    <row r="107" spans="1:21" x14ac:dyDescent="0.35">
      <c r="A107" s="8" t="s">
        <v>96</v>
      </c>
      <c r="B107" s="9">
        <v>95060705327</v>
      </c>
      <c r="C107" s="16" t="s">
        <v>23</v>
      </c>
      <c r="D107" s="16" t="s">
        <v>23</v>
      </c>
      <c r="E107" s="16" t="s">
        <v>23</v>
      </c>
      <c r="F107" s="16" t="s">
        <v>23</v>
      </c>
      <c r="G107" s="16" t="s">
        <v>23</v>
      </c>
      <c r="H107" s="16" t="s">
        <v>23</v>
      </c>
      <c r="I107" s="16">
        <v>98</v>
      </c>
      <c r="J107" s="16">
        <v>78</v>
      </c>
      <c r="K107" s="16" t="s">
        <v>23</v>
      </c>
      <c r="L107" s="16" t="s">
        <v>23</v>
      </c>
      <c r="M107" s="16" t="s">
        <v>23</v>
      </c>
      <c r="N107" s="16" t="s">
        <v>23</v>
      </c>
      <c r="O107" s="16" t="s">
        <v>23</v>
      </c>
      <c r="P107" s="16" t="s">
        <v>23</v>
      </c>
      <c r="Q107" s="16">
        <v>64</v>
      </c>
      <c r="R107" s="16" t="s">
        <v>23</v>
      </c>
      <c r="S107" s="16">
        <v>54</v>
      </c>
      <c r="T107" s="16" t="s">
        <v>23</v>
      </c>
      <c r="U107" s="17" t="s">
        <v>23</v>
      </c>
    </row>
    <row r="108" spans="1:21" x14ac:dyDescent="0.35">
      <c r="A108" s="5" t="s">
        <v>96</v>
      </c>
      <c r="B108" s="6">
        <v>95060913018</v>
      </c>
      <c r="C108" s="14" t="s">
        <v>23</v>
      </c>
      <c r="D108" s="14" t="s">
        <v>23</v>
      </c>
      <c r="E108" s="14">
        <v>72</v>
      </c>
      <c r="F108" s="14" t="s">
        <v>23</v>
      </c>
      <c r="G108" s="14" t="s">
        <v>23</v>
      </c>
      <c r="H108" s="14" t="s">
        <v>23</v>
      </c>
      <c r="I108" s="14">
        <v>98</v>
      </c>
      <c r="J108" s="14">
        <v>79</v>
      </c>
      <c r="K108" s="14" t="s">
        <v>23</v>
      </c>
      <c r="L108" s="14" t="s">
        <v>23</v>
      </c>
      <c r="M108" s="14" t="s">
        <v>23</v>
      </c>
      <c r="N108" s="14" t="s">
        <v>23</v>
      </c>
      <c r="O108" s="14" t="s">
        <v>23</v>
      </c>
      <c r="P108" s="14" t="s">
        <v>23</v>
      </c>
      <c r="Q108" s="14">
        <v>100</v>
      </c>
      <c r="R108" s="14">
        <v>78</v>
      </c>
      <c r="S108" s="14">
        <v>64</v>
      </c>
      <c r="T108" s="14" t="s">
        <v>23</v>
      </c>
      <c r="U108" s="15" t="s">
        <v>23</v>
      </c>
    </row>
    <row r="109" spans="1:21" x14ac:dyDescent="0.35">
      <c r="A109" s="8" t="s">
        <v>96</v>
      </c>
      <c r="B109" s="9">
        <v>95072510054</v>
      </c>
      <c r="C109" s="16" t="s">
        <v>23</v>
      </c>
      <c r="D109" s="16" t="s">
        <v>23</v>
      </c>
      <c r="E109" s="16">
        <v>62</v>
      </c>
      <c r="F109" s="16" t="s">
        <v>23</v>
      </c>
      <c r="G109" s="16" t="s">
        <v>23</v>
      </c>
      <c r="H109" s="16" t="s">
        <v>23</v>
      </c>
      <c r="I109" s="16">
        <v>100</v>
      </c>
      <c r="J109" s="16">
        <v>75</v>
      </c>
      <c r="K109" s="16" t="s">
        <v>23</v>
      </c>
      <c r="L109" s="16" t="s">
        <v>23</v>
      </c>
      <c r="M109" s="16" t="s">
        <v>23</v>
      </c>
      <c r="N109" s="16" t="s">
        <v>23</v>
      </c>
      <c r="O109" s="16" t="s">
        <v>23</v>
      </c>
      <c r="P109" s="16" t="s">
        <v>23</v>
      </c>
      <c r="Q109" s="16">
        <v>92</v>
      </c>
      <c r="R109" s="16">
        <v>38</v>
      </c>
      <c r="S109" s="16">
        <v>74</v>
      </c>
      <c r="T109" s="16" t="s">
        <v>23</v>
      </c>
      <c r="U109" s="17" t="s">
        <v>23</v>
      </c>
    </row>
    <row r="110" spans="1:21" x14ac:dyDescent="0.35">
      <c r="A110" s="5" t="s">
        <v>96</v>
      </c>
      <c r="B110" s="6">
        <v>95080407818</v>
      </c>
      <c r="C110" s="14" t="s">
        <v>23</v>
      </c>
      <c r="D110" s="14" t="s">
        <v>23</v>
      </c>
      <c r="E110" s="14" t="s">
        <v>23</v>
      </c>
      <c r="F110" s="14" t="s">
        <v>23</v>
      </c>
      <c r="G110" s="14" t="s">
        <v>23</v>
      </c>
      <c r="H110" s="14">
        <v>70</v>
      </c>
      <c r="I110" s="14">
        <v>98</v>
      </c>
      <c r="J110" s="14">
        <v>79</v>
      </c>
      <c r="K110" s="14" t="s">
        <v>23</v>
      </c>
      <c r="L110" s="14" t="s">
        <v>23</v>
      </c>
      <c r="M110" s="14" t="s">
        <v>23</v>
      </c>
      <c r="N110" s="14" t="s">
        <v>23</v>
      </c>
      <c r="O110" s="14" t="s">
        <v>23</v>
      </c>
      <c r="P110" s="14" t="s">
        <v>23</v>
      </c>
      <c r="Q110" s="14">
        <v>94</v>
      </c>
      <c r="R110" s="14">
        <v>62</v>
      </c>
      <c r="S110" s="14">
        <v>59</v>
      </c>
      <c r="T110" s="14" t="s">
        <v>23</v>
      </c>
      <c r="U110" s="15" t="s">
        <v>23</v>
      </c>
    </row>
    <row r="111" spans="1:21" x14ac:dyDescent="0.35">
      <c r="A111" s="8" t="s">
        <v>96</v>
      </c>
      <c r="B111" s="9">
        <v>95080805098</v>
      </c>
      <c r="C111" s="16" t="s">
        <v>23</v>
      </c>
      <c r="D111" s="16" t="s">
        <v>23</v>
      </c>
      <c r="E111" s="16">
        <v>48</v>
      </c>
      <c r="F111" s="16" t="s">
        <v>23</v>
      </c>
      <c r="G111" s="16" t="s">
        <v>23</v>
      </c>
      <c r="H111" s="16" t="s">
        <v>23</v>
      </c>
      <c r="I111" s="16">
        <v>84</v>
      </c>
      <c r="J111" s="16">
        <v>28</v>
      </c>
      <c r="K111" s="16" t="s">
        <v>23</v>
      </c>
      <c r="L111" s="16" t="s">
        <v>23</v>
      </c>
      <c r="M111" s="16" t="s">
        <v>23</v>
      </c>
      <c r="N111" s="16" t="s">
        <v>23</v>
      </c>
      <c r="O111" s="16" t="s">
        <v>23</v>
      </c>
      <c r="P111" s="16" t="s">
        <v>23</v>
      </c>
      <c r="Q111" s="16">
        <v>88</v>
      </c>
      <c r="R111" s="16">
        <v>68</v>
      </c>
      <c r="S111" s="16">
        <v>51</v>
      </c>
      <c r="T111" s="16" t="s">
        <v>23</v>
      </c>
      <c r="U111" s="17" t="s">
        <v>23</v>
      </c>
    </row>
    <row r="112" spans="1:21" x14ac:dyDescent="0.35">
      <c r="A112" s="5" t="s">
        <v>96</v>
      </c>
      <c r="B112" s="6">
        <v>95081600791</v>
      </c>
      <c r="C112" s="14" t="s">
        <v>23</v>
      </c>
      <c r="D112" s="14" t="s">
        <v>23</v>
      </c>
      <c r="E112" s="14">
        <v>62</v>
      </c>
      <c r="F112" s="14" t="s">
        <v>23</v>
      </c>
      <c r="G112" s="14" t="s">
        <v>23</v>
      </c>
      <c r="H112" s="14" t="s">
        <v>23</v>
      </c>
      <c r="I112" s="14">
        <v>98</v>
      </c>
      <c r="J112" s="14">
        <v>79</v>
      </c>
      <c r="K112" s="14" t="s">
        <v>23</v>
      </c>
      <c r="L112" s="14" t="s">
        <v>23</v>
      </c>
      <c r="M112" s="14" t="s">
        <v>23</v>
      </c>
      <c r="N112" s="14" t="s">
        <v>23</v>
      </c>
      <c r="O112" s="14" t="s">
        <v>23</v>
      </c>
      <c r="P112" s="14" t="s">
        <v>23</v>
      </c>
      <c r="Q112" s="14">
        <v>100</v>
      </c>
      <c r="R112" s="14">
        <v>66</v>
      </c>
      <c r="S112" s="14">
        <v>51</v>
      </c>
      <c r="T112" s="14" t="s">
        <v>23</v>
      </c>
      <c r="U112" s="15" t="s">
        <v>23</v>
      </c>
    </row>
    <row r="113" spans="1:21" x14ac:dyDescent="0.35">
      <c r="A113" s="8" t="s">
        <v>96</v>
      </c>
      <c r="B113" s="9">
        <v>95082906797</v>
      </c>
      <c r="C113" s="16" t="s">
        <v>23</v>
      </c>
      <c r="D113" s="16" t="s">
        <v>23</v>
      </c>
      <c r="E113" s="16">
        <v>67</v>
      </c>
      <c r="F113" s="16" t="s">
        <v>23</v>
      </c>
      <c r="G113" s="16" t="s">
        <v>23</v>
      </c>
      <c r="H113" s="16" t="s">
        <v>23</v>
      </c>
      <c r="I113" s="16">
        <v>100</v>
      </c>
      <c r="J113" s="16">
        <v>85</v>
      </c>
      <c r="K113" s="16" t="s">
        <v>23</v>
      </c>
      <c r="L113" s="16" t="s">
        <v>23</v>
      </c>
      <c r="M113" s="16" t="s">
        <v>23</v>
      </c>
      <c r="N113" s="16" t="s">
        <v>23</v>
      </c>
      <c r="O113" s="16" t="s">
        <v>23</v>
      </c>
      <c r="P113" s="16" t="s">
        <v>23</v>
      </c>
      <c r="Q113" s="16">
        <v>92</v>
      </c>
      <c r="R113" s="16">
        <v>70</v>
      </c>
      <c r="S113" s="16">
        <v>63</v>
      </c>
      <c r="T113" s="16" t="s">
        <v>23</v>
      </c>
      <c r="U113" s="17" t="s">
        <v>23</v>
      </c>
    </row>
    <row r="114" spans="1:21" x14ac:dyDescent="0.35">
      <c r="A114" s="5" t="s">
        <v>96</v>
      </c>
      <c r="B114" s="6">
        <v>95083100398</v>
      </c>
      <c r="C114" s="14" t="s">
        <v>23</v>
      </c>
      <c r="D114" s="14" t="s">
        <v>23</v>
      </c>
      <c r="E114" s="14">
        <v>67</v>
      </c>
      <c r="F114" s="14" t="s">
        <v>23</v>
      </c>
      <c r="G114" s="14" t="s">
        <v>23</v>
      </c>
      <c r="H114" s="14" t="s">
        <v>23</v>
      </c>
      <c r="I114" s="14">
        <v>100</v>
      </c>
      <c r="J114" s="14">
        <v>78</v>
      </c>
      <c r="K114" s="14" t="s">
        <v>23</v>
      </c>
      <c r="L114" s="14" t="s">
        <v>23</v>
      </c>
      <c r="M114" s="14" t="s">
        <v>23</v>
      </c>
      <c r="N114" s="14" t="s">
        <v>23</v>
      </c>
      <c r="O114" s="14" t="s">
        <v>23</v>
      </c>
      <c r="P114" s="14" t="s">
        <v>23</v>
      </c>
      <c r="Q114" s="14">
        <v>98</v>
      </c>
      <c r="R114" s="14">
        <v>68</v>
      </c>
      <c r="S114" s="14">
        <v>63</v>
      </c>
      <c r="T114" s="14" t="s">
        <v>23</v>
      </c>
      <c r="U114" s="15" t="s">
        <v>23</v>
      </c>
    </row>
    <row r="115" spans="1:21" x14ac:dyDescent="0.35">
      <c r="A115" s="8" t="s">
        <v>96</v>
      </c>
      <c r="B115" s="9">
        <v>95091803737</v>
      </c>
      <c r="C115" s="16" t="s">
        <v>23</v>
      </c>
      <c r="D115" s="16" t="s">
        <v>23</v>
      </c>
      <c r="E115" s="16" t="s">
        <v>23</v>
      </c>
      <c r="F115" s="16" t="s">
        <v>23</v>
      </c>
      <c r="G115" s="16" t="s">
        <v>23</v>
      </c>
      <c r="H115" s="16">
        <v>98</v>
      </c>
      <c r="I115" s="16">
        <v>99</v>
      </c>
      <c r="J115" s="16">
        <v>84</v>
      </c>
      <c r="K115" s="16" t="s">
        <v>23</v>
      </c>
      <c r="L115" s="16" t="s">
        <v>23</v>
      </c>
      <c r="M115" s="16" t="s">
        <v>23</v>
      </c>
      <c r="N115" s="16" t="s">
        <v>23</v>
      </c>
      <c r="O115" s="16" t="s">
        <v>23</v>
      </c>
      <c r="P115" s="16" t="s">
        <v>23</v>
      </c>
      <c r="Q115" s="16">
        <v>96</v>
      </c>
      <c r="R115" s="16">
        <v>92</v>
      </c>
      <c r="S115" s="16">
        <v>66</v>
      </c>
      <c r="T115" s="16" t="s">
        <v>23</v>
      </c>
      <c r="U115" s="17" t="s">
        <v>23</v>
      </c>
    </row>
    <row r="116" spans="1:21" x14ac:dyDescent="0.35">
      <c r="A116" s="5" t="s">
        <v>96</v>
      </c>
      <c r="B116" s="6">
        <v>95100400649</v>
      </c>
      <c r="C116" s="14" t="s">
        <v>23</v>
      </c>
      <c r="D116" s="14" t="s">
        <v>23</v>
      </c>
      <c r="E116" s="14" t="s">
        <v>23</v>
      </c>
      <c r="F116" s="14" t="s">
        <v>23</v>
      </c>
      <c r="G116" s="14" t="s">
        <v>23</v>
      </c>
      <c r="H116" s="14" t="s">
        <v>23</v>
      </c>
      <c r="I116" s="14">
        <v>96</v>
      </c>
      <c r="J116" s="14">
        <v>86</v>
      </c>
      <c r="K116" s="14" t="s">
        <v>23</v>
      </c>
      <c r="L116" s="14" t="s">
        <v>23</v>
      </c>
      <c r="M116" s="14" t="s">
        <v>23</v>
      </c>
      <c r="N116" s="14" t="s">
        <v>23</v>
      </c>
      <c r="O116" s="14" t="s">
        <v>23</v>
      </c>
      <c r="P116" s="14" t="s">
        <v>23</v>
      </c>
      <c r="Q116" s="14">
        <v>94</v>
      </c>
      <c r="R116" s="14">
        <v>60</v>
      </c>
      <c r="S116" s="14">
        <v>57</v>
      </c>
      <c r="T116" s="14" t="s">
        <v>23</v>
      </c>
      <c r="U116" s="15" t="s">
        <v>23</v>
      </c>
    </row>
    <row r="117" spans="1:21" x14ac:dyDescent="0.35">
      <c r="A117" s="8" t="s">
        <v>96</v>
      </c>
      <c r="B117" s="9">
        <v>95101104184</v>
      </c>
      <c r="C117" s="16" t="s">
        <v>23</v>
      </c>
      <c r="D117" s="16" t="s">
        <v>23</v>
      </c>
      <c r="E117" s="16">
        <v>55</v>
      </c>
      <c r="F117" s="16" t="s">
        <v>23</v>
      </c>
      <c r="G117" s="16" t="s">
        <v>23</v>
      </c>
      <c r="H117" s="16" t="s">
        <v>23</v>
      </c>
      <c r="I117" s="16">
        <v>97</v>
      </c>
      <c r="J117" s="16">
        <v>92</v>
      </c>
      <c r="K117" s="16" t="s">
        <v>23</v>
      </c>
      <c r="L117" s="16" t="s">
        <v>23</v>
      </c>
      <c r="M117" s="16" t="s">
        <v>23</v>
      </c>
      <c r="N117" s="16" t="s">
        <v>23</v>
      </c>
      <c r="O117" s="16" t="s">
        <v>23</v>
      </c>
      <c r="P117" s="16" t="s">
        <v>23</v>
      </c>
      <c r="Q117" s="16">
        <v>94</v>
      </c>
      <c r="R117" s="16">
        <v>78</v>
      </c>
      <c r="S117" s="16">
        <v>63</v>
      </c>
      <c r="T117" s="16" t="s">
        <v>23</v>
      </c>
      <c r="U117" s="17" t="s">
        <v>23</v>
      </c>
    </row>
    <row r="118" spans="1:21" x14ac:dyDescent="0.35">
      <c r="A118" s="5" t="s">
        <v>96</v>
      </c>
      <c r="B118" s="6">
        <v>95101303842</v>
      </c>
      <c r="C118" s="14" t="s">
        <v>23</v>
      </c>
      <c r="D118" s="14" t="s">
        <v>23</v>
      </c>
      <c r="E118" s="14">
        <v>78</v>
      </c>
      <c r="F118" s="14" t="s">
        <v>23</v>
      </c>
      <c r="G118" s="14" t="s">
        <v>23</v>
      </c>
      <c r="H118" s="14" t="s">
        <v>23</v>
      </c>
      <c r="I118" s="14">
        <v>98</v>
      </c>
      <c r="J118" s="14">
        <v>85</v>
      </c>
      <c r="K118" s="14" t="s">
        <v>23</v>
      </c>
      <c r="L118" s="14" t="s">
        <v>23</v>
      </c>
      <c r="M118" s="14" t="s">
        <v>23</v>
      </c>
      <c r="N118" s="14" t="s">
        <v>23</v>
      </c>
      <c r="O118" s="14" t="s">
        <v>23</v>
      </c>
      <c r="P118" s="14" t="s">
        <v>23</v>
      </c>
      <c r="Q118" s="14">
        <v>100</v>
      </c>
      <c r="R118" s="14">
        <v>92</v>
      </c>
      <c r="S118" s="14">
        <v>70</v>
      </c>
      <c r="T118" s="14" t="s">
        <v>23</v>
      </c>
      <c r="U118" s="15" t="s">
        <v>23</v>
      </c>
    </row>
    <row r="119" spans="1:21" x14ac:dyDescent="0.35">
      <c r="A119" s="8" t="s">
        <v>96</v>
      </c>
      <c r="B119" s="9">
        <v>95101902775</v>
      </c>
      <c r="C119" s="16" t="s">
        <v>23</v>
      </c>
      <c r="D119" s="16" t="s">
        <v>23</v>
      </c>
      <c r="E119" s="16" t="s">
        <v>23</v>
      </c>
      <c r="F119" s="16" t="s">
        <v>23</v>
      </c>
      <c r="G119" s="16" t="s">
        <v>23</v>
      </c>
      <c r="H119" s="16">
        <v>52</v>
      </c>
      <c r="I119" s="16">
        <v>96</v>
      </c>
      <c r="J119" s="16">
        <v>68</v>
      </c>
      <c r="K119" s="16" t="s">
        <v>23</v>
      </c>
      <c r="L119" s="16" t="s">
        <v>23</v>
      </c>
      <c r="M119" s="16" t="s">
        <v>23</v>
      </c>
      <c r="N119" s="16" t="s">
        <v>23</v>
      </c>
      <c r="O119" s="16" t="s">
        <v>23</v>
      </c>
      <c r="P119" s="16" t="s">
        <v>23</v>
      </c>
      <c r="Q119" s="16">
        <v>94</v>
      </c>
      <c r="R119" s="16">
        <v>56</v>
      </c>
      <c r="S119" s="16">
        <v>57</v>
      </c>
      <c r="T119" s="16" t="s">
        <v>23</v>
      </c>
      <c r="U119" s="17" t="s">
        <v>23</v>
      </c>
    </row>
    <row r="120" spans="1:21" x14ac:dyDescent="0.35">
      <c r="A120" s="5" t="s">
        <v>96</v>
      </c>
      <c r="B120" s="6">
        <v>95102002757</v>
      </c>
      <c r="C120" s="14" t="s">
        <v>23</v>
      </c>
      <c r="D120" s="14" t="s">
        <v>23</v>
      </c>
      <c r="E120" s="14">
        <v>70</v>
      </c>
      <c r="F120" s="14" t="s">
        <v>23</v>
      </c>
      <c r="G120" s="14" t="s">
        <v>23</v>
      </c>
      <c r="H120" s="14" t="s">
        <v>23</v>
      </c>
      <c r="I120" s="14">
        <v>100</v>
      </c>
      <c r="J120" s="14">
        <v>86</v>
      </c>
      <c r="K120" s="14" t="s">
        <v>23</v>
      </c>
      <c r="L120" s="14" t="s">
        <v>23</v>
      </c>
      <c r="M120" s="14" t="s">
        <v>23</v>
      </c>
      <c r="N120" s="14" t="s">
        <v>23</v>
      </c>
      <c r="O120" s="14" t="s">
        <v>23</v>
      </c>
      <c r="P120" s="14" t="s">
        <v>23</v>
      </c>
      <c r="Q120" s="14">
        <v>98</v>
      </c>
      <c r="R120" s="14">
        <v>78</v>
      </c>
      <c r="S120" s="14">
        <v>90</v>
      </c>
      <c r="T120" s="14" t="s">
        <v>23</v>
      </c>
      <c r="U120" s="15" t="s">
        <v>23</v>
      </c>
    </row>
    <row r="121" spans="1:21" x14ac:dyDescent="0.35">
      <c r="A121" s="8" t="s">
        <v>96</v>
      </c>
      <c r="B121" s="9">
        <v>95102301894</v>
      </c>
      <c r="C121" s="16" t="s">
        <v>23</v>
      </c>
      <c r="D121" s="16" t="s">
        <v>23</v>
      </c>
      <c r="E121" s="16">
        <v>32</v>
      </c>
      <c r="F121" s="16" t="s">
        <v>23</v>
      </c>
      <c r="G121" s="16" t="s">
        <v>23</v>
      </c>
      <c r="H121" s="16" t="s">
        <v>23</v>
      </c>
      <c r="I121" s="16">
        <v>96</v>
      </c>
      <c r="J121" s="16">
        <v>78</v>
      </c>
      <c r="K121" s="16" t="s">
        <v>23</v>
      </c>
      <c r="L121" s="16" t="s">
        <v>23</v>
      </c>
      <c r="M121" s="16" t="s">
        <v>23</v>
      </c>
      <c r="N121" s="16" t="s">
        <v>23</v>
      </c>
      <c r="O121" s="16" t="s">
        <v>23</v>
      </c>
      <c r="P121" s="16" t="s">
        <v>23</v>
      </c>
      <c r="Q121" s="16">
        <v>90</v>
      </c>
      <c r="R121" s="16">
        <v>74</v>
      </c>
      <c r="S121" s="16">
        <v>74</v>
      </c>
      <c r="T121" s="16" t="s">
        <v>23</v>
      </c>
      <c r="U121" s="17" t="s">
        <v>23</v>
      </c>
    </row>
    <row r="122" spans="1:21" x14ac:dyDescent="0.35">
      <c r="A122" s="5" t="s">
        <v>96</v>
      </c>
      <c r="B122" s="6">
        <v>95112306692</v>
      </c>
      <c r="C122" s="14" t="s">
        <v>23</v>
      </c>
      <c r="D122" s="14" t="s">
        <v>23</v>
      </c>
      <c r="E122" s="14">
        <v>75</v>
      </c>
      <c r="F122" s="14" t="s">
        <v>23</v>
      </c>
      <c r="G122" s="14" t="s">
        <v>23</v>
      </c>
      <c r="H122" s="14" t="s">
        <v>23</v>
      </c>
      <c r="I122" s="14">
        <v>100</v>
      </c>
      <c r="J122" s="14">
        <v>64</v>
      </c>
      <c r="K122" s="14" t="s">
        <v>23</v>
      </c>
      <c r="L122" s="14" t="s">
        <v>23</v>
      </c>
      <c r="M122" s="14" t="s">
        <v>23</v>
      </c>
      <c r="N122" s="14" t="s">
        <v>23</v>
      </c>
      <c r="O122" s="14" t="s">
        <v>23</v>
      </c>
      <c r="P122" s="14" t="s">
        <v>23</v>
      </c>
      <c r="Q122" s="14">
        <v>92</v>
      </c>
      <c r="R122" s="14">
        <v>74</v>
      </c>
      <c r="S122" s="14">
        <v>70</v>
      </c>
      <c r="T122" s="14" t="s">
        <v>23</v>
      </c>
      <c r="U122" s="15" t="s">
        <v>23</v>
      </c>
    </row>
    <row r="123" spans="1:21" x14ac:dyDescent="0.35">
      <c r="A123" s="8" t="s">
        <v>96</v>
      </c>
      <c r="B123" s="9">
        <v>95112702337</v>
      </c>
      <c r="C123" s="16" t="s">
        <v>23</v>
      </c>
      <c r="D123" s="16" t="s">
        <v>23</v>
      </c>
      <c r="E123" s="16">
        <v>63</v>
      </c>
      <c r="F123" s="16" t="s">
        <v>23</v>
      </c>
      <c r="G123" s="16" t="s">
        <v>23</v>
      </c>
      <c r="H123" s="16" t="s">
        <v>23</v>
      </c>
      <c r="I123" s="16">
        <v>96</v>
      </c>
      <c r="J123" s="16" t="s">
        <v>23</v>
      </c>
      <c r="K123" s="16" t="s">
        <v>23</v>
      </c>
      <c r="L123" s="16" t="s">
        <v>23</v>
      </c>
      <c r="M123" s="16" t="s">
        <v>23</v>
      </c>
      <c r="N123" s="16" t="s">
        <v>23</v>
      </c>
      <c r="O123" s="16" t="s">
        <v>23</v>
      </c>
      <c r="P123" s="16" t="s">
        <v>23</v>
      </c>
      <c r="Q123" s="16">
        <v>96</v>
      </c>
      <c r="R123" s="16">
        <v>92</v>
      </c>
      <c r="S123" s="16">
        <v>67</v>
      </c>
      <c r="T123" s="16" t="s">
        <v>23</v>
      </c>
      <c r="U123" s="17" t="s">
        <v>23</v>
      </c>
    </row>
    <row r="124" spans="1:21" x14ac:dyDescent="0.35">
      <c r="A124" s="5" t="s">
        <v>96</v>
      </c>
      <c r="B124" s="6">
        <v>95122110962</v>
      </c>
      <c r="C124" s="14" t="s">
        <v>23</v>
      </c>
      <c r="D124" s="14" t="s">
        <v>23</v>
      </c>
      <c r="E124" s="14" t="s">
        <v>23</v>
      </c>
      <c r="F124" s="14" t="s">
        <v>23</v>
      </c>
      <c r="G124" s="14" t="s">
        <v>23</v>
      </c>
      <c r="H124" s="14" t="s">
        <v>23</v>
      </c>
      <c r="I124" s="14">
        <v>98</v>
      </c>
      <c r="J124" s="14">
        <v>65</v>
      </c>
      <c r="K124" s="14" t="s">
        <v>23</v>
      </c>
      <c r="L124" s="14" t="s">
        <v>23</v>
      </c>
      <c r="M124" s="14" t="s">
        <v>23</v>
      </c>
      <c r="N124" s="14" t="s">
        <v>23</v>
      </c>
      <c r="O124" s="14" t="s">
        <v>23</v>
      </c>
      <c r="P124" s="14" t="s">
        <v>23</v>
      </c>
      <c r="Q124" s="14">
        <v>94</v>
      </c>
      <c r="R124" s="14">
        <v>68</v>
      </c>
      <c r="S124" s="14">
        <v>81</v>
      </c>
      <c r="T124" s="14" t="s">
        <v>23</v>
      </c>
      <c r="U124" s="15" t="s">
        <v>23</v>
      </c>
    </row>
    <row r="125" spans="1:21" x14ac:dyDescent="0.35">
      <c r="A125" s="8" t="s">
        <v>96</v>
      </c>
      <c r="B125" s="9">
        <v>95123001771</v>
      </c>
      <c r="C125" s="16" t="s">
        <v>23</v>
      </c>
      <c r="D125" s="16" t="s">
        <v>23</v>
      </c>
      <c r="E125" s="16" t="s">
        <v>23</v>
      </c>
      <c r="F125" s="16" t="s">
        <v>23</v>
      </c>
      <c r="G125" s="16" t="s">
        <v>23</v>
      </c>
      <c r="H125" s="16" t="s">
        <v>23</v>
      </c>
      <c r="I125" s="16">
        <v>98</v>
      </c>
      <c r="J125" s="16">
        <v>84</v>
      </c>
      <c r="K125" s="16" t="s">
        <v>23</v>
      </c>
      <c r="L125" s="16" t="s">
        <v>23</v>
      </c>
      <c r="M125" s="16" t="s">
        <v>23</v>
      </c>
      <c r="N125" s="16" t="s">
        <v>23</v>
      </c>
      <c r="O125" s="16" t="s">
        <v>23</v>
      </c>
      <c r="P125" s="16" t="s">
        <v>23</v>
      </c>
      <c r="Q125" s="16">
        <v>82</v>
      </c>
      <c r="R125" s="16">
        <v>54</v>
      </c>
      <c r="S125" s="16">
        <v>73</v>
      </c>
      <c r="T125" s="16" t="s">
        <v>23</v>
      </c>
      <c r="U125" s="17" t="s">
        <v>23</v>
      </c>
    </row>
    <row r="126" spans="1:21" x14ac:dyDescent="0.35">
      <c r="A126" s="5" t="s">
        <v>96</v>
      </c>
      <c r="B126" s="6">
        <v>96011200502</v>
      </c>
      <c r="C126" s="14" t="s">
        <v>23</v>
      </c>
      <c r="D126" s="14" t="s">
        <v>23</v>
      </c>
      <c r="E126" s="14">
        <v>77</v>
      </c>
      <c r="F126" s="14" t="s">
        <v>23</v>
      </c>
      <c r="G126" s="14" t="s">
        <v>23</v>
      </c>
      <c r="H126" s="14" t="s">
        <v>23</v>
      </c>
      <c r="I126" s="14">
        <v>94</v>
      </c>
      <c r="J126" s="14">
        <v>86</v>
      </c>
      <c r="K126" s="14" t="s">
        <v>23</v>
      </c>
      <c r="L126" s="14" t="s">
        <v>23</v>
      </c>
      <c r="M126" s="14" t="s">
        <v>23</v>
      </c>
      <c r="N126" s="14" t="s">
        <v>23</v>
      </c>
      <c r="O126" s="14" t="s">
        <v>23</v>
      </c>
      <c r="P126" s="14" t="s">
        <v>23</v>
      </c>
      <c r="Q126" s="14">
        <v>98</v>
      </c>
      <c r="R126" s="14">
        <v>64</v>
      </c>
      <c r="S126" s="14">
        <v>59</v>
      </c>
      <c r="T126" s="14" t="s">
        <v>23</v>
      </c>
      <c r="U126" s="15" t="s">
        <v>23</v>
      </c>
    </row>
    <row r="127" spans="1:21" x14ac:dyDescent="0.35">
      <c r="A127" s="8" t="s">
        <v>100</v>
      </c>
      <c r="B127" s="9">
        <v>94011110436</v>
      </c>
      <c r="C127" s="16" t="s">
        <v>23</v>
      </c>
      <c r="D127" s="16" t="s">
        <v>23</v>
      </c>
      <c r="E127" s="16" t="s">
        <v>23</v>
      </c>
      <c r="F127" s="16" t="s">
        <v>23</v>
      </c>
      <c r="G127" s="16" t="s">
        <v>23</v>
      </c>
      <c r="H127" s="16" t="s">
        <v>23</v>
      </c>
      <c r="I127" s="16">
        <v>96</v>
      </c>
      <c r="J127" s="16" t="s">
        <v>23</v>
      </c>
      <c r="K127" s="16" t="s">
        <v>23</v>
      </c>
      <c r="L127" s="16" t="s">
        <v>23</v>
      </c>
      <c r="M127" s="16">
        <v>97</v>
      </c>
      <c r="N127" s="16">
        <v>73</v>
      </c>
      <c r="O127" s="16" t="s">
        <v>23</v>
      </c>
      <c r="P127" s="16" t="s">
        <v>23</v>
      </c>
      <c r="Q127" s="16">
        <v>58</v>
      </c>
      <c r="R127" s="16" t="s">
        <v>23</v>
      </c>
      <c r="S127" s="16">
        <v>69</v>
      </c>
      <c r="T127" s="16">
        <v>65</v>
      </c>
      <c r="U127" s="17" t="s">
        <v>23</v>
      </c>
    </row>
    <row r="128" spans="1:21" x14ac:dyDescent="0.35">
      <c r="A128" s="5" t="s">
        <v>100</v>
      </c>
      <c r="B128" s="6">
        <v>94013113642</v>
      </c>
      <c r="C128" s="14" t="s">
        <v>23</v>
      </c>
      <c r="D128" s="14" t="s">
        <v>23</v>
      </c>
      <c r="E128" s="14" t="s">
        <v>23</v>
      </c>
      <c r="F128" s="14" t="s">
        <v>23</v>
      </c>
      <c r="G128" s="14" t="s">
        <v>23</v>
      </c>
      <c r="H128" s="14" t="s">
        <v>23</v>
      </c>
      <c r="I128" s="14">
        <v>96</v>
      </c>
      <c r="J128" s="14" t="s">
        <v>23</v>
      </c>
      <c r="K128" s="14" t="s">
        <v>23</v>
      </c>
      <c r="L128" s="14" t="s">
        <v>23</v>
      </c>
      <c r="M128" s="14">
        <v>83</v>
      </c>
      <c r="N128" s="14">
        <v>61</v>
      </c>
      <c r="O128" s="14" t="s">
        <v>23</v>
      </c>
      <c r="P128" s="14" t="s">
        <v>23</v>
      </c>
      <c r="Q128" s="14">
        <v>68</v>
      </c>
      <c r="R128" s="14" t="s">
        <v>23</v>
      </c>
      <c r="S128" s="14">
        <v>69</v>
      </c>
      <c r="T128" s="14">
        <v>58</v>
      </c>
      <c r="U128" s="15" t="s">
        <v>23</v>
      </c>
    </row>
    <row r="129" spans="1:21" x14ac:dyDescent="0.35">
      <c r="A129" s="8" t="s">
        <v>100</v>
      </c>
      <c r="B129" s="9">
        <v>94020211283</v>
      </c>
      <c r="C129" s="16" t="s">
        <v>23</v>
      </c>
      <c r="D129" s="16" t="s">
        <v>23</v>
      </c>
      <c r="E129" s="16" t="s">
        <v>23</v>
      </c>
      <c r="F129" s="16" t="s">
        <v>23</v>
      </c>
      <c r="G129" s="16" t="s">
        <v>23</v>
      </c>
      <c r="H129" s="16" t="s">
        <v>23</v>
      </c>
      <c r="I129" s="16">
        <v>88</v>
      </c>
      <c r="J129" s="16" t="s">
        <v>23</v>
      </c>
      <c r="K129" s="16" t="s">
        <v>23</v>
      </c>
      <c r="L129" s="16" t="s">
        <v>23</v>
      </c>
      <c r="M129" s="16">
        <v>90</v>
      </c>
      <c r="N129" s="16">
        <v>65</v>
      </c>
      <c r="O129" s="16" t="s">
        <v>23</v>
      </c>
      <c r="P129" s="16" t="s">
        <v>23</v>
      </c>
      <c r="Q129" s="16">
        <v>50</v>
      </c>
      <c r="R129" s="16" t="s">
        <v>23</v>
      </c>
      <c r="S129" s="16">
        <v>81</v>
      </c>
      <c r="T129" s="16">
        <v>58</v>
      </c>
      <c r="U129" s="17" t="s">
        <v>23</v>
      </c>
    </row>
    <row r="130" spans="1:21" x14ac:dyDescent="0.35">
      <c r="A130" s="5" t="s">
        <v>100</v>
      </c>
      <c r="B130" s="6">
        <v>94021306625</v>
      </c>
      <c r="C130" s="14" t="s">
        <v>23</v>
      </c>
      <c r="D130" s="14" t="s">
        <v>23</v>
      </c>
      <c r="E130" s="14" t="s">
        <v>23</v>
      </c>
      <c r="F130" s="14" t="s">
        <v>23</v>
      </c>
      <c r="G130" s="14" t="s">
        <v>23</v>
      </c>
      <c r="H130" s="14" t="s">
        <v>23</v>
      </c>
      <c r="I130" s="14">
        <v>90</v>
      </c>
      <c r="J130" s="14" t="s">
        <v>23</v>
      </c>
      <c r="K130" s="14" t="s">
        <v>23</v>
      </c>
      <c r="L130" s="14" t="s">
        <v>23</v>
      </c>
      <c r="M130" s="14">
        <v>84</v>
      </c>
      <c r="N130" s="14">
        <v>68</v>
      </c>
      <c r="O130" s="14" t="s">
        <v>23</v>
      </c>
      <c r="P130" s="14" t="s">
        <v>23</v>
      </c>
      <c r="Q130" s="14">
        <v>58</v>
      </c>
      <c r="R130" s="14" t="s">
        <v>23</v>
      </c>
      <c r="S130" s="14">
        <v>76</v>
      </c>
      <c r="T130" s="14">
        <v>88</v>
      </c>
      <c r="U130" s="15" t="s">
        <v>23</v>
      </c>
    </row>
    <row r="131" spans="1:21" x14ac:dyDescent="0.35">
      <c r="A131" s="8" t="s">
        <v>100</v>
      </c>
      <c r="B131" s="9">
        <v>94030804224</v>
      </c>
      <c r="C131" s="16" t="s">
        <v>23</v>
      </c>
      <c r="D131" s="16" t="s">
        <v>23</v>
      </c>
      <c r="E131" s="16" t="s">
        <v>23</v>
      </c>
      <c r="F131" s="16">
        <v>85</v>
      </c>
      <c r="G131" s="16" t="s">
        <v>23</v>
      </c>
      <c r="H131" s="16" t="s">
        <v>23</v>
      </c>
      <c r="I131" s="16" t="s">
        <v>23</v>
      </c>
      <c r="J131" s="16">
        <v>95</v>
      </c>
      <c r="K131" s="16" t="s">
        <v>23</v>
      </c>
      <c r="L131" s="16" t="s">
        <v>23</v>
      </c>
      <c r="M131" s="16">
        <v>100</v>
      </c>
      <c r="N131" s="16" t="s">
        <v>23</v>
      </c>
      <c r="O131" s="16" t="s">
        <v>23</v>
      </c>
      <c r="P131" s="16" t="s">
        <v>23</v>
      </c>
      <c r="Q131" s="16">
        <v>82</v>
      </c>
      <c r="R131" s="16" t="s">
        <v>23</v>
      </c>
      <c r="S131" s="16">
        <v>73</v>
      </c>
      <c r="T131" s="16">
        <v>88</v>
      </c>
      <c r="U131" s="17" t="s">
        <v>23</v>
      </c>
    </row>
    <row r="132" spans="1:21" x14ac:dyDescent="0.35">
      <c r="A132" s="5" t="s">
        <v>100</v>
      </c>
      <c r="B132" s="6">
        <v>94031410644</v>
      </c>
      <c r="C132" s="14" t="s">
        <v>23</v>
      </c>
      <c r="D132" s="14" t="s">
        <v>23</v>
      </c>
      <c r="E132" s="14" t="s">
        <v>23</v>
      </c>
      <c r="F132" s="14" t="s">
        <v>23</v>
      </c>
      <c r="G132" s="14" t="s">
        <v>23</v>
      </c>
      <c r="H132" s="14" t="s">
        <v>23</v>
      </c>
      <c r="I132" s="14">
        <v>96</v>
      </c>
      <c r="J132" s="14" t="s">
        <v>23</v>
      </c>
      <c r="K132" s="14" t="s">
        <v>23</v>
      </c>
      <c r="L132" s="14" t="s">
        <v>23</v>
      </c>
      <c r="M132" s="14" t="s">
        <v>23</v>
      </c>
      <c r="N132" s="14">
        <v>45</v>
      </c>
      <c r="O132" s="14" t="s">
        <v>23</v>
      </c>
      <c r="P132" s="14" t="s">
        <v>23</v>
      </c>
      <c r="Q132" s="14">
        <v>74</v>
      </c>
      <c r="R132" s="14" t="s">
        <v>23</v>
      </c>
      <c r="S132" s="14">
        <v>61</v>
      </c>
      <c r="T132" s="14">
        <v>83</v>
      </c>
      <c r="U132" s="15" t="s">
        <v>23</v>
      </c>
    </row>
    <row r="133" spans="1:21" x14ac:dyDescent="0.35">
      <c r="A133" s="8" t="s">
        <v>100</v>
      </c>
      <c r="B133" s="9">
        <v>94040607118</v>
      </c>
      <c r="C133" s="16" t="s">
        <v>23</v>
      </c>
      <c r="D133" s="16" t="s">
        <v>23</v>
      </c>
      <c r="E133" s="16" t="s">
        <v>23</v>
      </c>
      <c r="F133" s="16" t="s">
        <v>23</v>
      </c>
      <c r="G133" s="16" t="s">
        <v>23</v>
      </c>
      <c r="H133" s="16" t="s">
        <v>23</v>
      </c>
      <c r="I133" s="16">
        <v>94</v>
      </c>
      <c r="J133" s="16">
        <v>79</v>
      </c>
      <c r="K133" s="16" t="s">
        <v>23</v>
      </c>
      <c r="L133" s="16" t="s">
        <v>23</v>
      </c>
      <c r="M133" s="16" t="s">
        <v>23</v>
      </c>
      <c r="N133" s="16">
        <v>79</v>
      </c>
      <c r="O133" s="16" t="s">
        <v>23</v>
      </c>
      <c r="P133" s="16" t="s">
        <v>23</v>
      </c>
      <c r="Q133" s="16">
        <v>64</v>
      </c>
      <c r="R133" s="16" t="s">
        <v>23</v>
      </c>
      <c r="S133" s="16">
        <v>74</v>
      </c>
      <c r="T133" s="16">
        <v>53</v>
      </c>
      <c r="U133" s="17" t="s">
        <v>23</v>
      </c>
    </row>
    <row r="134" spans="1:21" x14ac:dyDescent="0.35">
      <c r="A134" s="5" t="s">
        <v>100</v>
      </c>
      <c r="B134" s="6">
        <v>94042912726</v>
      </c>
      <c r="C134" s="14" t="s">
        <v>23</v>
      </c>
      <c r="D134" s="14" t="s">
        <v>23</v>
      </c>
      <c r="E134" s="14" t="s">
        <v>23</v>
      </c>
      <c r="F134" s="14">
        <v>38</v>
      </c>
      <c r="G134" s="14" t="s">
        <v>23</v>
      </c>
      <c r="H134" s="14" t="s">
        <v>23</v>
      </c>
      <c r="I134" s="14">
        <v>87</v>
      </c>
      <c r="J134" s="14">
        <v>69</v>
      </c>
      <c r="K134" s="14" t="s">
        <v>23</v>
      </c>
      <c r="L134" s="14" t="s">
        <v>23</v>
      </c>
      <c r="M134" s="14" t="s">
        <v>23</v>
      </c>
      <c r="N134" s="14">
        <v>72</v>
      </c>
      <c r="O134" s="14" t="s">
        <v>23</v>
      </c>
      <c r="P134" s="14" t="s">
        <v>23</v>
      </c>
      <c r="Q134" s="14">
        <v>56</v>
      </c>
      <c r="R134" s="14" t="s">
        <v>23</v>
      </c>
      <c r="S134" s="14">
        <v>54</v>
      </c>
      <c r="T134" s="14">
        <v>60</v>
      </c>
      <c r="U134" s="15" t="s">
        <v>23</v>
      </c>
    </row>
    <row r="135" spans="1:21" x14ac:dyDescent="0.35">
      <c r="A135" s="8" t="s">
        <v>100</v>
      </c>
      <c r="B135" s="9">
        <v>94060604247</v>
      </c>
      <c r="C135" s="16">
        <v>62</v>
      </c>
      <c r="D135" s="16">
        <v>35</v>
      </c>
      <c r="E135" s="16" t="s">
        <v>23</v>
      </c>
      <c r="F135" s="16" t="s">
        <v>23</v>
      </c>
      <c r="G135" s="16" t="s">
        <v>23</v>
      </c>
      <c r="H135" s="16" t="s">
        <v>23</v>
      </c>
      <c r="I135" s="16">
        <v>97</v>
      </c>
      <c r="J135" s="16" t="s">
        <v>23</v>
      </c>
      <c r="K135" s="16" t="s">
        <v>23</v>
      </c>
      <c r="L135" s="16" t="s">
        <v>23</v>
      </c>
      <c r="M135" s="16">
        <v>92</v>
      </c>
      <c r="N135" s="16">
        <v>52</v>
      </c>
      <c r="O135" s="16" t="s">
        <v>23</v>
      </c>
      <c r="P135" s="16" t="s">
        <v>23</v>
      </c>
      <c r="Q135" s="16">
        <v>56</v>
      </c>
      <c r="R135" s="16" t="s">
        <v>23</v>
      </c>
      <c r="S135" s="16">
        <v>67</v>
      </c>
      <c r="T135" s="16" t="s">
        <v>23</v>
      </c>
      <c r="U135" s="17" t="s">
        <v>23</v>
      </c>
    </row>
    <row r="136" spans="1:21" x14ac:dyDescent="0.35">
      <c r="A136" s="5" t="s">
        <v>100</v>
      </c>
      <c r="B136" s="6">
        <v>94062703166</v>
      </c>
      <c r="C136" s="14" t="s">
        <v>23</v>
      </c>
      <c r="D136" s="14" t="s">
        <v>23</v>
      </c>
      <c r="E136" s="14" t="s">
        <v>23</v>
      </c>
      <c r="F136" s="14">
        <v>50</v>
      </c>
      <c r="G136" s="14" t="s">
        <v>23</v>
      </c>
      <c r="H136" s="14" t="s">
        <v>23</v>
      </c>
      <c r="I136" s="14">
        <v>92</v>
      </c>
      <c r="J136" s="14" t="s">
        <v>23</v>
      </c>
      <c r="K136" s="14" t="s">
        <v>23</v>
      </c>
      <c r="L136" s="14" t="s">
        <v>23</v>
      </c>
      <c r="M136" s="14">
        <v>84</v>
      </c>
      <c r="N136" s="14">
        <v>63</v>
      </c>
      <c r="O136" s="14" t="s">
        <v>23</v>
      </c>
      <c r="P136" s="14" t="s">
        <v>23</v>
      </c>
      <c r="Q136" s="14">
        <v>54</v>
      </c>
      <c r="R136" s="14" t="s">
        <v>23</v>
      </c>
      <c r="S136" s="14">
        <v>60</v>
      </c>
      <c r="T136" s="14" t="s">
        <v>23</v>
      </c>
      <c r="U136" s="15" t="s">
        <v>23</v>
      </c>
    </row>
    <row r="137" spans="1:21" x14ac:dyDescent="0.35">
      <c r="A137" s="8" t="s">
        <v>100</v>
      </c>
      <c r="B137" s="9">
        <v>94063002080</v>
      </c>
      <c r="C137" s="16" t="s">
        <v>23</v>
      </c>
      <c r="D137" s="16" t="s">
        <v>23</v>
      </c>
      <c r="E137" s="16" t="s">
        <v>23</v>
      </c>
      <c r="F137" s="16">
        <v>82</v>
      </c>
      <c r="G137" s="16" t="s">
        <v>23</v>
      </c>
      <c r="H137" s="16" t="s">
        <v>23</v>
      </c>
      <c r="I137" s="16">
        <v>100</v>
      </c>
      <c r="J137" s="16" t="s">
        <v>23</v>
      </c>
      <c r="K137" s="16" t="s">
        <v>23</v>
      </c>
      <c r="L137" s="16" t="s">
        <v>23</v>
      </c>
      <c r="M137" s="16">
        <v>100</v>
      </c>
      <c r="N137" s="16" t="s">
        <v>23</v>
      </c>
      <c r="O137" s="16" t="s">
        <v>23</v>
      </c>
      <c r="P137" s="16" t="s">
        <v>23</v>
      </c>
      <c r="Q137" s="16">
        <v>100</v>
      </c>
      <c r="R137" s="16">
        <v>66</v>
      </c>
      <c r="S137" s="16">
        <v>73</v>
      </c>
      <c r="T137" s="16">
        <v>85</v>
      </c>
      <c r="U137" s="17" t="s">
        <v>23</v>
      </c>
    </row>
    <row r="138" spans="1:21" x14ac:dyDescent="0.35">
      <c r="A138" s="5" t="s">
        <v>100</v>
      </c>
      <c r="B138" s="6">
        <v>94081102166</v>
      </c>
      <c r="C138" s="14" t="s">
        <v>23</v>
      </c>
      <c r="D138" s="14" t="s">
        <v>23</v>
      </c>
      <c r="E138" s="14" t="s">
        <v>23</v>
      </c>
      <c r="F138" s="14" t="s">
        <v>23</v>
      </c>
      <c r="G138" s="14" t="s">
        <v>23</v>
      </c>
      <c r="H138" s="14" t="s">
        <v>23</v>
      </c>
      <c r="I138" s="14">
        <v>96</v>
      </c>
      <c r="J138" s="14" t="s">
        <v>23</v>
      </c>
      <c r="K138" s="14" t="s">
        <v>23</v>
      </c>
      <c r="L138" s="14" t="s">
        <v>23</v>
      </c>
      <c r="M138" s="14" t="s">
        <v>23</v>
      </c>
      <c r="N138" s="14">
        <v>79</v>
      </c>
      <c r="O138" s="14" t="s">
        <v>23</v>
      </c>
      <c r="P138" s="14" t="s">
        <v>23</v>
      </c>
      <c r="Q138" s="14">
        <v>56</v>
      </c>
      <c r="R138" s="14" t="s">
        <v>23</v>
      </c>
      <c r="S138" s="14">
        <v>81</v>
      </c>
      <c r="T138" s="14">
        <v>83</v>
      </c>
      <c r="U138" s="15" t="s">
        <v>23</v>
      </c>
    </row>
    <row r="139" spans="1:21" x14ac:dyDescent="0.35">
      <c r="A139" s="8" t="s">
        <v>100</v>
      </c>
      <c r="B139" s="9">
        <v>94082703588</v>
      </c>
      <c r="C139" s="16" t="s">
        <v>23</v>
      </c>
      <c r="D139" s="16" t="s">
        <v>23</v>
      </c>
      <c r="E139" s="16" t="s">
        <v>23</v>
      </c>
      <c r="F139" s="16" t="s">
        <v>23</v>
      </c>
      <c r="G139" s="16">
        <v>66</v>
      </c>
      <c r="H139" s="16" t="s">
        <v>23</v>
      </c>
      <c r="I139" s="16">
        <v>94</v>
      </c>
      <c r="J139" s="16">
        <v>93</v>
      </c>
      <c r="K139" s="16" t="s">
        <v>23</v>
      </c>
      <c r="L139" s="16" t="s">
        <v>23</v>
      </c>
      <c r="M139" s="16" t="s">
        <v>23</v>
      </c>
      <c r="N139" s="16">
        <v>83</v>
      </c>
      <c r="O139" s="16" t="s">
        <v>23</v>
      </c>
      <c r="P139" s="16" t="s">
        <v>23</v>
      </c>
      <c r="Q139" s="16">
        <v>78</v>
      </c>
      <c r="R139" s="16" t="s">
        <v>23</v>
      </c>
      <c r="S139" s="16">
        <v>90</v>
      </c>
      <c r="T139" s="16">
        <v>100</v>
      </c>
      <c r="U139" s="17" t="s">
        <v>23</v>
      </c>
    </row>
    <row r="140" spans="1:21" x14ac:dyDescent="0.35">
      <c r="A140" s="5" t="s">
        <v>100</v>
      </c>
      <c r="B140" s="6">
        <v>94082901146</v>
      </c>
      <c r="C140" s="14" t="s">
        <v>23</v>
      </c>
      <c r="D140" s="14" t="s">
        <v>23</v>
      </c>
      <c r="E140" s="14" t="s">
        <v>23</v>
      </c>
      <c r="F140" s="14">
        <v>75</v>
      </c>
      <c r="G140" s="14" t="s">
        <v>23</v>
      </c>
      <c r="H140" s="14" t="s">
        <v>23</v>
      </c>
      <c r="I140" s="14">
        <v>99</v>
      </c>
      <c r="J140" s="14">
        <v>83</v>
      </c>
      <c r="K140" s="14" t="s">
        <v>23</v>
      </c>
      <c r="L140" s="14" t="s">
        <v>23</v>
      </c>
      <c r="M140" s="14">
        <v>100</v>
      </c>
      <c r="N140" s="14" t="s">
        <v>23</v>
      </c>
      <c r="O140" s="14" t="s">
        <v>23</v>
      </c>
      <c r="P140" s="14" t="s">
        <v>23</v>
      </c>
      <c r="Q140" s="14">
        <v>78</v>
      </c>
      <c r="R140" s="14">
        <v>30</v>
      </c>
      <c r="S140" s="14">
        <v>79</v>
      </c>
      <c r="T140" s="14">
        <v>80</v>
      </c>
      <c r="U140" s="15" t="s">
        <v>23</v>
      </c>
    </row>
    <row r="141" spans="1:21" x14ac:dyDescent="0.35">
      <c r="A141" s="8" t="s">
        <v>100</v>
      </c>
      <c r="B141" s="9">
        <v>94082905447</v>
      </c>
      <c r="C141" s="16" t="s">
        <v>23</v>
      </c>
      <c r="D141" s="16" t="s">
        <v>23</v>
      </c>
      <c r="E141" s="16" t="s">
        <v>23</v>
      </c>
      <c r="F141" s="16" t="s">
        <v>23</v>
      </c>
      <c r="G141" s="16" t="s">
        <v>23</v>
      </c>
      <c r="H141" s="16" t="s">
        <v>23</v>
      </c>
      <c r="I141" s="16">
        <v>96</v>
      </c>
      <c r="J141" s="16" t="s">
        <v>23</v>
      </c>
      <c r="K141" s="16" t="s">
        <v>23</v>
      </c>
      <c r="L141" s="16" t="s">
        <v>23</v>
      </c>
      <c r="M141" s="16">
        <v>98</v>
      </c>
      <c r="N141" s="16">
        <v>96</v>
      </c>
      <c r="O141" s="16" t="s">
        <v>23</v>
      </c>
      <c r="P141" s="16" t="s">
        <v>23</v>
      </c>
      <c r="Q141" s="16">
        <v>44</v>
      </c>
      <c r="R141" s="16" t="s">
        <v>23</v>
      </c>
      <c r="S141" s="16">
        <v>69</v>
      </c>
      <c r="T141" s="16" t="s">
        <v>23</v>
      </c>
      <c r="U141" s="17" t="s">
        <v>23</v>
      </c>
    </row>
    <row r="142" spans="1:21" x14ac:dyDescent="0.35">
      <c r="A142" s="5" t="s">
        <v>100</v>
      </c>
      <c r="B142" s="6">
        <v>94083000868</v>
      </c>
      <c r="C142" s="14" t="s">
        <v>23</v>
      </c>
      <c r="D142" s="14" t="s">
        <v>23</v>
      </c>
      <c r="E142" s="14" t="s">
        <v>23</v>
      </c>
      <c r="F142" s="14" t="s">
        <v>23</v>
      </c>
      <c r="G142" s="14">
        <v>24</v>
      </c>
      <c r="H142" s="14" t="s">
        <v>23</v>
      </c>
      <c r="I142" s="14">
        <v>100</v>
      </c>
      <c r="J142" s="14">
        <v>63</v>
      </c>
      <c r="K142" s="14" t="s">
        <v>23</v>
      </c>
      <c r="L142" s="14" t="s">
        <v>23</v>
      </c>
      <c r="M142" s="14" t="s">
        <v>23</v>
      </c>
      <c r="N142" s="14">
        <v>61</v>
      </c>
      <c r="O142" s="14" t="s">
        <v>23</v>
      </c>
      <c r="P142" s="14" t="s">
        <v>23</v>
      </c>
      <c r="Q142" s="14">
        <v>40</v>
      </c>
      <c r="R142" s="14" t="s">
        <v>23</v>
      </c>
      <c r="S142" s="14">
        <v>76</v>
      </c>
      <c r="T142" s="14">
        <v>58</v>
      </c>
      <c r="U142" s="15">
        <v>16</v>
      </c>
    </row>
    <row r="143" spans="1:21" x14ac:dyDescent="0.35">
      <c r="A143" s="8" t="s">
        <v>100</v>
      </c>
      <c r="B143" s="9">
        <v>94090909307</v>
      </c>
      <c r="C143" s="16" t="s">
        <v>23</v>
      </c>
      <c r="D143" s="16" t="s">
        <v>23</v>
      </c>
      <c r="E143" s="16" t="s">
        <v>23</v>
      </c>
      <c r="F143" s="16" t="s">
        <v>23</v>
      </c>
      <c r="G143" s="16">
        <v>72</v>
      </c>
      <c r="H143" s="16" t="s">
        <v>23</v>
      </c>
      <c r="I143" s="16">
        <v>98</v>
      </c>
      <c r="J143" s="16">
        <v>76</v>
      </c>
      <c r="K143" s="16" t="s">
        <v>23</v>
      </c>
      <c r="L143" s="16" t="s">
        <v>23</v>
      </c>
      <c r="M143" s="16" t="s">
        <v>23</v>
      </c>
      <c r="N143" s="16">
        <v>77</v>
      </c>
      <c r="O143" s="16" t="s">
        <v>23</v>
      </c>
      <c r="P143" s="16" t="s">
        <v>23</v>
      </c>
      <c r="Q143" s="16">
        <v>64</v>
      </c>
      <c r="R143" s="16" t="s">
        <v>23</v>
      </c>
      <c r="S143" s="16">
        <v>79</v>
      </c>
      <c r="T143" s="16">
        <v>75</v>
      </c>
      <c r="U143" s="17">
        <v>46</v>
      </c>
    </row>
    <row r="144" spans="1:21" x14ac:dyDescent="0.35">
      <c r="A144" s="5" t="s">
        <v>100</v>
      </c>
      <c r="B144" s="6">
        <v>94091301085</v>
      </c>
      <c r="C144" s="14" t="s">
        <v>23</v>
      </c>
      <c r="D144" s="14" t="s">
        <v>23</v>
      </c>
      <c r="E144" s="14" t="s">
        <v>23</v>
      </c>
      <c r="F144" s="14" t="s">
        <v>23</v>
      </c>
      <c r="G144" s="14" t="s">
        <v>23</v>
      </c>
      <c r="H144" s="14" t="s">
        <v>23</v>
      </c>
      <c r="I144" s="14">
        <v>96</v>
      </c>
      <c r="J144" s="14">
        <v>71</v>
      </c>
      <c r="K144" s="14" t="s">
        <v>23</v>
      </c>
      <c r="L144" s="14" t="s">
        <v>23</v>
      </c>
      <c r="M144" s="14" t="s">
        <v>23</v>
      </c>
      <c r="N144" s="14">
        <v>70</v>
      </c>
      <c r="O144" s="14" t="s">
        <v>23</v>
      </c>
      <c r="P144" s="14" t="s">
        <v>23</v>
      </c>
      <c r="Q144" s="14">
        <v>40</v>
      </c>
      <c r="R144" s="14" t="s">
        <v>23</v>
      </c>
      <c r="S144" s="14">
        <v>37</v>
      </c>
      <c r="T144" s="14">
        <v>55</v>
      </c>
      <c r="U144" s="15" t="s">
        <v>23</v>
      </c>
    </row>
    <row r="145" spans="1:21" x14ac:dyDescent="0.35">
      <c r="A145" s="8" t="s">
        <v>100</v>
      </c>
      <c r="B145" s="9">
        <v>94092207960</v>
      </c>
      <c r="C145" s="16" t="s">
        <v>23</v>
      </c>
      <c r="D145" s="16" t="s">
        <v>23</v>
      </c>
      <c r="E145" s="16" t="s">
        <v>23</v>
      </c>
      <c r="F145" s="16" t="s">
        <v>23</v>
      </c>
      <c r="G145" s="16" t="s">
        <v>23</v>
      </c>
      <c r="H145" s="16" t="s">
        <v>23</v>
      </c>
      <c r="I145" s="16" t="s">
        <v>23</v>
      </c>
      <c r="J145" s="16">
        <v>89</v>
      </c>
      <c r="K145" s="16" t="s">
        <v>23</v>
      </c>
      <c r="L145" s="16" t="s">
        <v>23</v>
      </c>
      <c r="M145" s="16">
        <v>96</v>
      </c>
      <c r="N145" s="16" t="s">
        <v>23</v>
      </c>
      <c r="O145" s="16" t="s">
        <v>23</v>
      </c>
      <c r="P145" s="16" t="s">
        <v>23</v>
      </c>
      <c r="Q145" s="16">
        <v>56</v>
      </c>
      <c r="R145" s="16" t="s">
        <v>23</v>
      </c>
      <c r="S145" s="16">
        <v>57</v>
      </c>
      <c r="T145" s="16">
        <v>63</v>
      </c>
      <c r="U145" s="17" t="s">
        <v>23</v>
      </c>
    </row>
    <row r="146" spans="1:21" x14ac:dyDescent="0.35">
      <c r="A146" s="5" t="s">
        <v>100</v>
      </c>
      <c r="B146" s="6">
        <v>94100706007</v>
      </c>
      <c r="C146" s="14" t="s">
        <v>23</v>
      </c>
      <c r="D146" s="14" t="s">
        <v>23</v>
      </c>
      <c r="E146" s="14" t="s">
        <v>23</v>
      </c>
      <c r="F146" s="14" t="s">
        <v>23</v>
      </c>
      <c r="G146" s="14" t="s">
        <v>23</v>
      </c>
      <c r="H146" s="14" t="s">
        <v>23</v>
      </c>
      <c r="I146" s="14" t="s">
        <v>23</v>
      </c>
      <c r="J146" s="14">
        <v>74</v>
      </c>
      <c r="K146" s="14" t="s">
        <v>23</v>
      </c>
      <c r="L146" s="14" t="s">
        <v>23</v>
      </c>
      <c r="M146" s="14">
        <v>98</v>
      </c>
      <c r="N146" s="14" t="s">
        <v>23</v>
      </c>
      <c r="O146" s="14" t="s">
        <v>23</v>
      </c>
      <c r="P146" s="14" t="s">
        <v>23</v>
      </c>
      <c r="Q146" s="14">
        <v>66</v>
      </c>
      <c r="R146" s="14" t="s">
        <v>23</v>
      </c>
      <c r="S146" s="14">
        <v>56</v>
      </c>
      <c r="T146" s="14" t="s">
        <v>23</v>
      </c>
      <c r="U146" s="15" t="s">
        <v>23</v>
      </c>
    </row>
    <row r="147" spans="1:21" x14ac:dyDescent="0.35">
      <c r="A147" s="8" t="s">
        <v>100</v>
      </c>
      <c r="B147" s="9">
        <v>94102604723</v>
      </c>
      <c r="C147" s="16" t="s">
        <v>23</v>
      </c>
      <c r="D147" s="16" t="s">
        <v>23</v>
      </c>
      <c r="E147" s="16" t="s">
        <v>23</v>
      </c>
      <c r="F147" s="16" t="s">
        <v>23</v>
      </c>
      <c r="G147" s="16" t="s">
        <v>23</v>
      </c>
      <c r="H147" s="16" t="s">
        <v>23</v>
      </c>
      <c r="I147" s="16" t="s">
        <v>23</v>
      </c>
      <c r="J147" s="16" t="s">
        <v>23</v>
      </c>
      <c r="K147" s="16" t="s">
        <v>23</v>
      </c>
      <c r="L147" s="16">
        <v>73</v>
      </c>
      <c r="M147" s="16">
        <v>98</v>
      </c>
      <c r="N147" s="16">
        <v>82</v>
      </c>
      <c r="O147" s="16" t="s">
        <v>23</v>
      </c>
      <c r="P147" s="16" t="s">
        <v>23</v>
      </c>
      <c r="Q147" s="16">
        <v>68</v>
      </c>
      <c r="R147" s="16" t="s">
        <v>23</v>
      </c>
      <c r="S147" s="16">
        <v>50</v>
      </c>
      <c r="T147" s="16">
        <v>70</v>
      </c>
      <c r="U147" s="17" t="s">
        <v>23</v>
      </c>
    </row>
    <row r="148" spans="1:21" x14ac:dyDescent="0.35">
      <c r="A148" s="5" t="s">
        <v>100</v>
      </c>
      <c r="B148" s="6">
        <v>94103100907</v>
      </c>
      <c r="C148" s="14">
        <v>18</v>
      </c>
      <c r="D148" s="14">
        <v>12</v>
      </c>
      <c r="E148" s="14" t="s">
        <v>23</v>
      </c>
      <c r="F148" s="14" t="s">
        <v>23</v>
      </c>
      <c r="G148" s="14" t="s">
        <v>23</v>
      </c>
      <c r="H148" s="14" t="s">
        <v>23</v>
      </c>
      <c r="I148" s="14">
        <v>70</v>
      </c>
      <c r="J148" s="14" t="s">
        <v>23</v>
      </c>
      <c r="K148" s="14" t="s">
        <v>23</v>
      </c>
      <c r="L148" s="14" t="s">
        <v>23</v>
      </c>
      <c r="M148" s="14">
        <v>58</v>
      </c>
      <c r="N148" s="14" t="s">
        <v>23</v>
      </c>
      <c r="O148" s="14" t="s">
        <v>23</v>
      </c>
      <c r="P148" s="14" t="s">
        <v>23</v>
      </c>
      <c r="Q148" s="14">
        <v>58</v>
      </c>
      <c r="R148" s="14" t="s">
        <v>23</v>
      </c>
      <c r="S148" s="14">
        <v>43</v>
      </c>
      <c r="T148" s="14" t="s">
        <v>23</v>
      </c>
      <c r="U148" s="15" t="s">
        <v>23</v>
      </c>
    </row>
    <row r="149" spans="1:21" x14ac:dyDescent="0.35">
      <c r="A149" s="8" t="s">
        <v>100</v>
      </c>
      <c r="B149" s="9">
        <v>94110205866</v>
      </c>
      <c r="C149" s="16" t="s">
        <v>23</v>
      </c>
      <c r="D149" s="16" t="s">
        <v>23</v>
      </c>
      <c r="E149" s="16" t="s">
        <v>23</v>
      </c>
      <c r="F149" s="16" t="s">
        <v>23</v>
      </c>
      <c r="G149" s="16" t="s">
        <v>23</v>
      </c>
      <c r="H149" s="16" t="s">
        <v>23</v>
      </c>
      <c r="I149" s="16" t="s">
        <v>23</v>
      </c>
      <c r="J149" s="16">
        <v>78</v>
      </c>
      <c r="K149" s="16" t="s">
        <v>23</v>
      </c>
      <c r="L149" s="16" t="s">
        <v>23</v>
      </c>
      <c r="M149" s="16">
        <v>100</v>
      </c>
      <c r="N149" s="16" t="s">
        <v>23</v>
      </c>
      <c r="O149" s="16" t="s">
        <v>23</v>
      </c>
      <c r="P149" s="16" t="s">
        <v>23</v>
      </c>
      <c r="Q149" s="16">
        <v>96</v>
      </c>
      <c r="R149" s="16">
        <v>40</v>
      </c>
      <c r="S149" s="16">
        <v>80</v>
      </c>
      <c r="T149" s="16" t="s">
        <v>23</v>
      </c>
      <c r="U149" s="17" t="s">
        <v>23</v>
      </c>
    </row>
    <row r="150" spans="1:21" x14ac:dyDescent="0.35">
      <c r="A150" s="5" t="s">
        <v>100</v>
      </c>
      <c r="B150" s="6">
        <v>94121203482</v>
      </c>
      <c r="C150" s="14" t="s">
        <v>23</v>
      </c>
      <c r="D150" s="14" t="s">
        <v>23</v>
      </c>
      <c r="E150" s="14" t="s">
        <v>23</v>
      </c>
      <c r="F150" s="14" t="s">
        <v>23</v>
      </c>
      <c r="G150" s="14" t="s">
        <v>23</v>
      </c>
      <c r="H150" s="14" t="s">
        <v>23</v>
      </c>
      <c r="I150" s="14">
        <v>90</v>
      </c>
      <c r="J150" s="14" t="s">
        <v>23</v>
      </c>
      <c r="K150" s="14" t="s">
        <v>23</v>
      </c>
      <c r="L150" s="14" t="s">
        <v>23</v>
      </c>
      <c r="M150" s="14">
        <v>92</v>
      </c>
      <c r="N150" s="14">
        <v>71</v>
      </c>
      <c r="O150" s="14" t="s">
        <v>23</v>
      </c>
      <c r="P150" s="14" t="s">
        <v>23</v>
      </c>
      <c r="Q150" s="14">
        <v>38</v>
      </c>
      <c r="R150" s="14" t="s">
        <v>23</v>
      </c>
      <c r="S150" s="14">
        <v>47</v>
      </c>
      <c r="T150" s="14">
        <v>58</v>
      </c>
      <c r="U150" s="15" t="s">
        <v>23</v>
      </c>
    </row>
    <row r="151" spans="1:21" x14ac:dyDescent="0.35">
      <c r="A151" s="8" t="s">
        <v>100</v>
      </c>
      <c r="B151" s="9">
        <v>94121709025</v>
      </c>
      <c r="C151" s="16" t="s">
        <v>23</v>
      </c>
      <c r="D151" s="16" t="s">
        <v>23</v>
      </c>
      <c r="E151" s="16" t="s">
        <v>23</v>
      </c>
      <c r="F151" s="16">
        <v>53</v>
      </c>
      <c r="G151" s="16" t="s">
        <v>23</v>
      </c>
      <c r="H151" s="16" t="s">
        <v>23</v>
      </c>
      <c r="I151" s="16">
        <v>98</v>
      </c>
      <c r="J151" s="16">
        <v>66</v>
      </c>
      <c r="K151" s="16" t="s">
        <v>23</v>
      </c>
      <c r="L151" s="16" t="s">
        <v>23</v>
      </c>
      <c r="M151" s="16" t="s">
        <v>23</v>
      </c>
      <c r="N151" s="16">
        <v>67</v>
      </c>
      <c r="O151" s="16" t="s">
        <v>23</v>
      </c>
      <c r="P151" s="16" t="s">
        <v>23</v>
      </c>
      <c r="Q151" s="16">
        <v>62</v>
      </c>
      <c r="R151" s="16" t="s">
        <v>23</v>
      </c>
      <c r="S151" s="16">
        <v>71</v>
      </c>
      <c r="T151" s="16">
        <v>63</v>
      </c>
      <c r="U151" s="17" t="s">
        <v>23</v>
      </c>
    </row>
    <row r="152" spans="1:21" x14ac:dyDescent="0.35">
      <c r="A152" s="5" t="s">
        <v>100</v>
      </c>
      <c r="B152" s="6">
        <v>95011300625</v>
      </c>
      <c r="C152" s="14" t="s">
        <v>23</v>
      </c>
      <c r="D152" s="14" t="s">
        <v>23</v>
      </c>
      <c r="E152" s="14" t="s">
        <v>23</v>
      </c>
      <c r="F152" s="14">
        <v>52</v>
      </c>
      <c r="G152" s="14" t="s">
        <v>23</v>
      </c>
      <c r="H152" s="14" t="s">
        <v>23</v>
      </c>
      <c r="I152" s="14">
        <v>98</v>
      </c>
      <c r="J152" s="14" t="s">
        <v>23</v>
      </c>
      <c r="K152" s="14" t="s">
        <v>23</v>
      </c>
      <c r="L152" s="14" t="s">
        <v>23</v>
      </c>
      <c r="M152" s="14">
        <v>93</v>
      </c>
      <c r="N152" s="14">
        <v>70</v>
      </c>
      <c r="O152" s="14" t="s">
        <v>23</v>
      </c>
      <c r="P152" s="14" t="s">
        <v>23</v>
      </c>
      <c r="Q152" s="14">
        <v>58</v>
      </c>
      <c r="R152" s="14">
        <v>36</v>
      </c>
      <c r="S152" s="14">
        <v>41</v>
      </c>
      <c r="T152" s="14" t="s">
        <v>23</v>
      </c>
      <c r="U152" s="15" t="s">
        <v>23</v>
      </c>
    </row>
    <row r="153" spans="1:21" x14ac:dyDescent="0.35">
      <c r="A153" s="11" t="s">
        <v>100</v>
      </c>
      <c r="B153" s="1">
        <v>95032804489</v>
      </c>
      <c r="C153" s="18">
        <v>43</v>
      </c>
      <c r="D153" s="18">
        <v>43</v>
      </c>
      <c r="E153" s="18" t="s">
        <v>23</v>
      </c>
      <c r="F153" s="18" t="s">
        <v>23</v>
      </c>
      <c r="G153" s="18" t="s">
        <v>23</v>
      </c>
      <c r="H153" s="18" t="s">
        <v>23</v>
      </c>
      <c r="I153" s="18">
        <v>95</v>
      </c>
      <c r="J153" s="18" t="s">
        <v>23</v>
      </c>
      <c r="K153" s="18" t="s">
        <v>23</v>
      </c>
      <c r="L153" s="18" t="s">
        <v>23</v>
      </c>
      <c r="M153" s="18" t="s">
        <v>23</v>
      </c>
      <c r="N153" s="18">
        <v>70</v>
      </c>
      <c r="O153" s="18" t="s">
        <v>23</v>
      </c>
      <c r="P153" s="18" t="s">
        <v>23</v>
      </c>
      <c r="Q153" s="18">
        <v>62</v>
      </c>
      <c r="R153" s="18" t="s">
        <v>23</v>
      </c>
      <c r="S153" s="18">
        <v>59</v>
      </c>
      <c r="T153" s="18" t="s">
        <v>23</v>
      </c>
      <c r="U153" s="19" t="s">
        <v>23</v>
      </c>
    </row>
    <row r="154" spans="1:21" x14ac:dyDescent="0.35">
      <c r="A154" s="13" t="s">
        <v>105</v>
      </c>
      <c r="B154" s="13" t="s">
        <v>105</v>
      </c>
      <c r="C154" s="20">
        <f>COUNTIF(C2:C153,"&gt;0")</f>
        <v>40</v>
      </c>
      <c r="D154" s="20">
        <f t="shared" ref="D154:U154" si="0">COUNTIF(D2:D153,"&gt;0")</f>
        <v>33</v>
      </c>
      <c r="E154" s="20">
        <f t="shared" si="0"/>
        <v>27</v>
      </c>
      <c r="F154" s="20">
        <f t="shared" si="0"/>
        <v>32</v>
      </c>
      <c r="G154" s="20">
        <f t="shared" si="0"/>
        <v>20</v>
      </c>
      <c r="H154" s="20">
        <f t="shared" si="0"/>
        <v>5</v>
      </c>
      <c r="I154" s="20">
        <f t="shared" si="0"/>
        <v>146</v>
      </c>
      <c r="J154" s="20">
        <f t="shared" si="0"/>
        <v>101</v>
      </c>
      <c r="K154" s="20">
        <f t="shared" si="0"/>
        <v>5</v>
      </c>
      <c r="L154" s="20">
        <f t="shared" si="0"/>
        <v>2</v>
      </c>
      <c r="M154" s="20">
        <f t="shared" si="0"/>
        <v>19</v>
      </c>
      <c r="N154" s="20">
        <f t="shared" si="0"/>
        <v>20</v>
      </c>
      <c r="O154" s="20">
        <f t="shared" si="0"/>
        <v>5</v>
      </c>
      <c r="P154" s="20">
        <f t="shared" si="0"/>
        <v>2</v>
      </c>
      <c r="Q154" s="20">
        <f t="shared" si="0"/>
        <v>152</v>
      </c>
      <c r="R154" s="20">
        <f t="shared" si="0"/>
        <v>61</v>
      </c>
      <c r="S154" s="20">
        <f t="shared" si="0"/>
        <v>152</v>
      </c>
      <c r="T154" s="20">
        <f t="shared" si="0"/>
        <v>53</v>
      </c>
      <c r="U154" s="20">
        <f t="shared" si="0"/>
        <v>19</v>
      </c>
    </row>
    <row r="155" spans="1:21" x14ac:dyDescent="0.35">
      <c r="A155" s="22" t="s">
        <v>106</v>
      </c>
      <c r="B155" s="22" t="s">
        <v>106</v>
      </c>
      <c r="C155" s="23">
        <f>SUM(C2:C153)/C154</f>
        <v>66.599999999999994</v>
      </c>
      <c r="D155" s="23">
        <f t="shared" ref="D155:U155" si="1">SUM(D2:D153)/D154</f>
        <v>59.545454545454547</v>
      </c>
      <c r="E155" s="23">
        <f t="shared" si="1"/>
        <v>63.25925925925926</v>
      </c>
      <c r="F155" s="23">
        <f t="shared" si="1"/>
        <v>65.5625</v>
      </c>
      <c r="G155" s="23">
        <f t="shared" si="1"/>
        <v>77.8</v>
      </c>
      <c r="H155" s="23">
        <f t="shared" si="1"/>
        <v>77.2</v>
      </c>
      <c r="I155" s="23">
        <f t="shared" si="1"/>
        <v>92.705479452054789</v>
      </c>
      <c r="J155" s="23">
        <f t="shared" si="1"/>
        <v>77.643564356435647</v>
      </c>
      <c r="K155" s="23">
        <f t="shared" si="1"/>
        <v>79.400000000000006</v>
      </c>
      <c r="L155" s="23">
        <f t="shared" si="1"/>
        <v>80.5</v>
      </c>
      <c r="M155" s="23">
        <f t="shared" si="1"/>
        <v>89.89473684210526</v>
      </c>
      <c r="N155" s="23">
        <f t="shared" si="1"/>
        <v>70.2</v>
      </c>
      <c r="O155" s="23">
        <f t="shared" si="1"/>
        <v>98.4</v>
      </c>
      <c r="P155" s="23">
        <f t="shared" si="1"/>
        <v>79.5</v>
      </c>
      <c r="Q155" s="23">
        <f t="shared" si="1"/>
        <v>73.78947368421052</v>
      </c>
      <c r="R155" s="23">
        <f t="shared" si="1"/>
        <v>59.442622950819676</v>
      </c>
      <c r="S155" s="23">
        <f t="shared" si="1"/>
        <v>61.907894736842103</v>
      </c>
      <c r="T155" s="23">
        <f t="shared" si="1"/>
        <v>67.547169811320757</v>
      </c>
      <c r="U155" s="23">
        <f t="shared" si="1"/>
        <v>56.315789473684212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ED15-61BD-4F63-91A8-9351D993BC8F}">
  <dimension ref="A1:X153"/>
  <sheetViews>
    <sheetView topLeftCell="N6" zoomScale="80" workbookViewId="0">
      <selection activeCell="AD15" sqref="AD15"/>
    </sheetView>
  </sheetViews>
  <sheetFormatPr defaultRowHeight="14.5" x14ac:dyDescent="0.35"/>
  <cols>
    <col min="1" max="1" width="8.26953125" bestFit="1" customWidth="1"/>
    <col min="2" max="2" width="11.81640625" bestFit="1" customWidth="1"/>
    <col min="3" max="3" width="11.36328125" bestFit="1" customWidth="1"/>
    <col min="4" max="4" width="11.08984375" bestFit="1" customWidth="1"/>
    <col min="5" max="5" width="9.90625" bestFit="1" customWidth="1"/>
    <col min="6" max="6" width="12.90625" bestFit="1" customWidth="1"/>
    <col min="7" max="7" width="11.36328125" bestFit="1" customWidth="1"/>
    <col min="8" max="8" width="15.26953125" bestFit="1" customWidth="1"/>
    <col min="9" max="10" width="12.1796875" bestFit="1" customWidth="1"/>
    <col min="11" max="12" width="12.7265625" bestFit="1" customWidth="1"/>
    <col min="13" max="14" width="13.6328125" bestFit="1" customWidth="1"/>
    <col min="15" max="16" width="12.90625" bestFit="1" customWidth="1"/>
    <col min="17" max="18" width="15.6328125" bestFit="1" customWidth="1"/>
    <col min="19" max="20" width="9.7265625" bestFit="1" customWidth="1"/>
    <col min="21" max="21" width="8.90625" bestFit="1" customWidth="1"/>
    <col min="22" max="22" width="17.36328125" bestFit="1" customWidth="1"/>
    <col min="23" max="23" width="10" bestFit="1" customWidth="1"/>
    <col min="24" max="24" width="8.7265625" customWidth="1"/>
  </cols>
  <sheetData>
    <row r="1" spans="1:2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24" t="s">
        <v>114</v>
      </c>
      <c r="W1" s="24" t="s">
        <v>115</v>
      </c>
      <c r="X1" s="24" t="s">
        <v>116</v>
      </c>
    </row>
    <row r="2" spans="1:24" x14ac:dyDescent="0.35">
      <c r="A2" s="5" t="s">
        <v>21</v>
      </c>
      <c r="B2" s="6">
        <v>95010405222</v>
      </c>
      <c r="C2" s="6">
        <v>52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>
        <v>100</v>
      </c>
      <c r="J2" s="6">
        <v>91</v>
      </c>
      <c r="K2" s="6" t="s">
        <v>23</v>
      </c>
      <c r="L2" s="6">
        <v>88</v>
      </c>
      <c r="M2" s="6" t="s">
        <v>23</v>
      </c>
      <c r="N2" s="6" t="s">
        <v>23</v>
      </c>
      <c r="O2" s="6" t="s">
        <v>23</v>
      </c>
      <c r="P2" s="6" t="s">
        <v>23</v>
      </c>
      <c r="Q2" s="6">
        <v>80</v>
      </c>
      <c r="R2" s="6" t="s">
        <v>23</v>
      </c>
      <c r="S2" s="6">
        <v>67</v>
      </c>
      <c r="T2" s="6" t="s">
        <v>23</v>
      </c>
      <c r="U2" s="7" t="s">
        <v>23</v>
      </c>
      <c r="V2" t="s">
        <v>110</v>
      </c>
      <c r="W2">
        <f>COUNTIF($Q$2:$Q$153,"&lt;31")</f>
        <v>0</v>
      </c>
      <c r="X2" s="25">
        <f>W2/$W$8</f>
        <v>0</v>
      </c>
    </row>
    <row r="3" spans="1:24" x14ac:dyDescent="0.35">
      <c r="A3" s="8" t="s">
        <v>21</v>
      </c>
      <c r="B3" s="9">
        <v>95011310048</v>
      </c>
      <c r="C3" s="9">
        <v>33</v>
      </c>
      <c r="D3" s="9">
        <v>52</v>
      </c>
      <c r="E3" s="9" t="s">
        <v>23</v>
      </c>
      <c r="F3" s="9" t="s">
        <v>23</v>
      </c>
      <c r="G3" s="9" t="s">
        <v>23</v>
      </c>
      <c r="H3" s="9" t="s">
        <v>23</v>
      </c>
      <c r="I3" s="9">
        <v>73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23</v>
      </c>
      <c r="O3" s="9" t="s">
        <v>23</v>
      </c>
      <c r="P3" s="9" t="s">
        <v>23</v>
      </c>
      <c r="Q3" s="9">
        <v>56</v>
      </c>
      <c r="R3" s="9" t="s">
        <v>23</v>
      </c>
      <c r="S3" s="9">
        <v>40</v>
      </c>
      <c r="T3" s="9" t="s">
        <v>23</v>
      </c>
      <c r="U3" s="10" t="s">
        <v>23</v>
      </c>
      <c r="V3" t="s">
        <v>109</v>
      </c>
      <c r="W3">
        <f>COUNTIFS($Q$2:$Q$153,"&gt;=31",$Q$2:$Q$153,"&lt;=50")</f>
        <v>17</v>
      </c>
      <c r="X3" s="25">
        <f t="shared" ref="X3:X8" si="0">W3/$W$8</f>
        <v>0.1118421052631579</v>
      </c>
    </row>
    <row r="4" spans="1:24" x14ac:dyDescent="0.35">
      <c r="A4" s="5" t="s">
        <v>21</v>
      </c>
      <c r="B4" s="6">
        <v>95012311345</v>
      </c>
      <c r="C4" s="6">
        <v>70</v>
      </c>
      <c r="D4" s="6">
        <v>58</v>
      </c>
      <c r="E4" s="6" t="s">
        <v>23</v>
      </c>
      <c r="F4" s="6" t="s">
        <v>23</v>
      </c>
      <c r="G4" s="6" t="s">
        <v>23</v>
      </c>
      <c r="H4" s="6" t="s">
        <v>23</v>
      </c>
      <c r="I4" s="6">
        <v>92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>
        <v>60</v>
      </c>
      <c r="R4" s="6" t="s">
        <v>23</v>
      </c>
      <c r="S4" s="6">
        <v>61</v>
      </c>
      <c r="T4" s="6" t="s">
        <v>23</v>
      </c>
      <c r="U4" s="7" t="s">
        <v>23</v>
      </c>
      <c r="V4" t="s">
        <v>108</v>
      </c>
      <c r="W4">
        <f>COUNTIFS($Q$2:$Q$153,"&gt;=51",$Q$2:$Q$153,"&lt;=75")</f>
        <v>59</v>
      </c>
      <c r="X4" s="25">
        <f t="shared" si="0"/>
        <v>0.38815789473684209</v>
      </c>
    </row>
    <row r="5" spans="1:24" x14ac:dyDescent="0.35">
      <c r="A5" s="8" t="s">
        <v>21</v>
      </c>
      <c r="B5" s="9">
        <v>95030607404</v>
      </c>
      <c r="C5" s="9">
        <v>90</v>
      </c>
      <c r="D5" s="9">
        <v>78</v>
      </c>
      <c r="E5" s="9" t="s">
        <v>23</v>
      </c>
      <c r="F5" s="9" t="s">
        <v>23</v>
      </c>
      <c r="G5" s="9" t="s">
        <v>23</v>
      </c>
      <c r="H5" s="9" t="s">
        <v>23</v>
      </c>
      <c r="I5" s="9">
        <v>98</v>
      </c>
      <c r="J5" s="9">
        <v>68</v>
      </c>
      <c r="K5" s="9" t="s">
        <v>23</v>
      </c>
      <c r="L5" s="9" t="s">
        <v>23</v>
      </c>
      <c r="M5" s="9" t="s">
        <v>23</v>
      </c>
      <c r="N5" s="9" t="s">
        <v>23</v>
      </c>
      <c r="O5" s="9" t="s">
        <v>23</v>
      </c>
      <c r="P5" s="9" t="s">
        <v>23</v>
      </c>
      <c r="Q5" s="9">
        <v>70</v>
      </c>
      <c r="R5" s="9" t="s">
        <v>23</v>
      </c>
      <c r="S5" s="9">
        <v>73</v>
      </c>
      <c r="T5" s="9" t="s">
        <v>23</v>
      </c>
      <c r="U5" s="10" t="s">
        <v>23</v>
      </c>
      <c r="V5" t="s">
        <v>111</v>
      </c>
      <c r="W5">
        <f>COUNTIFS($Q$2:$Q$153,"&gt;=76",$Q$2:$Q$153,"&lt;=90")</f>
        <v>42</v>
      </c>
      <c r="X5" s="25">
        <f t="shared" si="0"/>
        <v>0.27631578947368424</v>
      </c>
    </row>
    <row r="6" spans="1:24" x14ac:dyDescent="0.35">
      <c r="A6" s="5" t="s">
        <v>21</v>
      </c>
      <c r="B6" s="6">
        <v>95031506511</v>
      </c>
      <c r="C6" s="6">
        <v>62</v>
      </c>
      <c r="D6" s="6">
        <v>62</v>
      </c>
      <c r="E6" s="6" t="s">
        <v>23</v>
      </c>
      <c r="F6" s="6" t="s">
        <v>23</v>
      </c>
      <c r="G6" s="6" t="s">
        <v>23</v>
      </c>
      <c r="H6" s="6" t="s">
        <v>23</v>
      </c>
      <c r="I6" s="6">
        <v>87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>
        <v>70</v>
      </c>
      <c r="R6" s="6" t="s">
        <v>23</v>
      </c>
      <c r="S6" s="6">
        <v>51</v>
      </c>
      <c r="T6" s="6" t="s">
        <v>23</v>
      </c>
      <c r="U6" s="7" t="s">
        <v>23</v>
      </c>
      <c r="V6" t="s">
        <v>112</v>
      </c>
      <c r="W6">
        <f>COUNTIFS($Q$2:$Q$153,"&gt;=91",$Q$2:$Q$153,"&lt;=99")</f>
        <v>27</v>
      </c>
      <c r="X6" s="25">
        <f t="shared" si="0"/>
        <v>0.17763157894736842</v>
      </c>
    </row>
    <row r="7" spans="1:24" x14ac:dyDescent="0.35">
      <c r="A7" s="8" t="s">
        <v>21</v>
      </c>
      <c r="B7" s="9">
        <v>95031714219</v>
      </c>
      <c r="C7" s="9">
        <v>65</v>
      </c>
      <c r="D7" s="9">
        <v>65</v>
      </c>
      <c r="E7" s="9" t="s">
        <v>23</v>
      </c>
      <c r="F7" s="9" t="s">
        <v>23</v>
      </c>
      <c r="G7" s="9" t="s">
        <v>23</v>
      </c>
      <c r="H7" s="9" t="s">
        <v>23</v>
      </c>
      <c r="I7" s="9">
        <v>75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>
        <v>48</v>
      </c>
      <c r="R7" s="9" t="s">
        <v>23</v>
      </c>
      <c r="S7" s="9">
        <v>40</v>
      </c>
      <c r="T7" s="9" t="s">
        <v>23</v>
      </c>
      <c r="U7" s="10" t="s">
        <v>23</v>
      </c>
      <c r="V7" t="s">
        <v>113</v>
      </c>
      <c r="W7">
        <f>COUNTIF($Q$2:$Q$153,100)</f>
        <v>7</v>
      </c>
      <c r="X7" s="25">
        <f t="shared" si="0"/>
        <v>4.6052631578947366E-2</v>
      </c>
    </row>
    <row r="8" spans="1:24" x14ac:dyDescent="0.35">
      <c r="A8" s="5" t="s">
        <v>21</v>
      </c>
      <c r="B8" s="6">
        <v>95032402083</v>
      </c>
      <c r="C8" s="6" t="s">
        <v>23</v>
      </c>
      <c r="D8" s="6">
        <v>58</v>
      </c>
      <c r="E8" s="6" t="s">
        <v>23</v>
      </c>
      <c r="F8" s="6" t="s">
        <v>23</v>
      </c>
      <c r="G8" s="6" t="s">
        <v>23</v>
      </c>
      <c r="H8" s="6" t="s">
        <v>23</v>
      </c>
      <c r="I8" s="6">
        <v>96</v>
      </c>
      <c r="J8" s="6">
        <v>61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>
        <v>94</v>
      </c>
      <c r="R8" s="6">
        <v>34</v>
      </c>
      <c r="S8" s="6">
        <v>74</v>
      </c>
      <c r="T8" s="6" t="s">
        <v>23</v>
      </c>
      <c r="U8" s="7" t="s">
        <v>23</v>
      </c>
      <c r="W8">
        <f>SUM(W2:W7)</f>
        <v>152</v>
      </c>
    </row>
    <row r="9" spans="1:24" x14ac:dyDescent="0.35">
      <c r="A9" s="8" t="s">
        <v>21</v>
      </c>
      <c r="B9" s="9">
        <v>95032701960</v>
      </c>
      <c r="C9" s="9">
        <v>77</v>
      </c>
      <c r="D9" s="9">
        <v>85</v>
      </c>
      <c r="E9" s="9" t="s">
        <v>23</v>
      </c>
      <c r="F9" s="9" t="s">
        <v>23</v>
      </c>
      <c r="G9" s="9" t="s">
        <v>23</v>
      </c>
      <c r="H9" s="9" t="s">
        <v>23</v>
      </c>
      <c r="I9" s="9">
        <v>96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>
        <v>96</v>
      </c>
      <c r="R9" s="9" t="s">
        <v>23</v>
      </c>
      <c r="S9" s="9">
        <v>77</v>
      </c>
      <c r="T9" s="9" t="s">
        <v>23</v>
      </c>
      <c r="U9" s="10" t="s">
        <v>23</v>
      </c>
    </row>
    <row r="10" spans="1:24" x14ac:dyDescent="0.35">
      <c r="A10" s="5" t="s">
        <v>21</v>
      </c>
      <c r="B10" s="6">
        <v>95040412034</v>
      </c>
      <c r="C10" s="6">
        <v>93</v>
      </c>
      <c r="D10" s="6">
        <v>67</v>
      </c>
      <c r="E10" s="6" t="s">
        <v>23</v>
      </c>
      <c r="F10" s="6" t="s">
        <v>23</v>
      </c>
      <c r="G10" s="6" t="s">
        <v>23</v>
      </c>
      <c r="H10" s="6" t="s">
        <v>23</v>
      </c>
      <c r="I10" s="6">
        <v>84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>
        <v>86</v>
      </c>
      <c r="R10" s="6" t="s">
        <v>23</v>
      </c>
      <c r="S10" s="6">
        <v>73</v>
      </c>
      <c r="T10" s="6" t="s">
        <v>23</v>
      </c>
      <c r="U10" s="7" t="s">
        <v>23</v>
      </c>
    </row>
    <row r="11" spans="1:24" x14ac:dyDescent="0.35">
      <c r="A11" s="8" t="s">
        <v>21</v>
      </c>
      <c r="B11" s="9">
        <v>95040908766</v>
      </c>
      <c r="C11" s="9">
        <v>57</v>
      </c>
      <c r="D11" s="9">
        <v>47</v>
      </c>
      <c r="E11" s="9" t="s">
        <v>23</v>
      </c>
      <c r="F11" s="9" t="s">
        <v>23</v>
      </c>
      <c r="G11" s="9" t="s">
        <v>23</v>
      </c>
      <c r="H11" s="9" t="s">
        <v>23</v>
      </c>
      <c r="I11" s="9">
        <v>87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>
        <v>40</v>
      </c>
      <c r="R11" s="9" t="s">
        <v>23</v>
      </c>
      <c r="S11" s="9">
        <v>43</v>
      </c>
      <c r="T11" s="9" t="s">
        <v>23</v>
      </c>
      <c r="U11" s="10" t="s">
        <v>23</v>
      </c>
    </row>
    <row r="12" spans="1:24" x14ac:dyDescent="0.35">
      <c r="A12" s="5" t="s">
        <v>21</v>
      </c>
      <c r="B12" s="6">
        <v>95041309368</v>
      </c>
      <c r="C12" s="6">
        <v>60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  <c r="I12" s="6">
        <v>96</v>
      </c>
      <c r="J12" s="6">
        <v>89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>
        <v>70</v>
      </c>
      <c r="R12" s="6" t="s">
        <v>23</v>
      </c>
      <c r="S12" s="6">
        <v>76</v>
      </c>
      <c r="T12" s="6" t="s">
        <v>23</v>
      </c>
      <c r="U12" s="7" t="s">
        <v>23</v>
      </c>
    </row>
    <row r="13" spans="1:24" x14ac:dyDescent="0.35">
      <c r="A13" s="8" t="s">
        <v>21</v>
      </c>
      <c r="B13" s="9">
        <v>95052600643</v>
      </c>
      <c r="C13" s="9" t="s">
        <v>23</v>
      </c>
      <c r="D13" s="9" t="s">
        <v>23</v>
      </c>
      <c r="E13" s="9" t="s">
        <v>23</v>
      </c>
      <c r="F13" s="9">
        <v>90</v>
      </c>
      <c r="G13" s="9" t="s">
        <v>23</v>
      </c>
      <c r="H13" s="9" t="s">
        <v>23</v>
      </c>
      <c r="I13" s="9">
        <v>100</v>
      </c>
      <c r="J13" s="9">
        <v>100</v>
      </c>
      <c r="K13" s="9" t="s">
        <v>23</v>
      </c>
      <c r="L13" s="9" t="s">
        <v>23</v>
      </c>
      <c r="M13" s="9" t="s">
        <v>23</v>
      </c>
      <c r="N13" s="9" t="s">
        <v>23</v>
      </c>
      <c r="O13" s="9">
        <v>100</v>
      </c>
      <c r="P13" s="9" t="s">
        <v>23</v>
      </c>
      <c r="Q13" s="9">
        <v>98</v>
      </c>
      <c r="R13" s="9">
        <v>86</v>
      </c>
      <c r="S13" s="9">
        <v>80</v>
      </c>
      <c r="T13" s="9" t="s">
        <v>23</v>
      </c>
      <c r="U13" s="10" t="s">
        <v>23</v>
      </c>
    </row>
    <row r="14" spans="1:24" x14ac:dyDescent="0.35">
      <c r="A14" s="5" t="s">
        <v>21</v>
      </c>
      <c r="B14" s="6">
        <v>95061500402</v>
      </c>
      <c r="C14" s="6">
        <v>95</v>
      </c>
      <c r="D14" s="6">
        <v>88</v>
      </c>
      <c r="E14" s="6" t="s">
        <v>23</v>
      </c>
      <c r="F14" s="6" t="s">
        <v>23</v>
      </c>
      <c r="G14" s="6" t="s">
        <v>23</v>
      </c>
      <c r="H14" s="6" t="s">
        <v>23</v>
      </c>
      <c r="I14" s="6">
        <v>92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>
        <v>92</v>
      </c>
      <c r="R14" s="6" t="s">
        <v>23</v>
      </c>
      <c r="S14" s="6">
        <v>79</v>
      </c>
      <c r="T14" s="6" t="s">
        <v>23</v>
      </c>
      <c r="U14" s="7" t="s">
        <v>23</v>
      </c>
    </row>
    <row r="15" spans="1:24" x14ac:dyDescent="0.35">
      <c r="A15" s="8" t="s">
        <v>21</v>
      </c>
      <c r="B15" s="9">
        <v>95061702842</v>
      </c>
      <c r="C15" s="9">
        <v>75</v>
      </c>
      <c r="D15" s="9">
        <v>67</v>
      </c>
      <c r="E15" s="9" t="s">
        <v>23</v>
      </c>
      <c r="F15" s="9" t="s">
        <v>23</v>
      </c>
      <c r="G15" s="9" t="s">
        <v>23</v>
      </c>
      <c r="H15" s="9" t="s">
        <v>23</v>
      </c>
      <c r="I15" s="9">
        <v>91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>
        <v>88</v>
      </c>
      <c r="R15" s="9" t="s">
        <v>23</v>
      </c>
      <c r="S15" s="9">
        <v>59</v>
      </c>
      <c r="T15" s="9" t="s">
        <v>23</v>
      </c>
      <c r="U15" s="10" t="s">
        <v>23</v>
      </c>
    </row>
    <row r="16" spans="1:24" x14ac:dyDescent="0.35">
      <c r="A16" s="5" t="s">
        <v>21</v>
      </c>
      <c r="B16" s="6">
        <v>95062301712</v>
      </c>
      <c r="C16" s="6">
        <v>85</v>
      </c>
      <c r="D16" s="6">
        <v>83</v>
      </c>
      <c r="E16" s="6">
        <v>48</v>
      </c>
      <c r="F16" s="6" t="s">
        <v>23</v>
      </c>
      <c r="G16" s="6" t="s">
        <v>23</v>
      </c>
      <c r="H16" s="6" t="s">
        <v>23</v>
      </c>
      <c r="I16" s="6">
        <v>94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>
        <v>92</v>
      </c>
      <c r="R16" s="6" t="s">
        <v>23</v>
      </c>
      <c r="S16" s="6">
        <v>56</v>
      </c>
      <c r="T16" s="6" t="s">
        <v>23</v>
      </c>
      <c r="U16" s="7" t="s">
        <v>23</v>
      </c>
    </row>
    <row r="17" spans="1:21" x14ac:dyDescent="0.35">
      <c r="A17" s="8" t="s">
        <v>21</v>
      </c>
      <c r="B17" s="9">
        <v>95071508265</v>
      </c>
      <c r="C17" s="9">
        <v>62</v>
      </c>
      <c r="D17" s="9">
        <v>48</v>
      </c>
      <c r="E17" s="9" t="s">
        <v>23</v>
      </c>
      <c r="F17" s="9" t="s">
        <v>23</v>
      </c>
      <c r="G17" s="9" t="s">
        <v>23</v>
      </c>
      <c r="H17" s="9" t="s">
        <v>23</v>
      </c>
      <c r="I17" s="9">
        <v>85</v>
      </c>
      <c r="J17" s="9" t="s">
        <v>23</v>
      </c>
      <c r="K17" s="9" t="s">
        <v>23</v>
      </c>
      <c r="L17" s="9" t="s">
        <v>23</v>
      </c>
      <c r="M17" s="9" t="s">
        <v>23</v>
      </c>
      <c r="N17" s="9" t="s">
        <v>23</v>
      </c>
      <c r="O17" s="9" t="s">
        <v>23</v>
      </c>
      <c r="P17" s="9" t="s">
        <v>23</v>
      </c>
      <c r="Q17" s="9">
        <v>58</v>
      </c>
      <c r="R17" s="9" t="s">
        <v>23</v>
      </c>
      <c r="S17" s="9">
        <v>59</v>
      </c>
      <c r="T17" s="9" t="s">
        <v>23</v>
      </c>
      <c r="U17" s="10" t="s">
        <v>23</v>
      </c>
    </row>
    <row r="18" spans="1:21" x14ac:dyDescent="0.35">
      <c r="A18" s="5" t="s">
        <v>21</v>
      </c>
      <c r="B18" s="6">
        <v>95071807500</v>
      </c>
      <c r="C18" s="6">
        <v>68</v>
      </c>
      <c r="D18" s="6">
        <v>62</v>
      </c>
      <c r="E18" s="6" t="s">
        <v>23</v>
      </c>
      <c r="F18" s="6" t="s">
        <v>23</v>
      </c>
      <c r="G18" s="6" t="s">
        <v>23</v>
      </c>
      <c r="H18" s="6" t="s">
        <v>23</v>
      </c>
      <c r="I18" s="6">
        <v>99</v>
      </c>
      <c r="J18" s="6">
        <v>93</v>
      </c>
      <c r="K18" s="6" t="s">
        <v>23</v>
      </c>
      <c r="L18" s="6" t="s">
        <v>23</v>
      </c>
      <c r="M18" s="6" t="s">
        <v>23</v>
      </c>
      <c r="N18" s="6" t="s">
        <v>23</v>
      </c>
      <c r="O18" s="6" t="s">
        <v>23</v>
      </c>
      <c r="P18" s="6" t="s">
        <v>23</v>
      </c>
      <c r="Q18" s="6">
        <v>78</v>
      </c>
      <c r="R18" s="6" t="s">
        <v>23</v>
      </c>
      <c r="S18" s="6">
        <v>54</v>
      </c>
      <c r="T18" s="6" t="s">
        <v>23</v>
      </c>
      <c r="U18" s="7" t="s">
        <v>23</v>
      </c>
    </row>
    <row r="19" spans="1:21" x14ac:dyDescent="0.35">
      <c r="A19" s="8" t="s">
        <v>21</v>
      </c>
      <c r="B19" s="9">
        <v>95072900844</v>
      </c>
      <c r="C19" s="9">
        <v>55</v>
      </c>
      <c r="D19" s="9">
        <v>62</v>
      </c>
      <c r="E19" s="9" t="s">
        <v>23</v>
      </c>
      <c r="F19" s="9" t="s">
        <v>23</v>
      </c>
      <c r="G19" s="9" t="s">
        <v>23</v>
      </c>
      <c r="H19" s="9" t="s">
        <v>23</v>
      </c>
      <c r="I19" s="9">
        <v>96</v>
      </c>
      <c r="J19" s="9">
        <v>86</v>
      </c>
      <c r="K19" s="9" t="s">
        <v>23</v>
      </c>
      <c r="L19" s="9" t="s">
        <v>23</v>
      </c>
      <c r="M19" s="9" t="s">
        <v>23</v>
      </c>
      <c r="N19" s="9" t="s">
        <v>23</v>
      </c>
      <c r="O19" s="9" t="s">
        <v>23</v>
      </c>
      <c r="P19" s="9" t="s">
        <v>23</v>
      </c>
      <c r="Q19" s="9">
        <v>92</v>
      </c>
      <c r="R19" s="9" t="s">
        <v>23</v>
      </c>
      <c r="S19" s="9">
        <v>73</v>
      </c>
      <c r="T19" s="9" t="s">
        <v>23</v>
      </c>
      <c r="U19" s="10" t="s">
        <v>23</v>
      </c>
    </row>
    <row r="20" spans="1:21" x14ac:dyDescent="0.35">
      <c r="A20" s="5" t="s">
        <v>21</v>
      </c>
      <c r="B20" s="6">
        <v>95073111506</v>
      </c>
      <c r="C20" s="6">
        <v>68</v>
      </c>
      <c r="D20" s="6">
        <v>45</v>
      </c>
      <c r="E20" s="6" t="s">
        <v>23</v>
      </c>
      <c r="F20" s="6" t="s">
        <v>23</v>
      </c>
      <c r="G20" s="6" t="s">
        <v>23</v>
      </c>
      <c r="H20" s="6" t="s">
        <v>23</v>
      </c>
      <c r="I20" s="6">
        <v>92</v>
      </c>
      <c r="J20" s="6" t="s">
        <v>23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>
        <v>78</v>
      </c>
      <c r="R20" s="6" t="s">
        <v>23</v>
      </c>
      <c r="S20" s="6">
        <v>56</v>
      </c>
      <c r="T20" s="6" t="s">
        <v>23</v>
      </c>
      <c r="U20" s="7" t="s">
        <v>23</v>
      </c>
    </row>
    <row r="21" spans="1:21" x14ac:dyDescent="0.35">
      <c r="A21" s="8" t="s">
        <v>21</v>
      </c>
      <c r="B21" s="9">
        <v>95080409087</v>
      </c>
      <c r="C21" s="9">
        <v>78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>
        <v>95</v>
      </c>
      <c r="J21" s="9">
        <v>77</v>
      </c>
      <c r="K21" s="9" t="s">
        <v>23</v>
      </c>
      <c r="L21" s="9" t="s">
        <v>23</v>
      </c>
      <c r="M21" s="9" t="s">
        <v>23</v>
      </c>
      <c r="N21" s="9" t="s">
        <v>23</v>
      </c>
      <c r="O21" s="9" t="s">
        <v>23</v>
      </c>
      <c r="P21" s="9" t="s">
        <v>23</v>
      </c>
      <c r="Q21" s="9">
        <v>64</v>
      </c>
      <c r="R21" s="9" t="s">
        <v>23</v>
      </c>
      <c r="S21" s="9">
        <v>84</v>
      </c>
      <c r="T21" s="9" t="s">
        <v>23</v>
      </c>
      <c r="U21" s="10" t="s">
        <v>23</v>
      </c>
    </row>
    <row r="22" spans="1:21" x14ac:dyDescent="0.35">
      <c r="A22" s="5" t="s">
        <v>21</v>
      </c>
      <c r="B22" s="6">
        <v>95081008322</v>
      </c>
      <c r="C22" s="6">
        <v>72</v>
      </c>
      <c r="D22" s="6">
        <v>68</v>
      </c>
      <c r="E22" s="6" t="s">
        <v>23</v>
      </c>
      <c r="F22" s="6" t="s">
        <v>23</v>
      </c>
      <c r="G22" s="6" t="s">
        <v>23</v>
      </c>
      <c r="H22" s="6" t="s">
        <v>23</v>
      </c>
      <c r="I22" s="6">
        <v>92</v>
      </c>
      <c r="J22" s="6" t="s">
        <v>23</v>
      </c>
      <c r="K22" s="6" t="s">
        <v>23</v>
      </c>
      <c r="L22" s="6" t="s">
        <v>23</v>
      </c>
      <c r="M22" s="6" t="s">
        <v>23</v>
      </c>
      <c r="N22" s="6" t="s">
        <v>23</v>
      </c>
      <c r="O22" s="6" t="s">
        <v>23</v>
      </c>
      <c r="P22" s="6" t="s">
        <v>23</v>
      </c>
      <c r="Q22" s="6">
        <v>70</v>
      </c>
      <c r="R22" s="6" t="s">
        <v>23</v>
      </c>
      <c r="S22" s="6">
        <v>64</v>
      </c>
      <c r="T22" s="6" t="s">
        <v>23</v>
      </c>
      <c r="U22" s="7" t="s">
        <v>23</v>
      </c>
    </row>
    <row r="23" spans="1:21" x14ac:dyDescent="0.35">
      <c r="A23" s="8" t="s">
        <v>21</v>
      </c>
      <c r="B23" s="9">
        <v>95081802841</v>
      </c>
      <c r="C23" s="9">
        <v>55</v>
      </c>
      <c r="D23" s="9">
        <v>50</v>
      </c>
      <c r="E23" s="9" t="s">
        <v>23</v>
      </c>
      <c r="F23" s="9" t="s">
        <v>23</v>
      </c>
      <c r="G23" s="9" t="s">
        <v>23</v>
      </c>
      <c r="H23" s="9" t="s">
        <v>23</v>
      </c>
      <c r="I23" s="9">
        <v>84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9" t="s">
        <v>23</v>
      </c>
      <c r="P23" s="9" t="s">
        <v>23</v>
      </c>
      <c r="Q23" s="9">
        <v>58</v>
      </c>
      <c r="R23" s="9" t="s">
        <v>23</v>
      </c>
      <c r="S23" s="9">
        <v>54</v>
      </c>
      <c r="T23" s="9" t="s">
        <v>23</v>
      </c>
      <c r="U23" s="10" t="s">
        <v>23</v>
      </c>
    </row>
    <row r="24" spans="1:21" x14ac:dyDescent="0.35">
      <c r="A24" s="5" t="s">
        <v>21</v>
      </c>
      <c r="B24" s="6">
        <v>95082400949</v>
      </c>
      <c r="C24" s="6">
        <v>67</v>
      </c>
      <c r="D24" s="6">
        <v>60</v>
      </c>
      <c r="E24" s="6" t="s">
        <v>23</v>
      </c>
      <c r="F24" s="6" t="s">
        <v>23</v>
      </c>
      <c r="G24" s="6" t="s">
        <v>23</v>
      </c>
      <c r="H24" s="6" t="s">
        <v>23</v>
      </c>
      <c r="I24" s="6">
        <v>92</v>
      </c>
      <c r="J24" s="6" t="s">
        <v>23</v>
      </c>
      <c r="K24" s="6" t="s">
        <v>23</v>
      </c>
      <c r="L24" s="6" t="s">
        <v>23</v>
      </c>
      <c r="M24" s="6" t="s">
        <v>23</v>
      </c>
      <c r="N24" s="6" t="s">
        <v>23</v>
      </c>
      <c r="O24" s="6" t="s">
        <v>23</v>
      </c>
      <c r="P24" s="6" t="s">
        <v>23</v>
      </c>
      <c r="Q24" s="6">
        <v>76</v>
      </c>
      <c r="R24" s="6" t="s">
        <v>23</v>
      </c>
      <c r="S24" s="6">
        <v>50</v>
      </c>
      <c r="T24" s="6" t="s">
        <v>23</v>
      </c>
      <c r="U24" s="7" t="s">
        <v>23</v>
      </c>
    </row>
    <row r="25" spans="1:21" x14ac:dyDescent="0.35">
      <c r="A25" s="8" t="s">
        <v>21</v>
      </c>
      <c r="B25" s="9">
        <v>95082502641</v>
      </c>
      <c r="C25" s="9">
        <v>45</v>
      </c>
      <c r="D25" s="9">
        <v>30</v>
      </c>
      <c r="E25" s="9" t="s">
        <v>23</v>
      </c>
      <c r="F25" s="9" t="s">
        <v>23</v>
      </c>
      <c r="G25" s="9" t="s">
        <v>23</v>
      </c>
      <c r="H25" s="9" t="s">
        <v>23</v>
      </c>
      <c r="I25" s="9">
        <v>61</v>
      </c>
      <c r="J25" s="9" t="s">
        <v>23</v>
      </c>
      <c r="K25" s="9" t="s">
        <v>23</v>
      </c>
      <c r="L25" s="9" t="s">
        <v>23</v>
      </c>
      <c r="M25" s="9" t="s">
        <v>23</v>
      </c>
      <c r="N25" s="9" t="s">
        <v>23</v>
      </c>
      <c r="O25" s="9" t="s">
        <v>23</v>
      </c>
      <c r="P25" s="9" t="s">
        <v>23</v>
      </c>
      <c r="Q25" s="9">
        <v>50</v>
      </c>
      <c r="R25" s="9" t="s">
        <v>23</v>
      </c>
      <c r="S25" s="9">
        <v>33</v>
      </c>
      <c r="T25" s="9" t="s">
        <v>23</v>
      </c>
      <c r="U25" s="10" t="s">
        <v>23</v>
      </c>
    </row>
    <row r="26" spans="1:21" x14ac:dyDescent="0.35">
      <c r="A26" s="5" t="s">
        <v>21</v>
      </c>
      <c r="B26" s="6">
        <v>95090501360</v>
      </c>
      <c r="C26" s="6">
        <v>83</v>
      </c>
      <c r="D26" s="6">
        <v>50</v>
      </c>
      <c r="E26" s="6" t="s">
        <v>23</v>
      </c>
      <c r="F26" s="6" t="s">
        <v>23</v>
      </c>
      <c r="G26" s="6" t="s">
        <v>23</v>
      </c>
      <c r="H26" s="6" t="s">
        <v>23</v>
      </c>
      <c r="I26" s="6">
        <v>100</v>
      </c>
      <c r="J26" s="6">
        <v>83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  <c r="P26" s="6" t="s">
        <v>23</v>
      </c>
      <c r="Q26" s="6">
        <v>62</v>
      </c>
      <c r="R26" s="6" t="s">
        <v>23</v>
      </c>
      <c r="S26" s="6">
        <v>76</v>
      </c>
      <c r="T26" s="6" t="s">
        <v>23</v>
      </c>
      <c r="U26" s="7" t="s">
        <v>23</v>
      </c>
    </row>
    <row r="27" spans="1:21" x14ac:dyDescent="0.35">
      <c r="A27" s="8" t="s">
        <v>21</v>
      </c>
      <c r="B27" s="9">
        <v>95091604864</v>
      </c>
      <c r="C27" s="9">
        <v>80</v>
      </c>
      <c r="D27" s="9" t="s">
        <v>23</v>
      </c>
      <c r="E27" s="9" t="s">
        <v>23</v>
      </c>
      <c r="F27" s="9" t="s">
        <v>23</v>
      </c>
      <c r="G27" s="9" t="s">
        <v>23</v>
      </c>
      <c r="H27" s="9" t="s">
        <v>23</v>
      </c>
      <c r="I27" s="9">
        <v>99</v>
      </c>
      <c r="J27" s="9">
        <v>83</v>
      </c>
      <c r="K27" s="9" t="s">
        <v>23</v>
      </c>
      <c r="L27" s="9" t="s">
        <v>23</v>
      </c>
      <c r="M27" s="9" t="s">
        <v>23</v>
      </c>
      <c r="N27" s="9" t="s">
        <v>23</v>
      </c>
      <c r="O27" s="9" t="s">
        <v>23</v>
      </c>
      <c r="P27" s="9" t="s">
        <v>23</v>
      </c>
      <c r="Q27" s="9">
        <v>72</v>
      </c>
      <c r="R27" s="9" t="s">
        <v>23</v>
      </c>
      <c r="S27" s="9">
        <v>84</v>
      </c>
      <c r="T27" s="9" t="s">
        <v>23</v>
      </c>
      <c r="U27" s="10" t="s">
        <v>23</v>
      </c>
    </row>
    <row r="28" spans="1:21" x14ac:dyDescent="0.35">
      <c r="A28" s="5" t="s">
        <v>21</v>
      </c>
      <c r="B28" s="6">
        <v>95110304166</v>
      </c>
      <c r="C28" s="6">
        <v>70</v>
      </c>
      <c r="D28" s="6">
        <v>60</v>
      </c>
      <c r="E28" s="6" t="s">
        <v>23</v>
      </c>
      <c r="F28" s="6" t="s">
        <v>23</v>
      </c>
      <c r="G28" s="6" t="s">
        <v>23</v>
      </c>
      <c r="H28" s="6" t="s">
        <v>23</v>
      </c>
      <c r="I28" s="6">
        <v>91</v>
      </c>
      <c r="J28" s="6" t="s">
        <v>23</v>
      </c>
      <c r="K28" s="6" t="s">
        <v>23</v>
      </c>
      <c r="L28" s="6" t="s">
        <v>23</v>
      </c>
      <c r="M28" s="6" t="s">
        <v>23</v>
      </c>
      <c r="N28" s="6" t="s">
        <v>23</v>
      </c>
      <c r="O28" s="6" t="s">
        <v>23</v>
      </c>
      <c r="P28" s="6" t="s">
        <v>23</v>
      </c>
      <c r="Q28" s="6">
        <v>80</v>
      </c>
      <c r="R28" s="6" t="s">
        <v>23</v>
      </c>
      <c r="S28" s="6">
        <v>74</v>
      </c>
      <c r="T28" s="6" t="s">
        <v>23</v>
      </c>
      <c r="U28" s="7" t="s">
        <v>23</v>
      </c>
    </row>
    <row r="29" spans="1:21" x14ac:dyDescent="0.35">
      <c r="A29" s="8" t="s">
        <v>21</v>
      </c>
      <c r="B29" s="9">
        <v>95110400947</v>
      </c>
      <c r="C29" s="9" t="s">
        <v>23</v>
      </c>
      <c r="D29" s="9" t="s">
        <v>23</v>
      </c>
      <c r="E29" s="9">
        <v>55</v>
      </c>
      <c r="F29" s="9" t="s">
        <v>23</v>
      </c>
      <c r="G29" s="9" t="s">
        <v>23</v>
      </c>
      <c r="H29" s="9" t="s">
        <v>23</v>
      </c>
      <c r="I29" s="9">
        <v>96</v>
      </c>
      <c r="J29" s="9">
        <v>86</v>
      </c>
      <c r="K29" s="9" t="s">
        <v>23</v>
      </c>
      <c r="L29" s="9" t="s">
        <v>23</v>
      </c>
      <c r="M29" s="9" t="s">
        <v>23</v>
      </c>
      <c r="N29" s="9" t="s">
        <v>23</v>
      </c>
      <c r="O29" s="9" t="s">
        <v>23</v>
      </c>
      <c r="P29" s="9" t="s">
        <v>23</v>
      </c>
      <c r="Q29" s="9">
        <v>86</v>
      </c>
      <c r="R29" s="9" t="s">
        <v>23</v>
      </c>
      <c r="S29" s="9">
        <v>64</v>
      </c>
      <c r="T29" s="9" t="s">
        <v>23</v>
      </c>
      <c r="U29" s="10" t="s">
        <v>23</v>
      </c>
    </row>
    <row r="30" spans="1:21" x14ac:dyDescent="0.35">
      <c r="A30" s="5" t="s">
        <v>21</v>
      </c>
      <c r="B30" s="6">
        <v>95111004447</v>
      </c>
      <c r="C30" s="6">
        <v>73</v>
      </c>
      <c r="D30" s="6">
        <v>78</v>
      </c>
      <c r="E30" s="6" t="s">
        <v>23</v>
      </c>
      <c r="F30" s="6" t="s">
        <v>23</v>
      </c>
      <c r="G30" s="6" t="s">
        <v>23</v>
      </c>
      <c r="H30" s="6" t="s">
        <v>23</v>
      </c>
      <c r="I30" s="6">
        <v>96</v>
      </c>
      <c r="J30" s="6" t="s">
        <v>23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23</v>
      </c>
      <c r="Q30" s="6">
        <v>82</v>
      </c>
      <c r="R30" s="6" t="s">
        <v>23</v>
      </c>
      <c r="S30" s="6">
        <v>60</v>
      </c>
      <c r="T30" s="6" t="s">
        <v>23</v>
      </c>
      <c r="U30" s="7" t="s">
        <v>23</v>
      </c>
    </row>
    <row r="31" spans="1:21" x14ac:dyDescent="0.35">
      <c r="A31" s="8" t="s">
        <v>21</v>
      </c>
      <c r="B31" s="9">
        <v>95112301543</v>
      </c>
      <c r="C31" s="9">
        <v>80</v>
      </c>
      <c r="D31" s="9">
        <v>60</v>
      </c>
      <c r="E31" s="9" t="s">
        <v>23</v>
      </c>
      <c r="F31" s="9" t="s">
        <v>23</v>
      </c>
      <c r="G31" s="9" t="s">
        <v>23</v>
      </c>
      <c r="H31" s="9" t="s">
        <v>23</v>
      </c>
      <c r="I31" s="9">
        <v>88</v>
      </c>
      <c r="J31" s="9">
        <v>67</v>
      </c>
      <c r="K31" s="9" t="s">
        <v>23</v>
      </c>
      <c r="L31" s="9" t="s">
        <v>23</v>
      </c>
      <c r="M31" s="9" t="s">
        <v>23</v>
      </c>
      <c r="N31" s="9" t="s">
        <v>23</v>
      </c>
      <c r="O31" s="9" t="s">
        <v>23</v>
      </c>
      <c r="P31" s="9" t="s">
        <v>23</v>
      </c>
      <c r="Q31" s="9">
        <v>80</v>
      </c>
      <c r="R31" s="9" t="s">
        <v>23</v>
      </c>
      <c r="S31" s="9">
        <v>63</v>
      </c>
      <c r="T31" s="9" t="s">
        <v>23</v>
      </c>
      <c r="U31" s="10" t="s">
        <v>23</v>
      </c>
    </row>
    <row r="32" spans="1:21" x14ac:dyDescent="0.35">
      <c r="A32" s="5" t="s">
        <v>21</v>
      </c>
      <c r="B32" s="6">
        <v>95120101108</v>
      </c>
      <c r="C32" s="6">
        <v>93</v>
      </c>
      <c r="D32" s="6">
        <v>88</v>
      </c>
      <c r="E32" s="6" t="s">
        <v>23</v>
      </c>
      <c r="F32" s="6" t="s">
        <v>23</v>
      </c>
      <c r="G32" s="6" t="s">
        <v>23</v>
      </c>
      <c r="H32" s="6" t="s">
        <v>23</v>
      </c>
      <c r="I32" s="6">
        <v>100</v>
      </c>
      <c r="J32" s="6">
        <v>76</v>
      </c>
      <c r="K32" s="6" t="s">
        <v>23</v>
      </c>
      <c r="L32" s="6" t="s">
        <v>23</v>
      </c>
      <c r="M32" s="6" t="s">
        <v>23</v>
      </c>
      <c r="N32" s="6" t="s">
        <v>23</v>
      </c>
      <c r="O32" s="6" t="s">
        <v>23</v>
      </c>
      <c r="P32" s="6" t="s">
        <v>23</v>
      </c>
      <c r="Q32" s="6">
        <v>92</v>
      </c>
      <c r="R32" s="6" t="s">
        <v>23</v>
      </c>
      <c r="S32" s="6">
        <v>76</v>
      </c>
      <c r="T32" s="6" t="s">
        <v>23</v>
      </c>
      <c r="U32" s="7" t="s">
        <v>23</v>
      </c>
    </row>
    <row r="33" spans="1:21" x14ac:dyDescent="0.35">
      <c r="A33" s="8" t="s">
        <v>21</v>
      </c>
      <c r="B33" s="9">
        <v>95120600768</v>
      </c>
      <c r="C33" s="9">
        <v>85</v>
      </c>
      <c r="D33" s="9">
        <v>93</v>
      </c>
      <c r="E33" s="9">
        <v>82</v>
      </c>
      <c r="F33" s="9" t="s">
        <v>23</v>
      </c>
      <c r="G33" s="9" t="s">
        <v>23</v>
      </c>
      <c r="H33" s="9" t="s">
        <v>23</v>
      </c>
      <c r="I33" s="9">
        <v>96</v>
      </c>
      <c r="J33" s="9" t="s">
        <v>23</v>
      </c>
      <c r="K33" s="9" t="s">
        <v>23</v>
      </c>
      <c r="L33" s="9" t="s">
        <v>23</v>
      </c>
      <c r="M33" s="9" t="s">
        <v>23</v>
      </c>
      <c r="N33" s="9" t="s">
        <v>23</v>
      </c>
      <c r="O33" s="9" t="s">
        <v>23</v>
      </c>
      <c r="P33" s="9" t="s">
        <v>23</v>
      </c>
      <c r="Q33" s="9">
        <v>94</v>
      </c>
      <c r="R33" s="9">
        <v>74</v>
      </c>
      <c r="S33" s="9">
        <v>66</v>
      </c>
      <c r="T33" s="9" t="s">
        <v>23</v>
      </c>
      <c r="U33" s="10" t="s">
        <v>23</v>
      </c>
    </row>
    <row r="34" spans="1:21" x14ac:dyDescent="0.35">
      <c r="A34" s="5" t="s">
        <v>21</v>
      </c>
      <c r="B34" s="6">
        <v>95120903939</v>
      </c>
      <c r="C34" s="6">
        <v>90</v>
      </c>
      <c r="D34" s="6">
        <v>82</v>
      </c>
      <c r="E34" s="6" t="s">
        <v>23</v>
      </c>
      <c r="F34" s="6" t="s">
        <v>23</v>
      </c>
      <c r="G34" s="6" t="s">
        <v>23</v>
      </c>
      <c r="H34" s="6" t="s">
        <v>23</v>
      </c>
      <c r="I34" s="6">
        <v>92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23</v>
      </c>
      <c r="O34" s="6" t="s">
        <v>23</v>
      </c>
      <c r="P34" s="6" t="s">
        <v>23</v>
      </c>
      <c r="Q34" s="6">
        <v>86</v>
      </c>
      <c r="R34" s="6" t="s">
        <v>23</v>
      </c>
      <c r="S34" s="6">
        <v>63</v>
      </c>
      <c r="T34" s="6" t="s">
        <v>23</v>
      </c>
      <c r="U34" s="7" t="s">
        <v>23</v>
      </c>
    </row>
    <row r="35" spans="1:21" x14ac:dyDescent="0.35">
      <c r="A35" s="8" t="s">
        <v>21</v>
      </c>
      <c r="B35" s="9">
        <v>95122401008</v>
      </c>
      <c r="C35" s="9">
        <v>87</v>
      </c>
      <c r="D35" s="9" t="s">
        <v>23</v>
      </c>
      <c r="E35" s="9" t="s">
        <v>23</v>
      </c>
      <c r="F35" s="9" t="s">
        <v>23</v>
      </c>
      <c r="G35" s="9" t="s">
        <v>23</v>
      </c>
      <c r="H35" s="9" t="s">
        <v>23</v>
      </c>
      <c r="I35" s="9">
        <v>100</v>
      </c>
      <c r="J35" s="9" t="s">
        <v>23</v>
      </c>
      <c r="K35" s="9" t="s">
        <v>23</v>
      </c>
      <c r="L35" s="9" t="s">
        <v>23</v>
      </c>
      <c r="M35" s="9" t="s">
        <v>23</v>
      </c>
      <c r="N35" s="9" t="s">
        <v>23</v>
      </c>
      <c r="O35" s="9" t="s">
        <v>23</v>
      </c>
      <c r="P35" s="9" t="s">
        <v>23</v>
      </c>
      <c r="Q35" s="9">
        <v>82</v>
      </c>
      <c r="R35" s="9" t="s">
        <v>23</v>
      </c>
      <c r="S35" s="9">
        <v>79</v>
      </c>
      <c r="T35" s="9">
        <v>73</v>
      </c>
      <c r="U35" s="10">
        <v>64</v>
      </c>
    </row>
    <row r="36" spans="1:21" x14ac:dyDescent="0.35">
      <c r="A36" s="5" t="s">
        <v>77</v>
      </c>
      <c r="B36" s="6">
        <v>95011505013</v>
      </c>
      <c r="C36" s="6" t="s">
        <v>23</v>
      </c>
      <c r="D36" s="6" t="s">
        <v>23</v>
      </c>
      <c r="E36" s="6" t="s">
        <v>23</v>
      </c>
      <c r="F36" s="6" t="s">
        <v>23</v>
      </c>
      <c r="G36" s="6" t="s">
        <v>23</v>
      </c>
      <c r="H36" s="6" t="s">
        <v>23</v>
      </c>
      <c r="I36" s="6">
        <v>93</v>
      </c>
      <c r="J36" s="6">
        <v>60</v>
      </c>
      <c r="K36" s="6" t="s">
        <v>23</v>
      </c>
      <c r="L36" s="6" t="s">
        <v>23</v>
      </c>
      <c r="M36" s="6" t="s">
        <v>23</v>
      </c>
      <c r="N36" s="6" t="s">
        <v>23</v>
      </c>
      <c r="O36" s="6" t="s">
        <v>23</v>
      </c>
      <c r="P36" s="6" t="s">
        <v>23</v>
      </c>
      <c r="Q36" s="6">
        <v>46</v>
      </c>
      <c r="R36" s="6" t="s">
        <v>23</v>
      </c>
      <c r="S36" s="6">
        <v>60</v>
      </c>
      <c r="T36" s="6">
        <v>75</v>
      </c>
      <c r="U36" s="7" t="s">
        <v>23</v>
      </c>
    </row>
    <row r="37" spans="1:21" x14ac:dyDescent="0.35">
      <c r="A37" s="8" t="s">
        <v>77</v>
      </c>
      <c r="B37" s="9">
        <v>95012403389</v>
      </c>
      <c r="C37" s="9" t="s">
        <v>23</v>
      </c>
      <c r="D37" s="9" t="s">
        <v>23</v>
      </c>
      <c r="E37" s="9" t="s">
        <v>23</v>
      </c>
      <c r="F37" s="9" t="s">
        <v>23</v>
      </c>
      <c r="G37" s="9" t="s">
        <v>23</v>
      </c>
      <c r="H37" s="9" t="s">
        <v>23</v>
      </c>
      <c r="I37" s="9">
        <v>96</v>
      </c>
      <c r="J37" s="9">
        <v>87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9">
        <v>50</v>
      </c>
      <c r="R37" s="9" t="s">
        <v>23</v>
      </c>
      <c r="S37" s="9">
        <v>40</v>
      </c>
      <c r="T37" s="9">
        <v>70</v>
      </c>
      <c r="U37" s="10">
        <v>44</v>
      </c>
    </row>
    <row r="38" spans="1:21" x14ac:dyDescent="0.35">
      <c r="A38" s="5" t="s">
        <v>77</v>
      </c>
      <c r="B38" s="6">
        <v>95020804428</v>
      </c>
      <c r="C38" s="6" t="s">
        <v>23</v>
      </c>
      <c r="D38" s="6" t="s">
        <v>23</v>
      </c>
      <c r="E38" s="6" t="s">
        <v>23</v>
      </c>
      <c r="F38" s="6" t="s">
        <v>23</v>
      </c>
      <c r="G38" s="6">
        <v>92</v>
      </c>
      <c r="H38" s="6" t="s">
        <v>23</v>
      </c>
      <c r="I38" s="6">
        <v>100</v>
      </c>
      <c r="J38" s="6">
        <v>81</v>
      </c>
      <c r="K38" s="6" t="s">
        <v>23</v>
      </c>
      <c r="L38" s="6" t="s">
        <v>23</v>
      </c>
      <c r="M38" s="6" t="s">
        <v>23</v>
      </c>
      <c r="N38" s="6" t="s">
        <v>23</v>
      </c>
      <c r="O38" s="6" t="s">
        <v>23</v>
      </c>
      <c r="P38" s="6" t="s">
        <v>23</v>
      </c>
      <c r="Q38" s="6">
        <v>88</v>
      </c>
      <c r="R38" s="6" t="s">
        <v>23</v>
      </c>
      <c r="S38" s="6">
        <v>57</v>
      </c>
      <c r="T38" s="6">
        <v>70</v>
      </c>
      <c r="U38" s="7" t="s">
        <v>23</v>
      </c>
    </row>
    <row r="39" spans="1:21" x14ac:dyDescent="0.35">
      <c r="A39" s="8" t="s">
        <v>77</v>
      </c>
      <c r="B39" s="9">
        <v>95021807901</v>
      </c>
      <c r="C39" s="9" t="s">
        <v>23</v>
      </c>
      <c r="D39" s="9" t="s">
        <v>23</v>
      </c>
      <c r="E39" s="9" t="s">
        <v>23</v>
      </c>
      <c r="F39" s="9" t="s">
        <v>23</v>
      </c>
      <c r="G39" s="9">
        <v>86</v>
      </c>
      <c r="H39" s="9" t="s">
        <v>23</v>
      </c>
      <c r="I39" s="9">
        <v>100</v>
      </c>
      <c r="J39" s="9">
        <v>90</v>
      </c>
      <c r="K39" s="9" t="s">
        <v>23</v>
      </c>
      <c r="L39" s="9" t="s">
        <v>23</v>
      </c>
      <c r="M39" s="9" t="s">
        <v>23</v>
      </c>
      <c r="N39" s="9" t="s">
        <v>23</v>
      </c>
      <c r="O39" s="9" t="s">
        <v>23</v>
      </c>
      <c r="P39" s="9" t="s">
        <v>23</v>
      </c>
      <c r="Q39" s="9">
        <v>70</v>
      </c>
      <c r="R39" s="9" t="s">
        <v>23</v>
      </c>
      <c r="S39" s="9">
        <v>56</v>
      </c>
      <c r="T39" s="9">
        <v>68</v>
      </c>
      <c r="U39" s="10">
        <v>78</v>
      </c>
    </row>
    <row r="40" spans="1:21" x14ac:dyDescent="0.35">
      <c r="A40" s="5" t="s">
        <v>77</v>
      </c>
      <c r="B40" s="6">
        <v>95022105039</v>
      </c>
      <c r="C40" s="6" t="s">
        <v>23</v>
      </c>
      <c r="D40" s="6" t="s">
        <v>23</v>
      </c>
      <c r="E40" s="6" t="s">
        <v>23</v>
      </c>
      <c r="F40" s="6" t="s">
        <v>23</v>
      </c>
      <c r="G40" s="6">
        <v>90</v>
      </c>
      <c r="H40" s="6" t="s">
        <v>23</v>
      </c>
      <c r="I40" s="6">
        <v>96</v>
      </c>
      <c r="J40" s="6">
        <v>93</v>
      </c>
      <c r="K40" s="6" t="s">
        <v>23</v>
      </c>
      <c r="L40" s="6" t="s">
        <v>23</v>
      </c>
      <c r="M40" s="6" t="s">
        <v>23</v>
      </c>
      <c r="N40" s="6" t="s">
        <v>23</v>
      </c>
      <c r="O40" s="6" t="s">
        <v>23</v>
      </c>
      <c r="P40" s="6" t="s">
        <v>23</v>
      </c>
      <c r="Q40" s="6">
        <v>86</v>
      </c>
      <c r="R40" s="6">
        <v>36</v>
      </c>
      <c r="S40" s="6">
        <v>53</v>
      </c>
      <c r="T40" s="6">
        <v>73</v>
      </c>
      <c r="U40" s="7">
        <v>100</v>
      </c>
    </row>
    <row r="41" spans="1:21" x14ac:dyDescent="0.35">
      <c r="A41" s="8" t="s">
        <v>77</v>
      </c>
      <c r="B41" s="9">
        <v>95031012300</v>
      </c>
      <c r="C41" s="9" t="s">
        <v>23</v>
      </c>
      <c r="D41" s="9" t="s">
        <v>23</v>
      </c>
      <c r="E41" s="9" t="s">
        <v>23</v>
      </c>
      <c r="F41" s="9" t="s">
        <v>23</v>
      </c>
      <c r="G41" s="9" t="s">
        <v>23</v>
      </c>
      <c r="H41" s="9" t="s">
        <v>23</v>
      </c>
      <c r="I41" s="9">
        <v>59</v>
      </c>
      <c r="J41" s="9">
        <v>44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>
        <v>34</v>
      </c>
      <c r="R41" s="9" t="s">
        <v>23</v>
      </c>
      <c r="S41" s="9">
        <v>30</v>
      </c>
      <c r="T41" s="9">
        <v>53</v>
      </c>
      <c r="U41" s="10">
        <v>34</v>
      </c>
    </row>
    <row r="42" spans="1:21" x14ac:dyDescent="0.35">
      <c r="A42" s="5" t="s">
        <v>77</v>
      </c>
      <c r="B42" s="6">
        <v>95032101746</v>
      </c>
      <c r="C42" s="6" t="s">
        <v>23</v>
      </c>
      <c r="D42" s="6" t="s">
        <v>23</v>
      </c>
      <c r="E42" s="6" t="s">
        <v>23</v>
      </c>
      <c r="F42" s="6" t="s">
        <v>23</v>
      </c>
      <c r="G42" s="6">
        <v>88</v>
      </c>
      <c r="H42" s="6" t="s">
        <v>23</v>
      </c>
      <c r="I42" s="6">
        <v>98</v>
      </c>
      <c r="J42" s="6">
        <v>95</v>
      </c>
      <c r="K42" s="6" t="s">
        <v>23</v>
      </c>
      <c r="L42" s="6" t="s">
        <v>23</v>
      </c>
      <c r="M42" s="6" t="s">
        <v>23</v>
      </c>
      <c r="N42" s="6" t="s">
        <v>23</v>
      </c>
      <c r="O42" s="6" t="s">
        <v>23</v>
      </c>
      <c r="P42" s="6">
        <v>69</v>
      </c>
      <c r="Q42" s="6">
        <v>68</v>
      </c>
      <c r="R42" s="6" t="s">
        <v>23</v>
      </c>
      <c r="S42" s="6">
        <v>70</v>
      </c>
      <c r="T42" s="6">
        <v>80</v>
      </c>
      <c r="U42" s="7">
        <v>72</v>
      </c>
    </row>
    <row r="43" spans="1:21" x14ac:dyDescent="0.35">
      <c r="A43" s="8" t="s">
        <v>77</v>
      </c>
      <c r="B43" s="9">
        <v>95032204296</v>
      </c>
      <c r="C43" s="9" t="s">
        <v>23</v>
      </c>
      <c r="D43" s="9" t="s">
        <v>23</v>
      </c>
      <c r="E43" s="9" t="s">
        <v>23</v>
      </c>
      <c r="F43" s="9" t="s">
        <v>23</v>
      </c>
      <c r="G43" s="9">
        <v>92</v>
      </c>
      <c r="H43" s="9" t="s">
        <v>23</v>
      </c>
      <c r="I43" s="9">
        <v>93</v>
      </c>
      <c r="J43" s="9">
        <v>95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>
        <v>56</v>
      </c>
      <c r="R43" s="9" t="s">
        <v>23</v>
      </c>
      <c r="S43" s="9">
        <v>79</v>
      </c>
      <c r="T43" s="9">
        <v>55</v>
      </c>
      <c r="U43" s="10">
        <v>72</v>
      </c>
    </row>
    <row r="44" spans="1:21" x14ac:dyDescent="0.35">
      <c r="A44" s="5" t="s">
        <v>77</v>
      </c>
      <c r="B44" s="6">
        <v>95042205755</v>
      </c>
      <c r="C44" s="6" t="s">
        <v>23</v>
      </c>
      <c r="D44" s="6" t="s">
        <v>23</v>
      </c>
      <c r="E44" s="6" t="s">
        <v>23</v>
      </c>
      <c r="F44" s="6" t="s">
        <v>23</v>
      </c>
      <c r="G44" s="6">
        <v>94</v>
      </c>
      <c r="H44" s="6" t="s">
        <v>23</v>
      </c>
      <c r="I44" s="6">
        <v>90</v>
      </c>
      <c r="J44" s="6">
        <v>67</v>
      </c>
      <c r="K44" s="6" t="s">
        <v>23</v>
      </c>
      <c r="L44" s="6" t="s">
        <v>23</v>
      </c>
      <c r="M44" s="6" t="s">
        <v>23</v>
      </c>
      <c r="N44" s="6" t="s">
        <v>23</v>
      </c>
      <c r="O44" s="6" t="s">
        <v>23</v>
      </c>
      <c r="P44" s="6" t="s">
        <v>23</v>
      </c>
      <c r="Q44" s="6">
        <v>40</v>
      </c>
      <c r="R44" s="6" t="s">
        <v>23</v>
      </c>
      <c r="S44" s="6">
        <v>80</v>
      </c>
      <c r="T44" s="6">
        <v>60</v>
      </c>
      <c r="U44" s="7" t="s">
        <v>23</v>
      </c>
    </row>
    <row r="45" spans="1:21" x14ac:dyDescent="0.35">
      <c r="A45" s="8" t="s">
        <v>77</v>
      </c>
      <c r="B45" s="9">
        <v>95050205185</v>
      </c>
      <c r="C45" s="9" t="s">
        <v>23</v>
      </c>
      <c r="D45" s="9" t="s">
        <v>23</v>
      </c>
      <c r="E45" s="9" t="s">
        <v>23</v>
      </c>
      <c r="F45" s="9" t="s">
        <v>23</v>
      </c>
      <c r="G45" s="9">
        <v>66</v>
      </c>
      <c r="H45" s="9" t="s">
        <v>23</v>
      </c>
      <c r="I45" s="9">
        <v>98</v>
      </c>
      <c r="J45" s="9">
        <v>67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>
        <v>50</v>
      </c>
      <c r="R45" s="9" t="s">
        <v>23</v>
      </c>
      <c r="S45" s="9">
        <v>54</v>
      </c>
      <c r="T45" s="9">
        <v>80</v>
      </c>
      <c r="U45" s="10">
        <v>68</v>
      </c>
    </row>
    <row r="46" spans="1:21" x14ac:dyDescent="0.35">
      <c r="A46" s="5" t="s">
        <v>77</v>
      </c>
      <c r="B46" s="6">
        <v>95050904503</v>
      </c>
      <c r="C46" s="6" t="s">
        <v>23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>
        <v>100</v>
      </c>
      <c r="J46" s="6">
        <v>92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>
        <v>70</v>
      </c>
      <c r="R46" s="6" t="s">
        <v>23</v>
      </c>
      <c r="S46" s="6">
        <v>63</v>
      </c>
      <c r="T46" s="6">
        <v>45</v>
      </c>
      <c r="U46" s="7" t="s">
        <v>23</v>
      </c>
    </row>
    <row r="47" spans="1:21" x14ac:dyDescent="0.35">
      <c r="A47" s="8" t="s">
        <v>77</v>
      </c>
      <c r="B47" s="9">
        <v>95051201982</v>
      </c>
      <c r="C47" s="9" t="s">
        <v>23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>
        <v>96</v>
      </c>
      <c r="J47" s="9">
        <v>63</v>
      </c>
      <c r="K47" s="9" t="s">
        <v>23</v>
      </c>
      <c r="L47" s="9" t="s">
        <v>23</v>
      </c>
      <c r="M47" s="9" t="s">
        <v>23</v>
      </c>
      <c r="N47" s="9" t="s">
        <v>23</v>
      </c>
      <c r="O47" s="9" t="s">
        <v>23</v>
      </c>
      <c r="P47" s="9" t="s">
        <v>23</v>
      </c>
      <c r="Q47" s="9">
        <v>64</v>
      </c>
      <c r="R47" s="9" t="s">
        <v>23</v>
      </c>
      <c r="S47" s="9">
        <v>63</v>
      </c>
      <c r="T47" s="9">
        <v>58</v>
      </c>
      <c r="U47" s="10">
        <v>48</v>
      </c>
    </row>
    <row r="48" spans="1:21" x14ac:dyDescent="0.35">
      <c r="A48" s="5" t="s">
        <v>77</v>
      </c>
      <c r="B48" s="6">
        <v>95052501302</v>
      </c>
      <c r="C48" s="6" t="s">
        <v>23</v>
      </c>
      <c r="D48" s="6" t="s">
        <v>23</v>
      </c>
      <c r="E48" s="6" t="s">
        <v>23</v>
      </c>
      <c r="F48" s="6" t="s">
        <v>23</v>
      </c>
      <c r="G48" s="6" t="s">
        <v>23</v>
      </c>
      <c r="H48" s="6" t="s">
        <v>23</v>
      </c>
      <c r="I48" s="6">
        <v>96</v>
      </c>
      <c r="J48" s="6">
        <v>69</v>
      </c>
      <c r="K48" s="6" t="s">
        <v>23</v>
      </c>
      <c r="L48" s="6" t="s">
        <v>23</v>
      </c>
      <c r="M48" s="6" t="s">
        <v>23</v>
      </c>
      <c r="N48" s="6" t="s">
        <v>23</v>
      </c>
      <c r="O48" s="6" t="s">
        <v>23</v>
      </c>
      <c r="P48" s="6" t="s">
        <v>23</v>
      </c>
      <c r="Q48" s="6">
        <v>68</v>
      </c>
      <c r="R48" s="6" t="s">
        <v>23</v>
      </c>
      <c r="S48" s="6">
        <v>51</v>
      </c>
      <c r="T48" s="6">
        <v>70</v>
      </c>
      <c r="U48" s="7">
        <v>38</v>
      </c>
    </row>
    <row r="49" spans="1:21" x14ac:dyDescent="0.35">
      <c r="A49" s="8" t="s">
        <v>77</v>
      </c>
      <c r="B49" s="9">
        <v>95060201793</v>
      </c>
      <c r="C49" s="9">
        <v>73</v>
      </c>
      <c r="D49" s="9">
        <v>65</v>
      </c>
      <c r="E49" s="9" t="s">
        <v>23</v>
      </c>
      <c r="F49" s="9" t="s">
        <v>23</v>
      </c>
      <c r="G49" s="9" t="s">
        <v>23</v>
      </c>
      <c r="H49" s="9" t="s">
        <v>23</v>
      </c>
      <c r="I49" s="9">
        <v>80</v>
      </c>
      <c r="J49" s="9" t="s">
        <v>23</v>
      </c>
      <c r="K49" s="9" t="s">
        <v>23</v>
      </c>
      <c r="L49" s="9" t="s">
        <v>23</v>
      </c>
      <c r="M49" s="9" t="s">
        <v>23</v>
      </c>
      <c r="N49" s="9" t="s">
        <v>23</v>
      </c>
      <c r="O49" s="9" t="s">
        <v>23</v>
      </c>
      <c r="P49" s="9" t="s">
        <v>23</v>
      </c>
      <c r="Q49" s="9">
        <v>52</v>
      </c>
      <c r="R49" s="9" t="s">
        <v>23</v>
      </c>
      <c r="S49" s="9">
        <v>56</v>
      </c>
      <c r="T49" s="9" t="s">
        <v>23</v>
      </c>
      <c r="U49" s="10" t="s">
        <v>23</v>
      </c>
    </row>
    <row r="50" spans="1:21" x14ac:dyDescent="0.35">
      <c r="A50" s="5" t="s">
        <v>77</v>
      </c>
      <c r="B50" s="6">
        <v>95062400343</v>
      </c>
      <c r="C50" s="6">
        <v>50</v>
      </c>
      <c r="D50" s="6">
        <v>47</v>
      </c>
      <c r="E50" s="6" t="s">
        <v>23</v>
      </c>
      <c r="F50" s="6" t="s">
        <v>23</v>
      </c>
      <c r="G50" s="6" t="s">
        <v>23</v>
      </c>
      <c r="H50" s="6" t="s">
        <v>23</v>
      </c>
      <c r="I50" s="6">
        <v>92</v>
      </c>
      <c r="J50" s="6" t="s">
        <v>23</v>
      </c>
      <c r="K50" s="6" t="s">
        <v>23</v>
      </c>
      <c r="L50" s="6" t="s">
        <v>23</v>
      </c>
      <c r="M50" s="6" t="s">
        <v>23</v>
      </c>
      <c r="N50" s="6" t="s">
        <v>23</v>
      </c>
      <c r="O50" s="6" t="s">
        <v>23</v>
      </c>
      <c r="P50" s="6" t="s">
        <v>23</v>
      </c>
      <c r="Q50" s="6">
        <v>58</v>
      </c>
      <c r="R50" s="6" t="s">
        <v>23</v>
      </c>
      <c r="S50" s="6">
        <v>51</v>
      </c>
      <c r="T50" s="6" t="s">
        <v>23</v>
      </c>
      <c r="U50" s="7" t="s">
        <v>23</v>
      </c>
    </row>
    <row r="51" spans="1:21" x14ac:dyDescent="0.35">
      <c r="A51" s="8" t="s">
        <v>77</v>
      </c>
      <c r="B51" s="9">
        <v>95070400070</v>
      </c>
      <c r="C51" s="9" t="s">
        <v>23</v>
      </c>
      <c r="D51" s="9" t="s">
        <v>23</v>
      </c>
      <c r="E51" s="9" t="s">
        <v>23</v>
      </c>
      <c r="F51" s="9" t="s">
        <v>23</v>
      </c>
      <c r="G51" s="9">
        <v>92</v>
      </c>
      <c r="H51" s="9" t="s">
        <v>23</v>
      </c>
      <c r="I51" s="9">
        <v>92</v>
      </c>
      <c r="J51" s="9">
        <v>59</v>
      </c>
      <c r="K51" s="9" t="s">
        <v>23</v>
      </c>
      <c r="L51" s="9" t="s">
        <v>23</v>
      </c>
      <c r="M51" s="9" t="s">
        <v>23</v>
      </c>
      <c r="N51" s="9" t="s">
        <v>23</v>
      </c>
      <c r="O51" s="9" t="s">
        <v>23</v>
      </c>
      <c r="P51" s="9" t="s">
        <v>23</v>
      </c>
      <c r="Q51" s="9">
        <v>72</v>
      </c>
      <c r="R51" s="9" t="s">
        <v>23</v>
      </c>
      <c r="S51" s="9">
        <v>41</v>
      </c>
      <c r="T51" s="9">
        <v>60</v>
      </c>
      <c r="U51" s="10">
        <v>68</v>
      </c>
    </row>
    <row r="52" spans="1:21" x14ac:dyDescent="0.35">
      <c r="A52" s="5" t="s">
        <v>77</v>
      </c>
      <c r="B52" s="6">
        <v>95080101408</v>
      </c>
      <c r="C52" s="6">
        <v>73</v>
      </c>
      <c r="D52" s="6" t="s">
        <v>23</v>
      </c>
      <c r="E52" s="6" t="s">
        <v>23</v>
      </c>
      <c r="F52" s="6" t="s">
        <v>23</v>
      </c>
      <c r="G52" s="6" t="s">
        <v>23</v>
      </c>
      <c r="H52" s="6" t="s">
        <v>23</v>
      </c>
      <c r="I52" s="6">
        <v>97</v>
      </c>
      <c r="J52" s="6">
        <v>74</v>
      </c>
      <c r="K52" s="6" t="s">
        <v>23</v>
      </c>
      <c r="L52" s="6" t="s">
        <v>23</v>
      </c>
      <c r="M52" s="6" t="s">
        <v>23</v>
      </c>
      <c r="N52" s="6" t="s">
        <v>23</v>
      </c>
      <c r="O52" s="6" t="s">
        <v>23</v>
      </c>
      <c r="P52" s="6" t="s">
        <v>23</v>
      </c>
      <c r="Q52" s="6">
        <v>56</v>
      </c>
      <c r="R52" s="6" t="s">
        <v>23</v>
      </c>
      <c r="S52" s="6">
        <v>60</v>
      </c>
      <c r="T52" s="6">
        <v>73</v>
      </c>
      <c r="U52" s="7" t="s">
        <v>23</v>
      </c>
    </row>
    <row r="53" spans="1:21" x14ac:dyDescent="0.35">
      <c r="A53" s="8" t="s">
        <v>77</v>
      </c>
      <c r="B53" s="9">
        <v>95080902016</v>
      </c>
      <c r="C53" s="9" t="s">
        <v>23</v>
      </c>
      <c r="D53" s="9" t="s">
        <v>23</v>
      </c>
      <c r="E53" s="9" t="s">
        <v>23</v>
      </c>
      <c r="F53" s="9" t="s">
        <v>23</v>
      </c>
      <c r="G53" s="9">
        <v>80</v>
      </c>
      <c r="H53" s="9" t="s">
        <v>23</v>
      </c>
      <c r="I53" s="9">
        <v>97</v>
      </c>
      <c r="J53" s="9">
        <v>83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23</v>
      </c>
      <c r="P53" s="9" t="s">
        <v>23</v>
      </c>
      <c r="Q53" s="9">
        <v>44</v>
      </c>
      <c r="R53" s="9" t="s">
        <v>23</v>
      </c>
      <c r="S53" s="9">
        <v>66</v>
      </c>
      <c r="T53" s="9">
        <v>63</v>
      </c>
      <c r="U53" s="10" t="s">
        <v>23</v>
      </c>
    </row>
    <row r="54" spans="1:21" x14ac:dyDescent="0.35">
      <c r="A54" s="5" t="s">
        <v>77</v>
      </c>
      <c r="B54" s="6">
        <v>95081001141</v>
      </c>
      <c r="C54" s="6">
        <v>35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>
        <v>96</v>
      </c>
      <c r="J54" s="6">
        <v>84</v>
      </c>
      <c r="K54" s="6" t="s">
        <v>23</v>
      </c>
      <c r="L54" s="6" t="s">
        <v>23</v>
      </c>
      <c r="M54" s="6" t="s">
        <v>23</v>
      </c>
      <c r="N54" s="6" t="s">
        <v>23</v>
      </c>
      <c r="O54" s="6" t="s">
        <v>23</v>
      </c>
      <c r="P54" s="6" t="s">
        <v>23</v>
      </c>
      <c r="Q54" s="6">
        <v>32</v>
      </c>
      <c r="R54" s="6" t="s">
        <v>23</v>
      </c>
      <c r="S54" s="6">
        <v>51</v>
      </c>
      <c r="T54" s="6">
        <v>63</v>
      </c>
      <c r="U54" s="7" t="s">
        <v>23</v>
      </c>
    </row>
    <row r="55" spans="1:21" x14ac:dyDescent="0.35">
      <c r="A55" s="8" t="s">
        <v>77</v>
      </c>
      <c r="B55" s="9">
        <v>95081600739</v>
      </c>
      <c r="C55" s="9" t="s">
        <v>23</v>
      </c>
      <c r="D55" s="9" t="s">
        <v>23</v>
      </c>
      <c r="E55" s="9" t="s">
        <v>23</v>
      </c>
      <c r="F55" s="9">
        <v>47</v>
      </c>
      <c r="G55" s="9" t="s">
        <v>23</v>
      </c>
      <c r="H55" s="9" t="s">
        <v>23</v>
      </c>
      <c r="I55" s="9">
        <v>86</v>
      </c>
      <c r="J55" s="9">
        <v>60</v>
      </c>
      <c r="K55" s="9" t="s">
        <v>23</v>
      </c>
      <c r="L55" s="9" t="s">
        <v>23</v>
      </c>
      <c r="M55" s="9" t="s">
        <v>23</v>
      </c>
      <c r="N55" s="9" t="s">
        <v>23</v>
      </c>
      <c r="O55" s="9" t="s">
        <v>23</v>
      </c>
      <c r="P55" s="9" t="s">
        <v>23</v>
      </c>
      <c r="Q55" s="9">
        <v>66</v>
      </c>
      <c r="R55" s="9" t="s">
        <v>23</v>
      </c>
      <c r="S55" s="9">
        <v>34</v>
      </c>
      <c r="T55" s="9">
        <v>58</v>
      </c>
      <c r="U55" s="10">
        <v>58</v>
      </c>
    </row>
    <row r="56" spans="1:21" x14ac:dyDescent="0.35">
      <c r="A56" s="5" t="s">
        <v>77</v>
      </c>
      <c r="B56" s="6">
        <v>95083106189</v>
      </c>
      <c r="C56" s="6" t="s">
        <v>23</v>
      </c>
      <c r="D56" s="6" t="s">
        <v>23</v>
      </c>
      <c r="E56" s="6" t="s">
        <v>23</v>
      </c>
      <c r="F56" s="6" t="s">
        <v>23</v>
      </c>
      <c r="G56" s="6">
        <v>42</v>
      </c>
      <c r="H56" s="6" t="s">
        <v>23</v>
      </c>
      <c r="I56" s="6">
        <v>66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23</v>
      </c>
      <c r="O56" s="6" t="s">
        <v>23</v>
      </c>
      <c r="P56" s="6" t="s">
        <v>23</v>
      </c>
      <c r="Q56" s="6">
        <v>64</v>
      </c>
      <c r="R56" s="6" t="s">
        <v>23</v>
      </c>
      <c r="S56" s="6">
        <v>56</v>
      </c>
      <c r="T56" s="6">
        <v>75</v>
      </c>
      <c r="U56" s="7" t="s">
        <v>23</v>
      </c>
    </row>
    <row r="57" spans="1:21" x14ac:dyDescent="0.35">
      <c r="A57" s="8" t="s">
        <v>77</v>
      </c>
      <c r="B57" s="9">
        <v>95092111585</v>
      </c>
      <c r="C57" s="9" t="s">
        <v>23</v>
      </c>
      <c r="D57" s="9" t="s">
        <v>23</v>
      </c>
      <c r="E57" s="9" t="s">
        <v>23</v>
      </c>
      <c r="F57" s="9" t="s">
        <v>23</v>
      </c>
      <c r="G57" s="9">
        <v>76</v>
      </c>
      <c r="H57" s="9" t="s">
        <v>23</v>
      </c>
      <c r="I57" s="9">
        <v>97</v>
      </c>
      <c r="J57" s="9">
        <v>78</v>
      </c>
      <c r="K57" s="9" t="s">
        <v>23</v>
      </c>
      <c r="L57" s="9" t="s">
        <v>23</v>
      </c>
      <c r="M57" s="9" t="s">
        <v>23</v>
      </c>
      <c r="N57" s="9" t="s">
        <v>23</v>
      </c>
      <c r="O57" s="9" t="s">
        <v>23</v>
      </c>
      <c r="P57" s="9" t="s">
        <v>23</v>
      </c>
      <c r="Q57" s="9">
        <v>72</v>
      </c>
      <c r="R57" s="9" t="s">
        <v>23</v>
      </c>
      <c r="S57" s="9">
        <v>60</v>
      </c>
      <c r="T57" s="9">
        <v>80</v>
      </c>
      <c r="U57" s="10" t="s">
        <v>23</v>
      </c>
    </row>
    <row r="58" spans="1:21" x14ac:dyDescent="0.35">
      <c r="A58" s="5" t="s">
        <v>77</v>
      </c>
      <c r="B58" s="6">
        <v>95092712281</v>
      </c>
      <c r="C58" s="6" t="s">
        <v>23</v>
      </c>
      <c r="D58" s="6" t="s">
        <v>23</v>
      </c>
      <c r="E58" s="6" t="s">
        <v>23</v>
      </c>
      <c r="F58" s="6" t="s">
        <v>23</v>
      </c>
      <c r="G58" s="6">
        <v>80</v>
      </c>
      <c r="H58" s="6" t="s">
        <v>23</v>
      </c>
      <c r="I58" s="6">
        <v>78</v>
      </c>
      <c r="J58" s="6">
        <v>34</v>
      </c>
      <c r="K58" s="6" t="s">
        <v>23</v>
      </c>
      <c r="L58" s="6" t="s">
        <v>23</v>
      </c>
      <c r="M58" s="6" t="s">
        <v>23</v>
      </c>
      <c r="N58" s="6" t="s">
        <v>23</v>
      </c>
      <c r="O58" s="6" t="s">
        <v>23</v>
      </c>
      <c r="P58" s="6" t="s">
        <v>23</v>
      </c>
      <c r="Q58" s="6">
        <v>52</v>
      </c>
      <c r="R58" s="6" t="s">
        <v>23</v>
      </c>
      <c r="S58" s="6">
        <v>46</v>
      </c>
      <c r="T58" s="6">
        <v>80</v>
      </c>
      <c r="U58" s="7">
        <v>62</v>
      </c>
    </row>
    <row r="59" spans="1:21" x14ac:dyDescent="0.35">
      <c r="A59" s="8" t="s">
        <v>77</v>
      </c>
      <c r="B59" s="9">
        <v>95100600025</v>
      </c>
      <c r="C59" s="9" t="s">
        <v>23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>
        <v>65</v>
      </c>
      <c r="J59" s="9" t="s">
        <v>23</v>
      </c>
      <c r="K59" s="9" t="s">
        <v>23</v>
      </c>
      <c r="L59" s="9" t="s">
        <v>23</v>
      </c>
      <c r="M59" s="9" t="s">
        <v>23</v>
      </c>
      <c r="N59" s="9" t="s">
        <v>23</v>
      </c>
      <c r="O59" s="9" t="s">
        <v>23</v>
      </c>
      <c r="P59" s="9" t="s">
        <v>23</v>
      </c>
      <c r="Q59" s="9">
        <v>50</v>
      </c>
      <c r="R59" s="9" t="s">
        <v>23</v>
      </c>
      <c r="S59" s="9">
        <v>43</v>
      </c>
      <c r="T59" s="9">
        <v>78</v>
      </c>
      <c r="U59" s="10">
        <v>24</v>
      </c>
    </row>
    <row r="60" spans="1:21" x14ac:dyDescent="0.35">
      <c r="A60" s="5" t="s">
        <v>77</v>
      </c>
      <c r="B60" s="6">
        <v>95100606458</v>
      </c>
      <c r="C60" s="6" t="s">
        <v>23</v>
      </c>
      <c r="D60" s="6" t="s">
        <v>23</v>
      </c>
      <c r="E60" s="6" t="s">
        <v>23</v>
      </c>
      <c r="F60" s="6" t="s">
        <v>23</v>
      </c>
      <c r="G60" s="6">
        <v>88</v>
      </c>
      <c r="H60" s="6" t="s">
        <v>23</v>
      </c>
      <c r="I60" s="6">
        <v>96</v>
      </c>
      <c r="J60" s="6">
        <v>92</v>
      </c>
      <c r="K60" s="6" t="s">
        <v>23</v>
      </c>
      <c r="L60" s="6" t="s">
        <v>23</v>
      </c>
      <c r="M60" s="6" t="s">
        <v>23</v>
      </c>
      <c r="N60" s="6" t="s">
        <v>23</v>
      </c>
      <c r="O60" s="6" t="s">
        <v>23</v>
      </c>
      <c r="P60" s="6" t="s">
        <v>23</v>
      </c>
      <c r="Q60" s="6">
        <v>58</v>
      </c>
      <c r="R60" s="6" t="s">
        <v>23</v>
      </c>
      <c r="S60" s="6">
        <v>59</v>
      </c>
      <c r="T60" s="6">
        <v>53</v>
      </c>
      <c r="U60" s="7">
        <v>72</v>
      </c>
    </row>
    <row r="61" spans="1:21" x14ac:dyDescent="0.35">
      <c r="A61" s="8" t="s">
        <v>77</v>
      </c>
      <c r="B61" s="9">
        <v>95100700282</v>
      </c>
      <c r="C61" s="9" t="s">
        <v>23</v>
      </c>
      <c r="D61" s="9" t="s">
        <v>23</v>
      </c>
      <c r="E61" s="9" t="s">
        <v>23</v>
      </c>
      <c r="F61" s="9" t="s">
        <v>23</v>
      </c>
      <c r="G61" s="9">
        <v>76</v>
      </c>
      <c r="H61" s="9" t="s">
        <v>23</v>
      </c>
      <c r="I61" s="9">
        <v>100</v>
      </c>
      <c r="J61" s="9">
        <v>90</v>
      </c>
      <c r="K61" s="9" t="s">
        <v>23</v>
      </c>
      <c r="L61" s="9" t="s">
        <v>23</v>
      </c>
      <c r="M61" s="9" t="s">
        <v>23</v>
      </c>
      <c r="N61" s="9" t="s">
        <v>23</v>
      </c>
      <c r="O61" s="9">
        <v>100</v>
      </c>
      <c r="P61" s="9" t="s">
        <v>23</v>
      </c>
      <c r="Q61" s="9">
        <v>78</v>
      </c>
      <c r="R61" s="9" t="s">
        <v>23</v>
      </c>
      <c r="S61" s="9">
        <v>66</v>
      </c>
      <c r="T61" s="9">
        <v>75</v>
      </c>
      <c r="U61" s="10" t="s">
        <v>23</v>
      </c>
    </row>
    <row r="62" spans="1:21" x14ac:dyDescent="0.35">
      <c r="A62" s="5" t="s">
        <v>77</v>
      </c>
      <c r="B62" s="6">
        <v>95101000947</v>
      </c>
      <c r="C62" s="6" t="s">
        <v>23</v>
      </c>
      <c r="D62" s="6" t="s">
        <v>23</v>
      </c>
      <c r="E62" s="6" t="s">
        <v>23</v>
      </c>
      <c r="F62" s="6" t="s">
        <v>23</v>
      </c>
      <c r="G62" s="6">
        <v>96</v>
      </c>
      <c r="H62" s="6" t="s">
        <v>23</v>
      </c>
      <c r="I62" s="6">
        <v>98</v>
      </c>
      <c r="J62" s="6">
        <v>91</v>
      </c>
      <c r="K62" s="6" t="s">
        <v>23</v>
      </c>
      <c r="L62" s="6" t="s">
        <v>23</v>
      </c>
      <c r="M62" s="6" t="s">
        <v>23</v>
      </c>
      <c r="N62" s="6" t="s">
        <v>23</v>
      </c>
      <c r="O62" s="6" t="s">
        <v>23</v>
      </c>
      <c r="P62" s="6" t="s">
        <v>23</v>
      </c>
      <c r="Q62" s="6">
        <v>72</v>
      </c>
      <c r="R62" s="6" t="s">
        <v>23</v>
      </c>
      <c r="S62" s="6">
        <v>69</v>
      </c>
      <c r="T62" s="6">
        <v>85</v>
      </c>
      <c r="U62" s="7" t="s">
        <v>23</v>
      </c>
    </row>
    <row r="63" spans="1:21" x14ac:dyDescent="0.35">
      <c r="A63" s="8" t="s">
        <v>77</v>
      </c>
      <c r="B63" s="9">
        <v>95110605809</v>
      </c>
      <c r="C63" s="9" t="s">
        <v>23</v>
      </c>
      <c r="D63" s="9" t="s">
        <v>23</v>
      </c>
      <c r="E63" s="9" t="s">
        <v>23</v>
      </c>
      <c r="F63" s="9" t="s">
        <v>23</v>
      </c>
      <c r="G63" s="9">
        <v>76</v>
      </c>
      <c r="H63" s="9" t="s">
        <v>23</v>
      </c>
      <c r="I63" s="9">
        <v>99</v>
      </c>
      <c r="J63" s="9">
        <v>84</v>
      </c>
      <c r="K63" s="9">
        <v>78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>
        <v>70</v>
      </c>
      <c r="R63" s="9" t="s">
        <v>23</v>
      </c>
      <c r="S63" s="9">
        <v>53</v>
      </c>
      <c r="T63" s="9">
        <v>73</v>
      </c>
      <c r="U63" s="10" t="s">
        <v>23</v>
      </c>
    </row>
    <row r="64" spans="1:21" x14ac:dyDescent="0.35">
      <c r="A64" s="5" t="s">
        <v>77</v>
      </c>
      <c r="B64" s="6">
        <v>95110704362</v>
      </c>
      <c r="C64" s="6">
        <v>48</v>
      </c>
      <c r="D64" s="6">
        <v>17</v>
      </c>
      <c r="E64" s="6" t="s">
        <v>23</v>
      </c>
      <c r="F64" s="6" t="s">
        <v>23</v>
      </c>
      <c r="G64" s="6" t="s">
        <v>23</v>
      </c>
      <c r="H64" s="6" t="s">
        <v>23</v>
      </c>
      <c r="I64" s="6">
        <v>100</v>
      </c>
      <c r="J64" s="6">
        <v>92</v>
      </c>
      <c r="K64" s="6" t="s">
        <v>23</v>
      </c>
      <c r="L64" s="6" t="s">
        <v>23</v>
      </c>
      <c r="M64" s="6" t="s">
        <v>23</v>
      </c>
      <c r="N64" s="6" t="s">
        <v>23</v>
      </c>
      <c r="O64" s="6" t="s">
        <v>23</v>
      </c>
      <c r="P64" s="6" t="s">
        <v>23</v>
      </c>
      <c r="Q64" s="6">
        <v>60</v>
      </c>
      <c r="R64" s="6" t="s">
        <v>23</v>
      </c>
      <c r="S64" s="6">
        <v>47</v>
      </c>
      <c r="T64" s="6" t="s">
        <v>23</v>
      </c>
      <c r="U64" s="7" t="s">
        <v>23</v>
      </c>
    </row>
    <row r="65" spans="1:21" x14ac:dyDescent="0.35">
      <c r="A65" s="8" t="s">
        <v>77</v>
      </c>
      <c r="B65" s="9">
        <v>95111800425</v>
      </c>
      <c r="C65" s="9" t="s">
        <v>23</v>
      </c>
      <c r="D65" s="9" t="s">
        <v>23</v>
      </c>
      <c r="E65" s="9" t="s">
        <v>23</v>
      </c>
      <c r="F65" s="9" t="s">
        <v>23</v>
      </c>
      <c r="G65" s="9">
        <v>80</v>
      </c>
      <c r="H65" s="9" t="s">
        <v>23</v>
      </c>
      <c r="I65" s="9">
        <v>98</v>
      </c>
      <c r="J65" s="9">
        <v>79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>
        <v>66</v>
      </c>
      <c r="R65" s="9" t="s">
        <v>23</v>
      </c>
      <c r="S65" s="9">
        <v>66</v>
      </c>
      <c r="T65" s="9">
        <v>63</v>
      </c>
      <c r="U65" s="10">
        <v>60</v>
      </c>
    </row>
    <row r="66" spans="1:21" x14ac:dyDescent="0.35">
      <c r="A66" s="5" t="s">
        <v>77</v>
      </c>
      <c r="B66" s="6">
        <v>95112902461</v>
      </c>
      <c r="C66" s="6" t="s">
        <v>23</v>
      </c>
      <c r="D66" s="6" t="s">
        <v>23</v>
      </c>
      <c r="E66" s="6" t="s">
        <v>23</v>
      </c>
      <c r="F66" s="6" t="s">
        <v>23</v>
      </c>
      <c r="G66" s="6" t="s">
        <v>23</v>
      </c>
      <c r="H66" s="6" t="s">
        <v>23</v>
      </c>
      <c r="I66" s="6">
        <v>94</v>
      </c>
      <c r="J66" s="6">
        <v>66</v>
      </c>
      <c r="K66" s="6" t="s">
        <v>23</v>
      </c>
      <c r="L66" s="6" t="s">
        <v>23</v>
      </c>
      <c r="M66" s="6" t="s">
        <v>23</v>
      </c>
      <c r="N66" s="6" t="s">
        <v>23</v>
      </c>
      <c r="O66" s="6" t="s">
        <v>23</v>
      </c>
      <c r="P66" s="6" t="s">
        <v>23</v>
      </c>
      <c r="Q66" s="6">
        <v>76</v>
      </c>
      <c r="R66" s="6">
        <v>24</v>
      </c>
      <c r="S66" s="6">
        <v>44</v>
      </c>
      <c r="T66" s="6">
        <v>40</v>
      </c>
      <c r="U66" s="7" t="s">
        <v>23</v>
      </c>
    </row>
    <row r="67" spans="1:21" x14ac:dyDescent="0.35">
      <c r="A67" s="8" t="s">
        <v>92</v>
      </c>
      <c r="B67" s="9">
        <v>94120209724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>
        <v>95</v>
      </c>
      <c r="J67" s="9">
        <v>70</v>
      </c>
      <c r="K67" s="9" t="s">
        <v>23</v>
      </c>
      <c r="L67" s="9" t="s">
        <v>23</v>
      </c>
      <c r="M67" s="9">
        <v>51</v>
      </c>
      <c r="N67" s="9" t="s">
        <v>23</v>
      </c>
      <c r="O67" s="9" t="s">
        <v>23</v>
      </c>
      <c r="P67" s="9" t="s">
        <v>23</v>
      </c>
      <c r="Q67" s="9">
        <v>76</v>
      </c>
      <c r="R67" s="9">
        <v>52</v>
      </c>
      <c r="S67" s="9">
        <v>49</v>
      </c>
      <c r="T67" s="9" t="s">
        <v>23</v>
      </c>
      <c r="U67" s="10" t="s">
        <v>23</v>
      </c>
    </row>
    <row r="68" spans="1:21" x14ac:dyDescent="0.35">
      <c r="A68" s="5" t="s">
        <v>92</v>
      </c>
      <c r="B68" s="6">
        <v>95011303864</v>
      </c>
      <c r="C68" s="6" t="s">
        <v>23</v>
      </c>
      <c r="D68" s="6" t="s">
        <v>23</v>
      </c>
      <c r="E68" s="6" t="s">
        <v>23</v>
      </c>
      <c r="F68" s="6">
        <v>42</v>
      </c>
      <c r="G68" s="6" t="s">
        <v>23</v>
      </c>
      <c r="H68" s="6" t="s">
        <v>23</v>
      </c>
      <c r="I68" s="6">
        <v>52</v>
      </c>
      <c r="J68" s="6" t="s">
        <v>23</v>
      </c>
      <c r="K68" s="6" t="s">
        <v>23</v>
      </c>
      <c r="L68" s="6" t="s">
        <v>23</v>
      </c>
      <c r="M68" s="6" t="s">
        <v>23</v>
      </c>
      <c r="N68" s="6" t="s">
        <v>23</v>
      </c>
      <c r="O68" s="6" t="s">
        <v>23</v>
      </c>
      <c r="P68" s="6" t="s">
        <v>23</v>
      </c>
      <c r="Q68" s="6">
        <v>76</v>
      </c>
      <c r="R68" s="6">
        <v>40</v>
      </c>
      <c r="S68" s="6">
        <v>36</v>
      </c>
      <c r="T68" s="6" t="s">
        <v>23</v>
      </c>
      <c r="U68" s="7" t="s">
        <v>23</v>
      </c>
    </row>
    <row r="69" spans="1:21" x14ac:dyDescent="0.35">
      <c r="A69" s="8" t="s">
        <v>92</v>
      </c>
      <c r="B69" s="9">
        <v>95012701920</v>
      </c>
      <c r="C69" s="9" t="s">
        <v>23</v>
      </c>
      <c r="D69" s="9" t="s">
        <v>23</v>
      </c>
      <c r="E69" s="9" t="s">
        <v>23</v>
      </c>
      <c r="F69" s="9">
        <v>77</v>
      </c>
      <c r="G69" s="9" t="s">
        <v>23</v>
      </c>
      <c r="H69" s="9" t="s">
        <v>23</v>
      </c>
      <c r="I69" s="9">
        <v>92</v>
      </c>
      <c r="J69" s="9">
        <v>80</v>
      </c>
      <c r="K69" s="9">
        <v>68</v>
      </c>
      <c r="L69" s="9" t="s">
        <v>23</v>
      </c>
      <c r="M69" s="9" t="s">
        <v>23</v>
      </c>
      <c r="N69" s="9" t="s">
        <v>23</v>
      </c>
      <c r="O69" s="9" t="s">
        <v>23</v>
      </c>
      <c r="P69" s="9" t="s">
        <v>23</v>
      </c>
      <c r="Q69" s="9">
        <v>66</v>
      </c>
      <c r="R69" s="9">
        <v>44</v>
      </c>
      <c r="S69" s="9">
        <v>54</v>
      </c>
      <c r="T69" s="9" t="s">
        <v>23</v>
      </c>
      <c r="U69" s="10" t="s">
        <v>23</v>
      </c>
    </row>
    <row r="70" spans="1:21" x14ac:dyDescent="0.35">
      <c r="A70" s="5" t="s">
        <v>92</v>
      </c>
      <c r="B70" s="6">
        <v>95012707551</v>
      </c>
      <c r="C70" s="6" t="s">
        <v>23</v>
      </c>
      <c r="D70" s="6" t="s">
        <v>23</v>
      </c>
      <c r="E70" s="6" t="s">
        <v>23</v>
      </c>
      <c r="F70" s="6">
        <v>55</v>
      </c>
      <c r="G70" s="6" t="s">
        <v>23</v>
      </c>
      <c r="H70" s="6" t="s">
        <v>23</v>
      </c>
      <c r="I70" s="6">
        <v>88</v>
      </c>
      <c r="J70" s="6" t="s">
        <v>23</v>
      </c>
      <c r="K70" s="6" t="s">
        <v>23</v>
      </c>
      <c r="L70" s="6" t="s">
        <v>23</v>
      </c>
      <c r="M70" s="6" t="s">
        <v>23</v>
      </c>
      <c r="N70" s="6" t="s">
        <v>23</v>
      </c>
      <c r="O70" s="6" t="s">
        <v>23</v>
      </c>
      <c r="P70" s="6" t="s">
        <v>23</v>
      </c>
      <c r="Q70" s="6">
        <v>72</v>
      </c>
      <c r="R70" s="6">
        <v>42</v>
      </c>
      <c r="S70" s="6">
        <v>49</v>
      </c>
      <c r="T70" s="6" t="s">
        <v>23</v>
      </c>
      <c r="U70" s="7" t="s">
        <v>23</v>
      </c>
    </row>
    <row r="71" spans="1:21" x14ac:dyDescent="0.35">
      <c r="A71" s="8" t="s">
        <v>92</v>
      </c>
      <c r="B71" s="9">
        <v>95021105139</v>
      </c>
      <c r="C71" s="9" t="s">
        <v>23</v>
      </c>
      <c r="D71" s="9" t="s">
        <v>23</v>
      </c>
      <c r="E71" s="9" t="s">
        <v>23</v>
      </c>
      <c r="F71" s="9">
        <v>85</v>
      </c>
      <c r="G71" s="9" t="s">
        <v>23</v>
      </c>
      <c r="H71" s="9" t="s">
        <v>23</v>
      </c>
      <c r="I71" s="9">
        <v>100</v>
      </c>
      <c r="J71" s="9">
        <v>81</v>
      </c>
      <c r="K71" s="9" t="s">
        <v>23</v>
      </c>
      <c r="L71" s="9" t="s">
        <v>23</v>
      </c>
      <c r="M71" s="9">
        <v>94</v>
      </c>
      <c r="N71" s="9" t="s">
        <v>23</v>
      </c>
      <c r="O71" s="9" t="s">
        <v>23</v>
      </c>
      <c r="P71" s="9" t="s">
        <v>23</v>
      </c>
      <c r="Q71" s="9">
        <v>94</v>
      </c>
      <c r="R71" s="9">
        <v>52</v>
      </c>
      <c r="S71" s="9">
        <v>71</v>
      </c>
      <c r="T71" s="9" t="s">
        <v>23</v>
      </c>
      <c r="U71" s="10" t="s">
        <v>23</v>
      </c>
    </row>
    <row r="72" spans="1:21" x14ac:dyDescent="0.35">
      <c r="A72" s="5" t="s">
        <v>92</v>
      </c>
      <c r="B72" s="6">
        <v>95021201255</v>
      </c>
      <c r="C72" s="6" t="s">
        <v>23</v>
      </c>
      <c r="D72" s="6" t="s">
        <v>23</v>
      </c>
      <c r="E72" s="6" t="s">
        <v>23</v>
      </c>
      <c r="F72" s="6">
        <v>68</v>
      </c>
      <c r="G72" s="6" t="s">
        <v>23</v>
      </c>
      <c r="H72" s="6" t="s">
        <v>23</v>
      </c>
      <c r="I72" s="6">
        <v>84</v>
      </c>
      <c r="J72" s="6" t="s">
        <v>23</v>
      </c>
      <c r="K72" s="6" t="s">
        <v>23</v>
      </c>
      <c r="L72" s="6" t="s">
        <v>23</v>
      </c>
      <c r="M72" s="6" t="s">
        <v>23</v>
      </c>
      <c r="N72" s="6" t="s">
        <v>23</v>
      </c>
      <c r="O72" s="6" t="s">
        <v>23</v>
      </c>
      <c r="P72" s="6" t="s">
        <v>23</v>
      </c>
      <c r="Q72" s="6">
        <v>52</v>
      </c>
      <c r="R72" s="6">
        <v>14</v>
      </c>
      <c r="S72" s="6">
        <v>34</v>
      </c>
      <c r="T72" s="6" t="s">
        <v>23</v>
      </c>
      <c r="U72" s="7" t="s">
        <v>23</v>
      </c>
    </row>
    <row r="73" spans="1:21" x14ac:dyDescent="0.35">
      <c r="A73" s="8" t="s">
        <v>92</v>
      </c>
      <c r="B73" s="9">
        <v>95021303223</v>
      </c>
      <c r="C73" s="9" t="s">
        <v>23</v>
      </c>
      <c r="D73" s="9" t="s">
        <v>23</v>
      </c>
      <c r="E73" s="9" t="s">
        <v>23</v>
      </c>
      <c r="F73" s="9">
        <v>60</v>
      </c>
      <c r="G73" s="9" t="s">
        <v>23</v>
      </c>
      <c r="H73" s="9" t="s">
        <v>23</v>
      </c>
      <c r="I73" s="9">
        <v>92</v>
      </c>
      <c r="J73" s="9" t="s">
        <v>23</v>
      </c>
      <c r="K73" s="9" t="s">
        <v>23</v>
      </c>
      <c r="L73" s="9" t="s">
        <v>23</v>
      </c>
      <c r="M73" s="9" t="s">
        <v>23</v>
      </c>
      <c r="N73" s="9" t="s">
        <v>23</v>
      </c>
      <c r="O73" s="9" t="s">
        <v>23</v>
      </c>
      <c r="P73" s="9" t="s">
        <v>23</v>
      </c>
      <c r="Q73" s="9">
        <v>70</v>
      </c>
      <c r="R73" s="9">
        <v>32</v>
      </c>
      <c r="S73" s="9">
        <v>63</v>
      </c>
      <c r="T73" s="9" t="s">
        <v>23</v>
      </c>
      <c r="U73" s="10" t="s">
        <v>23</v>
      </c>
    </row>
    <row r="74" spans="1:21" x14ac:dyDescent="0.35">
      <c r="A74" s="5" t="s">
        <v>92</v>
      </c>
      <c r="B74" s="6">
        <v>95030407844</v>
      </c>
      <c r="C74" s="6" t="s">
        <v>23</v>
      </c>
      <c r="D74" s="6" t="s">
        <v>23</v>
      </c>
      <c r="E74" s="6" t="s">
        <v>23</v>
      </c>
      <c r="F74" s="6">
        <v>70</v>
      </c>
      <c r="G74" s="6" t="s">
        <v>23</v>
      </c>
      <c r="H74" s="6" t="s">
        <v>23</v>
      </c>
      <c r="I74" s="6">
        <v>94</v>
      </c>
      <c r="J74" s="6">
        <v>84</v>
      </c>
      <c r="K74" s="6" t="s">
        <v>23</v>
      </c>
      <c r="L74" s="6" t="s">
        <v>23</v>
      </c>
      <c r="M74" s="6" t="s">
        <v>23</v>
      </c>
      <c r="N74" s="6" t="s">
        <v>23</v>
      </c>
      <c r="O74" s="6" t="s">
        <v>23</v>
      </c>
      <c r="P74" s="6">
        <v>90</v>
      </c>
      <c r="Q74" s="6">
        <v>88</v>
      </c>
      <c r="R74" s="6">
        <v>56</v>
      </c>
      <c r="S74" s="6">
        <v>64</v>
      </c>
      <c r="T74" s="6" t="s">
        <v>23</v>
      </c>
      <c r="U74" s="7" t="s">
        <v>23</v>
      </c>
    </row>
    <row r="75" spans="1:21" x14ac:dyDescent="0.35">
      <c r="A75" s="8" t="s">
        <v>92</v>
      </c>
      <c r="B75" s="9">
        <v>95040309147</v>
      </c>
      <c r="C75" s="9" t="s">
        <v>23</v>
      </c>
      <c r="D75" s="9" t="s">
        <v>23</v>
      </c>
      <c r="E75" s="9" t="s">
        <v>23</v>
      </c>
      <c r="F75" s="9">
        <v>38</v>
      </c>
      <c r="G75" s="9" t="s">
        <v>23</v>
      </c>
      <c r="H75" s="9" t="s">
        <v>23</v>
      </c>
      <c r="I75" s="9">
        <v>51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>
        <v>48</v>
      </c>
      <c r="R75" s="9" t="s">
        <v>23</v>
      </c>
      <c r="S75" s="9">
        <v>49</v>
      </c>
      <c r="T75" s="9" t="s">
        <v>23</v>
      </c>
      <c r="U75" s="10" t="s">
        <v>23</v>
      </c>
    </row>
    <row r="76" spans="1:21" x14ac:dyDescent="0.35">
      <c r="A76" s="5" t="s">
        <v>92</v>
      </c>
      <c r="B76" s="6">
        <v>95040502267</v>
      </c>
      <c r="C76" s="6" t="s">
        <v>23</v>
      </c>
      <c r="D76" s="6" t="s">
        <v>23</v>
      </c>
      <c r="E76" s="6" t="s">
        <v>23</v>
      </c>
      <c r="F76" s="6">
        <v>83</v>
      </c>
      <c r="G76" s="6" t="s">
        <v>23</v>
      </c>
      <c r="H76" s="6" t="s">
        <v>23</v>
      </c>
      <c r="I76" s="6" t="s">
        <v>23</v>
      </c>
      <c r="J76" s="6">
        <v>93</v>
      </c>
      <c r="K76" s="6" t="s">
        <v>23</v>
      </c>
      <c r="L76" s="6" t="s">
        <v>23</v>
      </c>
      <c r="M76" s="6" t="s">
        <v>23</v>
      </c>
      <c r="N76" s="6" t="s">
        <v>23</v>
      </c>
      <c r="O76" s="6">
        <v>96</v>
      </c>
      <c r="P76" s="6" t="s">
        <v>23</v>
      </c>
      <c r="Q76" s="6">
        <v>72</v>
      </c>
      <c r="R76" s="6">
        <v>64</v>
      </c>
      <c r="S76" s="6">
        <v>57</v>
      </c>
      <c r="T76" s="6" t="s">
        <v>23</v>
      </c>
      <c r="U76" s="7" t="s">
        <v>23</v>
      </c>
    </row>
    <row r="77" spans="1:21" x14ac:dyDescent="0.35">
      <c r="A77" s="8" t="s">
        <v>92</v>
      </c>
      <c r="B77" s="9">
        <v>95040601874</v>
      </c>
      <c r="C77" s="9" t="s">
        <v>23</v>
      </c>
      <c r="D77" s="9" t="s">
        <v>23</v>
      </c>
      <c r="E77" s="9" t="s">
        <v>23</v>
      </c>
      <c r="F77" s="9">
        <v>93</v>
      </c>
      <c r="G77" s="9" t="s">
        <v>23</v>
      </c>
      <c r="H77" s="9" t="s">
        <v>23</v>
      </c>
      <c r="I77" s="9">
        <v>98</v>
      </c>
      <c r="J77" s="9">
        <v>80</v>
      </c>
      <c r="K77" s="9">
        <v>80</v>
      </c>
      <c r="L77" s="9" t="s">
        <v>23</v>
      </c>
      <c r="M77" s="9" t="s">
        <v>23</v>
      </c>
      <c r="N77" s="9" t="s">
        <v>23</v>
      </c>
      <c r="O77" s="9" t="s">
        <v>23</v>
      </c>
      <c r="P77" s="9" t="s">
        <v>23</v>
      </c>
      <c r="Q77" s="9">
        <v>78</v>
      </c>
      <c r="R77" s="9">
        <v>64</v>
      </c>
      <c r="S77" s="9">
        <v>63</v>
      </c>
      <c r="T77" s="9" t="s">
        <v>23</v>
      </c>
      <c r="U77" s="10" t="s">
        <v>23</v>
      </c>
    </row>
    <row r="78" spans="1:21" x14ac:dyDescent="0.35">
      <c r="A78" s="5" t="s">
        <v>92</v>
      </c>
      <c r="B78" s="6">
        <v>95062703248</v>
      </c>
      <c r="C78" s="6" t="s">
        <v>23</v>
      </c>
      <c r="D78" s="6" t="s">
        <v>23</v>
      </c>
      <c r="E78" s="6" t="s">
        <v>23</v>
      </c>
      <c r="F78" s="6">
        <v>63</v>
      </c>
      <c r="G78" s="6" t="s">
        <v>23</v>
      </c>
      <c r="H78" s="6" t="s">
        <v>23</v>
      </c>
      <c r="I78" s="6">
        <v>88</v>
      </c>
      <c r="J78" s="6" t="s">
        <v>23</v>
      </c>
      <c r="K78" s="6" t="s">
        <v>23</v>
      </c>
      <c r="L78" s="6" t="s">
        <v>23</v>
      </c>
      <c r="M78" s="6" t="s">
        <v>23</v>
      </c>
      <c r="N78" s="6" t="s">
        <v>23</v>
      </c>
      <c r="O78" s="6" t="s">
        <v>23</v>
      </c>
      <c r="P78" s="6" t="s">
        <v>23</v>
      </c>
      <c r="Q78" s="6">
        <v>64</v>
      </c>
      <c r="R78" s="6" t="s">
        <v>23</v>
      </c>
      <c r="S78" s="6">
        <v>63</v>
      </c>
      <c r="T78" s="6">
        <v>43</v>
      </c>
      <c r="U78" s="7" t="s">
        <v>23</v>
      </c>
    </row>
    <row r="79" spans="1:21" x14ac:dyDescent="0.35">
      <c r="A79" s="8" t="s">
        <v>92</v>
      </c>
      <c r="B79" s="9">
        <v>95062704850</v>
      </c>
      <c r="C79" s="9" t="s">
        <v>23</v>
      </c>
      <c r="D79" s="9" t="s">
        <v>23</v>
      </c>
      <c r="E79" s="9" t="s">
        <v>23</v>
      </c>
      <c r="F79" s="9">
        <v>65</v>
      </c>
      <c r="G79" s="9" t="s">
        <v>23</v>
      </c>
      <c r="H79" s="9" t="s">
        <v>23</v>
      </c>
      <c r="I79" s="9">
        <v>69</v>
      </c>
      <c r="J79" s="9" t="s">
        <v>23</v>
      </c>
      <c r="K79" s="9" t="s">
        <v>23</v>
      </c>
      <c r="L79" s="9" t="s">
        <v>23</v>
      </c>
      <c r="M79" s="9" t="s">
        <v>23</v>
      </c>
      <c r="N79" s="9" t="s">
        <v>23</v>
      </c>
      <c r="O79" s="9" t="s">
        <v>23</v>
      </c>
      <c r="P79" s="9" t="s">
        <v>23</v>
      </c>
      <c r="Q79" s="9">
        <v>52</v>
      </c>
      <c r="R79" s="9" t="s">
        <v>23</v>
      </c>
      <c r="S79" s="9">
        <v>51</v>
      </c>
      <c r="T79" s="9" t="s">
        <v>23</v>
      </c>
      <c r="U79" s="10" t="s">
        <v>23</v>
      </c>
    </row>
    <row r="80" spans="1:21" x14ac:dyDescent="0.35">
      <c r="A80" s="5" t="s">
        <v>92</v>
      </c>
      <c r="B80" s="6">
        <v>95070400629</v>
      </c>
      <c r="C80" s="6" t="s">
        <v>23</v>
      </c>
      <c r="D80" s="6" t="s">
        <v>23</v>
      </c>
      <c r="E80" s="6" t="s">
        <v>23</v>
      </c>
      <c r="F80" s="6">
        <v>50</v>
      </c>
      <c r="G80" s="6" t="s">
        <v>23</v>
      </c>
      <c r="H80" s="6" t="s">
        <v>23</v>
      </c>
      <c r="I80" s="6">
        <v>82</v>
      </c>
      <c r="J80" s="6" t="s">
        <v>23</v>
      </c>
      <c r="K80" s="6" t="s">
        <v>23</v>
      </c>
      <c r="L80" s="6" t="s">
        <v>23</v>
      </c>
      <c r="M80" s="6" t="s">
        <v>23</v>
      </c>
      <c r="N80" s="6" t="s">
        <v>23</v>
      </c>
      <c r="O80" s="6" t="s">
        <v>23</v>
      </c>
      <c r="P80" s="6" t="s">
        <v>23</v>
      </c>
      <c r="Q80" s="6">
        <v>68</v>
      </c>
      <c r="R80" s="6">
        <v>36</v>
      </c>
      <c r="S80" s="6">
        <v>47</v>
      </c>
      <c r="T80" s="6" t="s">
        <v>23</v>
      </c>
      <c r="U80" s="7" t="s">
        <v>23</v>
      </c>
    </row>
    <row r="81" spans="1:21" x14ac:dyDescent="0.35">
      <c r="A81" s="8" t="s">
        <v>92</v>
      </c>
      <c r="B81" s="9">
        <v>95070600715</v>
      </c>
      <c r="C81" s="9" t="s">
        <v>23</v>
      </c>
      <c r="D81" s="9" t="s">
        <v>23</v>
      </c>
      <c r="E81" s="9" t="s">
        <v>23</v>
      </c>
      <c r="F81" s="9">
        <v>53</v>
      </c>
      <c r="G81" s="9" t="s">
        <v>23</v>
      </c>
      <c r="H81" s="9" t="s">
        <v>23</v>
      </c>
      <c r="I81" s="9">
        <v>100</v>
      </c>
      <c r="J81" s="9">
        <v>77</v>
      </c>
      <c r="K81" s="9" t="s">
        <v>23</v>
      </c>
      <c r="L81" s="9" t="s">
        <v>23</v>
      </c>
      <c r="M81" s="9" t="s">
        <v>23</v>
      </c>
      <c r="N81" s="9" t="s">
        <v>23</v>
      </c>
      <c r="O81" s="9" t="s">
        <v>23</v>
      </c>
      <c r="P81" s="9" t="s">
        <v>23</v>
      </c>
      <c r="Q81" s="9">
        <v>82</v>
      </c>
      <c r="R81" s="9">
        <v>38</v>
      </c>
      <c r="S81" s="9">
        <v>53</v>
      </c>
      <c r="T81" s="9" t="s">
        <v>23</v>
      </c>
      <c r="U81" s="10">
        <v>46</v>
      </c>
    </row>
    <row r="82" spans="1:21" x14ac:dyDescent="0.35">
      <c r="A82" s="5" t="s">
        <v>92</v>
      </c>
      <c r="B82" s="6">
        <v>95071306764</v>
      </c>
      <c r="C82" s="6" t="s">
        <v>23</v>
      </c>
      <c r="D82" s="6" t="s">
        <v>23</v>
      </c>
      <c r="E82" s="6" t="s">
        <v>23</v>
      </c>
      <c r="F82" s="6" t="s">
        <v>23</v>
      </c>
      <c r="G82" s="6" t="s">
        <v>23</v>
      </c>
      <c r="H82" s="6" t="s">
        <v>23</v>
      </c>
      <c r="I82" s="6">
        <v>98</v>
      </c>
      <c r="J82" s="6">
        <v>81</v>
      </c>
      <c r="K82" s="6" t="s">
        <v>23</v>
      </c>
      <c r="L82" s="6" t="s">
        <v>23</v>
      </c>
      <c r="M82" s="6" t="s">
        <v>23</v>
      </c>
      <c r="N82" s="6" t="s">
        <v>23</v>
      </c>
      <c r="O82" s="6" t="s">
        <v>23</v>
      </c>
      <c r="P82" s="6" t="s">
        <v>23</v>
      </c>
      <c r="Q82" s="6">
        <v>88</v>
      </c>
      <c r="R82" s="6">
        <v>40</v>
      </c>
      <c r="S82" s="6">
        <v>59</v>
      </c>
      <c r="T82" s="6" t="s">
        <v>23</v>
      </c>
      <c r="U82" s="7" t="s">
        <v>23</v>
      </c>
    </row>
    <row r="83" spans="1:21" x14ac:dyDescent="0.35">
      <c r="A83" s="8" t="s">
        <v>92</v>
      </c>
      <c r="B83" s="9">
        <v>95071307406</v>
      </c>
      <c r="C83" s="9" t="s">
        <v>23</v>
      </c>
      <c r="D83" s="9" t="s">
        <v>23</v>
      </c>
      <c r="E83" s="9" t="s">
        <v>23</v>
      </c>
      <c r="F83" s="9">
        <v>70</v>
      </c>
      <c r="G83" s="9" t="s">
        <v>23</v>
      </c>
      <c r="H83" s="9" t="s">
        <v>23</v>
      </c>
      <c r="I83" s="9">
        <v>96</v>
      </c>
      <c r="J83" s="9">
        <v>51</v>
      </c>
      <c r="K83" s="9" t="s">
        <v>23</v>
      </c>
      <c r="L83" s="9" t="s">
        <v>23</v>
      </c>
      <c r="M83" s="9" t="s">
        <v>23</v>
      </c>
      <c r="N83" s="9" t="s">
        <v>23</v>
      </c>
      <c r="O83" s="9" t="s">
        <v>23</v>
      </c>
      <c r="P83" s="9" t="s">
        <v>23</v>
      </c>
      <c r="Q83" s="9">
        <v>76</v>
      </c>
      <c r="R83" s="9" t="s">
        <v>23</v>
      </c>
      <c r="S83" s="9">
        <v>66</v>
      </c>
      <c r="T83" s="9">
        <v>95</v>
      </c>
      <c r="U83" s="10" t="s">
        <v>23</v>
      </c>
    </row>
    <row r="84" spans="1:21" x14ac:dyDescent="0.35">
      <c r="A84" s="5" t="s">
        <v>92</v>
      </c>
      <c r="B84" s="6">
        <v>95072805323</v>
      </c>
      <c r="C84" s="6" t="s">
        <v>23</v>
      </c>
      <c r="D84" s="6" t="s">
        <v>23</v>
      </c>
      <c r="E84" s="6" t="s">
        <v>23</v>
      </c>
      <c r="F84" s="6">
        <v>68</v>
      </c>
      <c r="G84" s="6" t="s">
        <v>23</v>
      </c>
      <c r="H84" s="6" t="s">
        <v>23</v>
      </c>
      <c r="I84" s="6">
        <v>87</v>
      </c>
      <c r="J84" s="6">
        <v>55</v>
      </c>
      <c r="K84" s="6" t="s">
        <v>23</v>
      </c>
      <c r="L84" s="6" t="s">
        <v>23</v>
      </c>
      <c r="M84" s="6" t="s">
        <v>23</v>
      </c>
      <c r="N84" s="6" t="s">
        <v>23</v>
      </c>
      <c r="O84" s="6" t="s">
        <v>23</v>
      </c>
      <c r="P84" s="6" t="s">
        <v>23</v>
      </c>
      <c r="Q84" s="6">
        <v>86</v>
      </c>
      <c r="R84" s="6">
        <v>48</v>
      </c>
      <c r="S84" s="6">
        <v>63</v>
      </c>
      <c r="T84" s="6">
        <v>55</v>
      </c>
      <c r="U84" s="7" t="s">
        <v>23</v>
      </c>
    </row>
    <row r="85" spans="1:21" x14ac:dyDescent="0.35">
      <c r="A85" s="8" t="s">
        <v>92</v>
      </c>
      <c r="B85" s="9">
        <v>95072901340</v>
      </c>
      <c r="C85" s="9" t="s">
        <v>23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>
        <v>91</v>
      </c>
      <c r="J85" s="9">
        <v>66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>
        <v>100</v>
      </c>
      <c r="R85" s="9">
        <v>66</v>
      </c>
      <c r="S85" s="9">
        <v>76</v>
      </c>
      <c r="T85" s="9">
        <v>70</v>
      </c>
      <c r="U85" s="10" t="s">
        <v>23</v>
      </c>
    </row>
    <row r="86" spans="1:21" x14ac:dyDescent="0.35">
      <c r="A86" s="5" t="s">
        <v>92</v>
      </c>
      <c r="B86" s="6">
        <v>95072901364</v>
      </c>
      <c r="C86" s="6" t="s">
        <v>23</v>
      </c>
      <c r="D86" s="6" t="s">
        <v>23</v>
      </c>
      <c r="E86" s="6" t="s">
        <v>23</v>
      </c>
      <c r="F86" s="6" t="s">
        <v>23</v>
      </c>
      <c r="G86" s="6" t="s">
        <v>23</v>
      </c>
      <c r="H86" s="6" t="s">
        <v>23</v>
      </c>
      <c r="I86" s="6">
        <v>100</v>
      </c>
      <c r="J86" s="6">
        <v>92</v>
      </c>
      <c r="K86" s="6">
        <v>72</v>
      </c>
      <c r="L86" s="6" t="s">
        <v>23</v>
      </c>
      <c r="M86" s="6" t="s">
        <v>23</v>
      </c>
      <c r="N86" s="6" t="s">
        <v>23</v>
      </c>
      <c r="O86" s="6" t="s">
        <v>23</v>
      </c>
      <c r="P86" s="6" t="s">
        <v>23</v>
      </c>
      <c r="Q86" s="6">
        <v>74</v>
      </c>
      <c r="R86" s="6">
        <v>52</v>
      </c>
      <c r="S86" s="6">
        <v>54</v>
      </c>
      <c r="T86" s="6" t="s">
        <v>23</v>
      </c>
      <c r="U86" s="7" t="s">
        <v>23</v>
      </c>
    </row>
    <row r="87" spans="1:21" x14ac:dyDescent="0.35">
      <c r="A87" s="8" t="s">
        <v>92</v>
      </c>
      <c r="B87" s="9">
        <v>95082206507</v>
      </c>
      <c r="C87" s="9" t="s">
        <v>23</v>
      </c>
      <c r="D87" s="9" t="s">
        <v>23</v>
      </c>
      <c r="E87" s="9" t="s">
        <v>23</v>
      </c>
      <c r="F87" s="9">
        <v>87</v>
      </c>
      <c r="G87" s="9" t="s">
        <v>23</v>
      </c>
      <c r="H87" s="9" t="s">
        <v>23</v>
      </c>
      <c r="I87" s="9">
        <v>98</v>
      </c>
      <c r="J87" s="9" t="s">
        <v>23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23</v>
      </c>
      <c r="Q87" s="9">
        <v>96</v>
      </c>
      <c r="R87" s="9">
        <v>90</v>
      </c>
      <c r="S87" s="9">
        <v>91</v>
      </c>
      <c r="T87" s="9" t="s">
        <v>23</v>
      </c>
      <c r="U87" s="10" t="s">
        <v>23</v>
      </c>
    </row>
    <row r="88" spans="1:21" x14ac:dyDescent="0.35">
      <c r="A88" s="5" t="s">
        <v>92</v>
      </c>
      <c r="B88" s="6">
        <v>95091103271</v>
      </c>
      <c r="C88" s="6" t="s">
        <v>23</v>
      </c>
      <c r="D88" s="6" t="s">
        <v>23</v>
      </c>
      <c r="E88" s="6" t="s">
        <v>23</v>
      </c>
      <c r="F88" s="6">
        <v>47</v>
      </c>
      <c r="G88" s="6" t="s">
        <v>23</v>
      </c>
      <c r="H88" s="6" t="s">
        <v>23</v>
      </c>
      <c r="I88" s="6">
        <v>89</v>
      </c>
      <c r="J88" s="6" t="s">
        <v>23</v>
      </c>
      <c r="K88" s="6" t="s">
        <v>23</v>
      </c>
      <c r="L88" s="6" t="s">
        <v>23</v>
      </c>
      <c r="M88" s="6" t="s">
        <v>23</v>
      </c>
      <c r="N88" s="6" t="s">
        <v>23</v>
      </c>
      <c r="O88" s="6" t="s">
        <v>23</v>
      </c>
      <c r="P88" s="6" t="s">
        <v>23</v>
      </c>
      <c r="Q88" s="6">
        <v>76</v>
      </c>
      <c r="R88" s="6">
        <v>40</v>
      </c>
      <c r="S88" s="6">
        <v>54</v>
      </c>
      <c r="T88" s="6" t="s">
        <v>23</v>
      </c>
      <c r="U88" s="7" t="s">
        <v>23</v>
      </c>
    </row>
    <row r="89" spans="1:21" x14ac:dyDescent="0.35">
      <c r="A89" s="8" t="s">
        <v>92</v>
      </c>
      <c r="B89" s="9">
        <v>95092301371</v>
      </c>
      <c r="C89" s="9" t="s">
        <v>23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>
        <v>94</v>
      </c>
      <c r="J89" s="9">
        <v>88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>
        <v>88</v>
      </c>
      <c r="R89" s="9">
        <v>46</v>
      </c>
      <c r="S89" s="9">
        <v>77</v>
      </c>
      <c r="T89" s="9" t="s">
        <v>23</v>
      </c>
      <c r="U89" s="10" t="s">
        <v>23</v>
      </c>
    </row>
    <row r="90" spans="1:21" x14ac:dyDescent="0.35">
      <c r="A90" s="5" t="s">
        <v>92</v>
      </c>
      <c r="B90" s="6">
        <v>95100703063</v>
      </c>
      <c r="C90" s="6" t="s">
        <v>23</v>
      </c>
      <c r="D90" s="6" t="s">
        <v>23</v>
      </c>
      <c r="E90" s="6" t="s">
        <v>23</v>
      </c>
      <c r="F90" s="6">
        <v>68</v>
      </c>
      <c r="G90" s="6" t="s">
        <v>23</v>
      </c>
      <c r="H90" s="6" t="s">
        <v>23</v>
      </c>
      <c r="I90" s="6">
        <v>94</v>
      </c>
      <c r="J90" s="6">
        <v>78</v>
      </c>
      <c r="K90" s="6" t="s">
        <v>23</v>
      </c>
      <c r="L90" s="6" t="s">
        <v>23</v>
      </c>
      <c r="M90" s="6" t="s">
        <v>23</v>
      </c>
      <c r="N90" s="6" t="s">
        <v>23</v>
      </c>
      <c r="O90" s="6">
        <v>96</v>
      </c>
      <c r="P90" s="6" t="s">
        <v>23</v>
      </c>
      <c r="Q90" s="6">
        <v>100</v>
      </c>
      <c r="R90" s="6">
        <v>54</v>
      </c>
      <c r="S90" s="6">
        <v>50</v>
      </c>
      <c r="T90" s="6" t="s">
        <v>23</v>
      </c>
      <c r="U90" s="7" t="s">
        <v>23</v>
      </c>
    </row>
    <row r="91" spans="1:21" x14ac:dyDescent="0.35">
      <c r="A91" s="8" t="s">
        <v>92</v>
      </c>
      <c r="B91" s="9">
        <v>95102509322</v>
      </c>
      <c r="C91" s="9" t="s">
        <v>23</v>
      </c>
      <c r="D91" s="9" t="s">
        <v>23</v>
      </c>
      <c r="E91" s="9" t="s">
        <v>23</v>
      </c>
      <c r="F91" s="9">
        <v>77</v>
      </c>
      <c r="G91" s="9" t="s">
        <v>23</v>
      </c>
      <c r="H91" s="9" t="s">
        <v>23</v>
      </c>
      <c r="I91" s="9">
        <v>72</v>
      </c>
      <c r="J91" s="9">
        <v>44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23</v>
      </c>
      <c r="P91" s="9" t="s">
        <v>23</v>
      </c>
      <c r="Q91" s="9">
        <v>78</v>
      </c>
      <c r="R91" s="9">
        <v>40</v>
      </c>
      <c r="S91" s="9">
        <v>60</v>
      </c>
      <c r="T91" s="9" t="s">
        <v>23</v>
      </c>
      <c r="U91" s="10" t="s">
        <v>23</v>
      </c>
    </row>
    <row r="92" spans="1:21" x14ac:dyDescent="0.35">
      <c r="A92" s="5" t="s">
        <v>92</v>
      </c>
      <c r="B92" s="6">
        <v>95121002200</v>
      </c>
      <c r="C92" s="6" t="s">
        <v>23</v>
      </c>
      <c r="D92" s="6" t="s">
        <v>23</v>
      </c>
      <c r="E92" s="6" t="s">
        <v>23</v>
      </c>
      <c r="F92" s="6">
        <v>80</v>
      </c>
      <c r="G92" s="6" t="s">
        <v>23</v>
      </c>
      <c r="H92" s="6" t="s">
        <v>23</v>
      </c>
      <c r="I92" s="6">
        <v>100</v>
      </c>
      <c r="J92" s="6">
        <v>82</v>
      </c>
      <c r="K92" s="6" t="s">
        <v>23</v>
      </c>
      <c r="L92" s="6" t="s">
        <v>23</v>
      </c>
      <c r="M92" s="6" t="s">
        <v>23</v>
      </c>
      <c r="N92" s="6" t="s">
        <v>23</v>
      </c>
      <c r="O92" s="6">
        <v>100</v>
      </c>
      <c r="P92" s="6" t="s">
        <v>23</v>
      </c>
      <c r="Q92" s="6">
        <v>86</v>
      </c>
      <c r="R92" s="6">
        <v>94</v>
      </c>
      <c r="S92" s="6">
        <v>63</v>
      </c>
      <c r="T92" s="6" t="s">
        <v>23</v>
      </c>
      <c r="U92" s="7" t="s">
        <v>23</v>
      </c>
    </row>
    <row r="93" spans="1:21" x14ac:dyDescent="0.35">
      <c r="A93" s="8" t="s">
        <v>92</v>
      </c>
      <c r="B93" s="9">
        <v>96010806327</v>
      </c>
      <c r="C93" s="9" t="s">
        <v>23</v>
      </c>
      <c r="D93" s="9" t="s">
        <v>23</v>
      </c>
      <c r="E93" s="9" t="s">
        <v>23</v>
      </c>
      <c r="F93" s="9">
        <v>82</v>
      </c>
      <c r="G93" s="9" t="s">
        <v>23</v>
      </c>
      <c r="H93" s="9" t="s">
        <v>23</v>
      </c>
      <c r="I93" s="9">
        <v>94</v>
      </c>
      <c r="J93" s="9">
        <v>61</v>
      </c>
      <c r="K93" s="9" t="s">
        <v>23</v>
      </c>
      <c r="L93" s="9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9">
        <v>68</v>
      </c>
      <c r="R93" s="9" t="s">
        <v>23</v>
      </c>
      <c r="S93" s="9">
        <v>71</v>
      </c>
      <c r="T93" s="9" t="s">
        <v>23</v>
      </c>
      <c r="U93" s="10" t="s">
        <v>23</v>
      </c>
    </row>
    <row r="94" spans="1:21" x14ac:dyDescent="0.35">
      <c r="A94" s="5" t="s">
        <v>96</v>
      </c>
      <c r="B94" s="6">
        <v>95010400678</v>
      </c>
      <c r="C94" s="6" t="s">
        <v>23</v>
      </c>
      <c r="D94" s="6" t="s">
        <v>23</v>
      </c>
      <c r="E94" s="6">
        <v>70</v>
      </c>
      <c r="F94" s="6" t="s">
        <v>23</v>
      </c>
      <c r="G94" s="6" t="s">
        <v>23</v>
      </c>
      <c r="H94" s="6" t="s">
        <v>23</v>
      </c>
      <c r="I94" s="6">
        <v>94</v>
      </c>
      <c r="J94" s="6">
        <v>73</v>
      </c>
      <c r="K94" s="6" t="s">
        <v>23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23</v>
      </c>
      <c r="Q94" s="6">
        <v>90</v>
      </c>
      <c r="R94" s="6">
        <v>70</v>
      </c>
      <c r="S94" s="6">
        <v>59</v>
      </c>
      <c r="T94" s="6" t="s">
        <v>23</v>
      </c>
      <c r="U94" s="7" t="s">
        <v>23</v>
      </c>
    </row>
    <row r="95" spans="1:21" x14ac:dyDescent="0.35">
      <c r="A95" s="8" t="s">
        <v>96</v>
      </c>
      <c r="B95" s="9">
        <v>95012402890</v>
      </c>
      <c r="C95" s="9" t="s">
        <v>23</v>
      </c>
      <c r="D95" s="9" t="s">
        <v>23</v>
      </c>
      <c r="E95" s="9">
        <v>53</v>
      </c>
      <c r="F95" s="9" t="s">
        <v>23</v>
      </c>
      <c r="G95" s="9" t="s">
        <v>23</v>
      </c>
      <c r="H95" s="9" t="s">
        <v>23</v>
      </c>
      <c r="I95" s="9">
        <v>96</v>
      </c>
      <c r="J95" s="9">
        <v>67</v>
      </c>
      <c r="K95" s="9" t="s">
        <v>23</v>
      </c>
      <c r="L95" s="9" t="s">
        <v>23</v>
      </c>
      <c r="M95" s="9" t="s">
        <v>23</v>
      </c>
      <c r="N95" s="9" t="s">
        <v>23</v>
      </c>
      <c r="O95" s="9" t="s">
        <v>23</v>
      </c>
      <c r="P95" s="9" t="s">
        <v>23</v>
      </c>
      <c r="Q95" s="9">
        <v>90</v>
      </c>
      <c r="R95" s="9">
        <v>40</v>
      </c>
      <c r="S95" s="9">
        <v>64</v>
      </c>
      <c r="T95" s="9" t="s">
        <v>23</v>
      </c>
      <c r="U95" s="10" t="s">
        <v>23</v>
      </c>
    </row>
    <row r="96" spans="1:21" x14ac:dyDescent="0.35">
      <c r="A96" s="5" t="s">
        <v>96</v>
      </c>
      <c r="B96" s="6">
        <v>95012801194</v>
      </c>
      <c r="C96" s="6" t="s">
        <v>23</v>
      </c>
      <c r="D96" s="6" t="s">
        <v>23</v>
      </c>
      <c r="E96" s="6">
        <v>75</v>
      </c>
      <c r="F96" s="6" t="s">
        <v>23</v>
      </c>
      <c r="G96" s="6" t="s">
        <v>23</v>
      </c>
      <c r="H96" s="6">
        <v>78</v>
      </c>
      <c r="I96" s="6">
        <v>98</v>
      </c>
      <c r="J96" s="6">
        <v>96</v>
      </c>
      <c r="K96" s="6" t="s">
        <v>23</v>
      </c>
      <c r="L96" s="6" t="s">
        <v>23</v>
      </c>
      <c r="M96" s="6" t="s">
        <v>23</v>
      </c>
      <c r="N96" s="6" t="s">
        <v>23</v>
      </c>
      <c r="O96" s="6" t="s">
        <v>23</v>
      </c>
      <c r="P96" s="6" t="s">
        <v>23</v>
      </c>
      <c r="Q96" s="6">
        <v>100</v>
      </c>
      <c r="R96" s="6">
        <v>90</v>
      </c>
      <c r="S96" s="6">
        <v>80</v>
      </c>
      <c r="T96" s="6" t="s">
        <v>23</v>
      </c>
      <c r="U96" s="7" t="s">
        <v>23</v>
      </c>
    </row>
    <row r="97" spans="1:21" x14ac:dyDescent="0.35">
      <c r="A97" s="8" t="s">
        <v>96</v>
      </c>
      <c r="B97" s="9">
        <v>95012904927</v>
      </c>
      <c r="C97" s="9" t="s">
        <v>23</v>
      </c>
      <c r="D97" s="9" t="s">
        <v>23</v>
      </c>
      <c r="E97" s="9">
        <v>82</v>
      </c>
      <c r="F97" s="9" t="s">
        <v>23</v>
      </c>
      <c r="G97" s="9" t="s">
        <v>23</v>
      </c>
      <c r="H97" s="9" t="s">
        <v>23</v>
      </c>
      <c r="I97" s="9">
        <v>100</v>
      </c>
      <c r="J97" s="9">
        <v>91</v>
      </c>
      <c r="K97" s="9" t="s">
        <v>23</v>
      </c>
      <c r="L97" s="9" t="s">
        <v>23</v>
      </c>
      <c r="M97" s="9" t="s">
        <v>23</v>
      </c>
      <c r="N97" s="9" t="s">
        <v>23</v>
      </c>
      <c r="O97" s="9" t="s">
        <v>23</v>
      </c>
      <c r="P97" s="9" t="s">
        <v>23</v>
      </c>
      <c r="Q97" s="9">
        <v>86</v>
      </c>
      <c r="R97" s="9">
        <v>80</v>
      </c>
      <c r="S97" s="9">
        <v>84</v>
      </c>
      <c r="T97" s="9" t="s">
        <v>23</v>
      </c>
      <c r="U97" s="10" t="s">
        <v>23</v>
      </c>
    </row>
    <row r="98" spans="1:21" x14ac:dyDescent="0.35">
      <c r="A98" s="5" t="s">
        <v>96</v>
      </c>
      <c r="B98" s="6">
        <v>95020904777</v>
      </c>
      <c r="C98" s="6" t="s">
        <v>23</v>
      </c>
      <c r="D98" s="6" t="s">
        <v>23</v>
      </c>
      <c r="E98" s="6">
        <v>32</v>
      </c>
      <c r="F98" s="6" t="s">
        <v>23</v>
      </c>
      <c r="G98" s="6" t="s">
        <v>23</v>
      </c>
      <c r="H98" s="6" t="s">
        <v>23</v>
      </c>
      <c r="I98" s="6">
        <v>96</v>
      </c>
      <c r="J98" s="6">
        <v>74</v>
      </c>
      <c r="K98" s="6" t="s">
        <v>23</v>
      </c>
      <c r="L98" s="6" t="s">
        <v>23</v>
      </c>
      <c r="M98" s="6" t="s">
        <v>23</v>
      </c>
      <c r="N98" s="6" t="s">
        <v>23</v>
      </c>
      <c r="O98" s="6" t="s">
        <v>23</v>
      </c>
      <c r="P98" s="6" t="s">
        <v>23</v>
      </c>
      <c r="Q98" s="6">
        <v>82</v>
      </c>
      <c r="R98" s="6" t="s">
        <v>23</v>
      </c>
      <c r="S98" s="6">
        <v>60</v>
      </c>
      <c r="T98" s="6">
        <v>25</v>
      </c>
      <c r="U98" s="7" t="s">
        <v>23</v>
      </c>
    </row>
    <row r="99" spans="1:21" x14ac:dyDescent="0.35">
      <c r="A99" s="8" t="s">
        <v>96</v>
      </c>
      <c r="B99" s="9">
        <v>95021601338</v>
      </c>
      <c r="C99" s="9" t="s">
        <v>23</v>
      </c>
      <c r="D99" s="9" t="s">
        <v>23</v>
      </c>
      <c r="E99" s="9">
        <v>77</v>
      </c>
      <c r="F99" s="9" t="s">
        <v>23</v>
      </c>
      <c r="G99" s="9" t="s">
        <v>23</v>
      </c>
      <c r="H99" s="9">
        <v>88</v>
      </c>
      <c r="I99" s="9">
        <v>98</v>
      </c>
      <c r="J99" s="9">
        <v>76</v>
      </c>
      <c r="K99" s="9" t="s">
        <v>23</v>
      </c>
      <c r="L99" s="9" t="s">
        <v>23</v>
      </c>
      <c r="M99" s="9" t="s">
        <v>23</v>
      </c>
      <c r="N99" s="9" t="s">
        <v>23</v>
      </c>
      <c r="O99" s="9" t="s">
        <v>23</v>
      </c>
      <c r="P99" s="9" t="s">
        <v>23</v>
      </c>
      <c r="Q99" s="9">
        <v>98</v>
      </c>
      <c r="R99" s="9">
        <v>68</v>
      </c>
      <c r="S99" s="9">
        <v>73</v>
      </c>
      <c r="T99" s="9" t="s">
        <v>23</v>
      </c>
      <c r="U99" s="10" t="s">
        <v>23</v>
      </c>
    </row>
    <row r="100" spans="1:21" x14ac:dyDescent="0.35">
      <c r="A100" s="5" t="s">
        <v>96</v>
      </c>
      <c r="B100" s="6">
        <v>95032801943</v>
      </c>
      <c r="C100" s="6" t="s">
        <v>23</v>
      </c>
      <c r="D100" s="6" t="s">
        <v>23</v>
      </c>
      <c r="E100" s="6">
        <v>70</v>
      </c>
      <c r="F100" s="6" t="s">
        <v>23</v>
      </c>
      <c r="G100" s="6" t="s">
        <v>23</v>
      </c>
      <c r="H100" s="6" t="s">
        <v>23</v>
      </c>
      <c r="I100" s="6">
        <v>97</v>
      </c>
      <c r="J100" s="6">
        <v>65</v>
      </c>
      <c r="K100" s="6" t="s">
        <v>23</v>
      </c>
      <c r="L100" s="6" t="s">
        <v>23</v>
      </c>
      <c r="M100" s="6" t="s">
        <v>23</v>
      </c>
      <c r="N100" s="6" t="s">
        <v>23</v>
      </c>
      <c r="O100" s="6" t="s">
        <v>23</v>
      </c>
      <c r="P100" s="6" t="s">
        <v>23</v>
      </c>
      <c r="Q100" s="6">
        <v>94</v>
      </c>
      <c r="R100" s="6">
        <v>78</v>
      </c>
      <c r="S100" s="6">
        <v>76</v>
      </c>
      <c r="T100" s="6" t="s">
        <v>23</v>
      </c>
      <c r="U100" s="7" t="s">
        <v>23</v>
      </c>
    </row>
    <row r="101" spans="1:21" x14ac:dyDescent="0.35">
      <c r="A101" s="8" t="s">
        <v>96</v>
      </c>
      <c r="B101" s="9">
        <v>95032801950</v>
      </c>
      <c r="C101" s="9" t="s">
        <v>23</v>
      </c>
      <c r="D101" s="9" t="s">
        <v>23</v>
      </c>
      <c r="E101" s="9">
        <v>32</v>
      </c>
      <c r="F101" s="9" t="s">
        <v>23</v>
      </c>
      <c r="G101" s="9" t="s">
        <v>23</v>
      </c>
      <c r="H101" s="9" t="s">
        <v>23</v>
      </c>
      <c r="I101" s="9">
        <v>95</v>
      </c>
      <c r="J101" s="9">
        <v>75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9" t="s">
        <v>23</v>
      </c>
      <c r="Q101" s="9">
        <v>72</v>
      </c>
      <c r="R101" s="9">
        <v>58</v>
      </c>
      <c r="S101" s="9">
        <v>54</v>
      </c>
      <c r="T101" s="9" t="s">
        <v>23</v>
      </c>
      <c r="U101" s="10" t="s">
        <v>23</v>
      </c>
    </row>
    <row r="102" spans="1:21" x14ac:dyDescent="0.35">
      <c r="A102" s="5" t="s">
        <v>96</v>
      </c>
      <c r="B102" s="6">
        <v>95040804338</v>
      </c>
      <c r="C102" s="6">
        <v>37</v>
      </c>
      <c r="D102" s="6" t="s">
        <v>23</v>
      </c>
      <c r="E102" s="6">
        <v>37</v>
      </c>
      <c r="F102" s="6" t="s">
        <v>23</v>
      </c>
      <c r="G102" s="6" t="s">
        <v>23</v>
      </c>
      <c r="H102" s="6" t="s">
        <v>23</v>
      </c>
      <c r="I102" s="6">
        <v>96</v>
      </c>
      <c r="J102" s="6">
        <v>84</v>
      </c>
      <c r="K102" s="6" t="s">
        <v>23</v>
      </c>
      <c r="L102" s="6" t="s">
        <v>23</v>
      </c>
      <c r="M102" s="6" t="s">
        <v>23</v>
      </c>
      <c r="N102" s="6" t="s">
        <v>23</v>
      </c>
      <c r="O102" s="6" t="s">
        <v>23</v>
      </c>
      <c r="P102" s="6" t="s">
        <v>23</v>
      </c>
      <c r="Q102" s="6">
        <v>86</v>
      </c>
      <c r="R102" s="6" t="s">
        <v>23</v>
      </c>
      <c r="S102" s="6">
        <v>53</v>
      </c>
      <c r="T102" s="6" t="s">
        <v>23</v>
      </c>
      <c r="U102" s="7" t="s">
        <v>23</v>
      </c>
    </row>
    <row r="103" spans="1:21" x14ac:dyDescent="0.35">
      <c r="A103" s="8" t="s">
        <v>96</v>
      </c>
      <c r="B103" s="9">
        <v>95050803734</v>
      </c>
      <c r="C103" s="9" t="s">
        <v>23</v>
      </c>
      <c r="D103" s="9" t="s">
        <v>23</v>
      </c>
      <c r="E103" s="9">
        <v>75</v>
      </c>
      <c r="F103" s="9" t="s">
        <v>23</v>
      </c>
      <c r="G103" s="9" t="s">
        <v>23</v>
      </c>
      <c r="H103" s="9" t="s">
        <v>23</v>
      </c>
      <c r="I103" s="9">
        <v>98</v>
      </c>
      <c r="J103" s="9">
        <v>94</v>
      </c>
      <c r="K103" s="9" t="s">
        <v>23</v>
      </c>
      <c r="L103" s="9" t="s">
        <v>23</v>
      </c>
      <c r="M103" s="9" t="s">
        <v>23</v>
      </c>
      <c r="N103" s="9" t="s">
        <v>23</v>
      </c>
      <c r="O103" s="9" t="s">
        <v>23</v>
      </c>
      <c r="P103" s="9" t="s">
        <v>23</v>
      </c>
      <c r="Q103" s="9">
        <v>84</v>
      </c>
      <c r="R103" s="9">
        <v>82</v>
      </c>
      <c r="S103" s="9">
        <v>56</v>
      </c>
      <c r="T103" s="9" t="s">
        <v>23</v>
      </c>
      <c r="U103" s="10" t="s">
        <v>23</v>
      </c>
    </row>
    <row r="104" spans="1:21" x14ac:dyDescent="0.35">
      <c r="A104" s="5" t="s">
        <v>96</v>
      </c>
      <c r="B104" s="6">
        <v>95052200645</v>
      </c>
      <c r="C104" s="6" t="s">
        <v>23</v>
      </c>
      <c r="D104" s="6" t="s">
        <v>23</v>
      </c>
      <c r="E104" s="6">
        <v>92</v>
      </c>
      <c r="F104" s="6" t="s">
        <v>23</v>
      </c>
      <c r="G104" s="6" t="s">
        <v>23</v>
      </c>
      <c r="H104" s="6" t="s">
        <v>23</v>
      </c>
      <c r="I104" s="6">
        <v>98</v>
      </c>
      <c r="J104" s="6">
        <v>86</v>
      </c>
      <c r="K104" s="6" t="s">
        <v>23</v>
      </c>
      <c r="L104" s="6" t="s">
        <v>23</v>
      </c>
      <c r="M104" s="6" t="s">
        <v>23</v>
      </c>
      <c r="N104" s="6" t="s">
        <v>23</v>
      </c>
      <c r="O104" s="6" t="s">
        <v>23</v>
      </c>
      <c r="P104" s="6" t="s">
        <v>23</v>
      </c>
      <c r="Q104" s="6">
        <v>94</v>
      </c>
      <c r="R104" s="6">
        <v>88</v>
      </c>
      <c r="S104" s="6">
        <v>77</v>
      </c>
      <c r="T104" s="6" t="s">
        <v>23</v>
      </c>
      <c r="U104" s="7" t="s">
        <v>23</v>
      </c>
    </row>
    <row r="105" spans="1:21" x14ac:dyDescent="0.35">
      <c r="A105" s="8" t="s">
        <v>96</v>
      </c>
      <c r="B105" s="9">
        <v>95052901713</v>
      </c>
      <c r="C105" s="9" t="s">
        <v>23</v>
      </c>
      <c r="D105" s="9" t="s">
        <v>23</v>
      </c>
      <c r="E105" s="9" t="s">
        <v>23</v>
      </c>
      <c r="F105" s="9">
        <v>45</v>
      </c>
      <c r="G105" s="9" t="s">
        <v>23</v>
      </c>
      <c r="H105" s="9" t="s">
        <v>23</v>
      </c>
      <c r="I105" s="9">
        <v>100</v>
      </c>
      <c r="J105" s="9">
        <v>80</v>
      </c>
      <c r="K105" s="9" t="s">
        <v>23</v>
      </c>
      <c r="L105" s="9" t="s">
        <v>23</v>
      </c>
      <c r="M105" s="9" t="s">
        <v>23</v>
      </c>
      <c r="N105" s="9" t="s">
        <v>23</v>
      </c>
      <c r="O105" s="9" t="s">
        <v>23</v>
      </c>
      <c r="P105" s="9" t="s">
        <v>23</v>
      </c>
      <c r="Q105" s="9">
        <v>78</v>
      </c>
      <c r="R105" s="9">
        <v>36</v>
      </c>
      <c r="S105" s="9">
        <v>30</v>
      </c>
      <c r="T105" s="9" t="s">
        <v>23</v>
      </c>
      <c r="U105" s="10" t="s">
        <v>23</v>
      </c>
    </row>
    <row r="106" spans="1:21" x14ac:dyDescent="0.35">
      <c r="A106" s="5" t="s">
        <v>96</v>
      </c>
      <c r="B106" s="6">
        <v>95060303600</v>
      </c>
      <c r="C106" s="6" t="s">
        <v>23</v>
      </c>
      <c r="D106" s="6" t="s">
        <v>23</v>
      </c>
      <c r="E106" s="6" t="s">
        <v>23</v>
      </c>
      <c r="F106" s="6" t="s">
        <v>23</v>
      </c>
      <c r="G106" s="6" t="s">
        <v>23</v>
      </c>
      <c r="H106" s="6" t="s">
        <v>23</v>
      </c>
      <c r="I106" s="6">
        <v>100</v>
      </c>
      <c r="J106" s="6">
        <v>94</v>
      </c>
      <c r="K106" s="6">
        <v>99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23</v>
      </c>
      <c r="Q106" s="6">
        <v>80</v>
      </c>
      <c r="R106" s="6">
        <v>74</v>
      </c>
      <c r="S106" s="6">
        <v>74</v>
      </c>
      <c r="T106" s="6" t="s">
        <v>23</v>
      </c>
      <c r="U106" s="7" t="s">
        <v>23</v>
      </c>
    </row>
    <row r="107" spans="1:21" x14ac:dyDescent="0.35">
      <c r="A107" s="8" t="s">
        <v>96</v>
      </c>
      <c r="B107" s="9">
        <v>95060705327</v>
      </c>
      <c r="C107" s="9" t="s">
        <v>23</v>
      </c>
      <c r="D107" s="9" t="s">
        <v>23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>
        <v>98</v>
      </c>
      <c r="J107" s="9">
        <v>78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23</v>
      </c>
      <c r="Q107" s="9">
        <v>64</v>
      </c>
      <c r="R107" s="9" t="s">
        <v>23</v>
      </c>
      <c r="S107" s="9">
        <v>54</v>
      </c>
      <c r="T107" s="9" t="s">
        <v>23</v>
      </c>
      <c r="U107" s="10" t="s">
        <v>23</v>
      </c>
    </row>
    <row r="108" spans="1:21" x14ac:dyDescent="0.35">
      <c r="A108" s="5" t="s">
        <v>96</v>
      </c>
      <c r="B108" s="6">
        <v>95060913018</v>
      </c>
      <c r="C108" s="6" t="s">
        <v>23</v>
      </c>
      <c r="D108" s="6" t="s">
        <v>23</v>
      </c>
      <c r="E108" s="6">
        <v>72</v>
      </c>
      <c r="F108" s="6" t="s">
        <v>23</v>
      </c>
      <c r="G108" s="6" t="s">
        <v>23</v>
      </c>
      <c r="H108" s="6" t="s">
        <v>23</v>
      </c>
      <c r="I108" s="6">
        <v>98</v>
      </c>
      <c r="J108" s="6">
        <v>79</v>
      </c>
      <c r="K108" s="6" t="s">
        <v>23</v>
      </c>
      <c r="L108" s="6" t="s">
        <v>23</v>
      </c>
      <c r="M108" s="6" t="s">
        <v>23</v>
      </c>
      <c r="N108" s="6" t="s">
        <v>23</v>
      </c>
      <c r="O108" s="6" t="s">
        <v>23</v>
      </c>
      <c r="P108" s="6" t="s">
        <v>23</v>
      </c>
      <c r="Q108" s="6">
        <v>100</v>
      </c>
      <c r="R108" s="6">
        <v>78</v>
      </c>
      <c r="S108" s="6">
        <v>64</v>
      </c>
      <c r="T108" s="6" t="s">
        <v>23</v>
      </c>
      <c r="U108" s="7" t="s">
        <v>23</v>
      </c>
    </row>
    <row r="109" spans="1:21" x14ac:dyDescent="0.35">
      <c r="A109" s="8" t="s">
        <v>96</v>
      </c>
      <c r="B109" s="9">
        <v>95072510054</v>
      </c>
      <c r="C109" s="9" t="s">
        <v>23</v>
      </c>
      <c r="D109" s="9" t="s">
        <v>23</v>
      </c>
      <c r="E109" s="9">
        <v>62</v>
      </c>
      <c r="F109" s="9" t="s">
        <v>23</v>
      </c>
      <c r="G109" s="9" t="s">
        <v>23</v>
      </c>
      <c r="H109" s="9" t="s">
        <v>23</v>
      </c>
      <c r="I109" s="9">
        <v>100</v>
      </c>
      <c r="J109" s="9">
        <v>75</v>
      </c>
      <c r="K109" s="9" t="s">
        <v>23</v>
      </c>
      <c r="L109" s="9" t="s">
        <v>23</v>
      </c>
      <c r="M109" s="9" t="s">
        <v>23</v>
      </c>
      <c r="N109" s="9" t="s">
        <v>23</v>
      </c>
      <c r="O109" s="9" t="s">
        <v>23</v>
      </c>
      <c r="P109" s="9" t="s">
        <v>23</v>
      </c>
      <c r="Q109" s="9">
        <v>92</v>
      </c>
      <c r="R109" s="9">
        <v>38</v>
      </c>
      <c r="S109" s="9">
        <v>74</v>
      </c>
      <c r="T109" s="9" t="s">
        <v>23</v>
      </c>
      <c r="U109" s="10" t="s">
        <v>23</v>
      </c>
    </row>
    <row r="110" spans="1:21" x14ac:dyDescent="0.35">
      <c r="A110" s="5" t="s">
        <v>96</v>
      </c>
      <c r="B110" s="6">
        <v>95080407818</v>
      </c>
      <c r="C110" s="6" t="s">
        <v>23</v>
      </c>
      <c r="D110" s="6" t="s">
        <v>23</v>
      </c>
      <c r="E110" s="6" t="s">
        <v>23</v>
      </c>
      <c r="F110" s="6" t="s">
        <v>23</v>
      </c>
      <c r="G110" s="6" t="s">
        <v>23</v>
      </c>
      <c r="H110" s="6">
        <v>70</v>
      </c>
      <c r="I110" s="6">
        <v>98</v>
      </c>
      <c r="J110" s="6">
        <v>79</v>
      </c>
      <c r="K110" s="6" t="s">
        <v>23</v>
      </c>
      <c r="L110" s="6" t="s">
        <v>23</v>
      </c>
      <c r="M110" s="6" t="s">
        <v>23</v>
      </c>
      <c r="N110" s="6" t="s">
        <v>23</v>
      </c>
      <c r="O110" s="6" t="s">
        <v>23</v>
      </c>
      <c r="P110" s="6" t="s">
        <v>23</v>
      </c>
      <c r="Q110" s="6">
        <v>94</v>
      </c>
      <c r="R110" s="6">
        <v>62</v>
      </c>
      <c r="S110" s="6">
        <v>59</v>
      </c>
      <c r="T110" s="6" t="s">
        <v>23</v>
      </c>
      <c r="U110" s="7" t="s">
        <v>23</v>
      </c>
    </row>
    <row r="111" spans="1:21" x14ac:dyDescent="0.35">
      <c r="A111" s="8" t="s">
        <v>96</v>
      </c>
      <c r="B111" s="9">
        <v>95080805098</v>
      </c>
      <c r="C111" s="9" t="s">
        <v>23</v>
      </c>
      <c r="D111" s="9" t="s">
        <v>23</v>
      </c>
      <c r="E111" s="9">
        <v>48</v>
      </c>
      <c r="F111" s="9" t="s">
        <v>23</v>
      </c>
      <c r="G111" s="9" t="s">
        <v>23</v>
      </c>
      <c r="H111" s="9" t="s">
        <v>23</v>
      </c>
      <c r="I111" s="9">
        <v>84</v>
      </c>
      <c r="J111" s="9">
        <v>28</v>
      </c>
      <c r="K111" s="9" t="s">
        <v>23</v>
      </c>
      <c r="L111" s="9" t="s">
        <v>23</v>
      </c>
      <c r="M111" s="9" t="s">
        <v>23</v>
      </c>
      <c r="N111" s="9" t="s">
        <v>23</v>
      </c>
      <c r="O111" s="9" t="s">
        <v>23</v>
      </c>
      <c r="P111" s="9" t="s">
        <v>23</v>
      </c>
      <c r="Q111" s="9">
        <v>88</v>
      </c>
      <c r="R111" s="9">
        <v>68</v>
      </c>
      <c r="S111" s="9">
        <v>51</v>
      </c>
      <c r="T111" s="9" t="s">
        <v>23</v>
      </c>
      <c r="U111" s="10" t="s">
        <v>23</v>
      </c>
    </row>
    <row r="112" spans="1:21" x14ac:dyDescent="0.35">
      <c r="A112" s="5" t="s">
        <v>96</v>
      </c>
      <c r="B112" s="6">
        <v>95081600791</v>
      </c>
      <c r="C112" s="6" t="s">
        <v>23</v>
      </c>
      <c r="D112" s="6" t="s">
        <v>23</v>
      </c>
      <c r="E112" s="6">
        <v>62</v>
      </c>
      <c r="F112" s="6" t="s">
        <v>23</v>
      </c>
      <c r="G112" s="6" t="s">
        <v>23</v>
      </c>
      <c r="H112" s="6" t="s">
        <v>23</v>
      </c>
      <c r="I112" s="6">
        <v>98</v>
      </c>
      <c r="J112" s="6">
        <v>79</v>
      </c>
      <c r="K112" s="6" t="s">
        <v>23</v>
      </c>
      <c r="L112" s="6" t="s">
        <v>23</v>
      </c>
      <c r="M112" s="6" t="s">
        <v>23</v>
      </c>
      <c r="N112" s="6" t="s">
        <v>23</v>
      </c>
      <c r="O112" s="6" t="s">
        <v>23</v>
      </c>
      <c r="P112" s="6" t="s">
        <v>23</v>
      </c>
      <c r="Q112" s="6">
        <v>100</v>
      </c>
      <c r="R112" s="6">
        <v>66</v>
      </c>
      <c r="S112" s="6">
        <v>51</v>
      </c>
      <c r="T112" s="6" t="s">
        <v>23</v>
      </c>
      <c r="U112" s="7" t="s">
        <v>23</v>
      </c>
    </row>
    <row r="113" spans="1:21" x14ac:dyDescent="0.35">
      <c r="A113" s="8" t="s">
        <v>96</v>
      </c>
      <c r="B113" s="9">
        <v>95082906797</v>
      </c>
      <c r="C113" s="9" t="s">
        <v>23</v>
      </c>
      <c r="D113" s="9" t="s">
        <v>23</v>
      </c>
      <c r="E113" s="9">
        <v>67</v>
      </c>
      <c r="F113" s="9" t="s">
        <v>23</v>
      </c>
      <c r="G113" s="9" t="s">
        <v>23</v>
      </c>
      <c r="H113" s="9" t="s">
        <v>23</v>
      </c>
      <c r="I113" s="9">
        <v>100</v>
      </c>
      <c r="J113" s="9">
        <v>85</v>
      </c>
      <c r="K113" s="9" t="s">
        <v>23</v>
      </c>
      <c r="L113" s="9" t="s">
        <v>23</v>
      </c>
      <c r="M113" s="9" t="s">
        <v>23</v>
      </c>
      <c r="N113" s="9" t="s">
        <v>23</v>
      </c>
      <c r="O113" s="9" t="s">
        <v>23</v>
      </c>
      <c r="P113" s="9" t="s">
        <v>23</v>
      </c>
      <c r="Q113" s="9">
        <v>92</v>
      </c>
      <c r="R113" s="9">
        <v>70</v>
      </c>
      <c r="S113" s="9">
        <v>63</v>
      </c>
      <c r="T113" s="9" t="s">
        <v>23</v>
      </c>
      <c r="U113" s="10" t="s">
        <v>23</v>
      </c>
    </row>
    <row r="114" spans="1:21" x14ac:dyDescent="0.35">
      <c r="A114" s="5" t="s">
        <v>96</v>
      </c>
      <c r="B114" s="6">
        <v>95083100398</v>
      </c>
      <c r="C114" s="6" t="s">
        <v>23</v>
      </c>
      <c r="D114" s="6" t="s">
        <v>23</v>
      </c>
      <c r="E114" s="6">
        <v>67</v>
      </c>
      <c r="F114" s="6" t="s">
        <v>23</v>
      </c>
      <c r="G114" s="6" t="s">
        <v>23</v>
      </c>
      <c r="H114" s="6" t="s">
        <v>23</v>
      </c>
      <c r="I114" s="6">
        <v>100</v>
      </c>
      <c r="J114" s="6">
        <v>78</v>
      </c>
      <c r="K114" s="6" t="s">
        <v>23</v>
      </c>
      <c r="L114" s="6" t="s">
        <v>23</v>
      </c>
      <c r="M114" s="6" t="s">
        <v>23</v>
      </c>
      <c r="N114" s="6" t="s">
        <v>23</v>
      </c>
      <c r="O114" s="6" t="s">
        <v>23</v>
      </c>
      <c r="P114" s="6" t="s">
        <v>23</v>
      </c>
      <c r="Q114" s="6">
        <v>98</v>
      </c>
      <c r="R114" s="6">
        <v>68</v>
      </c>
      <c r="S114" s="6">
        <v>63</v>
      </c>
      <c r="T114" s="6" t="s">
        <v>23</v>
      </c>
      <c r="U114" s="7" t="s">
        <v>23</v>
      </c>
    </row>
    <row r="115" spans="1:21" x14ac:dyDescent="0.35">
      <c r="A115" s="8" t="s">
        <v>96</v>
      </c>
      <c r="B115" s="9">
        <v>95091803737</v>
      </c>
      <c r="C115" s="9" t="s">
        <v>23</v>
      </c>
      <c r="D115" s="9" t="s">
        <v>23</v>
      </c>
      <c r="E115" s="9" t="s">
        <v>23</v>
      </c>
      <c r="F115" s="9" t="s">
        <v>23</v>
      </c>
      <c r="G115" s="9" t="s">
        <v>23</v>
      </c>
      <c r="H115" s="9">
        <v>98</v>
      </c>
      <c r="I115" s="9">
        <v>99</v>
      </c>
      <c r="J115" s="9">
        <v>84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23</v>
      </c>
      <c r="Q115" s="9">
        <v>96</v>
      </c>
      <c r="R115" s="9">
        <v>92</v>
      </c>
      <c r="S115" s="9">
        <v>66</v>
      </c>
      <c r="T115" s="9" t="s">
        <v>23</v>
      </c>
      <c r="U115" s="10" t="s">
        <v>23</v>
      </c>
    </row>
    <row r="116" spans="1:21" x14ac:dyDescent="0.35">
      <c r="A116" s="5" t="s">
        <v>96</v>
      </c>
      <c r="B116" s="6">
        <v>95100400649</v>
      </c>
      <c r="C116" s="6" t="s">
        <v>23</v>
      </c>
      <c r="D116" s="6" t="s">
        <v>23</v>
      </c>
      <c r="E116" s="6" t="s">
        <v>23</v>
      </c>
      <c r="F116" s="6" t="s">
        <v>23</v>
      </c>
      <c r="G116" s="6" t="s">
        <v>23</v>
      </c>
      <c r="H116" s="6" t="s">
        <v>23</v>
      </c>
      <c r="I116" s="6">
        <v>96</v>
      </c>
      <c r="J116" s="6">
        <v>86</v>
      </c>
      <c r="K116" s="6" t="s">
        <v>23</v>
      </c>
      <c r="L116" s="6" t="s">
        <v>23</v>
      </c>
      <c r="M116" s="6" t="s">
        <v>23</v>
      </c>
      <c r="N116" s="6" t="s">
        <v>23</v>
      </c>
      <c r="O116" s="6" t="s">
        <v>23</v>
      </c>
      <c r="P116" s="6" t="s">
        <v>23</v>
      </c>
      <c r="Q116" s="6">
        <v>94</v>
      </c>
      <c r="R116" s="6">
        <v>60</v>
      </c>
      <c r="S116" s="6">
        <v>57</v>
      </c>
      <c r="T116" s="6" t="s">
        <v>23</v>
      </c>
      <c r="U116" s="7" t="s">
        <v>23</v>
      </c>
    </row>
    <row r="117" spans="1:21" x14ac:dyDescent="0.35">
      <c r="A117" s="8" t="s">
        <v>96</v>
      </c>
      <c r="B117" s="9">
        <v>95101104184</v>
      </c>
      <c r="C117" s="9" t="s">
        <v>23</v>
      </c>
      <c r="D117" s="9" t="s">
        <v>23</v>
      </c>
      <c r="E117" s="9">
        <v>55</v>
      </c>
      <c r="F117" s="9" t="s">
        <v>23</v>
      </c>
      <c r="G117" s="9" t="s">
        <v>23</v>
      </c>
      <c r="H117" s="9" t="s">
        <v>23</v>
      </c>
      <c r="I117" s="9">
        <v>97</v>
      </c>
      <c r="J117" s="9">
        <v>92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>
        <v>94</v>
      </c>
      <c r="R117" s="9">
        <v>78</v>
      </c>
      <c r="S117" s="9">
        <v>63</v>
      </c>
      <c r="T117" s="9" t="s">
        <v>23</v>
      </c>
      <c r="U117" s="10" t="s">
        <v>23</v>
      </c>
    </row>
    <row r="118" spans="1:21" x14ac:dyDescent="0.35">
      <c r="A118" s="5" t="s">
        <v>96</v>
      </c>
      <c r="B118" s="6">
        <v>95101303842</v>
      </c>
      <c r="C118" s="6" t="s">
        <v>23</v>
      </c>
      <c r="D118" s="6" t="s">
        <v>23</v>
      </c>
      <c r="E118" s="6">
        <v>78</v>
      </c>
      <c r="F118" s="6" t="s">
        <v>23</v>
      </c>
      <c r="G118" s="6" t="s">
        <v>23</v>
      </c>
      <c r="H118" s="6" t="s">
        <v>23</v>
      </c>
      <c r="I118" s="6">
        <v>98</v>
      </c>
      <c r="J118" s="6">
        <v>85</v>
      </c>
      <c r="K118" s="6" t="s">
        <v>23</v>
      </c>
      <c r="L118" s="6" t="s">
        <v>23</v>
      </c>
      <c r="M118" s="6" t="s">
        <v>23</v>
      </c>
      <c r="N118" s="6" t="s">
        <v>23</v>
      </c>
      <c r="O118" s="6" t="s">
        <v>23</v>
      </c>
      <c r="P118" s="6" t="s">
        <v>23</v>
      </c>
      <c r="Q118" s="6">
        <v>100</v>
      </c>
      <c r="R118" s="6">
        <v>92</v>
      </c>
      <c r="S118" s="6">
        <v>70</v>
      </c>
      <c r="T118" s="6" t="s">
        <v>23</v>
      </c>
      <c r="U118" s="7" t="s">
        <v>23</v>
      </c>
    </row>
    <row r="119" spans="1:21" x14ac:dyDescent="0.35">
      <c r="A119" s="8" t="s">
        <v>96</v>
      </c>
      <c r="B119" s="9">
        <v>95101902775</v>
      </c>
      <c r="C119" s="9" t="s">
        <v>23</v>
      </c>
      <c r="D119" s="9" t="s">
        <v>23</v>
      </c>
      <c r="E119" s="9" t="s">
        <v>23</v>
      </c>
      <c r="F119" s="9" t="s">
        <v>23</v>
      </c>
      <c r="G119" s="9" t="s">
        <v>23</v>
      </c>
      <c r="H119" s="9">
        <v>52</v>
      </c>
      <c r="I119" s="9">
        <v>96</v>
      </c>
      <c r="J119" s="9">
        <v>68</v>
      </c>
      <c r="K119" s="9" t="s">
        <v>23</v>
      </c>
      <c r="L119" s="9" t="s">
        <v>23</v>
      </c>
      <c r="M119" s="9" t="s">
        <v>23</v>
      </c>
      <c r="N119" s="9" t="s">
        <v>23</v>
      </c>
      <c r="O119" s="9" t="s">
        <v>23</v>
      </c>
      <c r="P119" s="9" t="s">
        <v>23</v>
      </c>
      <c r="Q119" s="9">
        <v>94</v>
      </c>
      <c r="R119" s="9">
        <v>56</v>
      </c>
      <c r="S119" s="9">
        <v>57</v>
      </c>
      <c r="T119" s="9" t="s">
        <v>23</v>
      </c>
      <c r="U119" s="10" t="s">
        <v>23</v>
      </c>
    </row>
    <row r="120" spans="1:21" x14ac:dyDescent="0.35">
      <c r="A120" s="5" t="s">
        <v>96</v>
      </c>
      <c r="B120" s="6">
        <v>95102002757</v>
      </c>
      <c r="C120" s="6" t="s">
        <v>23</v>
      </c>
      <c r="D120" s="6" t="s">
        <v>23</v>
      </c>
      <c r="E120" s="6">
        <v>70</v>
      </c>
      <c r="F120" s="6" t="s">
        <v>23</v>
      </c>
      <c r="G120" s="6" t="s">
        <v>23</v>
      </c>
      <c r="H120" s="6" t="s">
        <v>23</v>
      </c>
      <c r="I120" s="6">
        <v>100</v>
      </c>
      <c r="J120" s="6">
        <v>86</v>
      </c>
      <c r="K120" s="6" t="s">
        <v>23</v>
      </c>
      <c r="L120" s="6" t="s">
        <v>23</v>
      </c>
      <c r="M120" s="6" t="s">
        <v>23</v>
      </c>
      <c r="N120" s="6" t="s">
        <v>23</v>
      </c>
      <c r="O120" s="6" t="s">
        <v>23</v>
      </c>
      <c r="P120" s="6" t="s">
        <v>23</v>
      </c>
      <c r="Q120" s="6">
        <v>98</v>
      </c>
      <c r="R120" s="6">
        <v>78</v>
      </c>
      <c r="S120" s="6">
        <v>90</v>
      </c>
      <c r="T120" s="6" t="s">
        <v>23</v>
      </c>
      <c r="U120" s="7" t="s">
        <v>23</v>
      </c>
    </row>
    <row r="121" spans="1:21" x14ac:dyDescent="0.35">
      <c r="A121" s="8" t="s">
        <v>96</v>
      </c>
      <c r="B121" s="9">
        <v>95102301894</v>
      </c>
      <c r="C121" s="9" t="s">
        <v>23</v>
      </c>
      <c r="D121" s="9" t="s">
        <v>23</v>
      </c>
      <c r="E121" s="9">
        <v>32</v>
      </c>
      <c r="F121" s="9" t="s">
        <v>23</v>
      </c>
      <c r="G121" s="9" t="s">
        <v>23</v>
      </c>
      <c r="H121" s="9" t="s">
        <v>23</v>
      </c>
      <c r="I121" s="9">
        <v>96</v>
      </c>
      <c r="J121" s="9">
        <v>78</v>
      </c>
      <c r="K121" s="9" t="s">
        <v>23</v>
      </c>
      <c r="L121" s="9" t="s">
        <v>23</v>
      </c>
      <c r="M121" s="9" t="s">
        <v>23</v>
      </c>
      <c r="N121" s="9" t="s">
        <v>23</v>
      </c>
      <c r="O121" s="9" t="s">
        <v>23</v>
      </c>
      <c r="P121" s="9" t="s">
        <v>23</v>
      </c>
      <c r="Q121" s="9">
        <v>90</v>
      </c>
      <c r="R121" s="9">
        <v>74</v>
      </c>
      <c r="S121" s="9">
        <v>74</v>
      </c>
      <c r="T121" s="9" t="s">
        <v>23</v>
      </c>
      <c r="U121" s="10" t="s">
        <v>23</v>
      </c>
    </row>
    <row r="122" spans="1:21" x14ac:dyDescent="0.35">
      <c r="A122" s="5" t="s">
        <v>96</v>
      </c>
      <c r="B122" s="6">
        <v>95112306692</v>
      </c>
      <c r="C122" s="6" t="s">
        <v>23</v>
      </c>
      <c r="D122" s="6" t="s">
        <v>23</v>
      </c>
      <c r="E122" s="6">
        <v>75</v>
      </c>
      <c r="F122" s="6" t="s">
        <v>23</v>
      </c>
      <c r="G122" s="6" t="s">
        <v>23</v>
      </c>
      <c r="H122" s="6" t="s">
        <v>23</v>
      </c>
      <c r="I122" s="6">
        <v>100</v>
      </c>
      <c r="J122" s="6">
        <v>64</v>
      </c>
      <c r="K122" s="6" t="s">
        <v>23</v>
      </c>
      <c r="L122" s="6" t="s">
        <v>23</v>
      </c>
      <c r="M122" s="6" t="s">
        <v>23</v>
      </c>
      <c r="N122" s="6" t="s">
        <v>23</v>
      </c>
      <c r="O122" s="6" t="s">
        <v>23</v>
      </c>
      <c r="P122" s="6" t="s">
        <v>23</v>
      </c>
      <c r="Q122" s="6">
        <v>92</v>
      </c>
      <c r="R122" s="6">
        <v>74</v>
      </c>
      <c r="S122" s="6">
        <v>70</v>
      </c>
      <c r="T122" s="6" t="s">
        <v>23</v>
      </c>
      <c r="U122" s="7" t="s">
        <v>23</v>
      </c>
    </row>
    <row r="123" spans="1:21" x14ac:dyDescent="0.35">
      <c r="A123" s="8" t="s">
        <v>96</v>
      </c>
      <c r="B123" s="9">
        <v>95112702337</v>
      </c>
      <c r="C123" s="9" t="s">
        <v>23</v>
      </c>
      <c r="D123" s="9" t="s">
        <v>23</v>
      </c>
      <c r="E123" s="9">
        <v>63</v>
      </c>
      <c r="F123" s="9" t="s">
        <v>23</v>
      </c>
      <c r="G123" s="9" t="s">
        <v>23</v>
      </c>
      <c r="H123" s="9" t="s">
        <v>23</v>
      </c>
      <c r="I123" s="9">
        <v>96</v>
      </c>
      <c r="J123" s="9" t="s">
        <v>23</v>
      </c>
      <c r="K123" s="9" t="s">
        <v>23</v>
      </c>
      <c r="L123" s="9" t="s">
        <v>23</v>
      </c>
      <c r="M123" s="9" t="s">
        <v>23</v>
      </c>
      <c r="N123" s="9" t="s">
        <v>23</v>
      </c>
      <c r="O123" s="9" t="s">
        <v>23</v>
      </c>
      <c r="P123" s="9" t="s">
        <v>23</v>
      </c>
      <c r="Q123" s="9">
        <v>96</v>
      </c>
      <c r="R123" s="9">
        <v>92</v>
      </c>
      <c r="S123" s="9">
        <v>67</v>
      </c>
      <c r="T123" s="9" t="s">
        <v>23</v>
      </c>
      <c r="U123" s="10" t="s">
        <v>23</v>
      </c>
    </row>
    <row r="124" spans="1:21" x14ac:dyDescent="0.35">
      <c r="A124" s="5" t="s">
        <v>96</v>
      </c>
      <c r="B124" s="6">
        <v>95122110962</v>
      </c>
      <c r="C124" s="6" t="s">
        <v>23</v>
      </c>
      <c r="D124" s="6" t="s">
        <v>23</v>
      </c>
      <c r="E124" s="6" t="s">
        <v>23</v>
      </c>
      <c r="F124" s="6" t="s">
        <v>23</v>
      </c>
      <c r="G124" s="6" t="s">
        <v>23</v>
      </c>
      <c r="H124" s="6" t="s">
        <v>23</v>
      </c>
      <c r="I124" s="6">
        <v>98</v>
      </c>
      <c r="J124" s="6">
        <v>65</v>
      </c>
      <c r="K124" s="6" t="s">
        <v>23</v>
      </c>
      <c r="L124" s="6" t="s">
        <v>23</v>
      </c>
      <c r="M124" s="6" t="s">
        <v>23</v>
      </c>
      <c r="N124" s="6" t="s">
        <v>23</v>
      </c>
      <c r="O124" s="6" t="s">
        <v>23</v>
      </c>
      <c r="P124" s="6" t="s">
        <v>23</v>
      </c>
      <c r="Q124" s="6">
        <v>94</v>
      </c>
      <c r="R124" s="6">
        <v>68</v>
      </c>
      <c r="S124" s="6">
        <v>81</v>
      </c>
      <c r="T124" s="6" t="s">
        <v>23</v>
      </c>
      <c r="U124" s="7" t="s">
        <v>23</v>
      </c>
    </row>
    <row r="125" spans="1:21" x14ac:dyDescent="0.35">
      <c r="A125" s="8" t="s">
        <v>96</v>
      </c>
      <c r="B125" s="9">
        <v>95123001771</v>
      </c>
      <c r="C125" s="9" t="s">
        <v>23</v>
      </c>
      <c r="D125" s="9" t="s">
        <v>23</v>
      </c>
      <c r="E125" s="9" t="s">
        <v>23</v>
      </c>
      <c r="F125" s="9" t="s">
        <v>23</v>
      </c>
      <c r="G125" s="9" t="s">
        <v>23</v>
      </c>
      <c r="H125" s="9" t="s">
        <v>23</v>
      </c>
      <c r="I125" s="9">
        <v>98</v>
      </c>
      <c r="J125" s="9">
        <v>84</v>
      </c>
      <c r="K125" s="9" t="s">
        <v>23</v>
      </c>
      <c r="L125" s="9" t="s">
        <v>23</v>
      </c>
      <c r="M125" s="9" t="s">
        <v>23</v>
      </c>
      <c r="N125" s="9" t="s">
        <v>23</v>
      </c>
      <c r="O125" s="9" t="s">
        <v>23</v>
      </c>
      <c r="P125" s="9" t="s">
        <v>23</v>
      </c>
      <c r="Q125" s="9">
        <v>82</v>
      </c>
      <c r="R125" s="9">
        <v>54</v>
      </c>
      <c r="S125" s="9">
        <v>73</v>
      </c>
      <c r="T125" s="9" t="s">
        <v>23</v>
      </c>
      <c r="U125" s="10" t="s">
        <v>23</v>
      </c>
    </row>
    <row r="126" spans="1:21" x14ac:dyDescent="0.35">
      <c r="A126" s="5" t="s">
        <v>96</v>
      </c>
      <c r="B126" s="6">
        <v>96011200502</v>
      </c>
      <c r="C126" s="6" t="s">
        <v>23</v>
      </c>
      <c r="D126" s="6" t="s">
        <v>23</v>
      </c>
      <c r="E126" s="6">
        <v>77</v>
      </c>
      <c r="F126" s="6" t="s">
        <v>23</v>
      </c>
      <c r="G126" s="6" t="s">
        <v>23</v>
      </c>
      <c r="H126" s="6" t="s">
        <v>23</v>
      </c>
      <c r="I126" s="6">
        <v>94</v>
      </c>
      <c r="J126" s="6">
        <v>86</v>
      </c>
      <c r="K126" s="6" t="s">
        <v>23</v>
      </c>
      <c r="L126" s="6" t="s">
        <v>23</v>
      </c>
      <c r="M126" s="6" t="s">
        <v>23</v>
      </c>
      <c r="N126" s="6" t="s">
        <v>23</v>
      </c>
      <c r="O126" s="6" t="s">
        <v>23</v>
      </c>
      <c r="P126" s="6" t="s">
        <v>23</v>
      </c>
      <c r="Q126" s="6">
        <v>98</v>
      </c>
      <c r="R126" s="6">
        <v>64</v>
      </c>
      <c r="S126" s="6">
        <v>59</v>
      </c>
      <c r="T126" s="6" t="s">
        <v>23</v>
      </c>
      <c r="U126" s="7" t="s">
        <v>23</v>
      </c>
    </row>
    <row r="127" spans="1:21" x14ac:dyDescent="0.35">
      <c r="A127" s="8" t="s">
        <v>100</v>
      </c>
      <c r="B127" s="9">
        <v>94011110436</v>
      </c>
      <c r="C127" s="9" t="s">
        <v>23</v>
      </c>
      <c r="D127" s="9" t="s">
        <v>23</v>
      </c>
      <c r="E127" s="9" t="s">
        <v>23</v>
      </c>
      <c r="F127" s="9" t="s">
        <v>23</v>
      </c>
      <c r="G127" s="9" t="s">
        <v>23</v>
      </c>
      <c r="H127" s="9" t="s">
        <v>23</v>
      </c>
      <c r="I127" s="9">
        <v>96</v>
      </c>
      <c r="J127" s="9" t="s">
        <v>23</v>
      </c>
      <c r="K127" s="9" t="s">
        <v>23</v>
      </c>
      <c r="L127" s="9" t="s">
        <v>23</v>
      </c>
      <c r="M127" s="9">
        <v>97</v>
      </c>
      <c r="N127" s="9">
        <v>73</v>
      </c>
      <c r="O127" s="9" t="s">
        <v>23</v>
      </c>
      <c r="P127" s="9" t="s">
        <v>23</v>
      </c>
      <c r="Q127" s="9">
        <v>58</v>
      </c>
      <c r="R127" s="9" t="s">
        <v>23</v>
      </c>
      <c r="S127" s="9">
        <v>69</v>
      </c>
      <c r="T127" s="9">
        <v>65</v>
      </c>
      <c r="U127" s="10" t="s">
        <v>23</v>
      </c>
    </row>
    <row r="128" spans="1:21" x14ac:dyDescent="0.35">
      <c r="A128" s="5" t="s">
        <v>100</v>
      </c>
      <c r="B128" s="6">
        <v>94013113642</v>
      </c>
      <c r="C128" s="6" t="s">
        <v>23</v>
      </c>
      <c r="D128" s="6" t="s">
        <v>23</v>
      </c>
      <c r="E128" s="6" t="s">
        <v>23</v>
      </c>
      <c r="F128" s="6" t="s">
        <v>23</v>
      </c>
      <c r="G128" s="6" t="s">
        <v>23</v>
      </c>
      <c r="H128" s="6" t="s">
        <v>23</v>
      </c>
      <c r="I128" s="6">
        <v>96</v>
      </c>
      <c r="J128" s="6" t="s">
        <v>23</v>
      </c>
      <c r="K128" s="6" t="s">
        <v>23</v>
      </c>
      <c r="L128" s="6" t="s">
        <v>23</v>
      </c>
      <c r="M128" s="6">
        <v>83</v>
      </c>
      <c r="N128" s="6">
        <v>61</v>
      </c>
      <c r="O128" s="6" t="s">
        <v>23</v>
      </c>
      <c r="P128" s="6" t="s">
        <v>23</v>
      </c>
      <c r="Q128" s="6">
        <v>68</v>
      </c>
      <c r="R128" s="6" t="s">
        <v>23</v>
      </c>
      <c r="S128" s="6">
        <v>69</v>
      </c>
      <c r="T128" s="6">
        <v>58</v>
      </c>
      <c r="U128" s="7" t="s">
        <v>23</v>
      </c>
    </row>
    <row r="129" spans="1:21" x14ac:dyDescent="0.35">
      <c r="A129" s="8" t="s">
        <v>100</v>
      </c>
      <c r="B129" s="9">
        <v>94020211283</v>
      </c>
      <c r="C129" s="9" t="s">
        <v>23</v>
      </c>
      <c r="D129" s="9" t="s">
        <v>23</v>
      </c>
      <c r="E129" s="9" t="s">
        <v>23</v>
      </c>
      <c r="F129" s="9" t="s">
        <v>23</v>
      </c>
      <c r="G129" s="9" t="s">
        <v>23</v>
      </c>
      <c r="H129" s="9" t="s">
        <v>23</v>
      </c>
      <c r="I129" s="9">
        <v>88</v>
      </c>
      <c r="J129" s="9" t="s">
        <v>23</v>
      </c>
      <c r="K129" s="9" t="s">
        <v>23</v>
      </c>
      <c r="L129" s="9" t="s">
        <v>23</v>
      </c>
      <c r="M129" s="9">
        <v>90</v>
      </c>
      <c r="N129" s="9">
        <v>65</v>
      </c>
      <c r="O129" s="9" t="s">
        <v>23</v>
      </c>
      <c r="P129" s="9" t="s">
        <v>23</v>
      </c>
      <c r="Q129" s="9">
        <v>50</v>
      </c>
      <c r="R129" s="9" t="s">
        <v>23</v>
      </c>
      <c r="S129" s="9">
        <v>81</v>
      </c>
      <c r="T129" s="9">
        <v>58</v>
      </c>
      <c r="U129" s="10" t="s">
        <v>23</v>
      </c>
    </row>
    <row r="130" spans="1:21" x14ac:dyDescent="0.35">
      <c r="A130" s="5" t="s">
        <v>100</v>
      </c>
      <c r="B130" s="6">
        <v>94021306625</v>
      </c>
      <c r="C130" s="6" t="s">
        <v>23</v>
      </c>
      <c r="D130" s="6" t="s">
        <v>23</v>
      </c>
      <c r="E130" s="6" t="s">
        <v>23</v>
      </c>
      <c r="F130" s="6" t="s">
        <v>23</v>
      </c>
      <c r="G130" s="6" t="s">
        <v>23</v>
      </c>
      <c r="H130" s="6" t="s">
        <v>23</v>
      </c>
      <c r="I130" s="6">
        <v>90</v>
      </c>
      <c r="J130" s="6" t="s">
        <v>23</v>
      </c>
      <c r="K130" s="6" t="s">
        <v>23</v>
      </c>
      <c r="L130" s="6" t="s">
        <v>23</v>
      </c>
      <c r="M130" s="6">
        <v>84</v>
      </c>
      <c r="N130" s="6">
        <v>68</v>
      </c>
      <c r="O130" s="6" t="s">
        <v>23</v>
      </c>
      <c r="P130" s="6" t="s">
        <v>23</v>
      </c>
      <c r="Q130" s="6">
        <v>58</v>
      </c>
      <c r="R130" s="6" t="s">
        <v>23</v>
      </c>
      <c r="S130" s="6">
        <v>76</v>
      </c>
      <c r="T130" s="6">
        <v>88</v>
      </c>
      <c r="U130" s="7" t="s">
        <v>23</v>
      </c>
    </row>
    <row r="131" spans="1:21" x14ac:dyDescent="0.35">
      <c r="A131" s="8" t="s">
        <v>100</v>
      </c>
      <c r="B131" s="9">
        <v>94030804224</v>
      </c>
      <c r="C131" s="9" t="s">
        <v>23</v>
      </c>
      <c r="D131" s="9" t="s">
        <v>23</v>
      </c>
      <c r="E131" s="9" t="s">
        <v>23</v>
      </c>
      <c r="F131" s="9">
        <v>85</v>
      </c>
      <c r="G131" s="9" t="s">
        <v>23</v>
      </c>
      <c r="H131" s="9" t="s">
        <v>23</v>
      </c>
      <c r="I131" s="9" t="s">
        <v>23</v>
      </c>
      <c r="J131" s="9">
        <v>95</v>
      </c>
      <c r="K131" s="9" t="s">
        <v>23</v>
      </c>
      <c r="L131" s="9" t="s">
        <v>23</v>
      </c>
      <c r="M131" s="9">
        <v>100</v>
      </c>
      <c r="N131" s="9" t="s">
        <v>23</v>
      </c>
      <c r="O131" s="9" t="s">
        <v>23</v>
      </c>
      <c r="P131" s="9" t="s">
        <v>23</v>
      </c>
      <c r="Q131" s="9">
        <v>82</v>
      </c>
      <c r="R131" s="9" t="s">
        <v>23</v>
      </c>
      <c r="S131" s="9">
        <v>73</v>
      </c>
      <c r="T131" s="9">
        <v>88</v>
      </c>
      <c r="U131" s="10" t="s">
        <v>23</v>
      </c>
    </row>
    <row r="132" spans="1:21" x14ac:dyDescent="0.35">
      <c r="A132" s="5" t="s">
        <v>100</v>
      </c>
      <c r="B132" s="6">
        <v>94031410644</v>
      </c>
      <c r="C132" s="6" t="s">
        <v>23</v>
      </c>
      <c r="D132" s="6" t="s">
        <v>23</v>
      </c>
      <c r="E132" s="6" t="s">
        <v>23</v>
      </c>
      <c r="F132" s="6" t="s">
        <v>23</v>
      </c>
      <c r="G132" s="6" t="s">
        <v>23</v>
      </c>
      <c r="H132" s="6" t="s">
        <v>23</v>
      </c>
      <c r="I132" s="6">
        <v>96</v>
      </c>
      <c r="J132" s="6" t="s">
        <v>23</v>
      </c>
      <c r="K132" s="6" t="s">
        <v>23</v>
      </c>
      <c r="L132" s="6" t="s">
        <v>23</v>
      </c>
      <c r="M132" s="6" t="s">
        <v>23</v>
      </c>
      <c r="N132" s="6">
        <v>45</v>
      </c>
      <c r="O132" s="6" t="s">
        <v>23</v>
      </c>
      <c r="P132" s="6" t="s">
        <v>23</v>
      </c>
      <c r="Q132" s="6">
        <v>74</v>
      </c>
      <c r="R132" s="6" t="s">
        <v>23</v>
      </c>
      <c r="S132" s="6">
        <v>61</v>
      </c>
      <c r="T132" s="6">
        <v>83</v>
      </c>
      <c r="U132" s="7" t="s">
        <v>23</v>
      </c>
    </row>
    <row r="133" spans="1:21" x14ac:dyDescent="0.35">
      <c r="A133" s="8" t="s">
        <v>100</v>
      </c>
      <c r="B133" s="9">
        <v>94040607118</v>
      </c>
      <c r="C133" s="9" t="s">
        <v>23</v>
      </c>
      <c r="D133" s="9" t="s">
        <v>23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>
        <v>94</v>
      </c>
      <c r="J133" s="9">
        <v>79</v>
      </c>
      <c r="K133" s="9" t="s">
        <v>23</v>
      </c>
      <c r="L133" s="9" t="s">
        <v>23</v>
      </c>
      <c r="M133" s="9" t="s">
        <v>23</v>
      </c>
      <c r="N133" s="9">
        <v>79</v>
      </c>
      <c r="O133" s="9" t="s">
        <v>23</v>
      </c>
      <c r="P133" s="9" t="s">
        <v>23</v>
      </c>
      <c r="Q133" s="9">
        <v>64</v>
      </c>
      <c r="R133" s="9" t="s">
        <v>23</v>
      </c>
      <c r="S133" s="9">
        <v>74</v>
      </c>
      <c r="T133" s="9">
        <v>53</v>
      </c>
      <c r="U133" s="10" t="s">
        <v>23</v>
      </c>
    </row>
    <row r="134" spans="1:21" x14ac:dyDescent="0.35">
      <c r="A134" s="5" t="s">
        <v>100</v>
      </c>
      <c r="B134" s="6">
        <v>94042912726</v>
      </c>
      <c r="C134" s="6" t="s">
        <v>23</v>
      </c>
      <c r="D134" s="6" t="s">
        <v>23</v>
      </c>
      <c r="E134" s="6" t="s">
        <v>23</v>
      </c>
      <c r="F134" s="6">
        <v>38</v>
      </c>
      <c r="G134" s="6" t="s">
        <v>23</v>
      </c>
      <c r="H134" s="6" t="s">
        <v>23</v>
      </c>
      <c r="I134" s="6">
        <v>87</v>
      </c>
      <c r="J134" s="6">
        <v>69</v>
      </c>
      <c r="K134" s="6" t="s">
        <v>23</v>
      </c>
      <c r="L134" s="6" t="s">
        <v>23</v>
      </c>
      <c r="M134" s="6" t="s">
        <v>23</v>
      </c>
      <c r="N134" s="6">
        <v>72</v>
      </c>
      <c r="O134" s="6" t="s">
        <v>23</v>
      </c>
      <c r="P134" s="6" t="s">
        <v>23</v>
      </c>
      <c r="Q134" s="6">
        <v>56</v>
      </c>
      <c r="R134" s="6" t="s">
        <v>23</v>
      </c>
      <c r="S134" s="6">
        <v>54</v>
      </c>
      <c r="T134" s="6">
        <v>60</v>
      </c>
      <c r="U134" s="7" t="s">
        <v>23</v>
      </c>
    </row>
    <row r="135" spans="1:21" x14ac:dyDescent="0.35">
      <c r="A135" s="8" t="s">
        <v>100</v>
      </c>
      <c r="B135" s="9">
        <v>94060604247</v>
      </c>
      <c r="C135" s="9">
        <v>62</v>
      </c>
      <c r="D135" s="9">
        <v>35</v>
      </c>
      <c r="E135" s="9" t="s">
        <v>23</v>
      </c>
      <c r="F135" s="9" t="s">
        <v>23</v>
      </c>
      <c r="G135" s="9" t="s">
        <v>23</v>
      </c>
      <c r="H135" s="9" t="s">
        <v>23</v>
      </c>
      <c r="I135" s="9">
        <v>97</v>
      </c>
      <c r="J135" s="9" t="s">
        <v>23</v>
      </c>
      <c r="K135" s="9" t="s">
        <v>23</v>
      </c>
      <c r="L135" s="9" t="s">
        <v>23</v>
      </c>
      <c r="M135" s="9">
        <v>92</v>
      </c>
      <c r="N135" s="9">
        <v>52</v>
      </c>
      <c r="O135" s="9" t="s">
        <v>23</v>
      </c>
      <c r="P135" s="9" t="s">
        <v>23</v>
      </c>
      <c r="Q135" s="9">
        <v>56</v>
      </c>
      <c r="R135" s="9" t="s">
        <v>23</v>
      </c>
      <c r="S135" s="9">
        <v>67</v>
      </c>
      <c r="T135" s="9" t="s">
        <v>23</v>
      </c>
      <c r="U135" s="10" t="s">
        <v>23</v>
      </c>
    </row>
    <row r="136" spans="1:21" x14ac:dyDescent="0.35">
      <c r="A136" s="5" t="s">
        <v>100</v>
      </c>
      <c r="B136" s="6">
        <v>94062703166</v>
      </c>
      <c r="C136" s="6" t="s">
        <v>23</v>
      </c>
      <c r="D136" s="6" t="s">
        <v>23</v>
      </c>
      <c r="E136" s="6" t="s">
        <v>23</v>
      </c>
      <c r="F136" s="6">
        <v>50</v>
      </c>
      <c r="G136" s="6" t="s">
        <v>23</v>
      </c>
      <c r="H136" s="6" t="s">
        <v>23</v>
      </c>
      <c r="I136" s="6">
        <v>92</v>
      </c>
      <c r="J136" s="6" t="s">
        <v>23</v>
      </c>
      <c r="K136" s="6" t="s">
        <v>23</v>
      </c>
      <c r="L136" s="6" t="s">
        <v>23</v>
      </c>
      <c r="M136" s="6">
        <v>84</v>
      </c>
      <c r="N136" s="6">
        <v>63</v>
      </c>
      <c r="O136" s="6" t="s">
        <v>23</v>
      </c>
      <c r="P136" s="6" t="s">
        <v>23</v>
      </c>
      <c r="Q136" s="6">
        <v>54</v>
      </c>
      <c r="R136" s="6" t="s">
        <v>23</v>
      </c>
      <c r="S136" s="6">
        <v>60</v>
      </c>
      <c r="T136" s="6" t="s">
        <v>23</v>
      </c>
      <c r="U136" s="7" t="s">
        <v>23</v>
      </c>
    </row>
    <row r="137" spans="1:21" x14ac:dyDescent="0.35">
      <c r="A137" s="8" t="s">
        <v>100</v>
      </c>
      <c r="B137" s="9">
        <v>94063002080</v>
      </c>
      <c r="C137" s="9" t="s">
        <v>23</v>
      </c>
      <c r="D137" s="9" t="s">
        <v>23</v>
      </c>
      <c r="E137" s="9" t="s">
        <v>23</v>
      </c>
      <c r="F137" s="9">
        <v>82</v>
      </c>
      <c r="G137" s="9" t="s">
        <v>23</v>
      </c>
      <c r="H137" s="9" t="s">
        <v>23</v>
      </c>
      <c r="I137" s="9">
        <v>100</v>
      </c>
      <c r="J137" s="9" t="s">
        <v>23</v>
      </c>
      <c r="K137" s="9" t="s">
        <v>23</v>
      </c>
      <c r="L137" s="9" t="s">
        <v>23</v>
      </c>
      <c r="M137" s="9">
        <v>100</v>
      </c>
      <c r="N137" s="9" t="s">
        <v>23</v>
      </c>
      <c r="O137" s="9" t="s">
        <v>23</v>
      </c>
      <c r="P137" s="9" t="s">
        <v>23</v>
      </c>
      <c r="Q137" s="9">
        <v>100</v>
      </c>
      <c r="R137" s="9">
        <v>66</v>
      </c>
      <c r="S137" s="9">
        <v>73</v>
      </c>
      <c r="T137" s="9">
        <v>85</v>
      </c>
      <c r="U137" s="10" t="s">
        <v>23</v>
      </c>
    </row>
    <row r="138" spans="1:21" x14ac:dyDescent="0.35">
      <c r="A138" s="5" t="s">
        <v>100</v>
      </c>
      <c r="B138" s="6">
        <v>94081102166</v>
      </c>
      <c r="C138" s="6" t="s">
        <v>23</v>
      </c>
      <c r="D138" s="6" t="s">
        <v>23</v>
      </c>
      <c r="E138" s="6" t="s">
        <v>23</v>
      </c>
      <c r="F138" s="6" t="s">
        <v>23</v>
      </c>
      <c r="G138" s="6" t="s">
        <v>23</v>
      </c>
      <c r="H138" s="6" t="s">
        <v>23</v>
      </c>
      <c r="I138" s="6">
        <v>96</v>
      </c>
      <c r="J138" s="6" t="s">
        <v>23</v>
      </c>
      <c r="K138" s="6" t="s">
        <v>23</v>
      </c>
      <c r="L138" s="6" t="s">
        <v>23</v>
      </c>
      <c r="M138" s="6" t="s">
        <v>23</v>
      </c>
      <c r="N138" s="6">
        <v>79</v>
      </c>
      <c r="O138" s="6" t="s">
        <v>23</v>
      </c>
      <c r="P138" s="6" t="s">
        <v>23</v>
      </c>
      <c r="Q138" s="6">
        <v>56</v>
      </c>
      <c r="R138" s="6" t="s">
        <v>23</v>
      </c>
      <c r="S138" s="6">
        <v>81</v>
      </c>
      <c r="T138" s="6">
        <v>83</v>
      </c>
      <c r="U138" s="7" t="s">
        <v>23</v>
      </c>
    </row>
    <row r="139" spans="1:21" x14ac:dyDescent="0.35">
      <c r="A139" s="8" t="s">
        <v>100</v>
      </c>
      <c r="B139" s="9">
        <v>94082703588</v>
      </c>
      <c r="C139" s="9" t="s">
        <v>23</v>
      </c>
      <c r="D139" s="9" t="s">
        <v>23</v>
      </c>
      <c r="E139" s="9" t="s">
        <v>23</v>
      </c>
      <c r="F139" s="9" t="s">
        <v>23</v>
      </c>
      <c r="G139" s="9">
        <v>66</v>
      </c>
      <c r="H139" s="9" t="s">
        <v>23</v>
      </c>
      <c r="I139" s="9">
        <v>94</v>
      </c>
      <c r="J139" s="9">
        <v>93</v>
      </c>
      <c r="K139" s="9" t="s">
        <v>23</v>
      </c>
      <c r="L139" s="9" t="s">
        <v>23</v>
      </c>
      <c r="M139" s="9" t="s">
        <v>23</v>
      </c>
      <c r="N139" s="9">
        <v>83</v>
      </c>
      <c r="O139" s="9" t="s">
        <v>23</v>
      </c>
      <c r="P139" s="9" t="s">
        <v>23</v>
      </c>
      <c r="Q139" s="9">
        <v>78</v>
      </c>
      <c r="R139" s="9" t="s">
        <v>23</v>
      </c>
      <c r="S139" s="9">
        <v>90</v>
      </c>
      <c r="T139" s="9">
        <v>100</v>
      </c>
      <c r="U139" s="10" t="s">
        <v>23</v>
      </c>
    </row>
    <row r="140" spans="1:21" x14ac:dyDescent="0.35">
      <c r="A140" s="5" t="s">
        <v>100</v>
      </c>
      <c r="B140" s="6">
        <v>94082901146</v>
      </c>
      <c r="C140" s="6" t="s">
        <v>23</v>
      </c>
      <c r="D140" s="6" t="s">
        <v>23</v>
      </c>
      <c r="E140" s="6" t="s">
        <v>23</v>
      </c>
      <c r="F140" s="6">
        <v>75</v>
      </c>
      <c r="G140" s="6" t="s">
        <v>23</v>
      </c>
      <c r="H140" s="6" t="s">
        <v>23</v>
      </c>
      <c r="I140" s="6">
        <v>99</v>
      </c>
      <c r="J140" s="6">
        <v>83</v>
      </c>
      <c r="K140" s="6" t="s">
        <v>23</v>
      </c>
      <c r="L140" s="6" t="s">
        <v>23</v>
      </c>
      <c r="M140" s="6">
        <v>100</v>
      </c>
      <c r="N140" s="6" t="s">
        <v>23</v>
      </c>
      <c r="O140" s="6" t="s">
        <v>23</v>
      </c>
      <c r="P140" s="6" t="s">
        <v>23</v>
      </c>
      <c r="Q140" s="6">
        <v>78</v>
      </c>
      <c r="R140" s="6">
        <v>30</v>
      </c>
      <c r="S140" s="6">
        <v>79</v>
      </c>
      <c r="T140" s="6">
        <v>80</v>
      </c>
      <c r="U140" s="7" t="s">
        <v>23</v>
      </c>
    </row>
    <row r="141" spans="1:21" x14ac:dyDescent="0.35">
      <c r="A141" s="8" t="s">
        <v>100</v>
      </c>
      <c r="B141" s="9">
        <v>94082905447</v>
      </c>
      <c r="C141" s="9" t="s">
        <v>23</v>
      </c>
      <c r="D141" s="9" t="s">
        <v>23</v>
      </c>
      <c r="E141" s="9" t="s">
        <v>23</v>
      </c>
      <c r="F141" s="9" t="s">
        <v>23</v>
      </c>
      <c r="G141" s="9" t="s">
        <v>23</v>
      </c>
      <c r="H141" s="9" t="s">
        <v>23</v>
      </c>
      <c r="I141" s="9">
        <v>96</v>
      </c>
      <c r="J141" s="9" t="s">
        <v>23</v>
      </c>
      <c r="K141" s="9" t="s">
        <v>23</v>
      </c>
      <c r="L141" s="9" t="s">
        <v>23</v>
      </c>
      <c r="M141" s="9">
        <v>98</v>
      </c>
      <c r="N141" s="9">
        <v>96</v>
      </c>
      <c r="O141" s="9" t="s">
        <v>23</v>
      </c>
      <c r="P141" s="9" t="s">
        <v>23</v>
      </c>
      <c r="Q141" s="9">
        <v>44</v>
      </c>
      <c r="R141" s="9" t="s">
        <v>23</v>
      </c>
      <c r="S141" s="9">
        <v>69</v>
      </c>
      <c r="T141" s="9" t="s">
        <v>23</v>
      </c>
      <c r="U141" s="10" t="s">
        <v>23</v>
      </c>
    </row>
    <row r="142" spans="1:21" x14ac:dyDescent="0.35">
      <c r="A142" s="5" t="s">
        <v>100</v>
      </c>
      <c r="B142" s="6">
        <v>94083000868</v>
      </c>
      <c r="C142" s="6" t="s">
        <v>23</v>
      </c>
      <c r="D142" s="6" t="s">
        <v>23</v>
      </c>
      <c r="E142" s="6" t="s">
        <v>23</v>
      </c>
      <c r="F142" s="6" t="s">
        <v>23</v>
      </c>
      <c r="G142" s="6">
        <v>24</v>
      </c>
      <c r="H142" s="6" t="s">
        <v>23</v>
      </c>
      <c r="I142" s="6">
        <v>100</v>
      </c>
      <c r="J142" s="6">
        <v>63</v>
      </c>
      <c r="K142" s="6" t="s">
        <v>23</v>
      </c>
      <c r="L142" s="6" t="s">
        <v>23</v>
      </c>
      <c r="M142" s="6" t="s">
        <v>23</v>
      </c>
      <c r="N142" s="6">
        <v>61</v>
      </c>
      <c r="O142" s="6" t="s">
        <v>23</v>
      </c>
      <c r="P142" s="6" t="s">
        <v>23</v>
      </c>
      <c r="Q142" s="6">
        <v>40</v>
      </c>
      <c r="R142" s="6" t="s">
        <v>23</v>
      </c>
      <c r="S142" s="6">
        <v>76</v>
      </c>
      <c r="T142" s="6">
        <v>58</v>
      </c>
      <c r="U142" s="7">
        <v>16</v>
      </c>
    </row>
    <row r="143" spans="1:21" x14ac:dyDescent="0.35">
      <c r="A143" s="8" t="s">
        <v>100</v>
      </c>
      <c r="B143" s="9">
        <v>94090909307</v>
      </c>
      <c r="C143" s="9" t="s">
        <v>23</v>
      </c>
      <c r="D143" s="9" t="s">
        <v>23</v>
      </c>
      <c r="E143" s="9" t="s">
        <v>23</v>
      </c>
      <c r="F143" s="9" t="s">
        <v>23</v>
      </c>
      <c r="G143" s="9">
        <v>72</v>
      </c>
      <c r="H143" s="9" t="s">
        <v>23</v>
      </c>
      <c r="I143" s="9">
        <v>98</v>
      </c>
      <c r="J143" s="9">
        <v>76</v>
      </c>
      <c r="K143" s="9" t="s">
        <v>23</v>
      </c>
      <c r="L143" s="9" t="s">
        <v>23</v>
      </c>
      <c r="M143" s="9" t="s">
        <v>23</v>
      </c>
      <c r="N143" s="9">
        <v>77</v>
      </c>
      <c r="O143" s="9" t="s">
        <v>23</v>
      </c>
      <c r="P143" s="9" t="s">
        <v>23</v>
      </c>
      <c r="Q143" s="9">
        <v>64</v>
      </c>
      <c r="R143" s="9" t="s">
        <v>23</v>
      </c>
      <c r="S143" s="9">
        <v>79</v>
      </c>
      <c r="T143" s="9">
        <v>75</v>
      </c>
      <c r="U143" s="10">
        <v>46</v>
      </c>
    </row>
    <row r="144" spans="1:21" x14ac:dyDescent="0.35">
      <c r="A144" s="5" t="s">
        <v>100</v>
      </c>
      <c r="B144" s="6">
        <v>94091301085</v>
      </c>
      <c r="C144" s="6" t="s">
        <v>23</v>
      </c>
      <c r="D144" s="6" t="s">
        <v>23</v>
      </c>
      <c r="E144" s="6" t="s">
        <v>23</v>
      </c>
      <c r="F144" s="6" t="s">
        <v>23</v>
      </c>
      <c r="G144" s="6" t="s">
        <v>23</v>
      </c>
      <c r="H144" s="6" t="s">
        <v>23</v>
      </c>
      <c r="I144" s="6">
        <v>96</v>
      </c>
      <c r="J144" s="6">
        <v>71</v>
      </c>
      <c r="K144" s="6" t="s">
        <v>23</v>
      </c>
      <c r="L144" s="6" t="s">
        <v>23</v>
      </c>
      <c r="M144" s="6" t="s">
        <v>23</v>
      </c>
      <c r="N144" s="6">
        <v>70</v>
      </c>
      <c r="O144" s="6" t="s">
        <v>23</v>
      </c>
      <c r="P144" s="6" t="s">
        <v>23</v>
      </c>
      <c r="Q144" s="6">
        <v>40</v>
      </c>
      <c r="R144" s="6" t="s">
        <v>23</v>
      </c>
      <c r="S144" s="6">
        <v>37</v>
      </c>
      <c r="T144" s="6">
        <v>55</v>
      </c>
      <c r="U144" s="7" t="s">
        <v>23</v>
      </c>
    </row>
    <row r="145" spans="1:21" x14ac:dyDescent="0.35">
      <c r="A145" s="8" t="s">
        <v>100</v>
      </c>
      <c r="B145" s="9">
        <v>94092207960</v>
      </c>
      <c r="C145" s="9" t="s">
        <v>23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>
        <v>89</v>
      </c>
      <c r="K145" s="9" t="s">
        <v>23</v>
      </c>
      <c r="L145" s="9" t="s">
        <v>23</v>
      </c>
      <c r="M145" s="9">
        <v>96</v>
      </c>
      <c r="N145" s="9" t="s">
        <v>23</v>
      </c>
      <c r="O145" s="9" t="s">
        <v>23</v>
      </c>
      <c r="P145" s="9" t="s">
        <v>23</v>
      </c>
      <c r="Q145" s="9">
        <v>56</v>
      </c>
      <c r="R145" s="9" t="s">
        <v>23</v>
      </c>
      <c r="S145" s="9">
        <v>57</v>
      </c>
      <c r="T145" s="9">
        <v>63</v>
      </c>
      <c r="U145" s="10" t="s">
        <v>23</v>
      </c>
    </row>
    <row r="146" spans="1:21" x14ac:dyDescent="0.35">
      <c r="A146" s="5" t="s">
        <v>100</v>
      </c>
      <c r="B146" s="6">
        <v>94100706007</v>
      </c>
      <c r="C146" s="6" t="s">
        <v>23</v>
      </c>
      <c r="D146" s="6" t="s">
        <v>23</v>
      </c>
      <c r="E146" s="6" t="s">
        <v>23</v>
      </c>
      <c r="F146" s="6" t="s">
        <v>23</v>
      </c>
      <c r="G146" s="6" t="s">
        <v>23</v>
      </c>
      <c r="H146" s="6" t="s">
        <v>23</v>
      </c>
      <c r="I146" s="6" t="s">
        <v>23</v>
      </c>
      <c r="J146" s="6">
        <v>74</v>
      </c>
      <c r="K146" s="6" t="s">
        <v>23</v>
      </c>
      <c r="L146" s="6" t="s">
        <v>23</v>
      </c>
      <c r="M146" s="6">
        <v>98</v>
      </c>
      <c r="N146" s="6" t="s">
        <v>23</v>
      </c>
      <c r="O146" s="6" t="s">
        <v>23</v>
      </c>
      <c r="P146" s="6" t="s">
        <v>23</v>
      </c>
      <c r="Q146" s="6">
        <v>66</v>
      </c>
      <c r="R146" s="6" t="s">
        <v>23</v>
      </c>
      <c r="S146" s="6">
        <v>56</v>
      </c>
      <c r="T146" s="6" t="s">
        <v>23</v>
      </c>
      <c r="U146" s="7" t="s">
        <v>23</v>
      </c>
    </row>
    <row r="147" spans="1:21" x14ac:dyDescent="0.35">
      <c r="A147" s="8" t="s">
        <v>100</v>
      </c>
      <c r="B147" s="9">
        <v>94102604723</v>
      </c>
      <c r="C147" s="9" t="s">
        <v>23</v>
      </c>
      <c r="D147" s="9" t="s">
        <v>23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  <c r="L147" s="9">
        <v>73</v>
      </c>
      <c r="M147" s="9">
        <v>98</v>
      </c>
      <c r="N147" s="9">
        <v>82</v>
      </c>
      <c r="O147" s="9" t="s">
        <v>23</v>
      </c>
      <c r="P147" s="9" t="s">
        <v>23</v>
      </c>
      <c r="Q147" s="9">
        <v>68</v>
      </c>
      <c r="R147" s="9" t="s">
        <v>23</v>
      </c>
      <c r="S147" s="9">
        <v>50</v>
      </c>
      <c r="T147" s="9">
        <v>70</v>
      </c>
      <c r="U147" s="10" t="s">
        <v>23</v>
      </c>
    </row>
    <row r="148" spans="1:21" x14ac:dyDescent="0.35">
      <c r="A148" s="5" t="s">
        <v>100</v>
      </c>
      <c r="B148" s="6">
        <v>94103100907</v>
      </c>
      <c r="C148" s="6">
        <v>18</v>
      </c>
      <c r="D148" s="6">
        <v>12</v>
      </c>
      <c r="E148" s="6" t="s">
        <v>23</v>
      </c>
      <c r="F148" s="6" t="s">
        <v>23</v>
      </c>
      <c r="G148" s="6" t="s">
        <v>23</v>
      </c>
      <c r="H148" s="6" t="s">
        <v>23</v>
      </c>
      <c r="I148" s="6">
        <v>70</v>
      </c>
      <c r="J148" s="6" t="s">
        <v>23</v>
      </c>
      <c r="K148" s="6" t="s">
        <v>23</v>
      </c>
      <c r="L148" s="6" t="s">
        <v>23</v>
      </c>
      <c r="M148" s="6">
        <v>58</v>
      </c>
      <c r="N148" s="6" t="s">
        <v>23</v>
      </c>
      <c r="O148" s="6" t="s">
        <v>23</v>
      </c>
      <c r="P148" s="6" t="s">
        <v>23</v>
      </c>
      <c r="Q148" s="6">
        <v>58</v>
      </c>
      <c r="R148" s="6" t="s">
        <v>23</v>
      </c>
      <c r="S148" s="6">
        <v>43</v>
      </c>
      <c r="T148" s="6" t="s">
        <v>23</v>
      </c>
      <c r="U148" s="7" t="s">
        <v>23</v>
      </c>
    </row>
    <row r="149" spans="1:21" x14ac:dyDescent="0.35">
      <c r="A149" s="8" t="s">
        <v>100</v>
      </c>
      <c r="B149" s="9">
        <v>94110205866</v>
      </c>
      <c r="C149" s="9" t="s">
        <v>23</v>
      </c>
      <c r="D149" s="9" t="s">
        <v>23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>
        <v>78</v>
      </c>
      <c r="K149" s="9" t="s">
        <v>23</v>
      </c>
      <c r="L149" s="9" t="s">
        <v>23</v>
      </c>
      <c r="M149" s="9">
        <v>100</v>
      </c>
      <c r="N149" s="9" t="s">
        <v>23</v>
      </c>
      <c r="O149" s="9" t="s">
        <v>23</v>
      </c>
      <c r="P149" s="9" t="s">
        <v>23</v>
      </c>
      <c r="Q149" s="9">
        <v>96</v>
      </c>
      <c r="R149" s="9">
        <v>40</v>
      </c>
      <c r="S149" s="9">
        <v>80</v>
      </c>
      <c r="T149" s="9" t="s">
        <v>23</v>
      </c>
      <c r="U149" s="10" t="s">
        <v>23</v>
      </c>
    </row>
    <row r="150" spans="1:21" x14ac:dyDescent="0.35">
      <c r="A150" s="5" t="s">
        <v>100</v>
      </c>
      <c r="B150" s="6">
        <v>94121203482</v>
      </c>
      <c r="C150" s="6" t="s">
        <v>23</v>
      </c>
      <c r="D150" s="6" t="s">
        <v>23</v>
      </c>
      <c r="E150" s="6" t="s">
        <v>23</v>
      </c>
      <c r="F150" s="6" t="s">
        <v>23</v>
      </c>
      <c r="G150" s="6" t="s">
        <v>23</v>
      </c>
      <c r="H150" s="6" t="s">
        <v>23</v>
      </c>
      <c r="I150" s="6">
        <v>90</v>
      </c>
      <c r="J150" s="6" t="s">
        <v>23</v>
      </c>
      <c r="K150" s="6" t="s">
        <v>23</v>
      </c>
      <c r="L150" s="6" t="s">
        <v>23</v>
      </c>
      <c r="M150" s="6">
        <v>92</v>
      </c>
      <c r="N150" s="6">
        <v>71</v>
      </c>
      <c r="O150" s="6" t="s">
        <v>23</v>
      </c>
      <c r="P150" s="6" t="s">
        <v>23</v>
      </c>
      <c r="Q150" s="6">
        <v>38</v>
      </c>
      <c r="R150" s="6" t="s">
        <v>23</v>
      </c>
      <c r="S150" s="6">
        <v>47</v>
      </c>
      <c r="T150" s="6">
        <v>58</v>
      </c>
      <c r="U150" s="7" t="s">
        <v>23</v>
      </c>
    </row>
    <row r="151" spans="1:21" x14ac:dyDescent="0.35">
      <c r="A151" s="8" t="s">
        <v>100</v>
      </c>
      <c r="B151" s="9">
        <v>94121709025</v>
      </c>
      <c r="C151" s="9" t="s">
        <v>23</v>
      </c>
      <c r="D151" s="9" t="s">
        <v>23</v>
      </c>
      <c r="E151" s="9" t="s">
        <v>23</v>
      </c>
      <c r="F151" s="9">
        <v>53</v>
      </c>
      <c r="G151" s="9" t="s">
        <v>23</v>
      </c>
      <c r="H151" s="9" t="s">
        <v>23</v>
      </c>
      <c r="I151" s="9">
        <v>98</v>
      </c>
      <c r="J151" s="9">
        <v>66</v>
      </c>
      <c r="K151" s="9" t="s">
        <v>23</v>
      </c>
      <c r="L151" s="9" t="s">
        <v>23</v>
      </c>
      <c r="M151" s="9" t="s">
        <v>23</v>
      </c>
      <c r="N151" s="9">
        <v>67</v>
      </c>
      <c r="O151" s="9" t="s">
        <v>23</v>
      </c>
      <c r="P151" s="9" t="s">
        <v>23</v>
      </c>
      <c r="Q151" s="9">
        <v>62</v>
      </c>
      <c r="R151" s="9" t="s">
        <v>23</v>
      </c>
      <c r="S151" s="9">
        <v>71</v>
      </c>
      <c r="T151" s="9">
        <v>63</v>
      </c>
      <c r="U151" s="10" t="s">
        <v>23</v>
      </c>
    </row>
    <row r="152" spans="1:21" x14ac:dyDescent="0.35">
      <c r="A152" s="5" t="s">
        <v>100</v>
      </c>
      <c r="B152" s="6">
        <v>95011300625</v>
      </c>
      <c r="C152" s="6" t="s">
        <v>23</v>
      </c>
      <c r="D152" s="6" t="s">
        <v>23</v>
      </c>
      <c r="E152" s="6" t="s">
        <v>23</v>
      </c>
      <c r="F152" s="6">
        <v>52</v>
      </c>
      <c r="G152" s="6" t="s">
        <v>23</v>
      </c>
      <c r="H152" s="6" t="s">
        <v>23</v>
      </c>
      <c r="I152" s="6">
        <v>98</v>
      </c>
      <c r="J152" s="6" t="s">
        <v>23</v>
      </c>
      <c r="K152" s="6" t="s">
        <v>23</v>
      </c>
      <c r="L152" s="6" t="s">
        <v>23</v>
      </c>
      <c r="M152" s="6">
        <v>93</v>
      </c>
      <c r="N152" s="6">
        <v>70</v>
      </c>
      <c r="O152" s="6" t="s">
        <v>23</v>
      </c>
      <c r="P152" s="6" t="s">
        <v>23</v>
      </c>
      <c r="Q152" s="6">
        <v>58</v>
      </c>
      <c r="R152" s="6">
        <v>36</v>
      </c>
      <c r="S152" s="6">
        <v>41</v>
      </c>
      <c r="T152" s="6" t="s">
        <v>23</v>
      </c>
      <c r="U152" s="7" t="s">
        <v>23</v>
      </c>
    </row>
    <row r="153" spans="1:21" x14ac:dyDescent="0.35">
      <c r="A153" s="11" t="s">
        <v>100</v>
      </c>
      <c r="B153" s="1">
        <v>95032804489</v>
      </c>
      <c r="C153" s="1">
        <v>43</v>
      </c>
      <c r="D153" s="1">
        <v>43</v>
      </c>
      <c r="E153" s="1" t="s">
        <v>23</v>
      </c>
      <c r="F153" s="1" t="s">
        <v>23</v>
      </c>
      <c r="G153" s="1" t="s">
        <v>23</v>
      </c>
      <c r="H153" s="1" t="s">
        <v>23</v>
      </c>
      <c r="I153" s="1">
        <v>95</v>
      </c>
      <c r="J153" s="1" t="s">
        <v>23</v>
      </c>
      <c r="K153" s="1" t="s">
        <v>23</v>
      </c>
      <c r="L153" s="1" t="s">
        <v>23</v>
      </c>
      <c r="M153" s="1" t="s">
        <v>23</v>
      </c>
      <c r="N153" s="1">
        <v>70</v>
      </c>
      <c r="O153" s="1" t="s">
        <v>23</v>
      </c>
      <c r="P153" s="1" t="s">
        <v>23</v>
      </c>
      <c r="Q153" s="1">
        <v>62</v>
      </c>
      <c r="R153" s="1" t="s">
        <v>23</v>
      </c>
      <c r="S153" s="1">
        <v>59</v>
      </c>
      <c r="T153" s="1" t="s">
        <v>23</v>
      </c>
      <c r="U153" s="12" t="s">
        <v>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040E-BE8C-460E-909A-8A8E01C4058A}">
  <dimension ref="A1:AC153"/>
  <sheetViews>
    <sheetView topLeftCell="M1" zoomScale="59" workbookViewId="0">
      <selection activeCell="Z16" sqref="Z16"/>
    </sheetView>
  </sheetViews>
  <sheetFormatPr defaultRowHeight="14.5" x14ac:dyDescent="0.35"/>
  <cols>
    <col min="1" max="1" width="8.26953125" bestFit="1" customWidth="1"/>
    <col min="2" max="2" width="12.453125" bestFit="1" customWidth="1"/>
    <col min="3" max="3" width="11.36328125" bestFit="1" customWidth="1"/>
    <col min="4" max="4" width="11.08984375" bestFit="1" customWidth="1"/>
    <col min="5" max="5" width="9.90625" bestFit="1" customWidth="1"/>
    <col min="6" max="6" width="12.90625" bestFit="1" customWidth="1"/>
    <col min="7" max="7" width="11.36328125" bestFit="1" customWidth="1"/>
    <col min="8" max="8" width="15.26953125" bestFit="1" customWidth="1"/>
    <col min="9" max="10" width="12.1796875" bestFit="1" customWidth="1"/>
    <col min="11" max="12" width="12.7265625" bestFit="1" customWidth="1"/>
    <col min="13" max="14" width="13.6328125" bestFit="1" customWidth="1"/>
    <col min="15" max="16" width="12.90625" bestFit="1" customWidth="1"/>
    <col min="17" max="18" width="15.6328125" bestFit="1" customWidth="1"/>
    <col min="19" max="20" width="9.7265625" bestFit="1" customWidth="1"/>
    <col min="21" max="21" width="8.90625" bestFit="1" customWidth="1"/>
    <col min="26" max="26" width="19.6328125" bestFit="1" customWidth="1"/>
    <col min="27" max="27" width="14.6328125" bestFit="1" customWidth="1"/>
    <col min="28" max="28" width="20.81640625" bestFit="1" customWidth="1"/>
    <col min="29" max="29" width="10.7265625" bestFit="1" customWidth="1"/>
  </cols>
  <sheetData>
    <row r="1" spans="1:2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24" t="s">
        <v>117</v>
      </c>
    </row>
    <row r="2" spans="1:29" x14ac:dyDescent="0.35">
      <c r="A2" s="5" t="s">
        <v>21</v>
      </c>
      <c r="B2" s="6">
        <v>95010405222</v>
      </c>
      <c r="C2" s="6">
        <v>52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>
        <v>100</v>
      </c>
      <c r="J2" s="6">
        <v>91</v>
      </c>
      <c r="K2" s="6" t="s">
        <v>23</v>
      </c>
      <c r="L2" s="6">
        <v>88</v>
      </c>
      <c r="M2" s="6" t="s">
        <v>23</v>
      </c>
      <c r="N2" s="6" t="s">
        <v>23</v>
      </c>
      <c r="O2" s="6" t="s">
        <v>23</v>
      </c>
      <c r="P2" s="6" t="s">
        <v>23</v>
      </c>
      <c r="Q2" s="6">
        <v>80</v>
      </c>
      <c r="R2" s="6" t="s">
        <v>23</v>
      </c>
      <c r="S2" s="6">
        <v>67</v>
      </c>
      <c r="T2" s="6" t="s">
        <v>23</v>
      </c>
      <c r="U2" s="7" t="s">
        <v>23</v>
      </c>
      <c r="V2">
        <f>IF(MOD(MID(B2,10,1),2)=0,1,0)</f>
        <v>1</v>
      </c>
    </row>
    <row r="3" spans="1:29" x14ac:dyDescent="0.35">
      <c r="A3" s="8" t="s">
        <v>21</v>
      </c>
      <c r="B3" s="9">
        <v>95011310048</v>
      </c>
      <c r="C3" s="9">
        <v>33</v>
      </c>
      <c r="D3" s="9">
        <v>52</v>
      </c>
      <c r="E3" s="9" t="s">
        <v>23</v>
      </c>
      <c r="F3" s="9" t="s">
        <v>23</v>
      </c>
      <c r="G3" s="9" t="s">
        <v>23</v>
      </c>
      <c r="H3" s="9" t="s">
        <v>23</v>
      </c>
      <c r="I3" s="9">
        <v>73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23</v>
      </c>
      <c r="O3" s="9" t="s">
        <v>23</v>
      </c>
      <c r="P3" s="9" t="s">
        <v>23</v>
      </c>
      <c r="Q3" s="9">
        <v>56</v>
      </c>
      <c r="R3" s="9" t="s">
        <v>23</v>
      </c>
      <c r="S3" s="9">
        <v>40</v>
      </c>
      <c r="T3" s="9" t="s">
        <v>23</v>
      </c>
      <c r="U3" s="10" t="s">
        <v>23</v>
      </c>
      <c r="V3">
        <f t="shared" ref="V3:V66" si="0">IF(MOD(MID(B3,10,1),2)=0,1,0)</f>
        <v>1</v>
      </c>
    </row>
    <row r="4" spans="1:29" x14ac:dyDescent="0.35">
      <c r="A4" s="5" t="s">
        <v>21</v>
      </c>
      <c r="B4" s="6">
        <v>95012311345</v>
      </c>
      <c r="C4" s="6">
        <v>70</v>
      </c>
      <c r="D4" s="6">
        <v>58</v>
      </c>
      <c r="E4" s="6" t="s">
        <v>23</v>
      </c>
      <c r="F4" s="6" t="s">
        <v>23</v>
      </c>
      <c r="G4" s="6" t="s">
        <v>23</v>
      </c>
      <c r="H4" s="6" t="s">
        <v>23</v>
      </c>
      <c r="I4" s="6">
        <v>92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>
        <v>60</v>
      </c>
      <c r="R4" s="6" t="s">
        <v>23</v>
      </c>
      <c r="S4" s="6">
        <v>61</v>
      </c>
      <c r="T4" s="6" t="s">
        <v>23</v>
      </c>
      <c r="U4" s="7" t="s">
        <v>23</v>
      </c>
      <c r="V4">
        <f t="shared" si="0"/>
        <v>1</v>
      </c>
    </row>
    <row r="5" spans="1:29" x14ac:dyDescent="0.35">
      <c r="A5" s="8" t="s">
        <v>21</v>
      </c>
      <c r="B5" s="9">
        <v>95030607404</v>
      </c>
      <c r="C5" s="9">
        <v>90</v>
      </c>
      <c r="D5" s="9">
        <v>78</v>
      </c>
      <c r="E5" s="9" t="s">
        <v>23</v>
      </c>
      <c r="F5" s="9" t="s">
        <v>23</v>
      </c>
      <c r="G5" s="9" t="s">
        <v>23</v>
      </c>
      <c r="H5" s="9" t="s">
        <v>23</v>
      </c>
      <c r="I5" s="9">
        <v>98</v>
      </c>
      <c r="J5" s="9">
        <v>68</v>
      </c>
      <c r="K5" s="9" t="s">
        <v>23</v>
      </c>
      <c r="L5" s="9" t="s">
        <v>23</v>
      </c>
      <c r="M5" s="9" t="s">
        <v>23</v>
      </c>
      <c r="N5" s="9" t="s">
        <v>23</v>
      </c>
      <c r="O5" s="9" t="s">
        <v>23</v>
      </c>
      <c r="P5" s="9" t="s">
        <v>23</v>
      </c>
      <c r="Q5" s="9">
        <v>70</v>
      </c>
      <c r="R5" s="9" t="s">
        <v>23</v>
      </c>
      <c r="S5" s="9">
        <v>73</v>
      </c>
      <c r="T5" s="9" t="s">
        <v>23</v>
      </c>
      <c r="U5" s="10" t="s">
        <v>23</v>
      </c>
      <c r="V5">
        <f t="shared" si="0"/>
        <v>1</v>
      </c>
      <c r="Z5" s="26" t="s">
        <v>118</v>
      </c>
      <c r="AA5" t="s">
        <v>120</v>
      </c>
      <c r="AB5" t="s">
        <v>121</v>
      </c>
      <c r="AC5" t="s">
        <v>115</v>
      </c>
    </row>
    <row r="6" spans="1:29" x14ac:dyDescent="0.35">
      <c r="A6" s="5" t="s">
        <v>21</v>
      </c>
      <c r="B6" s="6">
        <v>95031506511</v>
      </c>
      <c r="C6" s="6">
        <v>62</v>
      </c>
      <c r="D6" s="6">
        <v>62</v>
      </c>
      <c r="E6" s="6" t="s">
        <v>23</v>
      </c>
      <c r="F6" s="6" t="s">
        <v>23</v>
      </c>
      <c r="G6" s="6" t="s">
        <v>23</v>
      </c>
      <c r="H6" s="6" t="s">
        <v>23</v>
      </c>
      <c r="I6" s="6">
        <v>87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>
        <v>70</v>
      </c>
      <c r="R6" s="6" t="s">
        <v>23</v>
      </c>
      <c r="S6" s="6">
        <v>51</v>
      </c>
      <c r="T6" s="6" t="s">
        <v>23</v>
      </c>
      <c r="U6" s="7" t="s">
        <v>23</v>
      </c>
      <c r="V6">
        <f t="shared" si="0"/>
        <v>0</v>
      </c>
      <c r="Z6" s="27">
        <v>0</v>
      </c>
      <c r="AA6" s="20">
        <v>2857</v>
      </c>
      <c r="AB6" s="20">
        <v>3710</v>
      </c>
      <c r="AC6">
        <f>COUNTIF(V2:V153,0)</f>
        <v>47</v>
      </c>
    </row>
    <row r="7" spans="1:29" x14ac:dyDescent="0.35">
      <c r="A7" s="8" t="s">
        <v>21</v>
      </c>
      <c r="B7" s="9">
        <v>95031714219</v>
      </c>
      <c r="C7" s="9">
        <v>65</v>
      </c>
      <c r="D7" s="9">
        <v>65</v>
      </c>
      <c r="E7" s="9" t="s">
        <v>23</v>
      </c>
      <c r="F7" s="9" t="s">
        <v>23</v>
      </c>
      <c r="G7" s="9" t="s">
        <v>23</v>
      </c>
      <c r="H7" s="9" t="s">
        <v>23</v>
      </c>
      <c r="I7" s="9">
        <v>75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>
        <v>48</v>
      </c>
      <c r="R7" s="9" t="s">
        <v>23</v>
      </c>
      <c r="S7" s="9">
        <v>40</v>
      </c>
      <c r="T7" s="9" t="s">
        <v>23</v>
      </c>
      <c r="U7" s="10" t="s">
        <v>23</v>
      </c>
      <c r="V7">
        <f t="shared" si="0"/>
        <v>0</v>
      </c>
      <c r="Z7" s="27">
        <v>1</v>
      </c>
      <c r="AA7" s="20">
        <v>6553</v>
      </c>
      <c r="AB7" s="20">
        <v>7506</v>
      </c>
      <c r="AC7">
        <f>COUNTIF(V2:V153,1)</f>
        <v>105</v>
      </c>
    </row>
    <row r="8" spans="1:29" x14ac:dyDescent="0.35">
      <c r="A8" s="5" t="s">
        <v>21</v>
      </c>
      <c r="B8" s="6">
        <v>95032402083</v>
      </c>
      <c r="C8" s="6" t="s">
        <v>23</v>
      </c>
      <c r="D8" s="6">
        <v>58</v>
      </c>
      <c r="E8" s="6" t="s">
        <v>23</v>
      </c>
      <c r="F8" s="6" t="s">
        <v>23</v>
      </c>
      <c r="G8" s="6" t="s">
        <v>23</v>
      </c>
      <c r="H8" s="6" t="s">
        <v>23</v>
      </c>
      <c r="I8" s="6">
        <v>96</v>
      </c>
      <c r="J8" s="6">
        <v>61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>
        <v>94</v>
      </c>
      <c r="R8" s="6">
        <v>34</v>
      </c>
      <c r="S8" s="6">
        <v>74</v>
      </c>
      <c r="T8" s="6" t="s">
        <v>23</v>
      </c>
      <c r="U8" s="7" t="s">
        <v>23</v>
      </c>
      <c r="V8">
        <f t="shared" si="0"/>
        <v>1</v>
      </c>
      <c r="Z8" s="27" t="s">
        <v>119</v>
      </c>
      <c r="AA8" s="20">
        <v>9410</v>
      </c>
      <c r="AB8" s="20">
        <v>11216</v>
      </c>
    </row>
    <row r="9" spans="1:29" x14ac:dyDescent="0.35">
      <c r="A9" s="8" t="s">
        <v>21</v>
      </c>
      <c r="B9" s="9">
        <v>95032701960</v>
      </c>
      <c r="C9" s="9">
        <v>77</v>
      </c>
      <c r="D9" s="9">
        <v>85</v>
      </c>
      <c r="E9" s="9" t="s">
        <v>23</v>
      </c>
      <c r="F9" s="9" t="s">
        <v>23</v>
      </c>
      <c r="G9" s="9" t="s">
        <v>23</v>
      </c>
      <c r="H9" s="9" t="s">
        <v>23</v>
      </c>
      <c r="I9" s="9">
        <v>96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>
        <v>96</v>
      </c>
      <c r="R9" s="9" t="s">
        <v>23</v>
      </c>
      <c r="S9" s="9">
        <v>77</v>
      </c>
      <c r="T9" s="9" t="s">
        <v>23</v>
      </c>
      <c r="U9" s="10" t="s">
        <v>23</v>
      </c>
      <c r="V9">
        <f t="shared" si="0"/>
        <v>1</v>
      </c>
    </row>
    <row r="10" spans="1:29" x14ac:dyDescent="0.35">
      <c r="A10" s="5" t="s">
        <v>21</v>
      </c>
      <c r="B10" s="6">
        <v>95040412034</v>
      </c>
      <c r="C10" s="6">
        <v>93</v>
      </c>
      <c r="D10" s="6">
        <v>67</v>
      </c>
      <c r="E10" s="6" t="s">
        <v>23</v>
      </c>
      <c r="F10" s="6" t="s">
        <v>23</v>
      </c>
      <c r="G10" s="6" t="s">
        <v>23</v>
      </c>
      <c r="H10" s="6" t="s">
        <v>23</v>
      </c>
      <c r="I10" s="6">
        <v>84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>
        <v>86</v>
      </c>
      <c r="R10" s="6" t="s">
        <v>23</v>
      </c>
      <c r="S10" s="6">
        <v>73</v>
      </c>
      <c r="T10" s="6" t="s">
        <v>23</v>
      </c>
      <c r="U10" s="7" t="s">
        <v>23</v>
      </c>
      <c r="V10">
        <f t="shared" si="0"/>
        <v>0</v>
      </c>
      <c r="AA10" t="s">
        <v>124</v>
      </c>
      <c r="AB10" t="s">
        <v>125</v>
      </c>
    </row>
    <row r="11" spans="1:29" x14ac:dyDescent="0.35">
      <c r="A11" s="8" t="s">
        <v>21</v>
      </c>
      <c r="B11" s="9">
        <v>95040908766</v>
      </c>
      <c r="C11" s="9">
        <v>57</v>
      </c>
      <c r="D11" s="9">
        <v>47</v>
      </c>
      <c r="E11" s="9" t="s">
        <v>23</v>
      </c>
      <c r="F11" s="9" t="s">
        <v>23</v>
      </c>
      <c r="G11" s="9" t="s">
        <v>23</v>
      </c>
      <c r="H11" s="9" t="s">
        <v>23</v>
      </c>
      <c r="I11" s="9">
        <v>87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>
        <v>40</v>
      </c>
      <c r="R11" s="9" t="s">
        <v>23</v>
      </c>
      <c r="S11" s="9">
        <v>43</v>
      </c>
      <c r="T11" s="9" t="s">
        <v>23</v>
      </c>
      <c r="U11" s="10" t="s">
        <v>23</v>
      </c>
      <c r="V11">
        <f t="shared" si="0"/>
        <v>1</v>
      </c>
      <c r="Z11" t="s">
        <v>122</v>
      </c>
      <c r="AA11">
        <f>ROUND(GETPIVOTDATA("Suma z Polski-P",$Z$5,"plec",0)/AC6,2)</f>
        <v>60.79</v>
      </c>
      <c r="AB11">
        <f>ROUND(GETPIVOTDATA("Suma z Matematyka-P",$Z$5,"plec",0)/AC6,2)</f>
        <v>78.94</v>
      </c>
    </row>
    <row r="12" spans="1:29" x14ac:dyDescent="0.35">
      <c r="A12" s="5" t="s">
        <v>21</v>
      </c>
      <c r="B12" s="6">
        <v>95041309368</v>
      </c>
      <c r="C12" s="6">
        <v>60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  <c r="I12" s="6">
        <v>96</v>
      </c>
      <c r="J12" s="6">
        <v>89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>
        <v>70</v>
      </c>
      <c r="R12" s="6" t="s">
        <v>23</v>
      </c>
      <c r="S12" s="6">
        <v>76</v>
      </c>
      <c r="T12" s="6" t="s">
        <v>23</v>
      </c>
      <c r="U12" s="7" t="s">
        <v>23</v>
      </c>
      <c r="V12">
        <f t="shared" si="0"/>
        <v>1</v>
      </c>
      <c r="Z12" t="s">
        <v>123</v>
      </c>
      <c r="AA12">
        <f>ROUND(GETPIVOTDATA("Suma z Polski-P",$Z$5,"plec",1)/AC7,2)</f>
        <v>62.41</v>
      </c>
      <c r="AB12">
        <f>ROUND(GETPIVOTDATA("Suma z Matematyka-P",$Z$5,"plec",1)/AC7,2)</f>
        <v>71.489999999999995</v>
      </c>
    </row>
    <row r="13" spans="1:29" x14ac:dyDescent="0.35">
      <c r="A13" s="8" t="s">
        <v>21</v>
      </c>
      <c r="B13" s="9">
        <v>95052600643</v>
      </c>
      <c r="C13" s="9" t="s">
        <v>23</v>
      </c>
      <c r="D13" s="9" t="s">
        <v>23</v>
      </c>
      <c r="E13" s="9" t="s">
        <v>23</v>
      </c>
      <c r="F13" s="9">
        <v>90</v>
      </c>
      <c r="G13" s="9" t="s">
        <v>23</v>
      </c>
      <c r="H13" s="9" t="s">
        <v>23</v>
      </c>
      <c r="I13" s="9">
        <v>100</v>
      </c>
      <c r="J13" s="9">
        <v>100</v>
      </c>
      <c r="K13" s="9" t="s">
        <v>23</v>
      </c>
      <c r="L13" s="9" t="s">
        <v>23</v>
      </c>
      <c r="M13" s="9" t="s">
        <v>23</v>
      </c>
      <c r="N13" s="9" t="s">
        <v>23</v>
      </c>
      <c r="O13" s="9">
        <v>100</v>
      </c>
      <c r="P13" s="9" t="s">
        <v>23</v>
      </c>
      <c r="Q13" s="9">
        <v>98</v>
      </c>
      <c r="R13" s="9">
        <v>86</v>
      </c>
      <c r="S13" s="9">
        <v>80</v>
      </c>
      <c r="T13" s="9" t="s">
        <v>23</v>
      </c>
      <c r="U13" s="10" t="s">
        <v>23</v>
      </c>
      <c r="V13">
        <f t="shared" si="0"/>
        <v>1</v>
      </c>
    </row>
    <row r="14" spans="1:29" x14ac:dyDescent="0.35">
      <c r="A14" s="5" t="s">
        <v>21</v>
      </c>
      <c r="B14" s="6">
        <v>95061500402</v>
      </c>
      <c r="C14" s="6">
        <v>95</v>
      </c>
      <c r="D14" s="6">
        <v>88</v>
      </c>
      <c r="E14" s="6" t="s">
        <v>23</v>
      </c>
      <c r="F14" s="6" t="s">
        <v>23</v>
      </c>
      <c r="G14" s="6" t="s">
        <v>23</v>
      </c>
      <c r="H14" s="6" t="s">
        <v>23</v>
      </c>
      <c r="I14" s="6">
        <v>92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>
        <v>92</v>
      </c>
      <c r="R14" s="6" t="s">
        <v>23</v>
      </c>
      <c r="S14" s="6">
        <v>79</v>
      </c>
      <c r="T14" s="6" t="s">
        <v>23</v>
      </c>
      <c r="U14" s="7" t="s">
        <v>23</v>
      </c>
      <c r="V14">
        <f t="shared" si="0"/>
        <v>1</v>
      </c>
    </row>
    <row r="15" spans="1:29" x14ac:dyDescent="0.35">
      <c r="A15" s="8" t="s">
        <v>21</v>
      </c>
      <c r="B15" s="9">
        <v>95061702842</v>
      </c>
      <c r="C15" s="9">
        <v>75</v>
      </c>
      <c r="D15" s="9">
        <v>67</v>
      </c>
      <c r="E15" s="9" t="s">
        <v>23</v>
      </c>
      <c r="F15" s="9" t="s">
        <v>23</v>
      </c>
      <c r="G15" s="9" t="s">
        <v>23</v>
      </c>
      <c r="H15" s="9" t="s">
        <v>23</v>
      </c>
      <c r="I15" s="9">
        <v>91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>
        <v>88</v>
      </c>
      <c r="R15" s="9" t="s">
        <v>23</v>
      </c>
      <c r="S15" s="9">
        <v>59</v>
      </c>
      <c r="T15" s="9" t="s">
        <v>23</v>
      </c>
      <c r="U15" s="10" t="s">
        <v>23</v>
      </c>
      <c r="V15">
        <f t="shared" si="0"/>
        <v>1</v>
      </c>
    </row>
    <row r="16" spans="1:29" x14ac:dyDescent="0.35">
      <c r="A16" s="5" t="s">
        <v>21</v>
      </c>
      <c r="B16" s="6">
        <v>95062301712</v>
      </c>
      <c r="C16" s="6">
        <v>85</v>
      </c>
      <c r="D16" s="6">
        <v>83</v>
      </c>
      <c r="E16" s="6">
        <v>48</v>
      </c>
      <c r="F16" s="6" t="s">
        <v>23</v>
      </c>
      <c r="G16" s="6" t="s">
        <v>23</v>
      </c>
      <c r="H16" s="6" t="s">
        <v>23</v>
      </c>
      <c r="I16" s="6">
        <v>94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>
        <v>92</v>
      </c>
      <c r="R16" s="6" t="s">
        <v>23</v>
      </c>
      <c r="S16" s="6">
        <v>56</v>
      </c>
      <c r="T16" s="6" t="s">
        <v>23</v>
      </c>
      <c r="U16" s="7" t="s">
        <v>23</v>
      </c>
      <c r="V16">
        <f t="shared" si="0"/>
        <v>0</v>
      </c>
    </row>
    <row r="17" spans="1:22" x14ac:dyDescent="0.35">
      <c r="A17" s="8" t="s">
        <v>21</v>
      </c>
      <c r="B17" s="9">
        <v>95071508265</v>
      </c>
      <c r="C17" s="9">
        <v>62</v>
      </c>
      <c r="D17" s="9">
        <v>48</v>
      </c>
      <c r="E17" s="9" t="s">
        <v>23</v>
      </c>
      <c r="F17" s="9" t="s">
        <v>23</v>
      </c>
      <c r="G17" s="9" t="s">
        <v>23</v>
      </c>
      <c r="H17" s="9" t="s">
        <v>23</v>
      </c>
      <c r="I17" s="9">
        <v>85</v>
      </c>
      <c r="J17" s="9" t="s">
        <v>23</v>
      </c>
      <c r="K17" s="9" t="s">
        <v>23</v>
      </c>
      <c r="L17" s="9" t="s">
        <v>23</v>
      </c>
      <c r="M17" s="9" t="s">
        <v>23</v>
      </c>
      <c r="N17" s="9" t="s">
        <v>23</v>
      </c>
      <c r="O17" s="9" t="s">
        <v>23</v>
      </c>
      <c r="P17" s="9" t="s">
        <v>23</v>
      </c>
      <c r="Q17" s="9">
        <v>58</v>
      </c>
      <c r="R17" s="9" t="s">
        <v>23</v>
      </c>
      <c r="S17" s="9">
        <v>59</v>
      </c>
      <c r="T17" s="9" t="s">
        <v>23</v>
      </c>
      <c r="U17" s="10" t="s">
        <v>23</v>
      </c>
      <c r="V17">
        <f t="shared" si="0"/>
        <v>1</v>
      </c>
    </row>
    <row r="18" spans="1:22" x14ac:dyDescent="0.35">
      <c r="A18" s="5" t="s">
        <v>21</v>
      </c>
      <c r="B18" s="6">
        <v>95071807500</v>
      </c>
      <c r="C18" s="6">
        <v>68</v>
      </c>
      <c r="D18" s="6">
        <v>62</v>
      </c>
      <c r="E18" s="6" t="s">
        <v>23</v>
      </c>
      <c r="F18" s="6" t="s">
        <v>23</v>
      </c>
      <c r="G18" s="6" t="s">
        <v>23</v>
      </c>
      <c r="H18" s="6" t="s">
        <v>23</v>
      </c>
      <c r="I18" s="6">
        <v>99</v>
      </c>
      <c r="J18" s="6">
        <v>93</v>
      </c>
      <c r="K18" s="6" t="s">
        <v>23</v>
      </c>
      <c r="L18" s="6" t="s">
        <v>23</v>
      </c>
      <c r="M18" s="6" t="s">
        <v>23</v>
      </c>
      <c r="N18" s="6" t="s">
        <v>23</v>
      </c>
      <c r="O18" s="6" t="s">
        <v>23</v>
      </c>
      <c r="P18" s="6" t="s">
        <v>23</v>
      </c>
      <c r="Q18" s="6">
        <v>78</v>
      </c>
      <c r="R18" s="6" t="s">
        <v>23</v>
      </c>
      <c r="S18" s="6">
        <v>54</v>
      </c>
      <c r="T18" s="6" t="s">
        <v>23</v>
      </c>
      <c r="U18" s="7" t="s">
        <v>23</v>
      </c>
      <c r="V18">
        <f t="shared" si="0"/>
        <v>1</v>
      </c>
    </row>
    <row r="19" spans="1:22" x14ac:dyDescent="0.35">
      <c r="A19" s="8" t="s">
        <v>21</v>
      </c>
      <c r="B19" s="9">
        <v>95072900844</v>
      </c>
      <c r="C19" s="9">
        <v>55</v>
      </c>
      <c r="D19" s="9">
        <v>62</v>
      </c>
      <c r="E19" s="9" t="s">
        <v>23</v>
      </c>
      <c r="F19" s="9" t="s">
        <v>23</v>
      </c>
      <c r="G19" s="9" t="s">
        <v>23</v>
      </c>
      <c r="H19" s="9" t="s">
        <v>23</v>
      </c>
      <c r="I19" s="9">
        <v>96</v>
      </c>
      <c r="J19" s="9">
        <v>86</v>
      </c>
      <c r="K19" s="9" t="s">
        <v>23</v>
      </c>
      <c r="L19" s="9" t="s">
        <v>23</v>
      </c>
      <c r="M19" s="9" t="s">
        <v>23</v>
      </c>
      <c r="N19" s="9" t="s">
        <v>23</v>
      </c>
      <c r="O19" s="9" t="s">
        <v>23</v>
      </c>
      <c r="P19" s="9" t="s">
        <v>23</v>
      </c>
      <c r="Q19" s="9">
        <v>92</v>
      </c>
      <c r="R19" s="9" t="s">
        <v>23</v>
      </c>
      <c r="S19" s="9">
        <v>73</v>
      </c>
      <c r="T19" s="9" t="s">
        <v>23</v>
      </c>
      <c r="U19" s="10" t="s">
        <v>23</v>
      </c>
      <c r="V19">
        <f t="shared" si="0"/>
        <v>1</v>
      </c>
    </row>
    <row r="20" spans="1:22" x14ac:dyDescent="0.35">
      <c r="A20" s="5" t="s">
        <v>21</v>
      </c>
      <c r="B20" s="6">
        <v>95073111506</v>
      </c>
      <c r="C20" s="6">
        <v>68</v>
      </c>
      <c r="D20" s="6">
        <v>45</v>
      </c>
      <c r="E20" s="6" t="s">
        <v>23</v>
      </c>
      <c r="F20" s="6" t="s">
        <v>23</v>
      </c>
      <c r="G20" s="6" t="s">
        <v>23</v>
      </c>
      <c r="H20" s="6" t="s">
        <v>23</v>
      </c>
      <c r="I20" s="6">
        <v>92</v>
      </c>
      <c r="J20" s="6" t="s">
        <v>23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>
        <v>78</v>
      </c>
      <c r="R20" s="6" t="s">
        <v>23</v>
      </c>
      <c r="S20" s="6">
        <v>56</v>
      </c>
      <c r="T20" s="6" t="s">
        <v>23</v>
      </c>
      <c r="U20" s="7" t="s">
        <v>23</v>
      </c>
      <c r="V20">
        <f t="shared" si="0"/>
        <v>1</v>
      </c>
    </row>
    <row r="21" spans="1:22" x14ac:dyDescent="0.35">
      <c r="A21" s="8" t="s">
        <v>21</v>
      </c>
      <c r="B21" s="9">
        <v>95080409087</v>
      </c>
      <c r="C21" s="9">
        <v>78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>
        <v>95</v>
      </c>
      <c r="J21" s="9">
        <v>77</v>
      </c>
      <c r="K21" s="9" t="s">
        <v>23</v>
      </c>
      <c r="L21" s="9" t="s">
        <v>23</v>
      </c>
      <c r="M21" s="9" t="s">
        <v>23</v>
      </c>
      <c r="N21" s="9" t="s">
        <v>23</v>
      </c>
      <c r="O21" s="9" t="s">
        <v>23</v>
      </c>
      <c r="P21" s="9" t="s">
        <v>23</v>
      </c>
      <c r="Q21" s="9">
        <v>64</v>
      </c>
      <c r="R21" s="9" t="s">
        <v>23</v>
      </c>
      <c r="S21" s="9">
        <v>84</v>
      </c>
      <c r="T21" s="9" t="s">
        <v>23</v>
      </c>
      <c r="U21" s="10" t="s">
        <v>23</v>
      </c>
      <c r="V21">
        <f t="shared" si="0"/>
        <v>1</v>
      </c>
    </row>
    <row r="22" spans="1:22" x14ac:dyDescent="0.35">
      <c r="A22" s="5" t="s">
        <v>21</v>
      </c>
      <c r="B22" s="6">
        <v>95081008322</v>
      </c>
      <c r="C22" s="6">
        <v>72</v>
      </c>
      <c r="D22" s="6">
        <v>68</v>
      </c>
      <c r="E22" s="6" t="s">
        <v>23</v>
      </c>
      <c r="F22" s="6" t="s">
        <v>23</v>
      </c>
      <c r="G22" s="6" t="s">
        <v>23</v>
      </c>
      <c r="H22" s="6" t="s">
        <v>23</v>
      </c>
      <c r="I22" s="6">
        <v>92</v>
      </c>
      <c r="J22" s="6" t="s">
        <v>23</v>
      </c>
      <c r="K22" s="6" t="s">
        <v>23</v>
      </c>
      <c r="L22" s="6" t="s">
        <v>23</v>
      </c>
      <c r="M22" s="6" t="s">
        <v>23</v>
      </c>
      <c r="N22" s="6" t="s">
        <v>23</v>
      </c>
      <c r="O22" s="6" t="s">
        <v>23</v>
      </c>
      <c r="P22" s="6" t="s">
        <v>23</v>
      </c>
      <c r="Q22" s="6">
        <v>70</v>
      </c>
      <c r="R22" s="6" t="s">
        <v>23</v>
      </c>
      <c r="S22" s="6">
        <v>64</v>
      </c>
      <c r="T22" s="6" t="s">
        <v>23</v>
      </c>
      <c r="U22" s="7" t="s">
        <v>23</v>
      </c>
      <c r="V22">
        <f t="shared" si="0"/>
        <v>1</v>
      </c>
    </row>
    <row r="23" spans="1:22" x14ac:dyDescent="0.35">
      <c r="A23" s="8" t="s">
        <v>21</v>
      </c>
      <c r="B23" s="9">
        <v>95081802841</v>
      </c>
      <c r="C23" s="9">
        <v>55</v>
      </c>
      <c r="D23" s="9">
        <v>50</v>
      </c>
      <c r="E23" s="9" t="s">
        <v>23</v>
      </c>
      <c r="F23" s="9" t="s">
        <v>23</v>
      </c>
      <c r="G23" s="9" t="s">
        <v>23</v>
      </c>
      <c r="H23" s="9" t="s">
        <v>23</v>
      </c>
      <c r="I23" s="9">
        <v>84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9" t="s">
        <v>23</v>
      </c>
      <c r="P23" s="9" t="s">
        <v>23</v>
      </c>
      <c r="Q23" s="9">
        <v>58</v>
      </c>
      <c r="R23" s="9" t="s">
        <v>23</v>
      </c>
      <c r="S23" s="9">
        <v>54</v>
      </c>
      <c r="T23" s="9" t="s">
        <v>23</v>
      </c>
      <c r="U23" s="10" t="s">
        <v>23</v>
      </c>
      <c r="V23">
        <f t="shared" si="0"/>
        <v>1</v>
      </c>
    </row>
    <row r="24" spans="1:22" x14ac:dyDescent="0.35">
      <c r="A24" s="5" t="s">
        <v>21</v>
      </c>
      <c r="B24" s="6">
        <v>95082400949</v>
      </c>
      <c r="C24" s="6">
        <v>67</v>
      </c>
      <c r="D24" s="6">
        <v>60</v>
      </c>
      <c r="E24" s="6" t="s">
        <v>23</v>
      </c>
      <c r="F24" s="6" t="s">
        <v>23</v>
      </c>
      <c r="G24" s="6" t="s">
        <v>23</v>
      </c>
      <c r="H24" s="6" t="s">
        <v>23</v>
      </c>
      <c r="I24" s="6">
        <v>92</v>
      </c>
      <c r="J24" s="6" t="s">
        <v>23</v>
      </c>
      <c r="K24" s="6" t="s">
        <v>23</v>
      </c>
      <c r="L24" s="6" t="s">
        <v>23</v>
      </c>
      <c r="M24" s="6" t="s">
        <v>23</v>
      </c>
      <c r="N24" s="6" t="s">
        <v>23</v>
      </c>
      <c r="O24" s="6" t="s">
        <v>23</v>
      </c>
      <c r="P24" s="6" t="s">
        <v>23</v>
      </c>
      <c r="Q24" s="6">
        <v>76</v>
      </c>
      <c r="R24" s="6" t="s">
        <v>23</v>
      </c>
      <c r="S24" s="6">
        <v>50</v>
      </c>
      <c r="T24" s="6" t="s">
        <v>23</v>
      </c>
      <c r="U24" s="7" t="s">
        <v>23</v>
      </c>
      <c r="V24">
        <f t="shared" si="0"/>
        <v>1</v>
      </c>
    </row>
    <row r="25" spans="1:22" x14ac:dyDescent="0.35">
      <c r="A25" s="8" t="s">
        <v>21</v>
      </c>
      <c r="B25" s="9">
        <v>95082502641</v>
      </c>
      <c r="C25" s="9">
        <v>45</v>
      </c>
      <c r="D25" s="9">
        <v>30</v>
      </c>
      <c r="E25" s="9" t="s">
        <v>23</v>
      </c>
      <c r="F25" s="9" t="s">
        <v>23</v>
      </c>
      <c r="G25" s="9" t="s">
        <v>23</v>
      </c>
      <c r="H25" s="9" t="s">
        <v>23</v>
      </c>
      <c r="I25" s="9">
        <v>61</v>
      </c>
      <c r="J25" s="9" t="s">
        <v>23</v>
      </c>
      <c r="K25" s="9" t="s">
        <v>23</v>
      </c>
      <c r="L25" s="9" t="s">
        <v>23</v>
      </c>
      <c r="M25" s="9" t="s">
        <v>23</v>
      </c>
      <c r="N25" s="9" t="s">
        <v>23</v>
      </c>
      <c r="O25" s="9" t="s">
        <v>23</v>
      </c>
      <c r="P25" s="9" t="s">
        <v>23</v>
      </c>
      <c r="Q25" s="9">
        <v>50</v>
      </c>
      <c r="R25" s="9" t="s">
        <v>23</v>
      </c>
      <c r="S25" s="9">
        <v>33</v>
      </c>
      <c r="T25" s="9" t="s">
        <v>23</v>
      </c>
      <c r="U25" s="10" t="s">
        <v>23</v>
      </c>
      <c r="V25">
        <f t="shared" si="0"/>
        <v>1</v>
      </c>
    </row>
    <row r="26" spans="1:22" x14ac:dyDescent="0.35">
      <c r="A26" s="5" t="s">
        <v>21</v>
      </c>
      <c r="B26" s="6">
        <v>95090501360</v>
      </c>
      <c r="C26" s="6">
        <v>83</v>
      </c>
      <c r="D26" s="6">
        <v>50</v>
      </c>
      <c r="E26" s="6" t="s">
        <v>23</v>
      </c>
      <c r="F26" s="6" t="s">
        <v>23</v>
      </c>
      <c r="G26" s="6" t="s">
        <v>23</v>
      </c>
      <c r="H26" s="6" t="s">
        <v>23</v>
      </c>
      <c r="I26" s="6">
        <v>100</v>
      </c>
      <c r="J26" s="6">
        <v>83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  <c r="P26" s="6" t="s">
        <v>23</v>
      </c>
      <c r="Q26" s="6">
        <v>62</v>
      </c>
      <c r="R26" s="6" t="s">
        <v>23</v>
      </c>
      <c r="S26" s="6">
        <v>76</v>
      </c>
      <c r="T26" s="6" t="s">
        <v>23</v>
      </c>
      <c r="U26" s="7" t="s">
        <v>23</v>
      </c>
      <c r="V26">
        <f t="shared" si="0"/>
        <v>1</v>
      </c>
    </row>
    <row r="27" spans="1:22" x14ac:dyDescent="0.35">
      <c r="A27" s="8" t="s">
        <v>21</v>
      </c>
      <c r="B27" s="9">
        <v>95091604864</v>
      </c>
      <c r="C27" s="9">
        <v>80</v>
      </c>
      <c r="D27" s="9" t="s">
        <v>23</v>
      </c>
      <c r="E27" s="9" t="s">
        <v>23</v>
      </c>
      <c r="F27" s="9" t="s">
        <v>23</v>
      </c>
      <c r="G27" s="9" t="s">
        <v>23</v>
      </c>
      <c r="H27" s="9" t="s">
        <v>23</v>
      </c>
      <c r="I27" s="9">
        <v>99</v>
      </c>
      <c r="J27" s="9">
        <v>83</v>
      </c>
      <c r="K27" s="9" t="s">
        <v>23</v>
      </c>
      <c r="L27" s="9" t="s">
        <v>23</v>
      </c>
      <c r="M27" s="9" t="s">
        <v>23</v>
      </c>
      <c r="N27" s="9" t="s">
        <v>23</v>
      </c>
      <c r="O27" s="9" t="s">
        <v>23</v>
      </c>
      <c r="P27" s="9" t="s">
        <v>23</v>
      </c>
      <c r="Q27" s="9">
        <v>72</v>
      </c>
      <c r="R27" s="9" t="s">
        <v>23</v>
      </c>
      <c r="S27" s="9">
        <v>84</v>
      </c>
      <c r="T27" s="9" t="s">
        <v>23</v>
      </c>
      <c r="U27" s="10" t="s">
        <v>23</v>
      </c>
      <c r="V27">
        <f t="shared" si="0"/>
        <v>1</v>
      </c>
    </row>
    <row r="28" spans="1:22" x14ac:dyDescent="0.35">
      <c r="A28" s="5" t="s">
        <v>21</v>
      </c>
      <c r="B28" s="6">
        <v>95110304166</v>
      </c>
      <c r="C28" s="6">
        <v>70</v>
      </c>
      <c r="D28" s="6">
        <v>60</v>
      </c>
      <c r="E28" s="6" t="s">
        <v>23</v>
      </c>
      <c r="F28" s="6" t="s">
        <v>23</v>
      </c>
      <c r="G28" s="6" t="s">
        <v>23</v>
      </c>
      <c r="H28" s="6" t="s">
        <v>23</v>
      </c>
      <c r="I28" s="6">
        <v>91</v>
      </c>
      <c r="J28" s="6" t="s">
        <v>23</v>
      </c>
      <c r="K28" s="6" t="s">
        <v>23</v>
      </c>
      <c r="L28" s="6" t="s">
        <v>23</v>
      </c>
      <c r="M28" s="6" t="s">
        <v>23</v>
      </c>
      <c r="N28" s="6" t="s">
        <v>23</v>
      </c>
      <c r="O28" s="6" t="s">
        <v>23</v>
      </c>
      <c r="P28" s="6" t="s">
        <v>23</v>
      </c>
      <c r="Q28" s="6">
        <v>80</v>
      </c>
      <c r="R28" s="6" t="s">
        <v>23</v>
      </c>
      <c r="S28" s="6">
        <v>74</v>
      </c>
      <c r="T28" s="6" t="s">
        <v>23</v>
      </c>
      <c r="U28" s="7" t="s">
        <v>23</v>
      </c>
      <c r="V28">
        <f t="shared" si="0"/>
        <v>1</v>
      </c>
    </row>
    <row r="29" spans="1:22" x14ac:dyDescent="0.35">
      <c r="A29" s="8" t="s">
        <v>21</v>
      </c>
      <c r="B29" s="9">
        <v>95110400947</v>
      </c>
      <c r="C29" s="9" t="s">
        <v>23</v>
      </c>
      <c r="D29" s="9" t="s">
        <v>23</v>
      </c>
      <c r="E29" s="9">
        <v>55</v>
      </c>
      <c r="F29" s="9" t="s">
        <v>23</v>
      </c>
      <c r="G29" s="9" t="s">
        <v>23</v>
      </c>
      <c r="H29" s="9" t="s">
        <v>23</v>
      </c>
      <c r="I29" s="9">
        <v>96</v>
      </c>
      <c r="J29" s="9">
        <v>86</v>
      </c>
      <c r="K29" s="9" t="s">
        <v>23</v>
      </c>
      <c r="L29" s="9" t="s">
        <v>23</v>
      </c>
      <c r="M29" s="9" t="s">
        <v>23</v>
      </c>
      <c r="N29" s="9" t="s">
        <v>23</v>
      </c>
      <c r="O29" s="9" t="s">
        <v>23</v>
      </c>
      <c r="P29" s="9" t="s">
        <v>23</v>
      </c>
      <c r="Q29" s="9">
        <v>86</v>
      </c>
      <c r="R29" s="9" t="s">
        <v>23</v>
      </c>
      <c r="S29" s="9">
        <v>64</v>
      </c>
      <c r="T29" s="9" t="s">
        <v>23</v>
      </c>
      <c r="U29" s="10" t="s">
        <v>23</v>
      </c>
      <c r="V29">
        <f t="shared" si="0"/>
        <v>1</v>
      </c>
    </row>
    <row r="30" spans="1:22" x14ac:dyDescent="0.35">
      <c r="A30" s="5" t="s">
        <v>21</v>
      </c>
      <c r="B30" s="6">
        <v>95111004447</v>
      </c>
      <c r="C30" s="6">
        <v>73</v>
      </c>
      <c r="D30" s="6">
        <v>78</v>
      </c>
      <c r="E30" s="6" t="s">
        <v>23</v>
      </c>
      <c r="F30" s="6" t="s">
        <v>23</v>
      </c>
      <c r="G30" s="6" t="s">
        <v>23</v>
      </c>
      <c r="H30" s="6" t="s">
        <v>23</v>
      </c>
      <c r="I30" s="6">
        <v>96</v>
      </c>
      <c r="J30" s="6" t="s">
        <v>23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23</v>
      </c>
      <c r="Q30" s="6">
        <v>82</v>
      </c>
      <c r="R30" s="6" t="s">
        <v>23</v>
      </c>
      <c r="S30" s="6">
        <v>60</v>
      </c>
      <c r="T30" s="6" t="s">
        <v>23</v>
      </c>
      <c r="U30" s="7" t="s">
        <v>23</v>
      </c>
      <c r="V30">
        <f t="shared" si="0"/>
        <v>1</v>
      </c>
    </row>
    <row r="31" spans="1:22" x14ac:dyDescent="0.35">
      <c r="A31" s="8" t="s">
        <v>21</v>
      </c>
      <c r="B31" s="9">
        <v>95112301543</v>
      </c>
      <c r="C31" s="9">
        <v>80</v>
      </c>
      <c r="D31" s="9">
        <v>60</v>
      </c>
      <c r="E31" s="9" t="s">
        <v>23</v>
      </c>
      <c r="F31" s="9" t="s">
        <v>23</v>
      </c>
      <c r="G31" s="9" t="s">
        <v>23</v>
      </c>
      <c r="H31" s="9" t="s">
        <v>23</v>
      </c>
      <c r="I31" s="9">
        <v>88</v>
      </c>
      <c r="J31" s="9">
        <v>67</v>
      </c>
      <c r="K31" s="9" t="s">
        <v>23</v>
      </c>
      <c r="L31" s="9" t="s">
        <v>23</v>
      </c>
      <c r="M31" s="9" t="s">
        <v>23</v>
      </c>
      <c r="N31" s="9" t="s">
        <v>23</v>
      </c>
      <c r="O31" s="9" t="s">
        <v>23</v>
      </c>
      <c r="P31" s="9" t="s">
        <v>23</v>
      </c>
      <c r="Q31" s="9">
        <v>80</v>
      </c>
      <c r="R31" s="9" t="s">
        <v>23</v>
      </c>
      <c r="S31" s="9">
        <v>63</v>
      </c>
      <c r="T31" s="9" t="s">
        <v>23</v>
      </c>
      <c r="U31" s="10" t="s">
        <v>23</v>
      </c>
      <c r="V31">
        <f t="shared" si="0"/>
        <v>1</v>
      </c>
    </row>
    <row r="32" spans="1:22" x14ac:dyDescent="0.35">
      <c r="A32" s="5" t="s">
        <v>21</v>
      </c>
      <c r="B32" s="6">
        <v>95120101108</v>
      </c>
      <c r="C32" s="6">
        <v>93</v>
      </c>
      <c r="D32" s="6">
        <v>88</v>
      </c>
      <c r="E32" s="6" t="s">
        <v>23</v>
      </c>
      <c r="F32" s="6" t="s">
        <v>23</v>
      </c>
      <c r="G32" s="6" t="s">
        <v>23</v>
      </c>
      <c r="H32" s="6" t="s">
        <v>23</v>
      </c>
      <c r="I32" s="6">
        <v>100</v>
      </c>
      <c r="J32" s="6">
        <v>76</v>
      </c>
      <c r="K32" s="6" t="s">
        <v>23</v>
      </c>
      <c r="L32" s="6" t="s">
        <v>23</v>
      </c>
      <c r="M32" s="6" t="s">
        <v>23</v>
      </c>
      <c r="N32" s="6" t="s">
        <v>23</v>
      </c>
      <c r="O32" s="6" t="s">
        <v>23</v>
      </c>
      <c r="P32" s="6" t="s">
        <v>23</v>
      </c>
      <c r="Q32" s="6">
        <v>92</v>
      </c>
      <c r="R32" s="6" t="s">
        <v>23</v>
      </c>
      <c r="S32" s="6">
        <v>76</v>
      </c>
      <c r="T32" s="6" t="s">
        <v>23</v>
      </c>
      <c r="U32" s="7" t="s">
        <v>23</v>
      </c>
      <c r="V32">
        <f t="shared" si="0"/>
        <v>1</v>
      </c>
    </row>
    <row r="33" spans="1:22" x14ac:dyDescent="0.35">
      <c r="A33" s="8" t="s">
        <v>21</v>
      </c>
      <c r="B33" s="9">
        <v>95120600768</v>
      </c>
      <c r="C33" s="9">
        <v>85</v>
      </c>
      <c r="D33" s="9">
        <v>93</v>
      </c>
      <c r="E33" s="9">
        <v>82</v>
      </c>
      <c r="F33" s="9" t="s">
        <v>23</v>
      </c>
      <c r="G33" s="9" t="s">
        <v>23</v>
      </c>
      <c r="H33" s="9" t="s">
        <v>23</v>
      </c>
      <c r="I33" s="9">
        <v>96</v>
      </c>
      <c r="J33" s="9" t="s">
        <v>23</v>
      </c>
      <c r="K33" s="9" t="s">
        <v>23</v>
      </c>
      <c r="L33" s="9" t="s">
        <v>23</v>
      </c>
      <c r="M33" s="9" t="s">
        <v>23</v>
      </c>
      <c r="N33" s="9" t="s">
        <v>23</v>
      </c>
      <c r="O33" s="9" t="s">
        <v>23</v>
      </c>
      <c r="P33" s="9" t="s">
        <v>23</v>
      </c>
      <c r="Q33" s="9">
        <v>94</v>
      </c>
      <c r="R33" s="9">
        <v>74</v>
      </c>
      <c r="S33" s="9">
        <v>66</v>
      </c>
      <c r="T33" s="9" t="s">
        <v>23</v>
      </c>
      <c r="U33" s="10" t="s">
        <v>23</v>
      </c>
      <c r="V33">
        <f t="shared" si="0"/>
        <v>1</v>
      </c>
    </row>
    <row r="34" spans="1:22" x14ac:dyDescent="0.35">
      <c r="A34" s="5" t="s">
        <v>21</v>
      </c>
      <c r="B34" s="6">
        <v>95120903939</v>
      </c>
      <c r="C34" s="6">
        <v>90</v>
      </c>
      <c r="D34" s="6">
        <v>82</v>
      </c>
      <c r="E34" s="6" t="s">
        <v>23</v>
      </c>
      <c r="F34" s="6" t="s">
        <v>23</v>
      </c>
      <c r="G34" s="6" t="s">
        <v>23</v>
      </c>
      <c r="H34" s="6" t="s">
        <v>23</v>
      </c>
      <c r="I34" s="6">
        <v>92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23</v>
      </c>
      <c r="O34" s="6" t="s">
        <v>23</v>
      </c>
      <c r="P34" s="6" t="s">
        <v>23</v>
      </c>
      <c r="Q34" s="6">
        <v>86</v>
      </c>
      <c r="R34" s="6" t="s">
        <v>23</v>
      </c>
      <c r="S34" s="6">
        <v>63</v>
      </c>
      <c r="T34" s="6" t="s">
        <v>23</v>
      </c>
      <c r="U34" s="7" t="s">
        <v>23</v>
      </c>
      <c r="V34">
        <f t="shared" si="0"/>
        <v>0</v>
      </c>
    </row>
    <row r="35" spans="1:22" x14ac:dyDescent="0.35">
      <c r="A35" s="8" t="s">
        <v>21</v>
      </c>
      <c r="B35" s="9">
        <v>95122401008</v>
      </c>
      <c r="C35" s="9">
        <v>87</v>
      </c>
      <c r="D35" s="9" t="s">
        <v>23</v>
      </c>
      <c r="E35" s="9" t="s">
        <v>23</v>
      </c>
      <c r="F35" s="9" t="s">
        <v>23</v>
      </c>
      <c r="G35" s="9" t="s">
        <v>23</v>
      </c>
      <c r="H35" s="9" t="s">
        <v>23</v>
      </c>
      <c r="I35" s="9">
        <v>100</v>
      </c>
      <c r="J35" s="9" t="s">
        <v>23</v>
      </c>
      <c r="K35" s="9" t="s">
        <v>23</v>
      </c>
      <c r="L35" s="9" t="s">
        <v>23</v>
      </c>
      <c r="M35" s="9" t="s">
        <v>23</v>
      </c>
      <c r="N35" s="9" t="s">
        <v>23</v>
      </c>
      <c r="O35" s="9" t="s">
        <v>23</v>
      </c>
      <c r="P35" s="9" t="s">
        <v>23</v>
      </c>
      <c r="Q35" s="9">
        <v>82</v>
      </c>
      <c r="R35" s="9" t="s">
        <v>23</v>
      </c>
      <c r="S35" s="9">
        <v>79</v>
      </c>
      <c r="T35" s="9">
        <v>73</v>
      </c>
      <c r="U35" s="10">
        <v>64</v>
      </c>
      <c r="V35">
        <f t="shared" si="0"/>
        <v>1</v>
      </c>
    </row>
    <row r="36" spans="1:22" x14ac:dyDescent="0.35">
      <c r="A36" s="5" t="s">
        <v>77</v>
      </c>
      <c r="B36" s="6">
        <v>95011505013</v>
      </c>
      <c r="C36" s="6" t="s">
        <v>23</v>
      </c>
      <c r="D36" s="6" t="s">
        <v>23</v>
      </c>
      <c r="E36" s="6" t="s">
        <v>23</v>
      </c>
      <c r="F36" s="6" t="s">
        <v>23</v>
      </c>
      <c r="G36" s="6" t="s">
        <v>23</v>
      </c>
      <c r="H36" s="6" t="s">
        <v>23</v>
      </c>
      <c r="I36" s="6">
        <v>93</v>
      </c>
      <c r="J36" s="6">
        <v>60</v>
      </c>
      <c r="K36" s="6" t="s">
        <v>23</v>
      </c>
      <c r="L36" s="6" t="s">
        <v>23</v>
      </c>
      <c r="M36" s="6" t="s">
        <v>23</v>
      </c>
      <c r="N36" s="6" t="s">
        <v>23</v>
      </c>
      <c r="O36" s="6" t="s">
        <v>23</v>
      </c>
      <c r="P36" s="6" t="s">
        <v>23</v>
      </c>
      <c r="Q36" s="6">
        <v>46</v>
      </c>
      <c r="R36" s="6" t="s">
        <v>23</v>
      </c>
      <c r="S36" s="6">
        <v>60</v>
      </c>
      <c r="T36" s="6">
        <v>75</v>
      </c>
      <c r="U36" s="7" t="s">
        <v>23</v>
      </c>
      <c r="V36">
        <f t="shared" si="0"/>
        <v>0</v>
      </c>
    </row>
    <row r="37" spans="1:22" x14ac:dyDescent="0.35">
      <c r="A37" s="8" t="s">
        <v>77</v>
      </c>
      <c r="B37" s="9">
        <v>95012403389</v>
      </c>
      <c r="C37" s="9" t="s">
        <v>23</v>
      </c>
      <c r="D37" s="9" t="s">
        <v>23</v>
      </c>
      <c r="E37" s="9" t="s">
        <v>23</v>
      </c>
      <c r="F37" s="9" t="s">
        <v>23</v>
      </c>
      <c r="G37" s="9" t="s">
        <v>23</v>
      </c>
      <c r="H37" s="9" t="s">
        <v>23</v>
      </c>
      <c r="I37" s="9">
        <v>96</v>
      </c>
      <c r="J37" s="9">
        <v>87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9">
        <v>50</v>
      </c>
      <c r="R37" s="9" t="s">
        <v>23</v>
      </c>
      <c r="S37" s="9">
        <v>40</v>
      </c>
      <c r="T37" s="9">
        <v>70</v>
      </c>
      <c r="U37" s="10">
        <v>44</v>
      </c>
      <c r="V37">
        <f t="shared" si="0"/>
        <v>1</v>
      </c>
    </row>
    <row r="38" spans="1:22" x14ac:dyDescent="0.35">
      <c r="A38" s="5" t="s">
        <v>77</v>
      </c>
      <c r="B38" s="6">
        <v>95020804428</v>
      </c>
      <c r="C38" s="6" t="s">
        <v>23</v>
      </c>
      <c r="D38" s="6" t="s">
        <v>23</v>
      </c>
      <c r="E38" s="6" t="s">
        <v>23</v>
      </c>
      <c r="F38" s="6" t="s">
        <v>23</v>
      </c>
      <c r="G38" s="6">
        <v>92</v>
      </c>
      <c r="H38" s="6" t="s">
        <v>23</v>
      </c>
      <c r="I38" s="6">
        <v>100</v>
      </c>
      <c r="J38" s="6">
        <v>81</v>
      </c>
      <c r="K38" s="6" t="s">
        <v>23</v>
      </c>
      <c r="L38" s="6" t="s">
        <v>23</v>
      </c>
      <c r="M38" s="6" t="s">
        <v>23</v>
      </c>
      <c r="N38" s="6" t="s">
        <v>23</v>
      </c>
      <c r="O38" s="6" t="s">
        <v>23</v>
      </c>
      <c r="P38" s="6" t="s">
        <v>23</v>
      </c>
      <c r="Q38" s="6">
        <v>88</v>
      </c>
      <c r="R38" s="6" t="s">
        <v>23</v>
      </c>
      <c r="S38" s="6">
        <v>57</v>
      </c>
      <c r="T38" s="6">
        <v>70</v>
      </c>
      <c r="U38" s="7" t="s">
        <v>23</v>
      </c>
      <c r="V38">
        <f t="shared" si="0"/>
        <v>1</v>
      </c>
    </row>
    <row r="39" spans="1:22" x14ac:dyDescent="0.35">
      <c r="A39" s="8" t="s">
        <v>77</v>
      </c>
      <c r="B39" s="9">
        <v>95021807901</v>
      </c>
      <c r="C39" s="9" t="s">
        <v>23</v>
      </c>
      <c r="D39" s="9" t="s">
        <v>23</v>
      </c>
      <c r="E39" s="9" t="s">
        <v>23</v>
      </c>
      <c r="F39" s="9" t="s">
        <v>23</v>
      </c>
      <c r="G39" s="9">
        <v>86</v>
      </c>
      <c r="H39" s="9" t="s">
        <v>23</v>
      </c>
      <c r="I39" s="9">
        <v>100</v>
      </c>
      <c r="J39" s="9">
        <v>90</v>
      </c>
      <c r="K39" s="9" t="s">
        <v>23</v>
      </c>
      <c r="L39" s="9" t="s">
        <v>23</v>
      </c>
      <c r="M39" s="9" t="s">
        <v>23</v>
      </c>
      <c r="N39" s="9" t="s">
        <v>23</v>
      </c>
      <c r="O39" s="9" t="s">
        <v>23</v>
      </c>
      <c r="P39" s="9" t="s">
        <v>23</v>
      </c>
      <c r="Q39" s="9">
        <v>70</v>
      </c>
      <c r="R39" s="9" t="s">
        <v>23</v>
      </c>
      <c r="S39" s="9">
        <v>56</v>
      </c>
      <c r="T39" s="9">
        <v>68</v>
      </c>
      <c r="U39" s="10">
        <v>78</v>
      </c>
      <c r="V39">
        <f t="shared" si="0"/>
        <v>1</v>
      </c>
    </row>
    <row r="40" spans="1:22" x14ac:dyDescent="0.35">
      <c r="A40" s="5" t="s">
        <v>77</v>
      </c>
      <c r="B40" s="6">
        <v>95022105039</v>
      </c>
      <c r="C40" s="6" t="s">
        <v>23</v>
      </c>
      <c r="D40" s="6" t="s">
        <v>23</v>
      </c>
      <c r="E40" s="6" t="s">
        <v>23</v>
      </c>
      <c r="F40" s="6" t="s">
        <v>23</v>
      </c>
      <c r="G40" s="6">
        <v>90</v>
      </c>
      <c r="H40" s="6" t="s">
        <v>23</v>
      </c>
      <c r="I40" s="6">
        <v>96</v>
      </c>
      <c r="J40" s="6">
        <v>93</v>
      </c>
      <c r="K40" s="6" t="s">
        <v>23</v>
      </c>
      <c r="L40" s="6" t="s">
        <v>23</v>
      </c>
      <c r="M40" s="6" t="s">
        <v>23</v>
      </c>
      <c r="N40" s="6" t="s">
        <v>23</v>
      </c>
      <c r="O40" s="6" t="s">
        <v>23</v>
      </c>
      <c r="P40" s="6" t="s">
        <v>23</v>
      </c>
      <c r="Q40" s="6">
        <v>86</v>
      </c>
      <c r="R40" s="6">
        <v>36</v>
      </c>
      <c r="S40" s="6">
        <v>53</v>
      </c>
      <c r="T40" s="6">
        <v>73</v>
      </c>
      <c r="U40" s="7">
        <v>100</v>
      </c>
      <c r="V40">
        <f t="shared" si="0"/>
        <v>0</v>
      </c>
    </row>
    <row r="41" spans="1:22" x14ac:dyDescent="0.35">
      <c r="A41" s="8" t="s">
        <v>77</v>
      </c>
      <c r="B41" s="9">
        <v>95031012300</v>
      </c>
      <c r="C41" s="9" t="s">
        <v>23</v>
      </c>
      <c r="D41" s="9" t="s">
        <v>23</v>
      </c>
      <c r="E41" s="9" t="s">
        <v>23</v>
      </c>
      <c r="F41" s="9" t="s">
        <v>23</v>
      </c>
      <c r="G41" s="9" t="s">
        <v>23</v>
      </c>
      <c r="H41" s="9" t="s">
        <v>23</v>
      </c>
      <c r="I41" s="9">
        <v>59</v>
      </c>
      <c r="J41" s="9">
        <v>44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>
        <v>34</v>
      </c>
      <c r="R41" s="9" t="s">
        <v>23</v>
      </c>
      <c r="S41" s="9">
        <v>30</v>
      </c>
      <c r="T41" s="9">
        <v>53</v>
      </c>
      <c r="U41" s="10">
        <v>34</v>
      </c>
      <c r="V41">
        <f t="shared" si="0"/>
        <v>1</v>
      </c>
    </row>
    <row r="42" spans="1:22" x14ac:dyDescent="0.35">
      <c r="A42" s="5" t="s">
        <v>77</v>
      </c>
      <c r="B42" s="6">
        <v>95032101746</v>
      </c>
      <c r="C42" s="6" t="s">
        <v>23</v>
      </c>
      <c r="D42" s="6" t="s">
        <v>23</v>
      </c>
      <c r="E42" s="6" t="s">
        <v>23</v>
      </c>
      <c r="F42" s="6" t="s">
        <v>23</v>
      </c>
      <c r="G42" s="6">
        <v>88</v>
      </c>
      <c r="H42" s="6" t="s">
        <v>23</v>
      </c>
      <c r="I42" s="6">
        <v>98</v>
      </c>
      <c r="J42" s="6">
        <v>95</v>
      </c>
      <c r="K42" s="6" t="s">
        <v>23</v>
      </c>
      <c r="L42" s="6" t="s">
        <v>23</v>
      </c>
      <c r="M42" s="6" t="s">
        <v>23</v>
      </c>
      <c r="N42" s="6" t="s">
        <v>23</v>
      </c>
      <c r="O42" s="6" t="s">
        <v>23</v>
      </c>
      <c r="P42" s="6">
        <v>69</v>
      </c>
      <c r="Q42" s="6">
        <v>68</v>
      </c>
      <c r="R42" s="6" t="s">
        <v>23</v>
      </c>
      <c r="S42" s="6">
        <v>70</v>
      </c>
      <c r="T42" s="6">
        <v>80</v>
      </c>
      <c r="U42" s="7">
        <v>72</v>
      </c>
      <c r="V42">
        <f t="shared" si="0"/>
        <v>1</v>
      </c>
    </row>
    <row r="43" spans="1:22" x14ac:dyDescent="0.35">
      <c r="A43" s="8" t="s">
        <v>77</v>
      </c>
      <c r="B43" s="9">
        <v>95032204296</v>
      </c>
      <c r="C43" s="9" t="s">
        <v>23</v>
      </c>
      <c r="D43" s="9" t="s">
        <v>23</v>
      </c>
      <c r="E43" s="9" t="s">
        <v>23</v>
      </c>
      <c r="F43" s="9" t="s">
        <v>23</v>
      </c>
      <c r="G43" s="9">
        <v>92</v>
      </c>
      <c r="H43" s="9" t="s">
        <v>23</v>
      </c>
      <c r="I43" s="9">
        <v>93</v>
      </c>
      <c r="J43" s="9">
        <v>95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>
        <v>56</v>
      </c>
      <c r="R43" s="9" t="s">
        <v>23</v>
      </c>
      <c r="S43" s="9">
        <v>79</v>
      </c>
      <c r="T43" s="9">
        <v>55</v>
      </c>
      <c r="U43" s="10">
        <v>72</v>
      </c>
      <c r="V43">
        <f t="shared" si="0"/>
        <v>0</v>
      </c>
    </row>
    <row r="44" spans="1:22" x14ac:dyDescent="0.35">
      <c r="A44" s="5" t="s">
        <v>77</v>
      </c>
      <c r="B44" s="6">
        <v>95042205755</v>
      </c>
      <c r="C44" s="6" t="s">
        <v>23</v>
      </c>
      <c r="D44" s="6" t="s">
        <v>23</v>
      </c>
      <c r="E44" s="6" t="s">
        <v>23</v>
      </c>
      <c r="F44" s="6" t="s">
        <v>23</v>
      </c>
      <c r="G44" s="6">
        <v>94</v>
      </c>
      <c r="H44" s="6" t="s">
        <v>23</v>
      </c>
      <c r="I44" s="6">
        <v>90</v>
      </c>
      <c r="J44" s="6">
        <v>67</v>
      </c>
      <c r="K44" s="6" t="s">
        <v>23</v>
      </c>
      <c r="L44" s="6" t="s">
        <v>23</v>
      </c>
      <c r="M44" s="6" t="s">
        <v>23</v>
      </c>
      <c r="N44" s="6" t="s">
        <v>23</v>
      </c>
      <c r="O44" s="6" t="s">
        <v>23</v>
      </c>
      <c r="P44" s="6" t="s">
        <v>23</v>
      </c>
      <c r="Q44" s="6">
        <v>40</v>
      </c>
      <c r="R44" s="6" t="s">
        <v>23</v>
      </c>
      <c r="S44" s="6">
        <v>80</v>
      </c>
      <c r="T44" s="6">
        <v>60</v>
      </c>
      <c r="U44" s="7" t="s">
        <v>23</v>
      </c>
      <c r="V44">
        <f t="shared" si="0"/>
        <v>0</v>
      </c>
    </row>
    <row r="45" spans="1:22" x14ac:dyDescent="0.35">
      <c r="A45" s="8" t="s">
        <v>77</v>
      </c>
      <c r="B45" s="9">
        <v>95050205185</v>
      </c>
      <c r="C45" s="9" t="s">
        <v>23</v>
      </c>
      <c r="D45" s="9" t="s">
        <v>23</v>
      </c>
      <c r="E45" s="9" t="s">
        <v>23</v>
      </c>
      <c r="F45" s="9" t="s">
        <v>23</v>
      </c>
      <c r="G45" s="9">
        <v>66</v>
      </c>
      <c r="H45" s="9" t="s">
        <v>23</v>
      </c>
      <c r="I45" s="9">
        <v>98</v>
      </c>
      <c r="J45" s="9">
        <v>67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>
        <v>50</v>
      </c>
      <c r="R45" s="9" t="s">
        <v>23</v>
      </c>
      <c r="S45" s="9">
        <v>54</v>
      </c>
      <c r="T45" s="9">
        <v>80</v>
      </c>
      <c r="U45" s="10">
        <v>68</v>
      </c>
      <c r="V45">
        <f t="shared" si="0"/>
        <v>1</v>
      </c>
    </row>
    <row r="46" spans="1:22" x14ac:dyDescent="0.35">
      <c r="A46" s="5" t="s">
        <v>77</v>
      </c>
      <c r="B46" s="6">
        <v>95050904503</v>
      </c>
      <c r="C46" s="6" t="s">
        <v>23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>
        <v>100</v>
      </c>
      <c r="J46" s="6">
        <v>92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>
        <v>70</v>
      </c>
      <c r="R46" s="6" t="s">
        <v>23</v>
      </c>
      <c r="S46" s="6">
        <v>63</v>
      </c>
      <c r="T46" s="6">
        <v>45</v>
      </c>
      <c r="U46" s="7" t="s">
        <v>23</v>
      </c>
      <c r="V46">
        <f t="shared" si="0"/>
        <v>1</v>
      </c>
    </row>
    <row r="47" spans="1:22" x14ac:dyDescent="0.35">
      <c r="A47" s="8" t="s">
        <v>77</v>
      </c>
      <c r="B47" s="9">
        <v>95051201982</v>
      </c>
      <c r="C47" s="9" t="s">
        <v>23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>
        <v>96</v>
      </c>
      <c r="J47" s="9">
        <v>63</v>
      </c>
      <c r="K47" s="9" t="s">
        <v>23</v>
      </c>
      <c r="L47" s="9" t="s">
        <v>23</v>
      </c>
      <c r="M47" s="9" t="s">
        <v>23</v>
      </c>
      <c r="N47" s="9" t="s">
        <v>23</v>
      </c>
      <c r="O47" s="9" t="s">
        <v>23</v>
      </c>
      <c r="P47" s="9" t="s">
        <v>23</v>
      </c>
      <c r="Q47" s="9">
        <v>64</v>
      </c>
      <c r="R47" s="9" t="s">
        <v>23</v>
      </c>
      <c r="S47" s="9">
        <v>63</v>
      </c>
      <c r="T47" s="9">
        <v>58</v>
      </c>
      <c r="U47" s="10">
        <v>48</v>
      </c>
      <c r="V47">
        <f t="shared" si="0"/>
        <v>1</v>
      </c>
    </row>
    <row r="48" spans="1:22" x14ac:dyDescent="0.35">
      <c r="A48" s="5" t="s">
        <v>77</v>
      </c>
      <c r="B48" s="6">
        <v>95052501302</v>
      </c>
      <c r="C48" s="6" t="s">
        <v>23</v>
      </c>
      <c r="D48" s="6" t="s">
        <v>23</v>
      </c>
      <c r="E48" s="6" t="s">
        <v>23</v>
      </c>
      <c r="F48" s="6" t="s">
        <v>23</v>
      </c>
      <c r="G48" s="6" t="s">
        <v>23</v>
      </c>
      <c r="H48" s="6" t="s">
        <v>23</v>
      </c>
      <c r="I48" s="6">
        <v>96</v>
      </c>
      <c r="J48" s="6">
        <v>69</v>
      </c>
      <c r="K48" s="6" t="s">
        <v>23</v>
      </c>
      <c r="L48" s="6" t="s">
        <v>23</v>
      </c>
      <c r="M48" s="6" t="s">
        <v>23</v>
      </c>
      <c r="N48" s="6" t="s">
        <v>23</v>
      </c>
      <c r="O48" s="6" t="s">
        <v>23</v>
      </c>
      <c r="P48" s="6" t="s">
        <v>23</v>
      </c>
      <c r="Q48" s="6">
        <v>68</v>
      </c>
      <c r="R48" s="6" t="s">
        <v>23</v>
      </c>
      <c r="S48" s="6">
        <v>51</v>
      </c>
      <c r="T48" s="6">
        <v>70</v>
      </c>
      <c r="U48" s="7">
        <v>38</v>
      </c>
      <c r="V48">
        <f t="shared" si="0"/>
        <v>1</v>
      </c>
    </row>
    <row r="49" spans="1:22" x14ac:dyDescent="0.35">
      <c r="A49" s="8" t="s">
        <v>77</v>
      </c>
      <c r="B49" s="9">
        <v>95060201793</v>
      </c>
      <c r="C49" s="9">
        <v>73</v>
      </c>
      <c r="D49" s="9">
        <v>65</v>
      </c>
      <c r="E49" s="9" t="s">
        <v>23</v>
      </c>
      <c r="F49" s="9" t="s">
        <v>23</v>
      </c>
      <c r="G49" s="9" t="s">
        <v>23</v>
      </c>
      <c r="H49" s="9" t="s">
        <v>23</v>
      </c>
      <c r="I49" s="9">
        <v>80</v>
      </c>
      <c r="J49" s="9" t="s">
        <v>23</v>
      </c>
      <c r="K49" s="9" t="s">
        <v>23</v>
      </c>
      <c r="L49" s="9" t="s">
        <v>23</v>
      </c>
      <c r="M49" s="9" t="s">
        <v>23</v>
      </c>
      <c r="N49" s="9" t="s">
        <v>23</v>
      </c>
      <c r="O49" s="9" t="s">
        <v>23</v>
      </c>
      <c r="P49" s="9" t="s">
        <v>23</v>
      </c>
      <c r="Q49" s="9">
        <v>52</v>
      </c>
      <c r="R49" s="9" t="s">
        <v>23</v>
      </c>
      <c r="S49" s="9">
        <v>56</v>
      </c>
      <c r="T49" s="9" t="s">
        <v>23</v>
      </c>
      <c r="U49" s="10" t="s">
        <v>23</v>
      </c>
      <c r="V49">
        <f t="shared" si="0"/>
        <v>0</v>
      </c>
    </row>
    <row r="50" spans="1:22" x14ac:dyDescent="0.35">
      <c r="A50" s="5" t="s">
        <v>77</v>
      </c>
      <c r="B50" s="6">
        <v>95062400343</v>
      </c>
      <c r="C50" s="6">
        <v>50</v>
      </c>
      <c r="D50" s="6">
        <v>47</v>
      </c>
      <c r="E50" s="6" t="s">
        <v>23</v>
      </c>
      <c r="F50" s="6" t="s">
        <v>23</v>
      </c>
      <c r="G50" s="6" t="s">
        <v>23</v>
      </c>
      <c r="H50" s="6" t="s">
        <v>23</v>
      </c>
      <c r="I50" s="6">
        <v>92</v>
      </c>
      <c r="J50" s="6" t="s">
        <v>23</v>
      </c>
      <c r="K50" s="6" t="s">
        <v>23</v>
      </c>
      <c r="L50" s="6" t="s">
        <v>23</v>
      </c>
      <c r="M50" s="6" t="s">
        <v>23</v>
      </c>
      <c r="N50" s="6" t="s">
        <v>23</v>
      </c>
      <c r="O50" s="6" t="s">
        <v>23</v>
      </c>
      <c r="P50" s="6" t="s">
        <v>23</v>
      </c>
      <c r="Q50" s="6">
        <v>58</v>
      </c>
      <c r="R50" s="6" t="s">
        <v>23</v>
      </c>
      <c r="S50" s="6">
        <v>51</v>
      </c>
      <c r="T50" s="6" t="s">
        <v>23</v>
      </c>
      <c r="U50" s="7" t="s">
        <v>23</v>
      </c>
      <c r="V50">
        <f t="shared" si="0"/>
        <v>1</v>
      </c>
    </row>
    <row r="51" spans="1:22" x14ac:dyDescent="0.35">
      <c r="A51" s="8" t="s">
        <v>77</v>
      </c>
      <c r="B51" s="9">
        <v>95070400070</v>
      </c>
      <c r="C51" s="9" t="s">
        <v>23</v>
      </c>
      <c r="D51" s="9" t="s">
        <v>23</v>
      </c>
      <c r="E51" s="9" t="s">
        <v>23</v>
      </c>
      <c r="F51" s="9" t="s">
        <v>23</v>
      </c>
      <c r="G51" s="9">
        <v>92</v>
      </c>
      <c r="H51" s="9" t="s">
        <v>23</v>
      </c>
      <c r="I51" s="9">
        <v>92</v>
      </c>
      <c r="J51" s="9">
        <v>59</v>
      </c>
      <c r="K51" s="9" t="s">
        <v>23</v>
      </c>
      <c r="L51" s="9" t="s">
        <v>23</v>
      </c>
      <c r="M51" s="9" t="s">
        <v>23</v>
      </c>
      <c r="N51" s="9" t="s">
        <v>23</v>
      </c>
      <c r="O51" s="9" t="s">
        <v>23</v>
      </c>
      <c r="P51" s="9" t="s">
        <v>23</v>
      </c>
      <c r="Q51" s="9">
        <v>72</v>
      </c>
      <c r="R51" s="9" t="s">
        <v>23</v>
      </c>
      <c r="S51" s="9">
        <v>41</v>
      </c>
      <c r="T51" s="9">
        <v>60</v>
      </c>
      <c r="U51" s="10">
        <v>68</v>
      </c>
      <c r="V51">
        <f t="shared" si="0"/>
        <v>0</v>
      </c>
    </row>
    <row r="52" spans="1:22" x14ac:dyDescent="0.35">
      <c r="A52" s="5" t="s">
        <v>77</v>
      </c>
      <c r="B52" s="6">
        <v>95080101408</v>
      </c>
      <c r="C52" s="6">
        <v>73</v>
      </c>
      <c r="D52" s="6" t="s">
        <v>23</v>
      </c>
      <c r="E52" s="6" t="s">
        <v>23</v>
      </c>
      <c r="F52" s="6" t="s">
        <v>23</v>
      </c>
      <c r="G52" s="6" t="s">
        <v>23</v>
      </c>
      <c r="H52" s="6" t="s">
        <v>23</v>
      </c>
      <c r="I52" s="6">
        <v>97</v>
      </c>
      <c r="J52" s="6">
        <v>74</v>
      </c>
      <c r="K52" s="6" t="s">
        <v>23</v>
      </c>
      <c r="L52" s="6" t="s">
        <v>23</v>
      </c>
      <c r="M52" s="6" t="s">
        <v>23</v>
      </c>
      <c r="N52" s="6" t="s">
        <v>23</v>
      </c>
      <c r="O52" s="6" t="s">
        <v>23</v>
      </c>
      <c r="P52" s="6" t="s">
        <v>23</v>
      </c>
      <c r="Q52" s="6">
        <v>56</v>
      </c>
      <c r="R52" s="6" t="s">
        <v>23</v>
      </c>
      <c r="S52" s="6">
        <v>60</v>
      </c>
      <c r="T52" s="6">
        <v>73</v>
      </c>
      <c r="U52" s="7" t="s">
        <v>23</v>
      </c>
      <c r="V52">
        <f t="shared" si="0"/>
        <v>1</v>
      </c>
    </row>
    <row r="53" spans="1:22" x14ac:dyDescent="0.35">
      <c r="A53" s="8" t="s">
        <v>77</v>
      </c>
      <c r="B53" s="9">
        <v>95080902016</v>
      </c>
      <c r="C53" s="9" t="s">
        <v>23</v>
      </c>
      <c r="D53" s="9" t="s">
        <v>23</v>
      </c>
      <c r="E53" s="9" t="s">
        <v>23</v>
      </c>
      <c r="F53" s="9" t="s">
        <v>23</v>
      </c>
      <c r="G53" s="9">
        <v>80</v>
      </c>
      <c r="H53" s="9" t="s">
        <v>23</v>
      </c>
      <c r="I53" s="9">
        <v>97</v>
      </c>
      <c r="J53" s="9">
        <v>83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23</v>
      </c>
      <c r="P53" s="9" t="s">
        <v>23</v>
      </c>
      <c r="Q53" s="9">
        <v>44</v>
      </c>
      <c r="R53" s="9" t="s">
        <v>23</v>
      </c>
      <c r="S53" s="9">
        <v>66</v>
      </c>
      <c r="T53" s="9">
        <v>63</v>
      </c>
      <c r="U53" s="10" t="s">
        <v>23</v>
      </c>
      <c r="V53">
        <f t="shared" si="0"/>
        <v>0</v>
      </c>
    </row>
    <row r="54" spans="1:22" x14ac:dyDescent="0.35">
      <c r="A54" s="5" t="s">
        <v>77</v>
      </c>
      <c r="B54" s="6">
        <v>95081001141</v>
      </c>
      <c r="C54" s="6">
        <v>35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>
        <v>96</v>
      </c>
      <c r="J54" s="6">
        <v>84</v>
      </c>
      <c r="K54" s="6" t="s">
        <v>23</v>
      </c>
      <c r="L54" s="6" t="s">
        <v>23</v>
      </c>
      <c r="M54" s="6" t="s">
        <v>23</v>
      </c>
      <c r="N54" s="6" t="s">
        <v>23</v>
      </c>
      <c r="O54" s="6" t="s">
        <v>23</v>
      </c>
      <c r="P54" s="6" t="s">
        <v>23</v>
      </c>
      <c r="Q54" s="6">
        <v>32</v>
      </c>
      <c r="R54" s="6" t="s">
        <v>23</v>
      </c>
      <c r="S54" s="6">
        <v>51</v>
      </c>
      <c r="T54" s="6">
        <v>63</v>
      </c>
      <c r="U54" s="7" t="s">
        <v>23</v>
      </c>
      <c r="V54">
        <f t="shared" si="0"/>
        <v>1</v>
      </c>
    </row>
    <row r="55" spans="1:22" x14ac:dyDescent="0.35">
      <c r="A55" s="8" t="s">
        <v>77</v>
      </c>
      <c r="B55" s="9">
        <v>95081600739</v>
      </c>
      <c r="C55" s="9" t="s">
        <v>23</v>
      </c>
      <c r="D55" s="9" t="s">
        <v>23</v>
      </c>
      <c r="E55" s="9" t="s">
        <v>23</v>
      </c>
      <c r="F55" s="9">
        <v>47</v>
      </c>
      <c r="G55" s="9" t="s">
        <v>23</v>
      </c>
      <c r="H55" s="9" t="s">
        <v>23</v>
      </c>
      <c r="I55" s="9">
        <v>86</v>
      </c>
      <c r="J55" s="9">
        <v>60</v>
      </c>
      <c r="K55" s="9" t="s">
        <v>23</v>
      </c>
      <c r="L55" s="9" t="s">
        <v>23</v>
      </c>
      <c r="M55" s="9" t="s">
        <v>23</v>
      </c>
      <c r="N55" s="9" t="s">
        <v>23</v>
      </c>
      <c r="O55" s="9" t="s">
        <v>23</v>
      </c>
      <c r="P55" s="9" t="s">
        <v>23</v>
      </c>
      <c r="Q55" s="9">
        <v>66</v>
      </c>
      <c r="R55" s="9" t="s">
        <v>23</v>
      </c>
      <c r="S55" s="9">
        <v>34</v>
      </c>
      <c r="T55" s="9">
        <v>58</v>
      </c>
      <c r="U55" s="10">
        <v>58</v>
      </c>
      <c r="V55">
        <f t="shared" si="0"/>
        <v>0</v>
      </c>
    </row>
    <row r="56" spans="1:22" x14ac:dyDescent="0.35">
      <c r="A56" s="5" t="s">
        <v>77</v>
      </c>
      <c r="B56" s="6">
        <v>95083106189</v>
      </c>
      <c r="C56" s="6" t="s">
        <v>23</v>
      </c>
      <c r="D56" s="6" t="s">
        <v>23</v>
      </c>
      <c r="E56" s="6" t="s">
        <v>23</v>
      </c>
      <c r="F56" s="6" t="s">
        <v>23</v>
      </c>
      <c r="G56" s="6">
        <v>42</v>
      </c>
      <c r="H56" s="6" t="s">
        <v>23</v>
      </c>
      <c r="I56" s="6">
        <v>66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23</v>
      </c>
      <c r="O56" s="6" t="s">
        <v>23</v>
      </c>
      <c r="P56" s="6" t="s">
        <v>23</v>
      </c>
      <c r="Q56" s="6">
        <v>64</v>
      </c>
      <c r="R56" s="6" t="s">
        <v>23</v>
      </c>
      <c r="S56" s="6">
        <v>56</v>
      </c>
      <c r="T56" s="6">
        <v>75</v>
      </c>
      <c r="U56" s="7" t="s">
        <v>23</v>
      </c>
      <c r="V56">
        <f t="shared" si="0"/>
        <v>1</v>
      </c>
    </row>
    <row r="57" spans="1:22" x14ac:dyDescent="0.35">
      <c r="A57" s="8" t="s">
        <v>77</v>
      </c>
      <c r="B57" s="9">
        <v>95092111585</v>
      </c>
      <c r="C57" s="9" t="s">
        <v>23</v>
      </c>
      <c r="D57" s="9" t="s">
        <v>23</v>
      </c>
      <c r="E57" s="9" t="s">
        <v>23</v>
      </c>
      <c r="F57" s="9" t="s">
        <v>23</v>
      </c>
      <c r="G57" s="9">
        <v>76</v>
      </c>
      <c r="H57" s="9" t="s">
        <v>23</v>
      </c>
      <c r="I57" s="9">
        <v>97</v>
      </c>
      <c r="J57" s="9">
        <v>78</v>
      </c>
      <c r="K57" s="9" t="s">
        <v>23</v>
      </c>
      <c r="L57" s="9" t="s">
        <v>23</v>
      </c>
      <c r="M57" s="9" t="s">
        <v>23</v>
      </c>
      <c r="N57" s="9" t="s">
        <v>23</v>
      </c>
      <c r="O57" s="9" t="s">
        <v>23</v>
      </c>
      <c r="P57" s="9" t="s">
        <v>23</v>
      </c>
      <c r="Q57" s="9">
        <v>72</v>
      </c>
      <c r="R57" s="9" t="s">
        <v>23</v>
      </c>
      <c r="S57" s="9">
        <v>60</v>
      </c>
      <c r="T57" s="9">
        <v>80</v>
      </c>
      <c r="U57" s="10" t="s">
        <v>23</v>
      </c>
      <c r="V57">
        <f t="shared" si="0"/>
        <v>1</v>
      </c>
    </row>
    <row r="58" spans="1:22" x14ac:dyDescent="0.35">
      <c r="A58" s="5" t="s">
        <v>77</v>
      </c>
      <c r="B58" s="6">
        <v>95092712281</v>
      </c>
      <c r="C58" s="6" t="s">
        <v>23</v>
      </c>
      <c r="D58" s="6" t="s">
        <v>23</v>
      </c>
      <c r="E58" s="6" t="s">
        <v>23</v>
      </c>
      <c r="F58" s="6" t="s">
        <v>23</v>
      </c>
      <c r="G58" s="6">
        <v>80</v>
      </c>
      <c r="H58" s="6" t="s">
        <v>23</v>
      </c>
      <c r="I58" s="6">
        <v>78</v>
      </c>
      <c r="J58" s="6">
        <v>34</v>
      </c>
      <c r="K58" s="6" t="s">
        <v>23</v>
      </c>
      <c r="L58" s="6" t="s">
        <v>23</v>
      </c>
      <c r="M58" s="6" t="s">
        <v>23</v>
      </c>
      <c r="N58" s="6" t="s">
        <v>23</v>
      </c>
      <c r="O58" s="6" t="s">
        <v>23</v>
      </c>
      <c r="P58" s="6" t="s">
        <v>23</v>
      </c>
      <c r="Q58" s="6">
        <v>52</v>
      </c>
      <c r="R58" s="6" t="s">
        <v>23</v>
      </c>
      <c r="S58" s="6">
        <v>46</v>
      </c>
      <c r="T58" s="6">
        <v>80</v>
      </c>
      <c r="U58" s="7">
        <v>62</v>
      </c>
      <c r="V58">
        <f t="shared" si="0"/>
        <v>1</v>
      </c>
    </row>
    <row r="59" spans="1:22" x14ac:dyDescent="0.35">
      <c r="A59" s="8" t="s">
        <v>77</v>
      </c>
      <c r="B59" s="9">
        <v>95100600025</v>
      </c>
      <c r="C59" s="9" t="s">
        <v>23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>
        <v>65</v>
      </c>
      <c r="J59" s="9" t="s">
        <v>23</v>
      </c>
      <c r="K59" s="9" t="s">
        <v>23</v>
      </c>
      <c r="L59" s="9" t="s">
        <v>23</v>
      </c>
      <c r="M59" s="9" t="s">
        <v>23</v>
      </c>
      <c r="N59" s="9" t="s">
        <v>23</v>
      </c>
      <c r="O59" s="9" t="s">
        <v>23</v>
      </c>
      <c r="P59" s="9" t="s">
        <v>23</v>
      </c>
      <c r="Q59" s="9">
        <v>50</v>
      </c>
      <c r="R59" s="9" t="s">
        <v>23</v>
      </c>
      <c r="S59" s="9">
        <v>43</v>
      </c>
      <c r="T59" s="9">
        <v>78</v>
      </c>
      <c r="U59" s="10">
        <v>24</v>
      </c>
      <c r="V59">
        <f t="shared" si="0"/>
        <v>1</v>
      </c>
    </row>
    <row r="60" spans="1:22" x14ac:dyDescent="0.35">
      <c r="A60" s="5" t="s">
        <v>77</v>
      </c>
      <c r="B60" s="6">
        <v>95100606458</v>
      </c>
      <c r="C60" s="6" t="s">
        <v>23</v>
      </c>
      <c r="D60" s="6" t="s">
        <v>23</v>
      </c>
      <c r="E60" s="6" t="s">
        <v>23</v>
      </c>
      <c r="F60" s="6" t="s">
        <v>23</v>
      </c>
      <c r="G60" s="6">
        <v>88</v>
      </c>
      <c r="H60" s="6" t="s">
        <v>23</v>
      </c>
      <c r="I60" s="6">
        <v>96</v>
      </c>
      <c r="J60" s="6">
        <v>92</v>
      </c>
      <c r="K60" s="6" t="s">
        <v>23</v>
      </c>
      <c r="L60" s="6" t="s">
        <v>23</v>
      </c>
      <c r="M60" s="6" t="s">
        <v>23</v>
      </c>
      <c r="N60" s="6" t="s">
        <v>23</v>
      </c>
      <c r="O60" s="6" t="s">
        <v>23</v>
      </c>
      <c r="P60" s="6" t="s">
        <v>23</v>
      </c>
      <c r="Q60" s="6">
        <v>58</v>
      </c>
      <c r="R60" s="6" t="s">
        <v>23</v>
      </c>
      <c r="S60" s="6">
        <v>59</v>
      </c>
      <c r="T60" s="6">
        <v>53</v>
      </c>
      <c r="U60" s="7">
        <v>72</v>
      </c>
      <c r="V60">
        <f t="shared" si="0"/>
        <v>0</v>
      </c>
    </row>
    <row r="61" spans="1:22" x14ac:dyDescent="0.35">
      <c r="A61" s="8" t="s">
        <v>77</v>
      </c>
      <c r="B61" s="9">
        <v>95100700282</v>
      </c>
      <c r="C61" s="9" t="s">
        <v>23</v>
      </c>
      <c r="D61" s="9" t="s">
        <v>23</v>
      </c>
      <c r="E61" s="9" t="s">
        <v>23</v>
      </c>
      <c r="F61" s="9" t="s">
        <v>23</v>
      </c>
      <c r="G61" s="9">
        <v>76</v>
      </c>
      <c r="H61" s="9" t="s">
        <v>23</v>
      </c>
      <c r="I61" s="9">
        <v>100</v>
      </c>
      <c r="J61" s="9">
        <v>90</v>
      </c>
      <c r="K61" s="9" t="s">
        <v>23</v>
      </c>
      <c r="L61" s="9" t="s">
        <v>23</v>
      </c>
      <c r="M61" s="9" t="s">
        <v>23</v>
      </c>
      <c r="N61" s="9" t="s">
        <v>23</v>
      </c>
      <c r="O61" s="9">
        <v>100</v>
      </c>
      <c r="P61" s="9" t="s">
        <v>23</v>
      </c>
      <c r="Q61" s="9">
        <v>78</v>
      </c>
      <c r="R61" s="9" t="s">
        <v>23</v>
      </c>
      <c r="S61" s="9">
        <v>66</v>
      </c>
      <c r="T61" s="9">
        <v>75</v>
      </c>
      <c r="U61" s="10" t="s">
        <v>23</v>
      </c>
      <c r="V61">
        <f t="shared" si="0"/>
        <v>1</v>
      </c>
    </row>
    <row r="62" spans="1:22" x14ac:dyDescent="0.35">
      <c r="A62" s="5" t="s">
        <v>77</v>
      </c>
      <c r="B62" s="6">
        <v>95101000947</v>
      </c>
      <c r="C62" s="6" t="s">
        <v>23</v>
      </c>
      <c r="D62" s="6" t="s">
        <v>23</v>
      </c>
      <c r="E62" s="6" t="s">
        <v>23</v>
      </c>
      <c r="F62" s="6" t="s">
        <v>23</v>
      </c>
      <c r="G62" s="6">
        <v>96</v>
      </c>
      <c r="H62" s="6" t="s">
        <v>23</v>
      </c>
      <c r="I62" s="6">
        <v>98</v>
      </c>
      <c r="J62" s="6">
        <v>91</v>
      </c>
      <c r="K62" s="6" t="s">
        <v>23</v>
      </c>
      <c r="L62" s="6" t="s">
        <v>23</v>
      </c>
      <c r="M62" s="6" t="s">
        <v>23</v>
      </c>
      <c r="N62" s="6" t="s">
        <v>23</v>
      </c>
      <c r="O62" s="6" t="s">
        <v>23</v>
      </c>
      <c r="P62" s="6" t="s">
        <v>23</v>
      </c>
      <c r="Q62" s="6">
        <v>72</v>
      </c>
      <c r="R62" s="6" t="s">
        <v>23</v>
      </c>
      <c r="S62" s="6">
        <v>69</v>
      </c>
      <c r="T62" s="6">
        <v>85</v>
      </c>
      <c r="U62" s="7" t="s">
        <v>23</v>
      </c>
      <c r="V62">
        <f t="shared" si="0"/>
        <v>1</v>
      </c>
    </row>
    <row r="63" spans="1:22" x14ac:dyDescent="0.35">
      <c r="A63" s="8" t="s">
        <v>77</v>
      </c>
      <c r="B63" s="9">
        <v>95110605809</v>
      </c>
      <c r="C63" s="9" t="s">
        <v>23</v>
      </c>
      <c r="D63" s="9" t="s">
        <v>23</v>
      </c>
      <c r="E63" s="9" t="s">
        <v>23</v>
      </c>
      <c r="F63" s="9" t="s">
        <v>23</v>
      </c>
      <c r="G63" s="9">
        <v>76</v>
      </c>
      <c r="H63" s="9" t="s">
        <v>23</v>
      </c>
      <c r="I63" s="9">
        <v>99</v>
      </c>
      <c r="J63" s="9">
        <v>84</v>
      </c>
      <c r="K63" s="9">
        <v>78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>
        <v>70</v>
      </c>
      <c r="R63" s="9" t="s">
        <v>23</v>
      </c>
      <c r="S63" s="9">
        <v>53</v>
      </c>
      <c r="T63" s="9">
        <v>73</v>
      </c>
      <c r="U63" s="10" t="s">
        <v>23</v>
      </c>
      <c r="V63">
        <f t="shared" si="0"/>
        <v>1</v>
      </c>
    </row>
    <row r="64" spans="1:22" x14ac:dyDescent="0.35">
      <c r="A64" s="5" t="s">
        <v>77</v>
      </c>
      <c r="B64" s="6">
        <v>95110704362</v>
      </c>
      <c r="C64" s="6">
        <v>48</v>
      </c>
      <c r="D64" s="6">
        <v>17</v>
      </c>
      <c r="E64" s="6" t="s">
        <v>23</v>
      </c>
      <c r="F64" s="6" t="s">
        <v>23</v>
      </c>
      <c r="G64" s="6" t="s">
        <v>23</v>
      </c>
      <c r="H64" s="6" t="s">
        <v>23</v>
      </c>
      <c r="I64" s="6">
        <v>100</v>
      </c>
      <c r="J64" s="6">
        <v>92</v>
      </c>
      <c r="K64" s="6" t="s">
        <v>23</v>
      </c>
      <c r="L64" s="6" t="s">
        <v>23</v>
      </c>
      <c r="M64" s="6" t="s">
        <v>23</v>
      </c>
      <c r="N64" s="6" t="s">
        <v>23</v>
      </c>
      <c r="O64" s="6" t="s">
        <v>23</v>
      </c>
      <c r="P64" s="6" t="s">
        <v>23</v>
      </c>
      <c r="Q64" s="6">
        <v>60</v>
      </c>
      <c r="R64" s="6" t="s">
        <v>23</v>
      </c>
      <c r="S64" s="6">
        <v>47</v>
      </c>
      <c r="T64" s="6" t="s">
        <v>23</v>
      </c>
      <c r="U64" s="7" t="s">
        <v>23</v>
      </c>
      <c r="V64">
        <f t="shared" si="0"/>
        <v>1</v>
      </c>
    </row>
    <row r="65" spans="1:22" x14ac:dyDescent="0.35">
      <c r="A65" s="8" t="s">
        <v>77</v>
      </c>
      <c r="B65" s="9">
        <v>95111800425</v>
      </c>
      <c r="C65" s="9" t="s">
        <v>23</v>
      </c>
      <c r="D65" s="9" t="s">
        <v>23</v>
      </c>
      <c r="E65" s="9" t="s">
        <v>23</v>
      </c>
      <c r="F65" s="9" t="s">
        <v>23</v>
      </c>
      <c r="G65" s="9">
        <v>80</v>
      </c>
      <c r="H65" s="9" t="s">
        <v>23</v>
      </c>
      <c r="I65" s="9">
        <v>98</v>
      </c>
      <c r="J65" s="9">
        <v>79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>
        <v>66</v>
      </c>
      <c r="R65" s="9" t="s">
        <v>23</v>
      </c>
      <c r="S65" s="9">
        <v>66</v>
      </c>
      <c r="T65" s="9">
        <v>63</v>
      </c>
      <c r="U65" s="10">
        <v>60</v>
      </c>
      <c r="V65">
        <f t="shared" si="0"/>
        <v>1</v>
      </c>
    </row>
    <row r="66" spans="1:22" x14ac:dyDescent="0.35">
      <c r="A66" s="5" t="s">
        <v>77</v>
      </c>
      <c r="B66" s="6">
        <v>95112902461</v>
      </c>
      <c r="C66" s="6" t="s">
        <v>23</v>
      </c>
      <c r="D66" s="6" t="s">
        <v>23</v>
      </c>
      <c r="E66" s="6" t="s">
        <v>23</v>
      </c>
      <c r="F66" s="6" t="s">
        <v>23</v>
      </c>
      <c r="G66" s="6" t="s">
        <v>23</v>
      </c>
      <c r="H66" s="6" t="s">
        <v>23</v>
      </c>
      <c r="I66" s="6">
        <v>94</v>
      </c>
      <c r="J66" s="6">
        <v>66</v>
      </c>
      <c r="K66" s="6" t="s">
        <v>23</v>
      </c>
      <c r="L66" s="6" t="s">
        <v>23</v>
      </c>
      <c r="M66" s="6" t="s">
        <v>23</v>
      </c>
      <c r="N66" s="6" t="s">
        <v>23</v>
      </c>
      <c r="O66" s="6" t="s">
        <v>23</v>
      </c>
      <c r="P66" s="6" t="s">
        <v>23</v>
      </c>
      <c r="Q66" s="6">
        <v>76</v>
      </c>
      <c r="R66" s="6">
        <v>24</v>
      </c>
      <c r="S66" s="6">
        <v>44</v>
      </c>
      <c r="T66" s="6">
        <v>40</v>
      </c>
      <c r="U66" s="7" t="s">
        <v>23</v>
      </c>
      <c r="V66">
        <f t="shared" si="0"/>
        <v>1</v>
      </c>
    </row>
    <row r="67" spans="1:22" x14ac:dyDescent="0.35">
      <c r="A67" s="8" t="s">
        <v>92</v>
      </c>
      <c r="B67" s="9">
        <v>94120209724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>
        <v>95</v>
      </c>
      <c r="J67" s="9">
        <v>70</v>
      </c>
      <c r="K67" s="9" t="s">
        <v>23</v>
      </c>
      <c r="L67" s="9" t="s">
        <v>23</v>
      </c>
      <c r="M67" s="9">
        <v>51</v>
      </c>
      <c r="N67" s="9" t="s">
        <v>23</v>
      </c>
      <c r="O67" s="9" t="s">
        <v>23</v>
      </c>
      <c r="P67" s="9" t="s">
        <v>23</v>
      </c>
      <c r="Q67" s="9">
        <v>76</v>
      </c>
      <c r="R67" s="9">
        <v>52</v>
      </c>
      <c r="S67" s="9">
        <v>49</v>
      </c>
      <c r="T67" s="9" t="s">
        <v>23</v>
      </c>
      <c r="U67" s="10" t="s">
        <v>23</v>
      </c>
      <c r="V67">
        <f t="shared" ref="V67:V130" si="1">IF(MOD(MID(B67,10,1),2)=0,1,0)</f>
        <v>1</v>
      </c>
    </row>
    <row r="68" spans="1:22" x14ac:dyDescent="0.35">
      <c r="A68" s="5" t="s">
        <v>92</v>
      </c>
      <c r="B68" s="6">
        <v>95011303864</v>
      </c>
      <c r="C68" s="6" t="s">
        <v>23</v>
      </c>
      <c r="D68" s="6" t="s">
        <v>23</v>
      </c>
      <c r="E68" s="6" t="s">
        <v>23</v>
      </c>
      <c r="F68" s="6">
        <v>42</v>
      </c>
      <c r="G68" s="6" t="s">
        <v>23</v>
      </c>
      <c r="H68" s="6" t="s">
        <v>23</v>
      </c>
      <c r="I68" s="6">
        <v>52</v>
      </c>
      <c r="J68" s="6" t="s">
        <v>23</v>
      </c>
      <c r="K68" s="6" t="s">
        <v>23</v>
      </c>
      <c r="L68" s="6" t="s">
        <v>23</v>
      </c>
      <c r="M68" s="6" t="s">
        <v>23</v>
      </c>
      <c r="N68" s="6" t="s">
        <v>23</v>
      </c>
      <c r="O68" s="6" t="s">
        <v>23</v>
      </c>
      <c r="P68" s="6" t="s">
        <v>23</v>
      </c>
      <c r="Q68" s="6">
        <v>76</v>
      </c>
      <c r="R68" s="6">
        <v>40</v>
      </c>
      <c r="S68" s="6">
        <v>36</v>
      </c>
      <c r="T68" s="6" t="s">
        <v>23</v>
      </c>
      <c r="U68" s="7" t="s">
        <v>23</v>
      </c>
      <c r="V68">
        <f t="shared" si="1"/>
        <v>1</v>
      </c>
    </row>
    <row r="69" spans="1:22" x14ac:dyDescent="0.35">
      <c r="A69" s="8" t="s">
        <v>92</v>
      </c>
      <c r="B69" s="9">
        <v>95012701920</v>
      </c>
      <c r="C69" s="9" t="s">
        <v>23</v>
      </c>
      <c r="D69" s="9" t="s">
        <v>23</v>
      </c>
      <c r="E69" s="9" t="s">
        <v>23</v>
      </c>
      <c r="F69" s="9">
        <v>77</v>
      </c>
      <c r="G69" s="9" t="s">
        <v>23</v>
      </c>
      <c r="H69" s="9" t="s">
        <v>23</v>
      </c>
      <c r="I69" s="9">
        <v>92</v>
      </c>
      <c r="J69" s="9">
        <v>80</v>
      </c>
      <c r="K69" s="9">
        <v>68</v>
      </c>
      <c r="L69" s="9" t="s">
        <v>23</v>
      </c>
      <c r="M69" s="9" t="s">
        <v>23</v>
      </c>
      <c r="N69" s="9" t="s">
        <v>23</v>
      </c>
      <c r="O69" s="9" t="s">
        <v>23</v>
      </c>
      <c r="P69" s="9" t="s">
        <v>23</v>
      </c>
      <c r="Q69" s="9">
        <v>66</v>
      </c>
      <c r="R69" s="9">
        <v>44</v>
      </c>
      <c r="S69" s="9">
        <v>54</v>
      </c>
      <c r="T69" s="9" t="s">
        <v>23</v>
      </c>
      <c r="U69" s="10" t="s">
        <v>23</v>
      </c>
      <c r="V69">
        <f t="shared" si="1"/>
        <v>1</v>
      </c>
    </row>
    <row r="70" spans="1:22" x14ac:dyDescent="0.35">
      <c r="A70" s="5" t="s">
        <v>92</v>
      </c>
      <c r="B70" s="6">
        <v>95012707551</v>
      </c>
      <c r="C70" s="6" t="s">
        <v>23</v>
      </c>
      <c r="D70" s="6" t="s">
        <v>23</v>
      </c>
      <c r="E70" s="6" t="s">
        <v>23</v>
      </c>
      <c r="F70" s="6">
        <v>55</v>
      </c>
      <c r="G70" s="6" t="s">
        <v>23</v>
      </c>
      <c r="H70" s="6" t="s">
        <v>23</v>
      </c>
      <c r="I70" s="6">
        <v>88</v>
      </c>
      <c r="J70" s="6" t="s">
        <v>23</v>
      </c>
      <c r="K70" s="6" t="s">
        <v>23</v>
      </c>
      <c r="L70" s="6" t="s">
        <v>23</v>
      </c>
      <c r="M70" s="6" t="s">
        <v>23</v>
      </c>
      <c r="N70" s="6" t="s">
        <v>23</v>
      </c>
      <c r="O70" s="6" t="s">
        <v>23</v>
      </c>
      <c r="P70" s="6" t="s">
        <v>23</v>
      </c>
      <c r="Q70" s="6">
        <v>72</v>
      </c>
      <c r="R70" s="6">
        <v>42</v>
      </c>
      <c r="S70" s="6">
        <v>49</v>
      </c>
      <c r="T70" s="6" t="s">
        <v>23</v>
      </c>
      <c r="U70" s="7" t="s">
        <v>23</v>
      </c>
      <c r="V70">
        <f t="shared" si="1"/>
        <v>0</v>
      </c>
    </row>
    <row r="71" spans="1:22" x14ac:dyDescent="0.35">
      <c r="A71" s="8" t="s">
        <v>92</v>
      </c>
      <c r="B71" s="9">
        <v>95021105139</v>
      </c>
      <c r="C71" s="9" t="s">
        <v>23</v>
      </c>
      <c r="D71" s="9" t="s">
        <v>23</v>
      </c>
      <c r="E71" s="9" t="s">
        <v>23</v>
      </c>
      <c r="F71" s="9">
        <v>85</v>
      </c>
      <c r="G71" s="9" t="s">
        <v>23</v>
      </c>
      <c r="H71" s="9" t="s">
        <v>23</v>
      </c>
      <c r="I71" s="9">
        <v>100</v>
      </c>
      <c r="J71" s="9">
        <v>81</v>
      </c>
      <c r="K71" s="9" t="s">
        <v>23</v>
      </c>
      <c r="L71" s="9" t="s">
        <v>23</v>
      </c>
      <c r="M71" s="9">
        <v>94</v>
      </c>
      <c r="N71" s="9" t="s">
        <v>23</v>
      </c>
      <c r="O71" s="9" t="s">
        <v>23</v>
      </c>
      <c r="P71" s="9" t="s">
        <v>23</v>
      </c>
      <c r="Q71" s="9">
        <v>94</v>
      </c>
      <c r="R71" s="9">
        <v>52</v>
      </c>
      <c r="S71" s="9">
        <v>71</v>
      </c>
      <c r="T71" s="9" t="s">
        <v>23</v>
      </c>
      <c r="U71" s="10" t="s">
        <v>23</v>
      </c>
      <c r="V71">
        <f t="shared" si="1"/>
        <v>0</v>
      </c>
    </row>
    <row r="72" spans="1:22" x14ac:dyDescent="0.35">
      <c r="A72" s="5" t="s">
        <v>92</v>
      </c>
      <c r="B72" s="6">
        <v>95021201255</v>
      </c>
      <c r="C72" s="6" t="s">
        <v>23</v>
      </c>
      <c r="D72" s="6" t="s">
        <v>23</v>
      </c>
      <c r="E72" s="6" t="s">
        <v>23</v>
      </c>
      <c r="F72" s="6">
        <v>68</v>
      </c>
      <c r="G72" s="6" t="s">
        <v>23</v>
      </c>
      <c r="H72" s="6" t="s">
        <v>23</v>
      </c>
      <c r="I72" s="6">
        <v>84</v>
      </c>
      <c r="J72" s="6" t="s">
        <v>23</v>
      </c>
      <c r="K72" s="6" t="s">
        <v>23</v>
      </c>
      <c r="L72" s="6" t="s">
        <v>23</v>
      </c>
      <c r="M72" s="6" t="s">
        <v>23</v>
      </c>
      <c r="N72" s="6" t="s">
        <v>23</v>
      </c>
      <c r="O72" s="6" t="s">
        <v>23</v>
      </c>
      <c r="P72" s="6" t="s">
        <v>23</v>
      </c>
      <c r="Q72" s="6">
        <v>52</v>
      </c>
      <c r="R72" s="6">
        <v>14</v>
      </c>
      <c r="S72" s="6">
        <v>34</v>
      </c>
      <c r="T72" s="6" t="s">
        <v>23</v>
      </c>
      <c r="U72" s="7" t="s">
        <v>23</v>
      </c>
      <c r="V72">
        <f t="shared" si="1"/>
        <v>0</v>
      </c>
    </row>
    <row r="73" spans="1:22" x14ac:dyDescent="0.35">
      <c r="A73" s="8" t="s">
        <v>92</v>
      </c>
      <c r="B73" s="9">
        <v>95021303223</v>
      </c>
      <c r="C73" s="9" t="s">
        <v>23</v>
      </c>
      <c r="D73" s="9" t="s">
        <v>23</v>
      </c>
      <c r="E73" s="9" t="s">
        <v>23</v>
      </c>
      <c r="F73" s="9">
        <v>60</v>
      </c>
      <c r="G73" s="9" t="s">
        <v>23</v>
      </c>
      <c r="H73" s="9" t="s">
        <v>23</v>
      </c>
      <c r="I73" s="9">
        <v>92</v>
      </c>
      <c r="J73" s="9" t="s">
        <v>23</v>
      </c>
      <c r="K73" s="9" t="s">
        <v>23</v>
      </c>
      <c r="L73" s="9" t="s">
        <v>23</v>
      </c>
      <c r="M73" s="9" t="s">
        <v>23</v>
      </c>
      <c r="N73" s="9" t="s">
        <v>23</v>
      </c>
      <c r="O73" s="9" t="s">
        <v>23</v>
      </c>
      <c r="P73" s="9" t="s">
        <v>23</v>
      </c>
      <c r="Q73" s="9">
        <v>70</v>
      </c>
      <c r="R73" s="9">
        <v>32</v>
      </c>
      <c r="S73" s="9">
        <v>63</v>
      </c>
      <c r="T73" s="9" t="s">
        <v>23</v>
      </c>
      <c r="U73" s="10" t="s">
        <v>23</v>
      </c>
      <c r="V73">
        <f t="shared" si="1"/>
        <v>1</v>
      </c>
    </row>
    <row r="74" spans="1:22" x14ac:dyDescent="0.35">
      <c r="A74" s="5" t="s">
        <v>92</v>
      </c>
      <c r="B74" s="6">
        <v>95030407844</v>
      </c>
      <c r="C74" s="6" t="s">
        <v>23</v>
      </c>
      <c r="D74" s="6" t="s">
        <v>23</v>
      </c>
      <c r="E74" s="6" t="s">
        <v>23</v>
      </c>
      <c r="F74" s="6">
        <v>70</v>
      </c>
      <c r="G74" s="6" t="s">
        <v>23</v>
      </c>
      <c r="H74" s="6" t="s">
        <v>23</v>
      </c>
      <c r="I74" s="6">
        <v>94</v>
      </c>
      <c r="J74" s="6">
        <v>84</v>
      </c>
      <c r="K74" s="6" t="s">
        <v>23</v>
      </c>
      <c r="L74" s="6" t="s">
        <v>23</v>
      </c>
      <c r="M74" s="6" t="s">
        <v>23</v>
      </c>
      <c r="N74" s="6" t="s">
        <v>23</v>
      </c>
      <c r="O74" s="6" t="s">
        <v>23</v>
      </c>
      <c r="P74" s="6">
        <v>90</v>
      </c>
      <c r="Q74" s="6">
        <v>88</v>
      </c>
      <c r="R74" s="6">
        <v>56</v>
      </c>
      <c r="S74" s="6">
        <v>64</v>
      </c>
      <c r="T74" s="6" t="s">
        <v>23</v>
      </c>
      <c r="U74" s="7" t="s">
        <v>23</v>
      </c>
      <c r="V74">
        <f t="shared" si="1"/>
        <v>1</v>
      </c>
    </row>
    <row r="75" spans="1:22" x14ac:dyDescent="0.35">
      <c r="A75" s="8" t="s">
        <v>92</v>
      </c>
      <c r="B75" s="9">
        <v>95040309147</v>
      </c>
      <c r="C75" s="9" t="s">
        <v>23</v>
      </c>
      <c r="D75" s="9" t="s">
        <v>23</v>
      </c>
      <c r="E75" s="9" t="s">
        <v>23</v>
      </c>
      <c r="F75" s="9">
        <v>38</v>
      </c>
      <c r="G75" s="9" t="s">
        <v>23</v>
      </c>
      <c r="H75" s="9" t="s">
        <v>23</v>
      </c>
      <c r="I75" s="9">
        <v>51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>
        <v>48</v>
      </c>
      <c r="R75" s="9" t="s">
        <v>23</v>
      </c>
      <c r="S75" s="9">
        <v>49</v>
      </c>
      <c r="T75" s="9" t="s">
        <v>23</v>
      </c>
      <c r="U75" s="10" t="s">
        <v>23</v>
      </c>
      <c r="V75">
        <f t="shared" si="1"/>
        <v>1</v>
      </c>
    </row>
    <row r="76" spans="1:22" x14ac:dyDescent="0.35">
      <c r="A76" s="5" t="s">
        <v>92</v>
      </c>
      <c r="B76" s="6">
        <v>95040502267</v>
      </c>
      <c r="C76" s="6" t="s">
        <v>23</v>
      </c>
      <c r="D76" s="6" t="s">
        <v>23</v>
      </c>
      <c r="E76" s="6" t="s">
        <v>23</v>
      </c>
      <c r="F76" s="6">
        <v>83</v>
      </c>
      <c r="G76" s="6" t="s">
        <v>23</v>
      </c>
      <c r="H76" s="6" t="s">
        <v>23</v>
      </c>
      <c r="I76" s="6" t="s">
        <v>23</v>
      </c>
      <c r="J76" s="6">
        <v>93</v>
      </c>
      <c r="K76" s="6" t="s">
        <v>23</v>
      </c>
      <c r="L76" s="6" t="s">
        <v>23</v>
      </c>
      <c r="M76" s="6" t="s">
        <v>23</v>
      </c>
      <c r="N76" s="6" t="s">
        <v>23</v>
      </c>
      <c r="O76" s="6">
        <v>96</v>
      </c>
      <c r="P76" s="6" t="s">
        <v>23</v>
      </c>
      <c r="Q76" s="6">
        <v>72</v>
      </c>
      <c r="R76" s="6">
        <v>64</v>
      </c>
      <c r="S76" s="6">
        <v>57</v>
      </c>
      <c r="T76" s="6" t="s">
        <v>23</v>
      </c>
      <c r="U76" s="7" t="s">
        <v>23</v>
      </c>
      <c r="V76">
        <f t="shared" si="1"/>
        <v>1</v>
      </c>
    </row>
    <row r="77" spans="1:22" x14ac:dyDescent="0.35">
      <c r="A77" s="8" t="s">
        <v>92</v>
      </c>
      <c r="B77" s="9">
        <v>95040601874</v>
      </c>
      <c r="C77" s="9" t="s">
        <v>23</v>
      </c>
      <c r="D77" s="9" t="s">
        <v>23</v>
      </c>
      <c r="E77" s="9" t="s">
        <v>23</v>
      </c>
      <c r="F77" s="9">
        <v>93</v>
      </c>
      <c r="G77" s="9" t="s">
        <v>23</v>
      </c>
      <c r="H77" s="9" t="s">
        <v>23</v>
      </c>
      <c r="I77" s="9">
        <v>98</v>
      </c>
      <c r="J77" s="9">
        <v>80</v>
      </c>
      <c r="K77" s="9">
        <v>80</v>
      </c>
      <c r="L77" s="9" t="s">
        <v>23</v>
      </c>
      <c r="M77" s="9" t="s">
        <v>23</v>
      </c>
      <c r="N77" s="9" t="s">
        <v>23</v>
      </c>
      <c r="O77" s="9" t="s">
        <v>23</v>
      </c>
      <c r="P77" s="9" t="s">
        <v>23</v>
      </c>
      <c r="Q77" s="9">
        <v>78</v>
      </c>
      <c r="R77" s="9">
        <v>64</v>
      </c>
      <c r="S77" s="9">
        <v>63</v>
      </c>
      <c r="T77" s="9" t="s">
        <v>23</v>
      </c>
      <c r="U77" s="10" t="s">
        <v>23</v>
      </c>
      <c r="V77">
        <f t="shared" si="1"/>
        <v>0</v>
      </c>
    </row>
    <row r="78" spans="1:22" x14ac:dyDescent="0.35">
      <c r="A78" s="5" t="s">
        <v>92</v>
      </c>
      <c r="B78" s="6">
        <v>95062703248</v>
      </c>
      <c r="C78" s="6" t="s">
        <v>23</v>
      </c>
      <c r="D78" s="6" t="s">
        <v>23</v>
      </c>
      <c r="E78" s="6" t="s">
        <v>23</v>
      </c>
      <c r="F78" s="6">
        <v>63</v>
      </c>
      <c r="G78" s="6" t="s">
        <v>23</v>
      </c>
      <c r="H78" s="6" t="s">
        <v>23</v>
      </c>
      <c r="I78" s="6">
        <v>88</v>
      </c>
      <c r="J78" s="6" t="s">
        <v>23</v>
      </c>
      <c r="K78" s="6" t="s">
        <v>23</v>
      </c>
      <c r="L78" s="6" t="s">
        <v>23</v>
      </c>
      <c r="M78" s="6" t="s">
        <v>23</v>
      </c>
      <c r="N78" s="6" t="s">
        <v>23</v>
      </c>
      <c r="O78" s="6" t="s">
        <v>23</v>
      </c>
      <c r="P78" s="6" t="s">
        <v>23</v>
      </c>
      <c r="Q78" s="6">
        <v>64</v>
      </c>
      <c r="R78" s="6" t="s">
        <v>23</v>
      </c>
      <c r="S78" s="6">
        <v>63</v>
      </c>
      <c r="T78" s="6">
        <v>43</v>
      </c>
      <c r="U78" s="7" t="s">
        <v>23</v>
      </c>
      <c r="V78">
        <f t="shared" si="1"/>
        <v>1</v>
      </c>
    </row>
    <row r="79" spans="1:22" x14ac:dyDescent="0.35">
      <c r="A79" s="8" t="s">
        <v>92</v>
      </c>
      <c r="B79" s="9">
        <v>95062704850</v>
      </c>
      <c r="C79" s="9" t="s">
        <v>23</v>
      </c>
      <c r="D79" s="9" t="s">
        <v>23</v>
      </c>
      <c r="E79" s="9" t="s">
        <v>23</v>
      </c>
      <c r="F79" s="9">
        <v>65</v>
      </c>
      <c r="G79" s="9" t="s">
        <v>23</v>
      </c>
      <c r="H79" s="9" t="s">
        <v>23</v>
      </c>
      <c r="I79" s="9">
        <v>69</v>
      </c>
      <c r="J79" s="9" t="s">
        <v>23</v>
      </c>
      <c r="K79" s="9" t="s">
        <v>23</v>
      </c>
      <c r="L79" s="9" t="s">
        <v>23</v>
      </c>
      <c r="M79" s="9" t="s">
        <v>23</v>
      </c>
      <c r="N79" s="9" t="s">
        <v>23</v>
      </c>
      <c r="O79" s="9" t="s">
        <v>23</v>
      </c>
      <c r="P79" s="9" t="s">
        <v>23</v>
      </c>
      <c r="Q79" s="9">
        <v>52</v>
      </c>
      <c r="R79" s="9" t="s">
        <v>23</v>
      </c>
      <c r="S79" s="9">
        <v>51</v>
      </c>
      <c r="T79" s="9" t="s">
        <v>23</v>
      </c>
      <c r="U79" s="10" t="s">
        <v>23</v>
      </c>
      <c r="V79">
        <f t="shared" si="1"/>
        <v>0</v>
      </c>
    </row>
    <row r="80" spans="1:22" x14ac:dyDescent="0.35">
      <c r="A80" s="5" t="s">
        <v>92</v>
      </c>
      <c r="B80" s="6">
        <v>95070400629</v>
      </c>
      <c r="C80" s="6" t="s">
        <v>23</v>
      </c>
      <c r="D80" s="6" t="s">
        <v>23</v>
      </c>
      <c r="E80" s="6" t="s">
        <v>23</v>
      </c>
      <c r="F80" s="6">
        <v>50</v>
      </c>
      <c r="G80" s="6" t="s">
        <v>23</v>
      </c>
      <c r="H80" s="6" t="s">
        <v>23</v>
      </c>
      <c r="I80" s="6">
        <v>82</v>
      </c>
      <c r="J80" s="6" t="s">
        <v>23</v>
      </c>
      <c r="K80" s="6" t="s">
        <v>23</v>
      </c>
      <c r="L80" s="6" t="s">
        <v>23</v>
      </c>
      <c r="M80" s="6" t="s">
        <v>23</v>
      </c>
      <c r="N80" s="6" t="s">
        <v>23</v>
      </c>
      <c r="O80" s="6" t="s">
        <v>23</v>
      </c>
      <c r="P80" s="6" t="s">
        <v>23</v>
      </c>
      <c r="Q80" s="6">
        <v>68</v>
      </c>
      <c r="R80" s="6">
        <v>36</v>
      </c>
      <c r="S80" s="6">
        <v>47</v>
      </c>
      <c r="T80" s="6" t="s">
        <v>23</v>
      </c>
      <c r="U80" s="7" t="s">
        <v>23</v>
      </c>
      <c r="V80">
        <f t="shared" si="1"/>
        <v>1</v>
      </c>
    </row>
    <row r="81" spans="1:22" x14ac:dyDescent="0.35">
      <c r="A81" s="8" t="s">
        <v>92</v>
      </c>
      <c r="B81" s="9">
        <v>95070600715</v>
      </c>
      <c r="C81" s="9" t="s">
        <v>23</v>
      </c>
      <c r="D81" s="9" t="s">
        <v>23</v>
      </c>
      <c r="E81" s="9" t="s">
        <v>23</v>
      </c>
      <c r="F81" s="9">
        <v>53</v>
      </c>
      <c r="G81" s="9" t="s">
        <v>23</v>
      </c>
      <c r="H81" s="9" t="s">
        <v>23</v>
      </c>
      <c r="I81" s="9">
        <v>100</v>
      </c>
      <c r="J81" s="9">
        <v>77</v>
      </c>
      <c r="K81" s="9" t="s">
        <v>23</v>
      </c>
      <c r="L81" s="9" t="s">
        <v>23</v>
      </c>
      <c r="M81" s="9" t="s">
        <v>23</v>
      </c>
      <c r="N81" s="9" t="s">
        <v>23</v>
      </c>
      <c r="O81" s="9" t="s">
        <v>23</v>
      </c>
      <c r="P81" s="9" t="s">
        <v>23</v>
      </c>
      <c r="Q81" s="9">
        <v>82</v>
      </c>
      <c r="R81" s="9">
        <v>38</v>
      </c>
      <c r="S81" s="9">
        <v>53</v>
      </c>
      <c r="T81" s="9" t="s">
        <v>23</v>
      </c>
      <c r="U81" s="10">
        <v>46</v>
      </c>
      <c r="V81">
        <f t="shared" si="1"/>
        <v>0</v>
      </c>
    </row>
    <row r="82" spans="1:22" x14ac:dyDescent="0.35">
      <c r="A82" s="5" t="s">
        <v>92</v>
      </c>
      <c r="B82" s="6">
        <v>95071306764</v>
      </c>
      <c r="C82" s="6" t="s">
        <v>23</v>
      </c>
      <c r="D82" s="6" t="s">
        <v>23</v>
      </c>
      <c r="E82" s="6" t="s">
        <v>23</v>
      </c>
      <c r="F82" s="6" t="s">
        <v>23</v>
      </c>
      <c r="G82" s="6" t="s">
        <v>23</v>
      </c>
      <c r="H82" s="6" t="s">
        <v>23</v>
      </c>
      <c r="I82" s="6">
        <v>98</v>
      </c>
      <c r="J82" s="6">
        <v>81</v>
      </c>
      <c r="K82" s="6" t="s">
        <v>23</v>
      </c>
      <c r="L82" s="6" t="s">
        <v>23</v>
      </c>
      <c r="M82" s="6" t="s">
        <v>23</v>
      </c>
      <c r="N82" s="6" t="s">
        <v>23</v>
      </c>
      <c r="O82" s="6" t="s">
        <v>23</v>
      </c>
      <c r="P82" s="6" t="s">
        <v>23</v>
      </c>
      <c r="Q82" s="6">
        <v>88</v>
      </c>
      <c r="R82" s="6">
        <v>40</v>
      </c>
      <c r="S82" s="6">
        <v>59</v>
      </c>
      <c r="T82" s="6" t="s">
        <v>23</v>
      </c>
      <c r="U82" s="7" t="s">
        <v>23</v>
      </c>
      <c r="V82">
        <f t="shared" si="1"/>
        <v>1</v>
      </c>
    </row>
    <row r="83" spans="1:22" x14ac:dyDescent="0.35">
      <c r="A83" s="8" t="s">
        <v>92</v>
      </c>
      <c r="B83" s="9">
        <v>95071307406</v>
      </c>
      <c r="C83" s="9" t="s">
        <v>23</v>
      </c>
      <c r="D83" s="9" t="s">
        <v>23</v>
      </c>
      <c r="E83" s="9" t="s">
        <v>23</v>
      </c>
      <c r="F83" s="9">
        <v>70</v>
      </c>
      <c r="G83" s="9" t="s">
        <v>23</v>
      </c>
      <c r="H83" s="9" t="s">
        <v>23</v>
      </c>
      <c r="I83" s="9">
        <v>96</v>
      </c>
      <c r="J83" s="9">
        <v>51</v>
      </c>
      <c r="K83" s="9" t="s">
        <v>23</v>
      </c>
      <c r="L83" s="9" t="s">
        <v>23</v>
      </c>
      <c r="M83" s="9" t="s">
        <v>23</v>
      </c>
      <c r="N83" s="9" t="s">
        <v>23</v>
      </c>
      <c r="O83" s="9" t="s">
        <v>23</v>
      </c>
      <c r="P83" s="9" t="s">
        <v>23</v>
      </c>
      <c r="Q83" s="9">
        <v>76</v>
      </c>
      <c r="R83" s="9" t="s">
        <v>23</v>
      </c>
      <c r="S83" s="9">
        <v>66</v>
      </c>
      <c r="T83" s="9">
        <v>95</v>
      </c>
      <c r="U83" s="10" t="s">
        <v>23</v>
      </c>
      <c r="V83">
        <f t="shared" si="1"/>
        <v>1</v>
      </c>
    </row>
    <row r="84" spans="1:22" x14ac:dyDescent="0.35">
      <c r="A84" s="5" t="s">
        <v>92</v>
      </c>
      <c r="B84" s="6">
        <v>95072805323</v>
      </c>
      <c r="C84" s="6" t="s">
        <v>23</v>
      </c>
      <c r="D84" s="6" t="s">
        <v>23</v>
      </c>
      <c r="E84" s="6" t="s">
        <v>23</v>
      </c>
      <c r="F84" s="6">
        <v>68</v>
      </c>
      <c r="G84" s="6" t="s">
        <v>23</v>
      </c>
      <c r="H84" s="6" t="s">
        <v>23</v>
      </c>
      <c r="I84" s="6">
        <v>87</v>
      </c>
      <c r="J84" s="6">
        <v>55</v>
      </c>
      <c r="K84" s="6" t="s">
        <v>23</v>
      </c>
      <c r="L84" s="6" t="s">
        <v>23</v>
      </c>
      <c r="M84" s="6" t="s">
        <v>23</v>
      </c>
      <c r="N84" s="6" t="s">
        <v>23</v>
      </c>
      <c r="O84" s="6" t="s">
        <v>23</v>
      </c>
      <c r="P84" s="6" t="s">
        <v>23</v>
      </c>
      <c r="Q84" s="6">
        <v>86</v>
      </c>
      <c r="R84" s="6">
        <v>48</v>
      </c>
      <c r="S84" s="6">
        <v>63</v>
      </c>
      <c r="T84" s="6">
        <v>55</v>
      </c>
      <c r="U84" s="7" t="s">
        <v>23</v>
      </c>
      <c r="V84">
        <f t="shared" si="1"/>
        <v>1</v>
      </c>
    </row>
    <row r="85" spans="1:22" x14ac:dyDescent="0.35">
      <c r="A85" s="8" t="s">
        <v>92</v>
      </c>
      <c r="B85" s="9">
        <v>95072901340</v>
      </c>
      <c r="C85" s="9" t="s">
        <v>23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>
        <v>91</v>
      </c>
      <c r="J85" s="9">
        <v>66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>
        <v>100</v>
      </c>
      <c r="R85" s="9">
        <v>66</v>
      </c>
      <c r="S85" s="9">
        <v>76</v>
      </c>
      <c r="T85" s="9">
        <v>70</v>
      </c>
      <c r="U85" s="10" t="s">
        <v>23</v>
      </c>
      <c r="V85">
        <f t="shared" si="1"/>
        <v>1</v>
      </c>
    </row>
    <row r="86" spans="1:22" x14ac:dyDescent="0.35">
      <c r="A86" s="5" t="s">
        <v>92</v>
      </c>
      <c r="B86" s="6">
        <v>95072901364</v>
      </c>
      <c r="C86" s="6" t="s">
        <v>23</v>
      </c>
      <c r="D86" s="6" t="s">
        <v>23</v>
      </c>
      <c r="E86" s="6" t="s">
        <v>23</v>
      </c>
      <c r="F86" s="6" t="s">
        <v>23</v>
      </c>
      <c r="G86" s="6" t="s">
        <v>23</v>
      </c>
      <c r="H86" s="6" t="s">
        <v>23</v>
      </c>
      <c r="I86" s="6">
        <v>100</v>
      </c>
      <c r="J86" s="6">
        <v>92</v>
      </c>
      <c r="K86" s="6">
        <v>72</v>
      </c>
      <c r="L86" s="6" t="s">
        <v>23</v>
      </c>
      <c r="M86" s="6" t="s">
        <v>23</v>
      </c>
      <c r="N86" s="6" t="s">
        <v>23</v>
      </c>
      <c r="O86" s="6" t="s">
        <v>23</v>
      </c>
      <c r="P86" s="6" t="s">
        <v>23</v>
      </c>
      <c r="Q86" s="6">
        <v>74</v>
      </c>
      <c r="R86" s="6">
        <v>52</v>
      </c>
      <c r="S86" s="6">
        <v>54</v>
      </c>
      <c r="T86" s="6" t="s">
        <v>23</v>
      </c>
      <c r="U86" s="7" t="s">
        <v>23</v>
      </c>
      <c r="V86">
        <f t="shared" si="1"/>
        <v>1</v>
      </c>
    </row>
    <row r="87" spans="1:22" x14ac:dyDescent="0.35">
      <c r="A87" s="8" t="s">
        <v>92</v>
      </c>
      <c r="B87" s="9">
        <v>95082206507</v>
      </c>
      <c r="C87" s="9" t="s">
        <v>23</v>
      </c>
      <c r="D87" s="9" t="s">
        <v>23</v>
      </c>
      <c r="E87" s="9" t="s">
        <v>23</v>
      </c>
      <c r="F87" s="9">
        <v>87</v>
      </c>
      <c r="G87" s="9" t="s">
        <v>23</v>
      </c>
      <c r="H87" s="9" t="s">
        <v>23</v>
      </c>
      <c r="I87" s="9">
        <v>98</v>
      </c>
      <c r="J87" s="9" t="s">
        <v>23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23</v>
      </c>
      <c r="Q87" s="9">
        <v>96</v>
      </c>
      <c r="R87" s="9">
        <v>90</v>
      </c>
      <c r="S87" s="9">
        <v>91</v>
      </c>
      <c r="T87" s="9" t="s">
        <v>23</v>
      </c>
      <c r="U87" s="10" t="s">
        <v>23</v>
      </c>
      <c r="V87">
        <f t="shared" si="1"/>
        <v>1</v>
      </c>
    </row>
    <row r="88" spans="1:22" x14ac:dyDescent="0.35">
      <c r="A88" s="5" t="s">
        <v>92</v>
      </c>
      <c r="B88" s="6">
        <v>95091103271</v>
      </c>
      <c r="C88" s="6" t="s">
        <v>23</v>
      </c>
      <c r="D88" s="6" t="s">
        <v>23</v>
      </c>
      <c r="E88" s="6" t="s">
        <v>23</v>
      </c>
      <c r="F88" s="6">
        <v>47</v>
      </c>
      <c r="G88" s="6" t="s">
        <v>23</v>
      </c>
      <c r="H88" s="6" t="s">
        <v>23</v>
      </c>
      <c r="I88" s="6">
        <v>89</v>
      </c>
      <c r="J88" s="6" t="s">
        <v>23</v>
      </c>
      <c r="K88" s="6" t="s">
        <v>23</v>
      </c>
      <c r="L88" s="6" t="s">
        <v>23</v>
      </c>
      <c r="M88" s="6" t="s">
        <v>23</v>
      </c>
      <c r="N88" s="6" t="s">
        <v>23</v>
      </c>
      <c r="O88" s="6" t="s">
        <v>23</v>
      </c>
      <c r="P88" s="6" t="s">
        <v>23</v>
      </c>
      <c r="Q88" s="6">
        <v>76</v>
      </c>
      <c r="R88" s="6">
        <v>40</v>
      </c>
      <c r="S88" s="6">
        <v>54</v>
      </c>
      <c r="T88" s="6" t="s">
        <v>23</v>
      </c>
      <c r="U88" s="7" t="s">
        <v>23</v>
      </c>
      <c r="V88">
        <f t="shared" si="1"/>
        <v>0</v>
      </c>
    </row>
    <row r="89" spans="1:22" x14ac:dyDescent="0.35">
      <c r="A89" s="8" t="s">
        <v>92</v>
      </c>
      <c r="B89" s="9">
        <v>95092301371</v>
      </c>
      <c r="C89" s="9" t="s">
        <v>23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>
        <v>94</v>
      </c>
      <c r="J89" s="9">
        <v>88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>
        <v>88</v>
      </c>
      <c r="R89" s="9">
        <v>46</v>
      </c>
      <c r="S89" s="9">
        <v>77</v>
      </c>
      <c r="T89" s="9" t="s">
        <v>23</v>
      </c>
      <c r="U89" s="10" t="s">
        <v>23</v>
      </c>
      <c r="V89">
        <f t="shared" si="1"/>
        <v>0</v>
      </c>
    </row>
    <row r="90" spans="1:22" x14ac:dyDescent="0.35">
      <c r="A90" s="5" t="s">
        <v>92</v>
      </c>
      <c r="B90" s="6">
        <v>95100703063</v>
      </c>
      <c r="C90" s="6" t="s">
        <v>23</v>
      </c>
      <c r="D90" s="6" t="s">
        <v>23</v>
      </c>
      <c r="E90" s="6" t="s">
        <v>23</v>
      </c>
      <c r="F90" s="6">
        <v>68</v>
      </c>
      <c r="G90" s="6" t="s">
        <v>23</v>
      </c>
      <c r="H90" s="6" t="s">
        <v>23</v>
      </c>
      <c r="I90" s="6">
        <v>94</v>
      </c>
      <c r="J90" s="6">
        <v>78</v>
      </c>
      <c r="K90" s="6" t="s">
        <v>23</v>
      </c>
      <c r="L90" s="6" t="s">
        <v>23</v>
      </c>
      <c r="M90" s="6" t="s">
        <v>23</v>
      </c>
      <c r="N90" s="6" t="s">
        <v>23</v>
      </c>
      <c r="O90" s="6">
        <v>96</v>
      </c>
      <c r="P90" s="6" t="s">
        <v>23</v>
      </c>
      <c r="Q90" s="6">
        <v>100</v>
      </c>
      <c r="R90" s="6">
        <v>54</v>
      </c>
      <c r="S90" s="6">
        <v>50</v>
      </c>
      <c r="T90" s="6" t="s">
        <v>23</v>
      </c>
      <c r="U90" s="7" t="s">
        <v>23</v>
      </c>
      <c r="V90">
        <f t="shared" si="1"/>
        <v>1</v>
      </c>
    </row>
    <row r="91" spans="1:22" x14ac:dyDescent="0.35">
      <c r="A91" s="8" t="s">
        <v>92</v>
      </c>
      <c r="B91" s="9">
        <v>95102509322</v>
      </c>
      <c r="C91" s="9" t="s">
        <v>23</v>
      </c>
      <c r="D91" s="9" t="s">
        <v>23</v>
      </c>
      <c r="E91" s="9" t="s">
        <v>23</v>
      </c>
      <c r="F91" s="9">
        <v>77</v>
      </c>
      <c r="G91" s="9" t="s">
        <v>23</v>
      </c>
      <c r="H91" s="9" t="s">
        <v>23</v>
      </c>
      <c r="I91" s="9">
        <v>72</v>
      </c>
      <c r="J91" s="9">
        <v>44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23</v>
      </c>
      <c r="P91" s="9" t="s">
        <v>23</v>
      </c>
      <c r="Q91" s="9">
        <v>78</v>
      </c>
      <c r="R91" s="9">
        <v>40</v>
      </c>
      <c r="S91" s="9">
        <v>60</v>
      </c>
      <c r="T91" s="9" t="s">
        <v>23</v>
      </c>
      <c r="U91" s="10" t="s">
        <v>23</v>
      </c>
      <c r="V91">
        <f t="shared" si="1"/>
        <v>1</v>
      </c>
    </row>
    <row r="92" spans="1:22" x14ac:dyDescent="0.35">
      <c r="A92" s="5" t="s">
        <v>92</v>
      </c>
      <c r="B92" s="6">
        <v>95121002200</v>
      </c>
      <c r="C92" s="6" t="s">
        <v>23</v>
      </c>
      <c r="D92" s="6" t="s">
        <v>23</v>
      </c>
      <c r="E92" s="6" t="s">
        <v>23</v>
      </c>
      <c r="F92" s="6">
        <v>80</v>
      </c>
      <c r="G92" s="6" t="s">
        <v>23</v>
      </c>
      <c r="H92" s="6" t="s">
        <v>23</v>
      </c>
      <c r="I92" s="6">
        <v>100</v>
      </c>
      <c r="J92" s="6">
        <v>82</v>
      </c>
      <c r="K92" s="6" t="s">
        <v>23</v>
      </c>
      <c r="L92" s="6" t="s">
        <v>23</v>
      </c>
      <c r="M92" s="6" t="s">
        <v>23</v>
      </c>
      <c r="N92" s="6" t="s">
        <v>23</v>
      </c>
      <c r="O92" s="6">
        <v>100</v>
      </c>
      <c r="P92" s="6" t="s">
        <v>23</v>
      </c>
      <c r="Q92" s="6">
        <v>86</v>
      </c>
      <c r="R92" s="6">
        <v>94</v>
      </c>
      <c r="S92" s="6">
        <v>63</v>
      </c>
      <c r="T92" s="6" t="s">
        <v>23</v>
      </c>
      <c r="U92" s="7" t="s">
        <v>23</v>
      </c>
      <c r="V92">
        <f t="shared" si="1"/>
        <v>1</v>
      </c>
    </row>
    <row r="93" spans="1:22" x14ac:dyDescent="0.35">
      <c r="A93" s="8" t="s">
        <v>92</v>
      </c>
      <c r="B93" s="9">
        <v>96010806327</v>
      </c>
      <c r="C93" s="9" t="s">
        <v>23</v>
      </c>
      <c r="D93" s="9" t="s">
        <v>23</v>
      </c>
      <c r="E93" s="9" t="s">
        <v>23</v>
      </c>
      <c r="F93" s="9">
        <v>82</v>
      </c>
      <c r="G93" s="9" t="s">
        <v>23</v>
      </c>
      <c r="H93" s="9" t="s">
        <v>23</v>
      </c>
      <c r="I93" s="9">
        <v>94</v>
      </c>
      <c r="J93" s="9">
        <v>61</v>
      </c>
      <c r="K93" s="9" t="s">
        <v>23</v>
      </c>
      <c r="L93" s="9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9">
        <v>68</v>
      </c>
      <c r="R93" s="9" t="s">
        <v>23</v>
      </c>
      <c r="S93" s="9">
        <v>71</v>
      </c>
      <c r="T93" s="9" t="s">
        <v>23</v>
      </c>
      <c r="U93" s="10" t="s">
        <v>23</v>
      </c>
      <c r="V93">
        <f t="shared" si="1"/>
        <v>1</v>
      </c>
    </row>
    <row r="94" spans="1:22" x14ac:dyDescent="0.35">
      <c r="A94" s="5" t="s">
        <v>96</v>
      </c>
      <c r="B94" s="6">
        <v>95010400678</v>
      </c>
      <c r="C94" s="6" t="s">
        <v>23</v>
      </c>
      <c r="D94" s="6" t="s">
        <v>23</v>
      </c>
      <c r="E94" s="6">
        <v>70</v>
      </c>
      <c r="F94" s="6" t="s">
        <v>23</v>
      </c>
      <c r="G94" s="6" t="s">
        <v>23</v>
      </c>
      <c r="H94" s="6" t="s">
        <v>23</v>
      </c>
      <c r="I94" s="6">
        <v>94</v>
      </c>
      <c r="J94" s="6">
        <v>73</v>
      </c>
      <c r="K94" s="6" t="s">
        <v>23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23</v>
      </c>
      <c r="Q94" s="6">
        <v>90</v>
      </c>
      <c r="R94" s="6">
        <v>70</v>
      </c>
      <c r="S94" s="6">
        <v>59</v>
      </c>
      <c r="T94" s="6" t="s">
        <v>23</v>
      </c>
      <c r="U94" s="7" t="s">
        <v>23</v>
      </c>
      <c r="V94">
        <f t="shared" si="1"/>
        <v>0</v>
      </c>
    </row>
    <row r="95" spans="1:22" x14ac:dyDescent="0.35">
      <c r="A95" s="8" t="s">
        <v>96</v>
      </c>
      <c r="B95" s="9">
        <v>95012402890</v>
      </c>
      <c r="C95" s="9" t="s">
        <v>23</v>
      </c>
      <c r="D95" s="9" t="s">
        <v>23</v>
      </c>
      <c r="E95" s="9">
        <v>53</v>
      </c>
      <c r="F95" s="9" t="s">
        <v>23</v>
      </c>
      <c r="G95" s="9" t="s">
        <v>23</v>
      </c>
      <c r="H95" s="9" t="s">
        <v>23</v>
      </c>
      <c r="I95" s="9">
        <v>96</v>
      </c>
      <c r="J95" s="9">
        <v>67</v>
      </c>
      <c r="K95" s="9" t="s">
        <v>23</v>
      </c>
      <c r="L95" s="9" t="s">
        <v>23</v>
      </c>
      <c r="M95" s="9" t="s">
        <v>23</v>
      </c>
      <c r="N95" s="9" t="s">
        <v>23</v>
      </c>
      <c r="O95" s="9" t="s">
        <v>23</v>
      </c>
      <c r="P95" s="9" t="s">
        <v>23</v>
      </c>
      <c r="Q95" s="9">
        <v>90</v>
      </c>
      <c r="R95" s="9">
        <v>40</v>
      </c>
      <c r="S95" s="9">
        <v>64</v>
      </c>
      <c r="T95" s="9" t="s">
        <v>23</v>
      </c>
      <c r="U95" s="10" t="s">
        <v>23</v>
      </c>
      <c r="V95">
        <f t="shared" si="1"/>
        <v>0</v>
      </c>
    </row>
    <row r="96" spans="1:22" x14ac:dyDescent="0.35">
      <c r="A96" s="5" t="s">
        <v>96</v>
      </c>
      <c r="B96" s="6">
        <v>95012801194</v>
      </c>
      <c r="C96" s="6" t="s">
        <v>23</v>
      </c>
      <c r="D96" s="6" t="s">
        <v>23</v>
      </c>
      <c r="E96" s="6">
        <v>75</v>
      </c>
      <c r="F96" s="6" t="s">
        <v>23</v>
      </c>
      <c r="G96" s="6" t="s">
        <v>23</v>
      </c>
      <c r="H96" s="6">
        <v>78</v>
      </c>
      <c r="I96" s="6">
        <v>98</v>
      </c>
      <c r="J96" s="6">
        <v>96</v>
      </c>
      <c r="K96" s="6" t="s">
        <v>23</v>
      </c>
      <c r="L96" s="6" t="s">
        <v>23</v>
      </c>
      <c r="M96" s="6" t="s">
        <v>23</v>
      </c>
      <c r="N96" s="6" t="s">
        <v>23</v>
      </c>
      <c r="O96" s="6" t="s">
        <v>23</v>
      </c>
      <c r="P96" s="6" t="s">
        <v>23</v>
      </c>
      <c r="Q96" s="6">
        <v>100</v>
      </c>
      <c r="R96" s="6">
        <v>90</v>
      </c>
      <c r="S96" s="6">
        <v>80</v>
      </c>
      <c r="T96" s="6" t="s">
        <v>23</v>
      </c>
      <c r="U96" s="7" t="s">
        <v>23</v>
      </c>
      <c r="V96">
        <f t="shared" si="1"/>
        <v>0</v>
      </c>
    </row>
    <row r="97" spans="1:22" x14ac:dyDescent="0.35">
      <c r="A97" s="8" t="s">
        <v>96</v>
      </c>
      <c r="B97" s="9">
        <v>95012904927</v>
      </c>
      <c r="C97" s="9" t="s">
        <v>23</v>
      </c>
      <c r="D97" s="9" t="s">
        <v>23</v>
      </c>
      <c r="E97" s="9">
        <v>82</v>
      </c>
      <c r="F97" s="9" t="s">
        <v>23</v>
      </c>
      <c r="G97" s="9" t="s">
        <v>23</v>
      </c>
      <c r="H97" s="9" t="s">
        <v>23</v>
      </c>
      <c r="I97" s="9">
        <v>100</v>
      </c>
      <c r="J97" s="9">
        <v>91</v>
      </c>
      <c r="K97" s="9" t="s">
        <v>23</v>
      </c>
      <c r="L97" s="9" t="s">
        <v>23</v>
      </c>
      <c r="M97" s="9" t="s">
        <v>23</v>
      </c>
      <c r="N97" s="9" t="s">
        <v>23</v>
      </c>
      <c r="O97" s="9" t="s">
        <v>23</v>
      </c>
      <c r="P97" s="9" t="s">
        <v>23</v>
      </c>
      <c r="Q97" s="9">
        <v>86</v>
      </c>
      <c r="R97" s="9">
        <v>80</v>
      </c>
      <c r="S97" s="9">
        <v>84</v>
      </c>
      <c r="T97" s="9" t="s">
        <v>23</v>
      </c>
      <c r="U97" s="10" t="s">
        <v>23</v>
      </c>
      <c r="V97">
        <f t="shared" si="1"/>
        <v>1</v>
      </c>
    </row>
    <row r="98" spans="1:22" x14ac:dyDescent="0.35">
      <c r="A98" s="5" t="s">
        <v>96</v>
      </c>
      <c r="B98" s="6">
        <v>95020904777</v>
      </c>
      <c r="C98" s="6" t="s">
        <v>23</v>
      </c>
      <c r="D98" s="6" t="s">
        <v>23</v>
      </c>
      <c r="E98" s="6">
        <v>32</v>
      </c>
      <c r="F98" s="6" t="s">
        <v>23</v>
      </c>
      <c r="G98" s="6" t="s">
        <v>23</v>
      </c>
      <c r="H98" s="6" t="s">
        <v>23</v>
      </c>
      <c r="I98" s="6">
        <v>96</v>
      </c>
      <c r="J98" s="6">
        <v>74</v>
      </c>
      <c r="K98" s="6" t="s">
        <v>23</v>
      </c>
      <c r="L98" s="6" t="s">
        <v>23</v>
      </c>
      <c r="M98" s="6" t="s">
        <v>23</v>
      </c>
      <c r="N98" s="6" t="s">
        <v>23</v>
      </c>
      <c r="O98" s="6" t="s">
        <v>23</v>
      </c>
      <c r="P98" s="6" t="s">
        <v>23</v>
      </c>
      <c r="Q98" s="6">
        <v>82</v>
      </c>
      <c r="R98" s="6" t="s">
        <v>23</v>
      </c>
      <c r="S98" s="6">
        <v>60</v>
      </c>
      <c r="T98" s="6">
        <v>25</v>
      </c>
      <c r="U98" s="7" t="s">
        <v>23</v>
      </c>
      <c r="V98">
        <f t="shared" si="1"/>
        <v>0</v>
      </c>
    </row>
    <row r="99" spans="1:22" x14ac:dyDescent="0.35">
      <c r="A99" s="8" t="s">
        <v>96</v>
      </c>
      <c r="B99" s="9">
        <v>95021601338</v>
      </c>
      <c r="C99" s="9" t="s">
        <v>23</v>
      </c>
      <c r="D99" s="9" t="s">
        <v>23</v>
      </c>
      <c r="E99" s="9">
        <v>77</v>
      </c>
      <c r="F99" s="9" t="s">
        <v>23</v>
      </c>
      <c r="G99" s="9" t="s">
        <v>23</v>
      </c>
      <c r="H99" s="9">
        <v>88</v>
      </c>
      <c r="I99" s="9">
        <v>98</v>
      </c>
      <c r="J99" s="9">
        <v>76</v>
      </c>
      <c r="K99" s="9" t="s">
        <v>23</v>
      </c>
      <c r="L99" s="9" t="s">
        <v>23</v>
      </c>
      <c r="M99" s="9" t="s">
        <v>23</v>
      </c>
      <c r="N99" s="9" t="s">
        <v>23</v>
      </c>
      <c r="O99" s="9" t="s">
        <v>23</v>
      </c>
      <c r="P99" s="9" t="s">
        <v>23</v>
      </c>
      <c r="Q99" s="9">
        <v>98</v>
      </c>
      <c r="R99" s="9">
        <v>68</v>
      </c>
      <c r="S99" s="9">
        <v>73</v>
      </c>
      <c r="T99" s="9" t="s">
        <v>23</v>
      </c>
      <c r="U99" s="10" t="s">
        <v>23</v>
      </c>
      <c r="V99">
        <f t="shared" si="1"/>
        <v>0</v>
      </c>
    </row>
    <row r="100" spans="1:22" x14ac:dyDescent="0.35">
      <c r="A100" s="5" t="s">
        <v>96</v>
      </c>
      <c r="B100" s="6">
        <v>95032801943</v>
      </c>
      <c r="C100" s="6" t="s">
        <v>23</v>
      </c>
      <c r="D100" s="6" t="s">
        <v>23</v>
      </c>
      <c r="E100" s="6">
        <v>70</v>
      </c>
      <c r="F100" s="6" t="s">
        <v>23</v>
      </c>
      <c r="G100" s="6" t="s">
        <v>23</v>
      </c>
      <c r="H100" s="6" t="s">
        <v>23</v>
      </c>
      <c r="I100" s="6">
        <v>97</v>
      </c>
      <c r="J100" s="6">
        <v>65</v>
      </c>
      <c r="K100" s="6" t="s">
        <v>23</v>
      </c>
      <c r="L100" s="6" t="s">
        <v>23</v>
      </c>
      <c r="M100" s="6" t="s">
        <v>23</v>
      </c>
      <c r="N100" s="6" t="s">
        <v>23</v>
      </c>
      <c r="O100" s="6" t="s">
        <v>23</v>
      </c>
      <c r="P100" s="6" t="s">
        <v>23</v>
      </c>
      <c r="Q100" s="6">
        <v>94</v>
      </c>
      <c r="R100" s="6">
        <v>78</v>
      </c>
      <c r="S100" s="6">
        <v>76</v>
      </c>
      <c r="T100" s="6" t="s">
        <v>23</v>
      </c>
      <c r="U100" s="7" t="s">
        <v>23</v>
      </c>
      <c r="V100">
        <f t="shared" si="1"/>
        <v>1</v>
      </c>
    </row>
    <row r="101" spans="1:22" x14ac:dyDescent="0.35">
      <c r="A101" s="8" t="s">
        <v>96</v>
      </c>
      <c r="B101" s="9">
        <v>95032801950</v>
      </c>
      <c r="C101" s="9" t="s">
        <v>23</v>
      </c>
      <c r="D101" s="9" t="s">
        <v>23</v>
      </c>
      <c r="E101" s="9">
        <v>32</v>
      </c>
      <c r="F101" s="9" t="s">
        <v>23</v>
      </c>
      <c r="G101" s="9" t="s">
        <v>23</v>
      </c>
      <c r="H101" s="9" t="s">
        <v>23</v>
      </c>
      <c r="I101" s="9">
        <v>95</v>
      </c>
      <c r="J101" s="9">
        <v>75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9" t="s">
        <v>23</v>
      </c>
      <c r="Q101" s="9">
        <v>72</v>
      </c>
      <c r="R101" s="9">
        <v>58</v>
      </c>
      <c r="S101" s="9">
        <v>54</v>
      </c>
      <c r="T101" s="9" t="s">
        <v>23</v>
      </c>
      <c r="U101" s="10" t="s">
        <v>23</v>
      </c>
      <c r="V101">
        <f t="shared" si="1"/>
        <v>0</v>
      </c>
    </row>
    <row r="102" spans="1:22" x14ac:dyDescent="0.35">
      <c r="A102" s="5" t="s">
        <v>96</v>
      </c>
      <c r="B102" s="6">
        <v>95040804338</v>
      </c>
      <c r="C102" s="6">
        <v>37</v>
      </c>
      <c r="D102" s="6" t="s">
        <v>23</v>
      </c>
      <c r="E102" s="6">
        <v>37</v>
      </c>
      <c r="F102" s="6" t="s">
        <v>23</v>
      </c>
      <c r="G102" s="6" t="s">
        <v>23</v>
      </c>
      <c r="H102" s="6" t="s">
        <v>23</v>
      </c>
      <c r="I102" s="6">
        <v>96</v>
      </c>
      <c r="J102" s="6">
        <v>84</v>
      </c>
      <c r="K102" s="6" t="s">
        <v>23</v>
      </c>
      <c r="L102" s="6" t="s">
        <v>23</v>
      </c>
      <c r="M102" s="6" t="s">
        <v>23</v>
      </c>
      <c r="N102" s="6" t="s">
        <v>23</v>
      </c>
      <c r="O102" s="6" t="s">
        <v>23</v>
      </c>
      <c r="P102" s="6" t="s">
        <v>23</v>
      </c>
      <c r="Q102" s="6">
        <v>86</v>
      </c>
      <c r="R102" s="6" t="s">
        <v>23</v>
      </c>
      <c r="S102" s="6">
        <v>53</v>
      </c>
      <c r="T102" s="6" t="s">
        <v>23</v>
      </c>
      <c r="U102" s="7" t="s">
        <v>23</v>
      </c>
      <c r="V102">
        <f t="shared" si="1"/>
        <v>0</v>
      </c>
    </row>
    <row r="103" spans="1:22" x14ac:dyDescent="0.35">
      <c r="A103" s="8" t="s">
        <v>96</v>
      </c>
      <c r="B103" s="9">
        <v>95050803734</v>
      </c>
      <c r="C103" s="9" t="s">
        <v>23</v>
      </c>
      <c r="D103" s="9" t="s">
        <v>23</v>
      </c>
      <c r="E103" s="9">
        <v>75</v>
      </c>
      <c r="F103" s="9" t="s">
        <v>23</v>
      </c>
      <c r="G103" s="9" t="s">
        <v>23</v>
      </c>
      <c r="H103" s="9" t="s">
        <v>23</v>
      </c>
      <c r="I103" s="9">
        <v>98</v>
      </c>
      <c r="J103" s="9">
        <v>94</v>
      </c>
      <c r="K103" s="9" t="s">
        <v>23</v>
      </c>
      <c r="L103" s="9" t="s">
        <v>23</v>
      </c>
      <c r="M103" s="9" t="s">
        <v>23</v>
      </c>
      <c r="N103" s="9" t="s">
        <v>23</v>
      </c>
      <c r="O103" s="9" t="s">
        <v>23</v>
      </c>
      <c r="P103" s="9" t="s">
        <v>23</v>
      </c>
      <c r="Q103" s="9">
        <v>84</v>
      </c>
      <c r="R103" s="9">
        <v>82</v>
      </c>
      <c r="S103" s="9">
        <v>56</v>
      </c>
      <c r="T103" s="9" t="s">
        <v>23</v>
      </c>
      <c r="U103" s="10" t="s">
        <v>23</v>
      </c>
      <c r="V103">
        <f t="shared" si="1"/>
        <v>0</v>
      </c>
    </row>
    <row r="104" spans="1:22" x14ac:dyDescent="0.35">
      <c r="A104" s="5" t="s">
        <v>96</v>
      </c>
      <c r="B104" s="6">
        <v>95052200645</v>
      </c>
      <c r="C104" s="6" t="s">
        <v>23</v>
      </c>
      <c r="D104" s="6" t="s">
        <v>23</v>
      </c>
      <c r="E104" s="6">
        <v>92</v>
      </c>
      <c r="F104" s="6" t="s">
        <v>23</v>
      </c>
      <c r="G104" s="6" t="s">
        <v>23</v>
      </c>
      <c r="H104" s="6" t="s">
        <v>23</v>
      </c>
      <c r="I104" s="6">
        <v>98</v>
      </c>
      <c r="J104" s="6">
        <v>86</v>
      </c>
      <c r="K104" s="6" t="s">
        <v>23</v>
      </c>
      <c r="L104" s="6" t="s">
        <v>23</v>
      </c>
      <c r="M104" s="6" t="s">
        <v>23</v>
      </c>
      <c r="N104" s="6" t="s">
        <v>23</v>
      </c>
      <c r="O104" s="6" t="s">
        <v>23</v>
      </c>
      <c r="P104" s="6" t="s">
        <v>23</v>
      </c>
      <c r="Q104" s="6">
        <v>94</v>
      </c>
      <c r="R104" s="6">
        <v>88</v>
      </c>
      <c r="S104" s="6">
        <v>77</v>
      </c>
      <c r="T104" s="6" t="s">
        <v>23</v>
      </c>
      <c r="U104" s="7" t="s">
        <v>23</v>
      </c>
      <c r="V104">
        <f t="shared" si="1"/>
        <v>1</v>
      </c>
    </row>
    <row r="105" spans="1:22" x14ac:dyDescent="0.35">
      <c r="A105" s="8" t="s">
        <v>96</v>
      </c>
      <c r="B105" s="9">
        <v>95052901713</v>
      </c>
      <c r="C105" s="9" t="s">
        <v>23</v>
      </c>
      <c r="D105" s="9" t="s">
        <v>23</v>
      </c>
      <c r="E105" s="9" t="s">
        <v>23</v>
      </c>
      <c r="F105" s="9">
        <v>45</v>
      </c>
      <c r="G105" s="9" t="s">
        <v>23</v>
      </c>
      <c r="H105" s="9" t="s">
        <v>23</v>
      </c>
      <c r="I105" s="9">
        <v>100</v>
      </c>
      <c r="J105" s="9">
        <v>80</v>
      </c>
      <c r="K105" s="9" t="s">
        <v>23</v>
      </c>
      <c r="L105" s="9" t="s">
        <v>23</v>
      </c>
      <c r="M105" s="9" t="s">
        <v>23</v>
      </c>
      <c r="N105" s="9" t="s">
        <v>23</v>
      </c>
      <c r="O105" s="9" t="s">
        <v>23</v>
      </c>
      <c r="P105" s="9" t="s">
        <v>23</v>
      </c>
      <c r="Q105" s="9">
        <v>78</v>
      </c>
      <c r="R105" s="9">
        <v>36</v>
      </c>
      <c r="S105" s="9">
        <v>30</v>
      </c>
      <c r="T105" s="9" t="s">
        <v>23</v>
      </c>
      <c r="U105" s="10" t="s">
        <v>23</v>
      </c>
      <c r="V105">
        <f t="shared" si="1"/>
        <v>0</v>
      </c>
    </row>
    <row r="106" spans="1:22" x14ac:dyDescent="0.35">
      <c r="A106" s="5" t="s">
        <v>96</v>
      </c>
      <c r="B106" s="6">
        <v>95060303600</v>
      </c>
      <c r="C106" s="6" t="s">
        <v>23</v>
      </c>
      <c r="D106" s="6" t="s">
        <v>23</v>
      </c>
      <c r="E106" s="6" t="s">
        <v>23</v>
      </c>
      <c r="F106" s="6" t="s">
        <v>23</v>
      </c>
      <c r="G106" s="6" t="s">
        <v>23</v>
      </c>
      <c r="H106" s="6" t="s">
        <v>23</v>
      </c>
      <c r="I106" s="6">
        <v>100</v>
      </c>
      <c r="J106" s="6">
        <v>94</v>
      </c>
      <c r="K106" s="6">
        <v>99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23</v>
      </c>
      <c r="Q106" s="6">
        <v>80</v>
      </c>
      <c r="R106" s="6">
        <v>74</v>
      </c>
      <c r="S106" s="6">
        <v>74</v>
      </c>
      <c r="T106" s="6" t="s">
        <v>23</v>
      </c>
      <c r="U106" s="7" t="s">
        <v>23</v>
      </c>
      <c r="V106">
        <f t="shared" si="1"/>
        <v>1</v>
      </c>
    </row>
    <row r="107" spans="1:22" x14ac:dyDescent="0.35">
      <c r="A107" s="8" t="s">
        <v>96</v>
      </c>
      <c r="B107" s="9">
        <v>95060705327</v>
      </c>
      <c r="C107" s="9" t="s">
        <v>23</v>
      </c>
      <c r="D107" s="9" t="s">
        <v>23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>
        <v>98</v>
      </c>
      <c r="J107" s="9">
        <v>78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23</v>
      </c>
      <c r="Q107" s="9">
        <v>64</v>
      </c>
      <c r="R107" s="9" t="s">
        <v>23</v>
      </c>
      <c r="S107" s="9">
        <v>54</v>
      </c>
      <c r="T107" s="9" t="s">
        <v>23</v>
      </c>
      <c r="U107" s="10" t="s">
        <v>23</v>
      </c>
      <c r="V107">
        <f t="shared" si="1"/>
        <v>1</v>
      </c>
    </row>
    <row r="108" spans="1:22" x14ac:dyDescent="0.35">
      <c r="A108" s="5" t="s">
        <v>96</v>
      </c>
      <c r="B108" s="6">
        <v>95060913018</v>
      </c>
      <c r="C108" s="6" t="s">
        <v>23</v>
      </c>
      <c r="D108" s="6" t="s">
        <v>23</v>
      </c>
      <c r="E108" s="6">
        <v>72</v>
      </c>
      <c r="F108" s="6" t="s">
        <v>23</v>
      </c>
      <c r="G108" s="6" t="s">
        <v>23</v>
      </c>
      <c r="H108" s="6" t="s">
        <v>23</v>
      </c>
      <c r="I108" s="6">
        <v>98</v>
      </c>
      <c r="J108" s="6">
        <v>79</v>
      </c>
      <c r="K108" s="6" t="s">
        <v>23</v>
      </c>
      <c r="L108" s="6" t="s">
        <v>23</v>
      </c>
      <c r="M108" s="6" t="s">
        <v>23</v>
      </c>
      <c r="N108" s="6" t="s">
        <v>23</v>
      </c>
      <c r="O108" s="6" t="s">
        <v>23</v>
      </c>
      <c r="P108" s="6" t="s">
        <v>23</v>
      </c>
      <c r="Q108" s="6">
        <v>100</v>
      </c>
      <c r="R108" s="6">
        <v>78</v>
      </c>
      <c r="S108" s="6">
        <v>64</v>
      </c>
      <c r="T108" s="6" t="s">
        <v>23</v>
      </c>
      <c r="U108" s="7" t="s">
        <v>23</v>
      </c>
      <c r="V108">
        <f t="shared" si="1"/>
        <v>0</v>
      </c>
    </row>
    <row r="109" spans="1:22" x14ac:dyDescent="0.35">
      <c r="A109" s="8" t="s">
        <v>96</v>
      </c>
      <c r="B109" s="9">
        <v>95072510054</v>
      </c>
      <c r="C109" s="9" t="s">
        <v>23</v>
      </c>
      <c r="D109" s="9" t="s">
        <v>23</v>
      </c>
      <c r="E109" s="9">
        <v>62</v>
      </c>
      <c r="F109" s="9" t="s">
        <v>23</v>
      </c>
      <c r="G109" s="9" t="s">
        <v>23</v>
      </c>
      <c r="H109" s="9" t="s">
        <v>23</v>
      </c>
      <c r="I109" s="9">
        <v>100</v>
      </c>
      <c r="J109" s="9">
        <v>75</v>
      </c>
      <c r="K109" s="9" t="s">
        <v>23</v>
      </c>
      <c r="L109" s="9" t="s">
        <v>23</v>
      </c>
      <c r="M109" s="9" t="s">
        <v>23</v>
      </c>
      <c r="N109" s="9" t="s">
        <v>23</v>
      </c>
      <c r="O109" s="9" t="s">
        <v>23</v>
      </c>
      <c r="P109" s="9" t="s">
        <v>23</v>
      </c>
      <c r="Q109" s="9">
        <v>92</v>
      </c>
      <c r="R109" s="9">
        <v>38</v>
      </c>
      <c r="S109" s="9">
        <v>74</v>
      </c>
      <c r="T109" s="9" t="s">
        <v>23</v>
      </c>
      <c r="U109" s="10" t="s">
        <v>23</v>
      </c>
      <c r="V109">
        <f t="shared" si="1"/>
        <v>0</v>
      </c>
    </row>
    <row r="110" spans="1:22" x14ac:dyDescent="0.35">
      <c r="A110" s="5" t="s">
        <v>96</v>
      </c>
      <c r="B110" s="6">
        <v>95080407818</v>
      </c>
      <c r="C110" s="6" t="s">
        <v>23</v>
      </c>
      <c r="D110" s="6" t="s">
        <v>23</v>
      </c>
      <c r="E110" s="6" t="s">
        <v>23</v>
      </c>
      <c r="F110" s="6" t="s">
        <v>23</v>
      </c>
      <c r="G110" s="6" t="s">
        <v>23</v>
      </c>
      <c r="H110" s="6">
        <v>70</v>
      </c>
      <c r="I110" s="6">
        <v>98</v>
      </c>
      <c r="J110" s="6">
        <v>79</v>
      </c>
      <c r="K110" s="6" t="s">
        <v>23</v>
      </c>
      <c r="L110" s="6" t="s">
        <v>23</v>
      </c>
      <c r="M110" s="6" t="s">
        <v>23</v>
      </c>
      <c r="N110" s="6" t="s">
        <v>23</v>
      </c>
      <c r="O110" s="6" t="s">
        <v>23</v>
      </c>
      <c r="P110" s="6" t="s">
        <v>23</v>
      </c>
      <c r="Q110" s="6">
        <v>94</v>
      </c>
      <c r="R110" s="6">
        <v>62</v>
      </c>
      <c r="S110" s="6">
        <v>59</v>
      </c>
      <c r="T110" s="6" t="s">
        <v>23</v>
      </c>
      <c r="U110" s="7" t="s">
        <v>23</v>
      </c>
      <c r="V110">
        <f t="shared" si="1"/>
        <v>0</v>
      </c>
    </row>
    <row r="111" spans="1:22" x14ac:dyDescent="0.35">
      <c r="A111" s="8" t="s">
        <v>96</v>
      </c>
      <c r="B111" s="9">
        <v>95080805098</v>
      </c>
      <c r="C111" s="9" t="s">
        <v>23</v>
      </c>
      <c r="D111" s="9" t="s">
        <v>23</v>
      </c>
      <c r="E111" s="9">
        <v>48</v>
      </c>
      <c r="F111" s="9" t="s">
        <v>23</v>
      </c>
      <c r="G111" s="9" t="s">
        <v>23</v>
      </c>
      <c r="H111" s="9" t="s">
        <v>23</v>
      </c>
      <c r="I111" s="9">
        <v>84</v>
      </c>
      <c r="J111" s="9">
        <v>28</v>
      </c>
      <c r="K111" s="9" t="s">
        <v>23</v>
      </c>
      <c r="L111" s="9" t="s">
        <v>23</v>
      </c>
      <c r="M111" s="9" t="s">
        <v>23</v>
      </c>
      <c r="N111" s="9" t="s">
        <v>23</v>
      </c>
      <c r="O111" s="9" t="s">
        <v>23</v>
      </c>
      <c r="P111" s="9" t="s">
        <v>23</v>
      </c>
      <c r="Q111" s="9">
        <v>88</v>
      </c>
      <c r="R111" s="9">
        <v>68</v>
      </c>
      <c r="S111" s="9">
        <v>51</v>
      </c>
      <c r="T111" s="9" t="s">
        <v>23</v>
      </c>
      <c r="U111" s="10" t="s">
        <v>23</v>
      </c>
      <c r="V111">
        <f t="shared" si="1"/>
        <v>0</v>
      </c>
    </row>
    <row r="112" spans="1:22" x14ac:dyDescent="0.35">
      <c r="A112" s="5" t="s">
        <v>96</v>
      </c>
      <c r="B112" s="6">
        <v>95081600791</v>
      </c>
      <c r="C112" s="6" t="s">
        <v>23</v>
      </c>
      <c r="D112" s="6" t="s">
        <v>23</v>
      </c>
      <c r="E112" s="6">
        <v>62</v>
      </c>
      <c r="F112" s="6" t="s">
        <v>23</v>
      </c>
      <c r="G112" s="6" t="s">
        <v>23</v>
      </c>
      <c r="H112" s="6" t="s">
        <v>23</v>
      </c>
      <c r="I112" s="6">
        <v>98</v>
      </c>
      <c r="J112" s="6">
        <v>79</v>
      </c>
      <c r="K112" s="6" t="s">
        <v>23</v>
      </c>
      <c r="L112" s="6" t="s">
        <v>23</v>
      </c>
      <c r="M112" s="6" t="s">
        <v>23</v>
      </c>
      <c r="N112" s="6" t="s">
        <v>23</v>
      </c>
      <c r="O112" s="6" t="s">
        <v>23</v>
      </c>
      <c r="P112" s="6" t="s">
        <v>23</v>
      </c>
      <c r="Q112" s="6">
        <v>100</v>
      </c>
      <c r="R112" s="6">
        <v>66</v>
      </c>
      <c r="S112" s="6">
        <v>51</v>
      </c>
      <c r="T112" s="6" t="s">
        <v>23</v>
      </c>
      <c r="U112" s="7" t="s">
        <v>23</v>
      </c>
      <c r="V112">
        <f t="shared" si="1"/>
        <v>0</v>
      </c>
    </row>
    <row r="113" spans="1:22" x14ac:dyDescent="0.35">
      <c r="A113" s="8" t="s">
        <v>96</v>
      </c>
      <c r="B113" s="9">
        <v>95082906797</v>
      </c>
      <c r="C113" s="9" t="s">
        <v>23</v>
      </c>
      <c r="D113" s="9" t="s">
        <v>23</v>
      </c>
      <c r="E113" s="9">
        <v>67</v>
      </c>
      <c r="F113" s="9" t="s">
        <v>23</v>
      </c>
      <c r="G113" s="9" t="s">
        <v>23</v>
      </c>
      <c r="H113" s="9" t="s">
        <v>23</v>
      </c>
      <c r="I113" s="9">
        <v>100</v>
      </c>
      <c r="J113" s="9">
        <v>85</v>
      </c>
      <c r="K113" s="9" t="s">
        <v>23</v>
      </c>
      <c r="L113" s="9" t="s">
        <v>23</v>
      </c>
      <c r="M113" s="9" t="s">
        <v>23</v>
      </c>
      <c r="N113" s="9" t="s">
        <v>23</v>
      </c>
      <c r="O113" s="9" t="s">
        <v>23</v>
      </c>
      <c r="P113" s="9" t="s">
        <v>23</v>
      </c>
      <c r="Q113" s="9">
        <v>92</v>
      </c>
      <c r="R113" s="9">
        <v>70</v>
      </c>
      <c r="S113" s="9">
        <v>63</v>
      </c>
      <c r="T113" s="9" t="s">
        <v>23</v>
      </c>
      <c r="U113" s="10" t="s">
        <v>23</v>
      </c>
      <c r="V113">
        <f t="shared" si="1"/>
        <v>0</v>
      </c>
    </row>
    <row r="114" spans="1:22" x14ac:dyDescent="0.35">
      <c r="A114" s="5" t="s">
        <v>96</v>
      </c>
      <c r="B114" s="6">
        <v>95083100398</v>
      </c>
      <c r="C114" s="6" t="s">
        <v>23</v>
      </c>
      <c r="D114" s="6" t="s">
        <v>23</v>
      </c>
      <c r="E114" s="6">
        <v>67</v>
      </c>
      <c r="F114" s="6" t="s">
        <v>23</v>
      </c>
      <c r="G114" s="6" t="s">
        <v>23</v>
      </c>
      <c r="H114" s="6" t="s">
        <v>23</v>
      </c>
      <c r="I114" s="6">
        <v>100</v>
      </c>
      <c r="J114" s="6">
        <v>78</v>
      </c>
      <c r="K114" s="6" t="s">
        <v>23</v>
      </c>
      <c r="L114" s="6" t="s">
        <v>23</v>
      </c>
      <c r="M114" s="6" t="s">
        <v>23</v>
      </c>
      <c r="N114" s="6" t="s">
        <v>23</v>
      </c>
      <c r="O114" s="6" t="s">
        <v>23</v>
      </c>
      <c r="P114" s="6" t="s">
        <v>23</v>
      </c>
      <c r="Q114" s="6">
        <v>98</v>
      </c>
      <c r="R114" s="6">
        <v>68</v>
      </c>
      <c r="S114" s="6">
        <v>63</v>
      </c>
      <c r="T114" s="6" t="s">
        <v>23</v>
      </c>
      <c r="U114" s="7" t="s">
        <v>23</v>
      </c>
      <c r="V114">
        <f t="shared" si="1"/>
        <v>0</v>
      </c>
    </row>
    <row r="115" spans="1:22" x14ac:dyDescent="0.35">
      <c r="A115" s="8" t="s">
        <v>96</v>
      </c>
      <c r="B115" s="9">
        <v>95091803737</v>
      </c>
      <c r="C115" s="9" t="s">
        <v>23</v>
      </c>
      <c r="D115" s="9" t="s">
        <v>23</v>
      </c>
      <c r="E115" s="9" t="s">
        <v>23</v>
      </c>
      <c r="F115" s="9" t="s">
        <v>23</v>
      </c>
      <c r="G115" s="9" t="s">
        <v>23</v>
      </c>
      <c r="H115" s="9">
        <v>98</v>
      </c>
      <c r="I115" s="9">
        <v>99</v>
      </c>
      <c r="J115" s="9">
        <v>84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23</v>
      </c>
      <c r="Q115" s="9">
        <v>96</v>
      </c>
      <c r="R115" s="9">
        <v>92</v>
      </c>
      <c r="S115" s="9">
        <v>66</v>
      </c>
      <c r="T115" s="9" t="s">
        <v>23</v>
      </c>
      <c r="U115" s="10" t="s">
        <v>23</v>
      </c>
      <c r="V115">
        <f t="shared" si="1"/>
        <v>0</v>
      </c>
    </row>
    <row r="116" spans="1:22" x14ac:dyDescent="0.35">
      <c r="A116" s="5" t="s">
        <v>96</v>
      </c>
      <c r="B116" s="6">
        <v>95100400649</v>
      </c>
      <c r="C116" s="6" t="s">
        <v>23</v>
      </c>
      <c r="D116" s="6" t="s">
        <v>23</v>
      </c>
      <c r="E116" s="6" t="s">
        <v>23</v>
      </c>
      <c r="F116" s="6" t="s">
        <v>23</v>
      </c>
      <c r="G116" s="6" t="s">
        <v>23</v>
      </c>
      <c r="H116" s="6" t="s">
        <v>23</v>
      </c>
      <c r="I116" s="6">
        <v>96</v>
      </c>
      <c r="J116" s="6">
        <v>86</v>
      </c>
      <c r="K116" s="6" t="s">
        <v>23</v>
      </c>
      <c r="L116" s="6" t="s">
        <v>23</v>
      </c>
      <c r="M116" s="6" t="s">
        <v>23</v>
      </c>
      <c r="N116" s="6" t="s">
        <v>23</v>
      </c>
      <c r="O116" s="6" t="s">
        <v>23</v>
      </c>
      <c r="P116" s="6" t="s">
        <v>23</v>
      </c>
      <c r="Q116" s="6">
        <v>94</v>
      </c>
      <c r="R116" s="6">
        <v>60</v>
      </c>
      <c r="S116" s="6">
        <v>57</v>
      </c>
      <c r="T116" s="6" t="s">
        <v>23</v>
      </c>
      <c r="U116" s="7" t="s">
        <v>23</v>
      </c>
      <c r="V116">
        <f t="shared" si="1"/>
        <v>1</v>
      </c>
    </row>
    <row r="117" spans="1:22" x14ac:dyDescent="0.35">
      <c r="A117" s="8" t="s">
        <v>96</v>
      </c>
      <c r="B117" s="9">
        <v>95101104184</v>
      </c>
      <c r="C117" s="9" t="s">
        <v>23</v>
      </c>
      <c r="D117" s="9" t="s">
        <v>23</v>
      </c>
      <c r="E117" s="9">
        <v>55</v>
      </c>
      <c r="F117" s="9" t="s">
        <v>23</v>
      </c>
      <c r="G117" s="9" t="s">
        <v>23</v>
      </c>
      <c r="H117" s="9" t="s">
        <v>23</v>
      </c>
      <c r="I117" s="9">
        <v>97</v>
      </c>
      <c r="J117" s="9">
        <v>92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>
        <v>94</v>
      </c>
      <c r="R117" s="9">
        <v>78</v>
      </c>
      <c r="S117" s="9">
        <v>63</v>
      </c>
      <c r="T117" s="9" t="s">
        <v>23</v>
      </c>
      <c r="U117" s="10" t="s">
        <v>23</v>
      </c>
      <c r="V117">
        <f t="shared" si="1"/>
        <v>1</v>
      </c>
    </row>
    <row r="118" spans="1:22" x14ac:dyDescent="0.35">
      <c r="A118" s="5" t="s">
        <v>96</v>
      </c>
      <c r="B118" s="6">
        <v>95101303842</v>
      </c>
      <c r="C118" s="6" t="s">
        <v>23</v>
      </c>
      <c r="D118" s="6" t="s">
        <v>23</v>
      </c>
      <c r="E118" s="6">
        <v>78</v>
      </c>
      <c r="F118" s="6" t="s">
        <v>23</v>
      </c>
      <c r="G118" s="6" t="s">
        <v>23</v>
      </c>
      <c r="H118" s="6" t="s">
        <v>23</v>
      </c>
      <c r="I118" s="6">
        <v>98</v>
      </c>
      <c r="J118" s="6">
        <v>85</v>
      </c>
      <c r="K118" s="6" t="s">
        <v>23</v>
      </c>
      <c r="L118" s="6" t="s">
        <v>23</v>
      </c>
      <c r="M118" s="6" t="s">
        <v>23</v>
      </c>
      <c r="N118" s="6" t="s">
        <v>23</v>
      </c>
      <c r="O118" s="6" t="s">
        <v>23</v>
      </c>
      <c r="P118" s="6" t="s">
        <v>23</v>
      </c>
      <c r="Q118" s="6">
        <v>100</v>
      </c>
      <c r="R118" s="6">
        <v>92</v>
      </c>
      <c r="S118" s="6">
        <v>70</v>
      </c>
      <c r="T118" s="6" t="s">
        <v>23</v>
      </c>
      <c r="U118" s="7" t="s">
        <v>23</v>
      </c>
      <c r="V118">
        <f t="shared" si="1"/>
        <v>1</v>
      </c>
    </row>
    <row r="119" spans="1:22" x14ac:dyDescent="0.35">
      <c r="A119" s="8" t="s">
        <v>96</v>
      </c>
      <c r="B119" s="9">
        <v>95101902775</v>
      </c>
      <c r="C119" s="9" t="s">
        <v>23</v>
      </c>
      <c r="D119" s="9" t="s">
        <v>23</v>
      </c>
      <c r="E119" s="9" t="s">
        <v>23</v>
      </c>
      <c r="F119" s="9" t="s">
        <v>23</v>
      </c>
      <c r="G119" s="9" t="s">
        <v>23</v>
      </c>
      <c r="H119" s="9">
        <v>52</v>
      </c>
      <c r="I119" s="9">
        <v>96</v>
      </c>
      <c r="J119" s="9">
        <v>68</v>
      </c>
      <c r="K119" s="9" t="s">
        <v>23</v>
      </c>
      <c r="L119" s="9" t="s">
        <v>23</v>
      </c>
      <c r="M119" s="9" t="s">
        <v>23</v>
      </c>
      <c r="N119" s="9" t="s">
        <v>23</v>
      </c>
      <c r="O119" s="9" t="s">
        <v>23</v>
      </c>
      <c r="P119" s="9" t="s">
        <v>23</v>
      </c>
      <c r="Q119" s="9">
        <v>94</v>
      </c>
      <c r="R119" s="9">
        <v>56</v>
      </c>
      <c r="S119" s="9">
        <v>57</v>
      </c>
      <c r="T119" s="9" t="s">
        <v>23</v>
      </c>
      <c r="U119" s="10" t="s">
        <v>23</v>
      </c>
      <c r="V119">
        <f t="shared" si="1"/>
        <v>0</v>
      </c>
    </row>
    <row r="120" spans="1:22" x14ac:dyDescent="0.35">
      <c r="A120" s="5" t="s">
        <v>96</v>
      </c>
      <c r="B120" s="6">
        <v>95102002757</v>
      </c>
      <c r="C120" s="6" t="s">
        <v>23</v>
      </c>
      <c r="D120" s="6" t="s">
        <v>23</v>
      </c>
      <c r="E120" s="6">
        <v>70</v>
      </c>
      <c r="F120" s="6" t="s">
        <v>23</v>
      </c>
      <c r="G120" s="6" t="s">
        <v>23</v>
      </c>
      <c r="H120" s="6" t="s">
        <v>23</v>
      </c>
      <c r="I120" s="6">
        <v>100</v>
      </c>
      <c r="J120" s="6">
        <v>86</v>
      </c>
      <c r="K120" s="6" t="s">
        <v>23</v>
      </c>
      <c r="L120" s="6" t="s">
        <v>23</v>
      </c>
      <c r="M120" s="6" t="s">
        <v>23</v>
      </c>
      <c r="N120" s="6" t="s">
        <v>23</v>
      </c>
      <c r="O120" s="6" t="s">
        <v>23</v>
      </c>
      <c r="P120" s="6" t="s">
        <v>23</v>
      </c>
      <c r="Q120" s="6">
        <v>98</v>
      </c>
      <c r="R120" s="6">
        <v>78</v>
      </c>
      <c r="S120" s="6">
        <v>90</v>
      </c>
      <c r="T120" s="6" t="s">
        <v>23</v>
      </c>
      <c r="U120" s="7" t="s">
        <v>23</v>
      </c>
      <c r="V120">
        <f t="shared" si="1"/>
        <v>0</v>
      </c>
    </row>
    <row r="121" spans="1:22" x14ac:dyDescent="0.35">
      <c r="A121" s="8" t="s">
        <v>96</v>
      </c>
      <c r="B121" s="9">
        <v>95102301894</v>
      </c>
      <c r="C121" s="9" t="s">
        <v>23</v>
      </c>
      <c r="D121" s="9" t="s">
        <v>23</v>
      </c>
      <c r="E121" s="9">
        <v>32</v>
      </c>
      <c r="F121" s="9" t="s">
        <v>23</v>
      </c>
      <c r="G121" s="9" t="s">
        <v>23</v>
      </c>
      <c r="H121" s="9" t="s">
        <v>23</v>
      </c>
      <c r="I121" s="9">
        <v>96</v>
      </c>
      <c r="J121" s="9">
        <v>78</v>
      </c>
      <c r="K121" s="9" t="s">
        <v>23</v>
      </c>
      <c r="L121" s="9" t="s">
        <v>23</v>
      </c>
      <c r="M121" s="9" t="s">
        <v>23</v>
      </c>
      <c r="N121" s="9" t="s">
        <v>23</v>
      </c>
      <c r="O121" s="9" t="s">
        <v>23</v>
      </c>
      <c r="P121" s="9" t="s">
        <v>23</v>
      </c>
      <c r="Q121" s="9">
        <v>90</v>
      </c>
      <c r="R121" s="9">
        <v>74</v>
      </c>
      <c r="S121" s="9">
        <v>74</v>
      </c>
      <c r="T121" s="9" t="s">
        <v>23</v>
      </c>
      <c r="U121" s="10" t="s">
        <v>23</v>
      </c>
      <c r="V121">
        <f t="shared" si="1"/>
        <v>0</v>
      </c>
    </row>
    <row r="122" spans="1:22" x14ac:dyDescent="0.35">
      <c r="A122" s="5" t="s">
        <v>96</v>
      </c>
      <c r="B122" s="6">
        <v>95112306692</v>
      </c>
      <c r="C122" s="6" t="s">
        <v>23</v>
      </c>
      <c r="D122" s="6" t="s">
        <v>23</v>
      </c>
      <c r="E122" s="6">
        <v>75</v>
      </c>
      <c r="F122" s="6" t="s">
        <v>23</v>
      </c>
      <c r="G122" s="6" t="s">
        <v>23</v>
      </c>
      <c r="H122" s="6" t="s">
        <v>23</v>
      </c>
      <c r="I122" s="6">
        <v>100</v>
      </c>
      <c r="J122" s="6">
        <v>64</v>
      </c>
      <c r="K122" s="6" t="s">
        <v>23</v>
      </c>
      <c r="L122" s="6" t="s">
        <v>23</v>
      </c>
      <c r="M122" s="6" t="s">
        <v>23</v>
      </c>
      <c r="N122" s="6" t="s">
        <v>23</v>
      </c>
      <c r="O122" s="6" t="s">
        <v>23</v>
      </c>
      <c r="P122" s="6" t="s">
        <v>23</v>
      </c>
      <c r="Q122" s="6">
        <v>92</v>
      </c>
      <c r="R122" s="6">
        <v>74</v>
      </c>
      <c r="S122" s="6">
        <v>70</v>
      </c>
      <c r="T122" s="6" t="s">
        <v>23</v>
      </c>
      <c r="U122" s="7" t="s">
        <v>23</v>
      </c>
      <c r="V122">
        <f t="shared" si="1"/>
        <v>0</v>
      </c>
    </row>
    <row r="123" spans="1:22" x14ac:dyDescent="0.35">
      <c r="A123" s="8" t="s">
        <v>96</v>
      </c>
      <c r="B123" s="9">
        <v>95112702337</v>
      </c>
      <c r="C123" s="9" t="s">
        <v>23</v>
      </c>
      <c r="D123" s="9" t="s">
        <v>23</v>
      </c>
      <c r="E123" s="9">
        <v>63</v>
      </c>
      <c r="F123" s="9" t="s">
        <v>23</v>
      </c>
      <c r="G123" s="9" t="s">
        <v>23</v>
      </c>
      <c r="H123" s="9" t="s">
        <v>23</v>
      </c>
      <c r="I123" s="9">
        <v>96</v>
      </c>
      <c r="J123" s="9" t="s">
        <v>23</v>
      </c>
      <c r="K123" s="9" t="s">
        <v>23</v>
      </c>
      <c r="L123" s="9" t="s">
        <v>23</v>
      </c>
      <c r="M123" s="9" t="s">
        <v>23</v>
      </c>
      <c r="N123" s="9" t="s">
        <v>23</v>
      </c>
      <c r="O123" s="9" t="s">
        <v>23</v>
      </c>
      <c r="P123" s="9" t="s">
        <v>23</v>
      </c>
      <c r="Q123" s="9">
        <v>96</v>
      </c>
      <c r="R123" s="9">
        <v>92</v>
      </c>
      <c r="S123" s="9">
        <v>67</v>
      </c>
      <c r="T123" s="9" t="s">
        <v>23</v>
      </c>
      <c r="U123" s="10" t="s">
        <v>23</v>
      </c>
      <c r="V123">
        <f t="shared" si="1"/>
        <v>0</v>
      </c>
    </row>
    <row r="124" spans="1:22" x14ac:dyDescent="0.35">
      <c r="A124" s="5" t="s">
        <v>96</v>
      </c>
      <c r="B124" s="6">
        <v>95122110962</v>
      </c>
      <c r="C124" s="6" t="s">
        <v>23</v>
      </c>
      <c r="D124" s="6" t="s">
        <v>23</v>
      </c>
      <c r="E124" s="6" t="s">
        <v>23</v>
      </c>
      <c r="F124" s="6" t="s">
        <v>23</v>
      </c>
      <c r="G124" s="6" t="s">
        <v>23</v>
      </c>
      <c r="H124" s="6" t="s">
        <v>23</v>
      </c>
      <c r="I124" s="6">
        <v>98</v>
      </c>
      <c r="J124" s="6">
        <v>65</v>
      </c>
      <c r="K124" s="6" t="s">
        <v>23</v>
      </c>
      <c r="L124" s="6" t="s">
        <v>23</v>
      </c>
      <c r="M124" s="6" t="s">
        <v>23</v>
      </c>
      <c r="N124" s="6" t="s">
        <v>23</v>
      </c>
      <c r="O124" s="6" t="s">
        <v>23</v>
      </c>
      <c r="P124" s="6" t="s">
        <v>23</v>
      </c>
      <c r="Q124" s="6">
        <v>94</v>
      </c>
      <c r="R124" s="6">
        <v>68</v>
      </c>
      <c r="S124" s="6">
        <v>81</v>
      </c>
      <c r="T124" s="6" t="s">
        <v>23</v>
      </c>
      <c r="U124" s="7" t="s">
        <v>23</v>
      </c>
      <c r="V124">
        <f t="shared" si="1"/>
        <v>1</v>
      </c>
    </row>
    <row r="125" spans="1:22" x14ac:dyDescent="0.35">
      <c r="A125" s="8" t="s">
        <v>96</v>
      </c>
      <c r="B125" s="9">
        <v>95123001771</v>
      </c>
      <c r="C125" s="9" t="s">
        <v>23</v>
      </c>
      <c r="D125" s="9" t="s">
        <v>23</v>
      </c>
      <c r="E125" s="9" t="s">
        <v>23</v>
      </c>
      <c r="F125" s="9" t="s">
        <v>23</v>
      </c>
      <c r="G125" s="9" t="s">
        <v>23</v>
      </c>
      <c r="H125" s="9" t="s">
        <v>23</v>
      </c>
      <c r="I125" s="9">
        <v>98</v>
      </c>
      <c r="J125" s="9">
        <v>84</v>
      </c>
      <c r="K125" s="9" t="s">
        <v>23</v>
      </c>
      <c r="L125" s="9" t="s">
        <v>23</v>
      </c>
      <c r="M125" s="9" t="s">
        <v>23</v>
      </c>
      <c r="N125" s="9" t="s">
        <v>23</v>
      </c>
      <c r="O125" s="9" t="s">
        <v>23</v>
      </c>
      <c r="P125" s="9" t="s">
        <v>23</v>
      </c>
      <c r="Q125" s="9">
        <v>82</v>
      </c>
      <c r="R125" s="9">
        <v>54</v>
      </c>
      <c r="S125" s="9">
        <v>73</v>
      </c>
      <c r="T125" s="9" t="s">
        <v>23</v>
      </c>
      <c r="U125" s="10" t="s">
        <v>23</v>
      </c>
      <c r="V125">
        <f t="shared" si="1"/>
        <v>0</v>
      </c>
    </row>
    <row r="126" spans="1:22" x14ac:dyDescent="0.35">
      <c r="A126" s="5" t="s">
        <v>96</v>
      </c>
      <c r="B126" s="6">
        <v>96011200502</v>
      </c>
      <c r="C126" s="6" t="s">
        <v>23</v>
      </c>
      <c r="D126" s="6" t="s">
        <v>23</v>
      </c>
      <c r="E126" s="6">
        <v>77</v>
      </c>
      <c r="F126" s="6" t="s">
        <v>23</v>
      </c>
      <c r="G126" s="6" t="s">
        <v>23</v>
      </c>
      <c r="H126" s="6" t="s">
        <v>23</v>
      </c>
      <c r="I126" s="6">
        <v>94</v>
      </c>
      <c r="J126" s="6">
        <v>86</v>
      </c>
      <c r="K126" s="6" t="s">
        <v>23</v>
      </c>
      <c r="L126" s="6" t="s">
        <v>23</v>
      </c>
      <c r="M126" s="6" t="s">
        <v>23</v>
      </c>
      <c r="N126" s="6" t="s">
        <v>23</v>
      </c>
      <c r="O126" s="6" t="s">
        <v>23</v>
      </c>
      <c r="P126" s="6" t="s">
        <v>23</v>
      </c>
      <c r="Q126" s="6">
        <v>98</v>
      </c>
      <c r="R126" s="6">
        <v>64</v>
      </c>
      <c r="S126" s="6">
        <v>59</v>
      </c>
      <c r="T126" s="6" t="s">
        <v>23</v>
      </c>
      <c r="U126" s="7" t="s">
        <v>23</v>
      </c>
      <c r="V126">
        <f t="shared" si="1"/>
        <v>1</v>
      </c>
    </row>
    <row r="127" spans="1:22" x14ac:dyDescent="0.35">
      <c r="A127" s="8" t="s">
        <v>100</v>
      </c>
      <c r="B127" s="9">
        <v>94011110436</v>
      </c>
      <c r="C127" s="9" t="s">
        <v>23</v>
      </c>
      <c r="D127" s="9" t="s">
        <v>23</v>
      </c>
      <c r="E127" s="9" t="s">
        <v>23</v>
      </c>
      <c r="F127" s="9" t="s">
        <v>23</v>
      </c>
      <c r="G127" s="9" t="s">
        <v>23</v>
      </c>
      <c r="H127" s="9" t="s">
        <v>23</v>
      </c>
      <c r="I127" s="9">
        <v>96</v>
      </c>
      <c r="J127" s="9" t="s">
        <v>23</v>
      </c>
      <c r="K127" s="9" t="s">
        <v>23</v>
      </c>
      <c r="L127" s="9" t="s">
        <v>23</v>
      </c>
      <c r="M127" s="9">
        <v>97</v>
      </c>
      <c r="N127" s="9">
        <v>73</v>
      </c>
      <c r="O127" s="9" t="s">
        <v>23</v>
      </c>
      <c r="P127" s="9" t="s">
        <v>23</v>
      </c>
      <c r="Q127" s="9">
        <v>58</v>
      </c>
      <c r="R127" s="9" t="s">
        <v>23</v>
      </c>
      <c r="S127" s="9">
        <v>69</v>
      </c>
      <c r="T127" s="9">
        <v>65</v>
      </c>
      <c r="U127" s="10" t="s">
        <v>23</v>
      </c>
      <c r="V127">
        <f t="shared" si="1"/>
        <v>0</v>
      </c>
    </row>
    <row r="128" spans="1:22" x14ac:dyDescent="0.35">
      <c r="A128" s="5" t="s">
        <v>100</v>
      </c>
      <c r="B128" s="6">
        <v>94013113642</v>
      </c>
      <c r="C128" s="6" t="s">
        <v>23</v>
      </c>
      <c r="D128" s="6" t="s">
        <v>23</v>
      </c>
      <c r="E128" s="6" t="s">
        <v>23</v>
      </c>
      <c r="F128" s="6" t="s">
        <v>23</v>
      </c>
      <c r="G128" s="6" t="s">
        <v>23</v>
      </c>
      <c r="H128" s="6" t="s">
        <v>23</v>
      </c>
      <c r="I128" s="6">
        <v>96</v>
      </c>
      <c r="J128" s="6" t="s">
        <v>23</v>
      </c>
      <c r="K128" s="6" t="s">
        <v>23</v>
      </c>
      <c r="L128" s="6" t="s">
        <v>23</v>
      </c>
      <c r="M128" s="6">
        <v>83</v>
      </c>
      <c r="N128" s="6">
        <v>61</v>
      </c>
      <c r="O128" s="6" t="s">
        <v>23</v>
      </c>
      <c r="P128" s="6" t="s">
        <v>23</v>
      </c>
      <c r="Q128" s="6">
        <v>68</v>
      </c>
      <c r="R128" s="6" t="s">
        <v>23</v>
      </c>
      <c r="S128" s="6">
        <v>69</v>
      </c>
      <c r="T128" s="6">
        <v>58</v>
      </c>
      <c r="U128" s="7" t="s">
        <v>23</v>
      </c>
      <c r="V128">
        <f t="shared" si="1"/>
        <v>1</v>
      </c>
    </row>
    <row r="129" spans="1:22" x14ac:dyDescent="0.35">
      <c r="A129" s="8" t="s">
        <v>100</v>
      </c>
      <c r="B129" s="9">
        <v>94020211283</v>
      </c>
      <c r="C129" s="9" t="s">
        <v>23</v>
      </c>
      <c r="D129" s="9" t="s">
        <v>23</v>
      </c>
      <c r="E129" s="9" t="s">
        <v>23</v>
      </c>
      <c r="F129" s="9" t="s">
        <v>23</v>
      </c>
      <c r="G129" s="9" t="s">
        <v>23</v>
      </c>
      <c r="H129" s="9" t="s">
        <v>23</v>
      </c>
      <c r="I129" s="9">
        <v>88</v>
      </c>
      <c r="J129" s="9" t="s">
        <v>23</v>
      </c>
      <c r="K129" s="9" t="s">
        <v>23</v>
      </c>
      <c r="L129" s="9" t="s">
        <v>23</v>
      </c>
      <c r="M129" s="9">
        <v>90</v>
      </c>
      <c r="N129" s="9">
        <v>65</v>
      </c>
      <c r="O129" s="9" t="s">
        <v>23</v>
      </c>
      <c r="P129" s="9" t="s">
        <v>23</v>
      </c>
      <c r="Q129" s="9">
        <v>50</v>
      </c>
      <c r="R129" s="9" t="s">
        <v>23</v>
      </c>
      <c r="S129" s="9">
        <v>81</v>
      </c>
      <c r="T129" s="9">
        <v>58</v>
      </c>
      <c r="U129" s="10" t="s">
        <v>23</v>
      </c>
      <c r="V129">
        <f t="shared" si="1"/>
        <v>1</v>
      </c>
    </row>
    <row r="130" spans="1:22" x14ac:dyDescent="0.35">
      <c r="A130" s="5" t="s">
        <v>100</v>
      </c>
      <c r="B130" s="6">
        <v>94021306625</v>
      </c>
      <c r="C130" s="6" t="s">
        <v>23</v>
      </c>
      <c r="D130" s="6" t="s">
        <v>23</v>
      </c>
      <c r="E130" s="6" t="s">
        <v>23</v>
      </c>
      <c r="F130" s="6" t="s">
        <v>23</v>
      </c>
      <c r="G130" s="6" t="s">
        <v>23</v>
      </c>
      <c r="H130" s="6" t="s">
        <v>23</v>
      </c>
      <c r="I130" s="6">
        <v>90</v>
      </c>
      <c r="J130" s="6" t="s">
        <v>23</v>
      </c>
      <c r="K130" s="6" t="s">
        <v>23</v>
      </c>
      <c r="L130" s="6" t="s">
        <v>23</v>
      </c>
      <c r="M130" s="6">
        <v>84</v>
      </c>
      <c r="N130" s="6">
        <v>68</v>
      </c>
      <c r="O130" s="6" t="s">
        <v>23</v>
      </c>
      <c r="P130" s="6" t="s">
        <v>23</v>
      </c>
      <c r="Q130" s="6">
        <v>58</v>
      </c>
      <c r="R130" s="6" t="s">
        <v>23</v>
      </c>
      <c r="S130" s="6">
        <v>76</v>
      </c>
      <c r="T130" s="6">
        <v>88</v>
      </c>
      <c r="U130" s="7" t="s">
        <v>23</v>
      </c>
      <c r="V130">
        <f t="shared" si="1"/>
        <v>1</v>
      </c>
    </row>
    <row r="131" spans="1:22" x14ac:dyDescent="0.35">
      <c r="A131" s="8" t="s">
        <v>100</v>
      </c>
      <c r="B131" s="9">
        <v>94030804224</v>
      </c>
      <c r="C131" s="9" t="s">
        <v>23</v>
      </c>
      <c r="D131" s="9" t="s">
        <v>23</v>
      </c>
      <c r="E131" s="9" t="s">
        <v>23</v>
      </c>
      <c r="F131" s="9">
        <v>85</v>
      </c>
      <c r="G131" s="9" t="s">
        <v>23</v>
      </c>
      <c r="H131" s="9" t="s">
        <v>23</v>
      </c>
      <c r="I131" s="9" t="s">
        <v>23</v>
      </c>
      <c r="J131" s="9">
        <v>95</v>
      </c>
      <c r="K131" s="9" t="s">
        <v>23</v>
      </c>
      <c r="L131" s="9" t="s">
        <v>23</v>
      </c>
      <c r="M131" s="9">
        <v>100</v>
      </c>
      <c r="N131" s="9" t="s">
        <v>23</v>
      </c>
      <c r="O131" s="9" t="s">
        <v>23</v>
      </c>
      <c r="P131" s="9" t="s">
        <v>23</v>
      </c>
      <c r="Q131" s="9">
        <v>82</v>
      </c>
      <c r="R131" s="9" t="s">
        <v>23</v>
      </c>
      <c r="S131" s="9">
        <v>73</v>
      </c>
      <c r="T131" s="9">
        <v>88</v>
      </c>
      <c r="U131" s="10" t="s">
        <v>23</v>
      </c>
      <c r="V131">
        <f t="shared" ref="V131:V153" si="2">IF(MOD(MID(B131,10,1),2)=0,1,0)</f>
        <v>1</v>
      </c>
    </row>
    <row r="132" spans="1:22" x14ac:dyDescent="0.35">
      <c r="A132" s="5" t="s">
        <v>100</v>
      </c>
      <c r="B132" s="6">
        <v>94031410644</v>
      </c>
      <c r="C132" s="6" t="s">
        <v>23</v>
      </c>
      <c r="D132" s="6" t="s">
        <v>23</v>
      </c>
      <c r="E132" s="6" t="s">
        <v>23</v>
      </c>
      <c r="F132" s="6" t="s">
        <v>23</v>
      </c>
      <c r="G132" s="6" t="s">
        <v>23</v>
      </c>
      <c r="H132" s="6" t="s">
        <v>23</v>
      </c>
      <c r="I132" s="6">
        <v>96</v>
      </c>
      <c r="J132" s="6" t="s">
        <v>23</v>
      </c>
      <c r="K132" s="6" t="s">
        <v>23</v>
      </c>
      <c r="L132" s="6" t="s">
        <v>23</v>
      </c>
      <c r="M132" s="6" t="s">
        <v>23</v>
      </c>
      <c r="N132" s="6">
        <v>45</v>
      </c>
      <c r="O132" s="6" t="s">
        <v>23</v>
      </c>
      <c r="P132" s="6" t="s">
        <v>23</v>
      </c>
      <c r="Q132" s="6">
        <v>74</v>
      </c>
      <c r="R132" s="6" t="s">
        <v>23</v>
      </c>
      <c r="S132" s="6">
        <v>61</v>
      </c>
      <c r="T132" s="6">
        <v>83</v>
      </c>
      <c r="U132" s="7" t="s">
        <v>23</v>
      </c>
      <c r="V132">
        <f t="shared" si="2"/>
        <v>1</v>
      </c>
    </row>
    <row r="133" spans="1:22" x14ac:dyDescent="0.35">
      <c r="A133" s="8" t="s">
        <v>100</v>
      </c>
      <c r="B133" s="9">
        <v>94040607118</v>
      </c>
      <c r="C133" s="9" t="s">
        <v>23</v>
      </c>
      <c r="D133" s="9" t="s">
        <v>23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>
        <v>94</v>
      </c>
      <c r="J133" s="9">
        <v>79</v>
      </c>
      <c r="K133" s="9" t="s">
        <v>23</v>
      </c>
      <c r="L133" s="9" t="s">
        <v>23</v>
      </c>
      <c r="M133" s="9" t="s">
        <v>23</v>
      </c>
      <c r="N133" s="9">
        <v>79</v>
      </c>
      <c r="O133" s="9" t="s">
        <v>23</v>
      </c>
      <c r="P133" s="9" t="s">
        <v>23</v>
      </c>
      <c r="Q133" s="9">
        <v>64</v>
      </c>
      <c r="R133" s="9" t="s">
        <v>23</v>
      </c>
      <c r="S133" s="9">
        <v>74</v>
      </c>
      <c r="T133" s="9">
        <v>53</v>
      </c>
      <c r="U133" s="10" t="s">
        <v>23</v>
      </c>
      <c r="V133">
        <f t="shared" si="2"/>
        <v>0</v>
      </c>
    </row>
    <row r="134" spans="1:22" x14ac:dyDescent="0.35">
      <c r="A134" s="5" t="s">
        <v>100</v>
      </c>
      <c r="B134" s="6">
        <v>94042912726</v>
      </c>
      <c r="C134" s="6" t="s">
        <v>23</v>
      </c>
      <c r="D134" s="6" t="s">
        <v>23</v>
      </c>
      <c r="E134" s="6" t="s">
        <v>23</v>
      </c>
      <c r="F134" s="6">
        <v>38</v>
      </c>
      <c r="G134" s="6" t="s">
        <v>23</v>
      </c>
      <c r="H134" s="6" t="s">
        <v>23</v>
      </c>
      <c r="I134" s="6">
        <v>87</v>
      </c>
      <c r="J134" s="6">
        <v>69</v>
      </c>
      <c r="K134" s="6" t="s">
        <v>23</v>
      </c>
      <c r="L134" s="6" t="s">
        <v>23</v>
      </c>
      <c r="M134" s="6" t="s">
        <v>23</v>
      </c>
      <c r="N134" s="6">
        <v>72</v>
      </c>
      <c r="O134" s="6" t="s">
        <v>23</v>
      </c>
      <c r="P134" s="6" t="s">
        <v>23</v>
      </c>
      <c r="Q134" s="6">
        <v>56</v>
      </c>
      <c r="R134" s="6" t="s">
        <v>23</v>
      </c>
      <c r="S134" s="6">
        <v>54</v>
      </c>
      <c r="T134" s="6">
        <v>60</v>
      </c>
      <c r="U134" s="7" t="s">
        <v>23</v>
      </c>
      <c r="V134">
        <f t="shared" si="2"/>
        <v>1</v>
      </c>
    </row>
    <row r="135" spans="1:22" x14ac:dyDescent="0.35">
      <c r="A135" s="8" t="s">
        <v>100</v>
      </c>
      <c r="B135" s="9">
        <v>94060604247</v>
      </c>
      <c r="C135" s="9">
        <v>62</v>
      </c>
      <c r="D135" s="9">
        <v>35</v>
      </c>
      <c r="E135" s="9" t="s">
        <v>23</v>
      </c>
      <c r="F135" s="9" t="s">
        <v>23</v>
      </c>
      <c r="G135" s="9" t="s">
        <v>23</v>
      </c>
      <c r="H135" s="9" t="s">
        <v>23</v>
      </c>
      <c r="I135" s="9">
        <v>97</v>
      </c>
      <c r="J135" s="9" t="s">
        <v>23</v>
      </c>
      <c r="K135" s="9" t="s">
        <v>23</v>
      </c>
      <c r="L135" s="9" t="s">
        <v>23</v>
      </c>
      <c r="M135" s="9">
        <v>92</v>
      </c>
      <c r="N135" s="9">
        <v>52</v>
      </c>
      <c r="O135" s="9" t="s">
        <v>23</v>
      </c>
      <c r="P135" s="9" t="s">
        <v>23</v>
      </c>
      <c r="Q135" s="9">
        <v>56</v>
      </c>
      <c r="R135" s="9" t="s">
        <v>23</v>
      </c>
      <c r="S135" s="9">
        <v>67</v>
      </c>
      <c r="T135" s="9" t="s">
        <v>23</v>
      </c>
      <c r="U135" s="10" t="s">
        <v>23</v>
      </c>
      <c r="V135">
        <f t="shared" si="2"/>
        <v>1</v>
      </c>
    </row>
    <row r="136" spans="1:22" x14ac:dyDescent="0.35">
      <c r="A136" s="5" t="s">
        <v>100</v>
      </c>
      <c r="B136" s="6">
        <v>94062703166</v>
      </c>
      <c r="C136" s="6" t="s">
        <v>23</v>
      </c>
      <c r="D136" s="6" t="s">
        <v>23</v>
      </c>
      <c r="E136" s="6" t="s">
        <v>23</v>
      </c>
      <c r="F136" s="6">
        <v>50</v>
      </c>
      <c r="G136" s="6" t="s">
        <v>23</v>
      </c>
      <c r="H136" s="6" t="s">
        <v>23</v>
      </c>
      <c r="I136" s="6">
        <v>92</v>
      </c>
      <c r="J136" s="6" t="s">
        <v>23</v>
      </c>
      <c r="K136" s="6" t="s">
        <v>23</v>
      </c>
      <c r="L136" s="6" t="s">
        <v>23</v>
      </c>
      <c r="M136" s="6">
        <v>84</v>
      </c>
      <c r="N136" s="6">
        <v>63</v>
      </c>
      <c r="O136" s="6" t="s">
        <v>23</v>
      </c>
      <c r="P136" s="6" t="s">
        <v>23</v>
      </c>
      <c r="Q136" s="6">
        <v>54</v>
      </c>
      <c r="R136" s="6" t="s">
        <v>23</v>
      </c>
      <c r="S136" s="6">
        <v>60</v>
      </c>
      <c r="T136" s="6" t="s">
        <v>23</v>
      </c>
      <c r="U136" s="7" t="s">
        <v>23</v>
      </c>
      <c r="V136">
        <f t="shared" si="2"/>
        <v>1</v>
      </c>
    </row>
    <row r="137" spans="1:22" x14ac:dyDescent="0.35">
      <c r="A137" s="8" t="s">
        <v>100</v>
      </c>
      <c r="B137" s="9">
        <v>94063002080</v>
      </c>
      <c r="C137" s="9" t="s">
        <v>23</v>
      </c>
      <c r="D137" s="9" t="s">
        <v>23</v>
      </c>
      <c r="E137" s="9" t="s">
        <v>23</v>
      </c>
      <c r="F137" s="9">
        <v>82</v>
      </c>
      <c r="G137" s="9" t="s">
        <v>23</v>
      </c>
      <c r="H137" s="9" t="s">
        <v>23</v>
      </c>
      <c r="I137" s="9">
        <v>100</v>
      </c>
      <c r="J137" s="9" t="s">
        <v>23</v>
      </c>
      <c r="K137" s="9" t="s">
        <v>23</v>
      </c>
      <c r="L137" s="9" t="s">
        <v>23</v>
      </c>
      <c r="M137" s="9">
        <v>100</v>
      </c>
      <c r="N137" s="9" t="s">
        <v>23</v>
      </c>
      <c r="O137" s="9" t="s">
        <v>23</v>
      </c>
      <c r="P137" s="9" t="s">
        <v>23</v>
      </c>
      <c r="Q137" s="9">
        <v>100</v>
      </c>
      <c r="R137" s="9">
        <v>66</v>
      </c>
      <c r="S137" s="9">
        <v>73</v>
      </c>
      <c r="T137" s="9">
        <v>85</v>
      </c>
      <c r="U137" s="10" t="s">
        <v>23</v>
      </c>
      <c r="V137">
        <f t="shared" si="2"/>
        <v>1</v>
      </c>
    </row>
    <row r="138" spans="1:22" x14ac:dyDescent="0.35">
      <c r="A138" s="5" t="s">
        <v>100</v>
      </c>
      <c r="B138" s="6">
        <v>94081102166</v>
      </c>
      <c r="C138" s="6" t="s">
        <v>23</v>
      </c>
      <c r="D138" s="6" t="s">
        <v>23</v>
      </c>
      <c r="E138" s="6" t="s">
        <v>23</v>
      </c>
      <c r="F138" s="6" t="s">
        <v>23</v>
      </c>
      <c r="G138" s="6" t="s">
        <v>23</v>
      </c>
      <c r="H138" s="6" t="s">
        <v>23</v>
      </c>
      <c r="I138" s="6">
        <v>96</v>
      </c>
      <c r="J138" s="6" t="s">
        <v>23</v>
      </c>
      <c r="K138" s="6" t="s">
        <v>23</v>
      </c>
      <c r="L138" s="6" t="s">
        <v>23</v>
      </c>
      <c r="M138" s="6" t="s">
        <v>23</v>
      </c>
      <c r="N138" s="6">
        <v>79</v>
      </c>
      <c r="O138" s="6" t="s">
        <v>23</v>
      </c>
      <c r="P138" s="6" t="s">
        <v>23</v>
      </c>
      <c r="Q138" s="6">
        <v>56</v>
      </c>
      <c r="R138" s="6" t="s">
        <v>23</v>
      </c>
      <c r="S138" s="6">
        <v>81</v>
      </c>
      <c r="T138" s="6">
        <v>83</v>
      </c>
      <c r="U138" s="7" t="s">
        <v>23</v>
      </c>
      <c r="V138">
        <f t="shared" si="2"/>
        <v>1</v>
      </c>
    </row>
    <row r="139" spans="1:22" x14ac:dyDescent="0.35">
      <c r="A139" s="8" t="s">
        <v>100</v>
      </c>
      <c r="B139" s="9">
        <v>94082703588</v>
      </c>
      <c r="C139" s="9" t="s">
        <v>23</v>
      </c>
      <c r="D139" s="9" t="s">
        <v>23</v>
      </c>
      <c r="E139" s="9" t="s">
        <v>23</v>
      </c>
      <c r="F139" s="9" t="s">
        <v>23</v>
      </c>
      <c r="G139" s="9">
        <v>66</v>
      </c>
      <c r="H139" s="9" t="s">
        <v>23</v>
      </c>
      <c r="I139" s="9">
        <v>94</v>
      </c>
      <c r="J139" s="9">
        <v>93</v>
      </c>
      <c r="K139" s="9" t="s">
        <v>23</v>
      </c>
      <c r="L139" s="9" t="s">
        <v>23</v>
      </c>
      <c r="M139" s="9" t="s">
        <v>23</v>
      </c>
      <c r="N139" s="9">
        <v>83</v>
      </c>
      <c r="O139" s="9" t="s">
        <v>23</v>
      </c>
      <c r="P139" s="9" t="s">
        <v>23</v>
      </c>
      <c r="Q139" s="9">
        <v>78</v>
      </c>
      <c r="R139" s="9" t="s">
        <v>23</v>
      </c>
      <c r="S139" s="9">
        <v>90</v>
      </c>
      <c r="T139" s="9">
        <v>100</v>
      </c>
      <c r="U139" s="10" t="s">
        <v>23</v>
      </c>
      <c r="V139">
        <f t="shared" si="2"/>
        <v>1</v>
      </c>
    </row>
    <row r="140" spans="1:22" x14ac:dyDescent="0.35">
      <c r="A140" s="5" t="s">
        <v>100</v>
      </c>
      <c r="B140" s="6">
        <v>94082901146</v>
      </c>
      <c r="C140" s="6" t="s">
        <v>23</v>
      </c>
      <c r="D140" s="6" t="s">
        <v>23</v>
      </c>
      <c r="E140" s="6" t="s">
        <v>23</v>
      </c>
      <c r="F140" s="6">
        <v>75</v>
      </c>
      <c r="G140" s="6" t="s">
        <v>23</v>
      </c>
      <c r="H140" s="6" t="s">
        <v>23</v>
      </c>
      <c r="I140" s="6">
        <v>99</v>
      </c>
      <c r="J140" s="6">
        <v>83</v>
      </c>
      <c r="K140" s="6" t="s">
        <v>23</v>
      </c>
      <c r="L140" s="6" t="s">
        <v>23</v>
      </c>
      <c r="M140" s="6">
        <v>100</v>
      </c>
      <c r="N140" s="6" t="s">
        <v>23</v>
      </c>
      <c r="O140" s="6" t="s">
        <v>23</v>
      </c>
      <c r="P140" s="6" t="s">
        <v>23</v>
      </c>
      <c r="Q140" s="6">
        <v>78</v>
      </c>
      <c r="R140" s="6">
        <v>30</v>
      </c>
      <c r="S140" s="6">
        <v>79</v>
      </c>
      <c r="T140" s="6">
        <v>80</v>
      </c>
      <c r="U140" s="7" t="s">
        <v>23</v>
      </c>
      <c r="V140">
        <f t="shared" si="2"/>
        <v>1</v>
      </c>
    </row>
    <row r="141" spans="1:22" x14ac:dyDescent="0.35">
      <c r="A141" s="8" t="s">
        <v>100</v>
      </c>
      <c r="B141" s="9">
        <v>94082905447</v>
      </c>
      <c r="C141" s="9" t="s">
        <v>23</v>
      </c>
      <c r="D141" s="9" t="s">
        <v>23</v>
      </c>
      <c r="E141" s="9" t="s">
        <v>23</v>
      </c>
      <c r="F141" s="9" t="s">
        <v>23</v>
      </c>
      <c r="G141" s="9" t="s">
        <v>23</v>
      </c>
      <c r="H141" s="9" t="s">
        <v>23</v>
      </c>
      <c r="I141" s="9">
        <v>96</v>
      </c>
      <c r="J141" s="9" t="s">
        <v>23</v>
      </c>
      <c r="K141" s="9" t="s">
        <v>23</v>
      </c>
      <c r="L141" s="9" t="s">
        <v>23</v>
      </c>
      <c r="M141" s="9">
        <v>98</v>
      </c>
      <c r="N141" s="9">
        <v>96</v>
      </c>
      <c r="O141" s="9" t="s">
        <v>23</v>
      </c>
      <c r="P141" s="9" t="s">
        <v>23</v>
      </c>
      <c r="Q141" s="9">
        <v>44</v>
      </c>
      <c r="R141" s="9" t="s">
        <v>23</v>
      </c>
      <c r="S141" s="9">
        <v>69</v>
      </c>
      <c r="T141" s="9" t="s">
        <v>23</v>
      </c>
      <c r="U141" s="10" t="s">
        <v>23</v>
      </c>
      <c r="V141">
        <f t="shared" si="2"/>
        <v>1</v>
      </c>
    </row>
    <row r="142" spans="1:22" x14ac:dyDescent="0.35">
      <c r="A142" s="5" t="s">
        <v>100</v>
      </c>
      <c r="B142" s="6">
        <v>94083000868</v>
      </c>
      <c r="C142" s="6" t="s">
        <v>23</v>
      </c>
      <c r="D142" s="6" t="s">
        <v>23</v>
      </c>
      <c r="E142" s="6" t="s">
        <v>23</v>
      </c>
      <c r="F142" s="6" t="s">
        <v>23</v>
      </c>
      <c r="G142" s="6">
        <v>24</v>
      </c>
      <c r="H142" s="6" t="s">
        <v>23</v>
      </c>
      <c r="I142" s="6">
        <v>100</v>
      </c>
      <c r="J142" s="6">
        <v>63</v>
      </c>
      <c r="K142" s="6" t="s">
        <v>23</v>
      </c>
      <c r="L142" s="6" t="s">
        <v>23</v>
      </c>
      <c r="M142" s="6" t="s">
        <v>23</v>
      </c>
      <c r="N142" s="6">
        <v>61</v>
      </c>
      <c r="O142" s="6" t="s">
        <v>23</v>
      </c>
      <c r="P142" s="6" t="s">
        <v>23</v>
      </c>
      <c r="Q142" s="6">
        <v>40</v>
      </c>
      <c r="R142" s="6" t="s">
        <v>23</v>
      </c>
      <c r="S142" s="6">
        <v>76</v>
      </c>
      <c r="T142" s="6">
        <v>58</v>
      </c>
      <c r="U142" s="7">
        <v>16</v>
      </c>
      <c r="V142">
        <f t="shared" si="2"/>
        <v>1</v>
      </c>
    </row>
    <row r="143" spans="1:22" x14ac:dyDescent="0.35">
      <c r="A143" s="8" t="s">
        <v>100</v>
      </c>
      <c r="B143" s="9">
        <v>94090909307</v>
      </c>
      <c r="C143" s="9" t="s">
        <v>23</v>
      </c>
      <c r="D143" s="9" t="s">
        <v>23</v>
      </c>
      <c r="E143" s="9" t="s">
        <v>23</v>
      </c>
      <c r="F143" s="9" t="s">
        <v>23</v>
      </c>
      <c r="G143" s="9">
        <v>72</v>
      </c>
      <c r="H143" s="9" t="s">
        <v>23</v>
      </c>
      <c r="I143" s="9">
        <v>98</v>
      </c>
      <c r="J143" s="9">
        <v>76</v>
      </c>
      <c r="K143" s="9" t="s">
        <v>23</v>
      </c>
      <c r="L143" s="9" t="s">
        <v>23</v>
      </c>
      <c r="M143" s="9" t="s">
        <v>23</v>
      </c>
      <c r="N143" s="9">
        <v>77</v>
      </c>
      <c r="O143" s="9" t="s">
        <v>23</v>
      </c>
      <c r="P143" s="9" t="s">
        <v>23</v>
      </c>
      <c r="Q143" s="9">
        <v>64</v>
      </c>
      <c r="R143" s="9" t="s">
        <v>23</v>
      </c>
      <c r="S143" s="9">
        <v>79</v>
      </c>
      <c r="T143" s="9">
        <v>75</v>
      </c>
      <c r="U143" s="10">
        <v>46</v>
      </c>
      <c r="V143">
        <f t="shared" si="2"/>
        <v>1</v>
      </c>
    </row>
    <row r="144" spans="1:22" x14ac:dyDescent="0.35">
      <c r="A144" s="5" t="s">
        <v>100</v>
      </c>
      <c r="B144" s="6">
        <v>94091301085</v>
      </c>
      <c r="C144" s="6" t="s">
        <v>23</v>
      </c>
      <c r="D144" s="6" t="s">
        <v>23</v>
      </c>
      <c r="E144" s="6" t="s">
        <v>23</v>
      </c>
      <c r="F144" s="6" t="s">
        <v>23</v>
      </c>
      <c r="G144" s="6" t="s">
        <v>23</v>
      </c>
      <c r="H144" s="6" t="s">
        <v>23</v>
      </c>
      <c r="I144" s="6">
        <v>96</v>
      </c>
      <c r="J144" s="6">
        <v>71</v>
      </c>
      <c r="K144" s="6" t="s">
        <v>23</v>
      </c>
      <c r="L144" s="6" t="s">
        <v>23</v>
      </c>
      <c r="M144" s="6" t="s">
        <v>23</v>
      </c>
      <c r="N144" s="6">
        <v>70</v>
      </c>
      <c r="O144" s="6" t="s">
        <v>23</v>
      </c>
      <c r="P144" s="6" t="s">
        <v>23</v>
      </c>
      <c r="Q144" s="6">
        <v>40</v>
      </c>
      <c r="R144" s="6" t="s">
        <v>23</v>
      </c>
      <c r="S144" s="6">
        <v>37</v>
      </c>
      <c r="T144" s="6">
        <v>55</v>
      </c>
      <c r="U144" s="7" t="s">
        <v>23</v>
      </c>
      <c r="V144">
        <f t="shared" si="2"/>
        <v>1</v>
      </c>
    </row>
    <row r="145" spans="1:22" x14ac:dyDescent="0.35">
      <c r="A145" s="8" t="s">
        <v>100</v>
      </c>
      <c r="B145" s="9">
        <v>94092207960</v>
      </c>
      <c r="C145" s="9" t="s">
        <v>23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>
        <v>89</v>
      </c>
      <c r="K145" s="9" t="s">
        <v>23</v>
      </c>
      <c r="L145" s="9" t="s">
        <v>23</v>
      </c>
      <c r="M145" s="9">
        <v>96</v>
      </c>
      <c r="N145" s="9" t="s">
        <v>23</v>
      </c>
      <c r="O145" s="9" t="s">
        <v>23</v>
      </c>
      <c r="P145" s="9" t="s">
        <v>23</v>
      </c>
      <c r="Q145" s="9">
        <v>56</v>
      </c>
      <c r="R145" s="9" t="s">
        <v>23</v>
      </c>
      <c r="S145" s="9">
        <v>57</v>
      </c>
      <c r="T145" s="9">
        <v>63</v>
      </c>
      <c r="U145" s="10" t="s">
        <v>23</v>
      </c>
      <c r="V145">
        <f t="shared" si="2"/>
        <v>1</v>
      </c>
    </row>
    <row r="146" spans="1:22" x14ac:dyDescent="0.35">
      <c r="A146" s="5" t="s">
        <v>100</v>
      </c>
      <c r="B146" s="6">
        <v>94100706007</v>
      </c>
      <c r="C146" s="6" t="s">
        <v>23</v>
      </c>
      <c r="D146" s="6" t="s">
        <v>23</v>
      </c>
      <c r="E146" s="6" t="s">
        <v>23</v>
      </c>
      <c r="F146" s="6" t="s">
        <v>23</v>
      </c>
      <c r="G146" s="6" t="s">
        <v>23</v>
      </c>
      <c r="H146" s="6" t="s">
        <v>23</v>
      </c>
      <c r="I146" s="6" t="s">
        <v>23</v>
      </c>
      <c r="J146" s="6">
        <v>74</v>
      </c>
      <c r="K146" s="6" t="s">
        <v>23</v>
      </c>
      <c r="L146" s="6" t="s">
        <v>23</v>
      </c>
      <c r="M146" s="6">
        <v>98</v>
      </c>
      <c r="N146" s="6" t="s">
        <v>23</v>
      </c>
      <c r="O146" s="6" t="s">
        <v>23</v>
      </c>
      <c r="P146" s="6" t="s">
        <v>23</v>
      </c>
      <c r="Q146" s="6">
        <v>66</v>
      </c>
      <c r="R146" s="6" t="s">
        <v>23</v>
      </c>
      <c r="S146" s="6">
        <v>56</v>
      </c>
      <c r="T146" s="6" t="s">
        <v>23</v>
      </c>
      <c r="U146" s="7" t="s">
        <v>23</v>
      </c>
      <c r="V146">
        <f t="shared" si="2"/>
        <v>1</v>
      </c>
    </row>
    <row r="147" spans="1:22" x14ac:dyDescent="0.35">
      <c r="A147" s="8" t="s">
        <v>100</v>
      </c>
      <c r="B147" s="9">
        <v>94102604723</v>
      </c>
      <c r="C147" s="9" t="s">
        <v>23</v>
      </c>
      <c r="D147" s="9" t="s">
        <v>23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  <c r="L147" s="9">
        <v>73</v>
      </c>
      <c r="M147" s="9">
        <v>98</v>
      </c>
      <c r="N147" s="9">
        <v>82</v>
      </c>
      <c r="O147" s="9" t="s">
        <v>23</v>
      </c>
      <c r="P147" s="9" t="s">
        <v>23</v>
      </c>
      <c r="Q147" s="9">
        <v>68</v>
      </c>
      <c r="R147" s="9" t="s">
        <v>23</v>
      </c>
      <c r="S147" s="9">
        <v>50</v>
      </c>
      <c r="T147" s="9">
        <v>70</v>
      </c>
      <c r="U147" s="10" t="s">
        <v>23</v>
      </c>
      <c r="V147">
        <f t="shared" si="2"/>
        <v>1</v>
      </c>
    </row>
    <row r="148" spans="1:22" x14ac:dyDescent="0.35">
      <c r="A148" s="5" t="s">
        <v>100</v>
      </c>
      <c r="B148" s="6">
        <v>94103100907</v>
      </c>
      <c r="C148" s="6">
        <v>18</v>
      </c>
      <c r="D148" s="6">
        <v>12</v>
      </c>
      <c r="E148" s="6" t="s">
        <v>23</v>
      </c>
      <c r="F148" s="6" t="s">
        <v>23</v>
      </c>
      <c r="G148" s="6" t="s">
        <v>23</v>
      </c>
      <c r="H148" s="6" t="s">
        <v>23</v>
      </c>
      <c r="I148" s="6">
        <v>70</v>
      </c>
      <c r="J148" s="6" t="s">
        <v>23</v>
      </c>
      <c r="K148" s="6" t="s">
        <v>23</v>
      </c>
      <c r="L148" s="6" t="s">
        <v>23</v>
      </c>
      <c r="M148" s="6">
        <v>58</v>
      </c>
      <c r="N148" s="6" t="s">
        <v>23</v>
      </c>
      <c r="O148" s="6" t="s">
        <v>23</v>
      </c>
      <c r="P148" s="6" t="s">
        <v>23</v>
      </c>
      <c r="Q148" s="6">
        <v>58</v>
      </c>
      <c r="R148" s="6" t="s">
        <v>23</v>
      </c>
      <c r="S148" s="6">
        <v>43</v>
      </c>
      <c r="T148" s="6" t="s">
        <v>23</v>
      </c>
      <c r="U148" s="7" t="s">
        <v>23</v>
      </c>
      <c r="V148">
        <f t="shared" si="2"/>
        <v>1</v>
      </c>
    </row>
    <row r="149" spans="1:22" x14ac:dyDescent="0.35">
      <c r="A149" s="8" t="s">
        <v>100</v>
      </c>
      <c r="B149" s="9">
        <v>94110205866</v>
      </c>
      <c r="C149" s="9" t="s">
        <v>23</v>
      </c>
      <c r="D149" s="9" t="s">
        <v>23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>
        <v>78</v>
      </c>
      <c r="K149" s="9" t="s">
        <v>23</v>
      </c>
      <c r="L149" s="9" t="s">
        <v>23</v>
      </c>
      <c r="M149" s="9">
        <v>100</v>
      </c>
      <c r="N149" s="9" t="s">
        <v>23</v>
      </c>
      <c r="O149" s="9" t="s">
        <v>23</v>
      </c>
      <c r="P149" s="9" t="s">
        <v>23</v>
      </c>
      <c r="Q149" s="9">
        <v>96</v>
      </c>
      <c r="R149" s="9">
        <v>40</v>
      </c>
      <c r="S149" s="9">
        <v>80</v>
      </c>
      <c r="T149" s="9" t="s">
        <v>23</v>
      </c>
      <c r="U149" s="10" t="s">
        <v>23</v>
      </c>
      <c r="V149">
        <f t="shared" si="2"/>
        <v>1</v>
      </c>
    </row>
    <row r="150" spans="1:22" x14ac:dyDescent="0.35">
      <c r="A150" s="5" t="s">
        <v>100</v>
      </c>
      <c r="B150" s="6">
        <v>94121203482</v>
      </c>
      <c r="C150" s="6" t="s">
        <v>23</v>
      </c>
      <c r="D150" s="6" t="s">
        <v>23</v>
      </c>
      <c r="E150" s="6" t="s">
        <v>23</v>
      </c>
      <c r="F150" s="6" t="s">
        <v>23</v>
      </c>
      <c r="G150" s="6" t="s">
        <v>23</v>
      </c>
      <c r="H150" s="6" t="s">
        <v>23</v>
      </c>
      <c r="I150" s="6">
        <v>90</v>
      </c>
      <c r="J150" s="6" t="s">
        <v>23</v>
      </c>
      <c r="K150" s="6" t="s">
        <v>23</v>
      </c>
      <c r="L150" s="6" t="s">
        <v>23</v>
      </c>
      <c r="M150" s="6">
        <v>92</v>
      </c>
      <c r="N150" s="6">
        <v>71</v>
      </c>
      <c r="O150" s="6" t="s">
        <v>23</v>
      </c>
      <c r="P150" s="6" t="s">
        <v>23</v>
      </c>
      <c r="Q150" s="6">
        <v>38</v>
      </c>
      <c r="R150" s="6" t="s">
        <v>23</v>
      </c>
      <c r="S150" s="6">
        <v>47</v>
      </c>
      <c r="T150" s="6">
        <v>58</v>
      </c>
      <c r="U150" s="7" t="s">
        <v>23</v>
      </c>
      <c r="V150">
        <f t="shared" si="2"/>
        <v>1</v>
      </c>
    </row>
    <row r="151" spans="1:22" x14ac:dyDescent="0.35">
      <c r="A151" s="8" t="s">
        <v>100</v>
      </c>
      <c r="B151" s="9">
        <v>94121709025</v>
      </c>
      <c r="C151" s="9" t="s">
        <v>23</v>
      </c>
      <c r="D151" s="9" t="s">
        <v>23</v>
      </c>
      <c r="E151" s="9" t="s">
        <v>23</v>
      </c>
      <c r="F151" s="9">
        <v>53</v>
      </c>
      <c r="G151" s="9" t="s">
        <v>23</v>
      </c>
      <c r="H151" s="9" t="s">
        <v>23</v>
      </c>
      <c r="I151" s="9">
        <v>98</v>
      </c>
      <c r="J151" s="9">
        <v>66</v>
      </c>
      <c r="K151" s="9" t="s">
        <v>23</v>
      </c>
      <c r="L151" s="9" t="s">
        <v>23</v>
      </c>
      <c r="M151" s="9" t="s">
        <v>23</v>
      </c>
      <c r="N151" s="9">
        <v>67</v>
      </c>
      <c r="O151" s="9" t="s">
        <v>23</v>
      </c>
      <c r="P151" s="9" t="s">
        <v>23</v>
      </c>
      <c r="Q151" s="9">
        <v>62</v>
      </c>
      <c r="R151" s="9" t="s">
        <v>23</v>
      </c>
      <c r="S151" s="9">
        <v>71</v>
      </c>
      <c r="T151" s="9">
        <v>63</v>
      </c>
      <c r="U151" s="10" t="s">
        <v>23</v>
      </c>
      <c r="V151">
        <f t="shared" si="2"/>
        <v>1</v>
      </c>
    </row>
    <row r="152" spans="1:22" x14ac:dyDescent="0.35">
      <c r="A152" s="5" t="s">
        <v>100</v>
      </c>
      <c r="B152" s="6">
        <v>95011300625</v>
      </c>
      <c r="C152" s="6" t="s">
        <v>23</v>
      </c>
      <c r="D152" s="6" t="s">
        <v>23</v>
      </c>
      <c r="E152" s="6" t="s">
        <v>23</v>
      </c>
      <c r="F152" s="6">
        <v>52</v>
      </c>
      <c r="G152" s="6" t="s">
        <v>23</v>
      </c>
      <c r="H152" s="6" t="s">
        <v>23</v>
      </c>
      <c r="I152" s="6">
        <v>98</v>
      </c>
      <c r="J152" s="6" t="s">
        <v>23</v>
      </c>
      <c r="K152" s="6" t="s">
        <v>23</v>
      </c>
      <c r="L152" s="6" t="s">
        <v>23</v>
      </c>
      <c r="M152" s="6">
        <v>93</v>
      </c>
      <c r="N152" s="6">
        <v>70</v>
      </c>
      <c r="O152" s="6" t="s">
        <v>23</v>
      </c>
      <c r="P152" s="6" t="s">
        <v>23</v>
      </c>
      <c r="Q152" s="6">
        <v>58</v>
      </c>
      <c r="R152" s="6">
        <v>36</v>
      </c>
      <c r="S152" s="6">
        <v>41</v>
      </c>
      <c r="T152" s="6" t="s">
        <v>23</v>
      </c>
      <c r="U152" s="7" t="s">
        <v>23</v>
      </c>
      <c r="V152">
        <f t="shared" si="2"/>
        <v>1</v>
      </c>
    </row>
    <row r="153" spans="1:22" x14ac:dyDescent="0.35">
      <c r="A153" s="11" t="s">
        <v>100</v>
      </c>
      <c r="B153" s="1">
        <v>95032804489</v>
      </c>
      <c r="C153" s="1">
        <v>43</v>
      </c>
      <c r="D153" s="1">
        <v>43</v>
      </c>
      <c r="E153" s="1" t="s">
        <v>23</v>
      </c>
      <c r="F153" s="1" t="s">
        <v>23</v>
      </c>
      <c r="G153" s="1" t="s">
        <v>23</v>
      </c>
      <c r="H153" s="1" t="s">
        <v>23</v>
      </c>
      <c r="I153" s="1">
        <v>95</v>
      </c>
      <c r="J153" s="1" t="s">
        <v>23</v>
      </c>
      <c r="K153" s="1" t="s">
        <v>23</v>
      </c>
      <c r="L153" s="1" t="s">
        <v>23</v>
      </c>
      <c r="M153" s="1" t="s">
        <v>23</v>
      </c>
      <c r="N153" s="1">
        <v>70</v>
      </c>
      <c r="O153" s="1" t="s">
        <v>23</v>
      </c>
      <c r="P153" s="1" t="s">
        <v>23</v>
      </c>
      <c r="Q153" s="1">
        <v>62</v>
      </c>
      <c r="R153" s="1" t="s">
        <v>23</v>
      </c>
      <c r="S153" s="1">
        <v>59</v>
      </c>
      <c r="T153" s="1" t="s">
        <v>23</v>
      </c>
      <c r="U153" s="12" t="s">
        <v>23</v>
      </c>
      <c r="V153">
        <f t="shared" si="2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6B54-A941-406D-ABE1-71D3FD4CF4E6}">
  <dimension ref="A1:AV153"/>
  <sheetViews>
    <sheetView tabSelected="1" topLeftCell="AK1" zoomScale="69" workbookViewId="0">
      <selection activeCell="AY9" sqref="AY9"/>
    </sheetView>
  </sheetViews>
  <sheetFormatPr defaultRowHeight="14.5" x14ac:dyDescent="0.35"/>
  <cols>
    <col min="1" max="1" width="8.26953125" bestFit="1" customWidth="1"/>
    <col min="2" max="2" width="12.453125" bestFit="1" customWidth="1"/>
    <col min="3" max="3" width="11.36328125" bestFit="1" customWidth="1"/>
    <col min="4" max="4" width="11.08984375" bestFit="1" customWidth="1"/>
    <col min="5" max="5" width="9.90625" bestFit="1" customWidth="1"/>
    <col min="6" max="6" width="12.90625" bestFit="1" customWidth="1"/>
    <col min="7" max="7" width="11.36328125" bestFit="1" customWidth="1"/>
    <col min="8" max="8" width="15.26953125" bestFit="1" customWidth="1"/>
    <col min="9" max="10" width="12.1796875" bestFit="1" customWidth="1"/>
    <col min="11" max="12" width="12.7265625" bestFit="1" customWidth="1"/>
    <col min="13" max="14" width="13.6328125" bestFit="1" customWidth="1"/>
    <col min="15" max="16" width="12.90625" bestFit="1" customWidth="1"/>
    <col min="17" max="18" width="15.6328125" bestFit="1" customWidth="1"/>
    <col min="19" max="20" width="9.7265625" bestFit="1" customWidth="1"/>
    <col min="21" max="21" width="8.90625" bestFit="1" customWidth="1"/>
    <col min="23" max="23" width="22.453125" bestFit="1" customWidth="1"/>
    <col min="26" max="26" width="19.6328125" bestFit="1" customWidth="1"/>
    <col min="27" max="27" width="14.6328125" bestFit="1" customWidth="1"/>
    <col min="28" max="28" width="20.81640625" bestFit="1" customWidth="1"/>
    <col min="29" max="29" width="10.54296875" bestFit="1" customWidth="1"/>
    <col min="30" max="30" width="10.7265625" bestFit="1" customWidth="1"/>
    <col min="31" max="31" width="11.6328125" bestFit="1" customWidth="1"/>
    <col min="32" max="32" width="11.36328125" bestFit="1" customWidth="1"/>
    <col min="33" max="33" width="13.54296875" bestFit="1" customWidth="1"/>
    <col min="34" max="34" width="11.36328125" bestFit="1" customWidth="1"/>
    <col min="35" max="35" width="10.6328125" bestFit="1" customWidth="1"/>
    <col min="36" max="36" width="19.26953125" bestFit="1" customWidth="1"/>
    <col min="37" max="37" width="13.36328125" bestFit="1" customWidth="1"/>
    <col min="38" max="38" width="13.453125" bestFit="1" customWidth="1"/>
    <col min="42" max="42" width="18.7265625" bestFit="1" customWidth="1"/>
    <col min="45" max="45" width="24.1796875" bestFit="1" customWidth="1"/>
    <col min="46" max="46" width="17.453125" bestFit="1" customWidth="1"/>
    <col min="47" max="47" width="7.08984375" bestFit="1" customWidth="1"/>
    <col min="48" max="49" width="13.54296875" bestFit="1" customWidth="1"/>
    <col min="50" max="50" width="2.81640625" bestFit="1" customWidth="1"/>
    <col min="51" max="51" width="2.08984375" bestFit="1" customWidth="1"/>
    <col min="52" max="52" width="6.90625" bestFit="1" customWidth="1"/>
    <col min="53" max="53" width="3.6328125" bestFit="1" customWidth="1"/>
    <col min="54" max="55" width="2.81640625" bestFit="1" customWidth="1"/>
    <col min="56" max="56" width="1.81640625" bestFit="1" customWidth="1"/>
    <col min="57" max="57" width="2.81640625" bestFit="1" customWidth="1"/>
    <col min="58" max="58" width="6.90625" bestFit="1" customWidth="1"/>
    <col min="59" max="59" width="13.54296875" bestFit="1" customWidth="1"/>
  </cols>
  <sheetData>
    <row r="1" spans="1:48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24" t="s">
        <v>117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10</v>
      </c>
      <c r="AF1" s="3" t="s">
        <v>11</v>
      </c>
      <c r="AG1" s="3" t="s">
        <v>12</v>
      </c>
      <c r="AH1" s="3" t="s">
        <v>13</v>
      </c>
      <c r="AI1" s="3" t="s">
        <v>14</v>
      </c>
      <c r="AJ1" s="3" t="s">
        <v>15</v>
      </c>
      <c r="AK1" s="3" t="s">
        <v>16</v>
      </c>
      <c r="AL1" s="3" t="s">
        <v>17</v>
      </c>
      <c r="AM1" s="3" t="s">
        <v>18</v>
      </c>
      <c r="AN1" s="3" t="s">
        <v>19</v>
      </c>
      <c r="AO1" s="4" t="s">
        <v>20</v>
      </c>
      <c r="AP1" s="24" t="s">
        <v>128</v>
      </c>
    </row>
    <row r="2" spans="1:48" x14ac:dyDescent="0.35">
      <c r="A2" s="5" t="s">
        <v>21</v>
      </c>
      <c r="B2" s="6">
        <v>95010405222</v>
      </c>
      <c r="C2" s="6">
        <v>52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>
        <v>100</v>
      </c>
      <c r="J2" s="6">
        <v>91</v>
      </c>
      <c r="K2" s="6" t="s">
        <v>23</v>
      </c>
      <c r="L2" s="6">
        <v>88</v>
      </c>
      <c r="M2" s="6" t="s">
        <v>23</v>
      </c>
      <c r="N2" s="6" t="s">
        <v>23</v>
      </c>
      <c r="O2" s="6" t="s">
        <v>23</v>
      </c>
      <c r="P2" s="6" t="s">
        <v>23</v>
      </c>
      <c r="Q2" s="6">
        <v>80</v>
      </c>
      <c r="R2" s="6" t="s">
        <v>23</v>
      </c>
      <c r="S2" s="6">
        <v>67</v>
      </c>
      <c r="T2" s="6" t="s">
        <v>23</v>
      </c>
      <c r="U2" s="7" t="s">
        <v>23</v>
      </c>
      <c r="V2">
        <f>IF(MOD(MID(B2,10,1),2)=0,1,0)</f>
        <v>1</v>
      </c>
      <c r="W2">
        <f>IF(LEN(C2)&lt;&gt;0,1,0)</f>
        <v>1</v>
      </c>
      <c r="X2">
        <f t="shared" ref="X2:AO2" si="0">IF(LEN(D2)&lt;&gt;0,1,0)</f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v>0</v>
      </c>
      <c r="AD2">
        <f t="shared" si="0"/>
        <v>1</v>
      </c>
      <c r="AE2">
        <v>0</v>
      </c>
      <c r="AF2">
        <f t="shared" si="0"/>
        <v>1</v>
      </c>
      <c r="AG2">
        <v>0</v>
      </c>
      <c r="AH2">
        <f t="shared" si="0"/>
        <v>0</v>
      </c>
      <c r="AI2">
        <v>0</v>
      </c>
      <c r="AJ2">
        <f t="shared" si="0"/>
        <v>0</v>
      </c>
      <c r="AK2">
        <v>0</v>
      </c>
      <c r="AL2">
        <f t="shared" si="0"/>
        <v>0</v>
      </c>
      <c r="AM2">
        <v>0</v>
      </c>
      <c r="AN2">
        <f t="shared" si="0"/>
        <v>0</v>
      </c>
      <c r="AO2">
        <f t="shared" si="0"/>
        <v>0</v>
      </c>
      <c r="AP2">
        <f>IF(COUNTIF(W2:AO2,1) &gt;2,1,0)</f>
        <v>1</v>
      </c>
    </row>
    <row r="3" spans="1:48" x14ac:dyDescent="0.35">
      <c r="A3" s="8" t="s">
        <v>21</v>
      </c>
      <c r="B3" s="9">
        <v>95011310048</v>
      </c>
      <c r="C3" s="9">
        <v>33</v>
      </c>
      <c r="D3" s="9">
        <v>52</v>
      </c>
      <c r="E3" s="9" t="s">
        <v>23</v>
      </c>
      <c r="F3" s="9" t="s">
        <v>23</v>
      </c>
      <c r="G3" s="9" t="s">
        <v>23</v>
      </c>
      <c r="H3" s="9" t="s">
        <v>23</v>
      </c>
      <c r="I3" s="9">
        <v>73</v>
      </c>
      <c r="J3" s="9" t="s">
        <v>23</v>
      </c>
      <c r="K3" s="9" t="s">
        <v>23</v>
      </c>
      <c r="L3" s="9" t="s">
        <v>23</v>
      </c>
      <c r="M3" s="9" t="s">
        <v>23</v>
      </c>
      <c r="N3" s="9" t="s">
        <v>23</v>
      </c>
      <c r="O3" s="9" t="s">
        <v>23</v>
      </c>
      <c r="P3" s="9" t="s">
        <v>23</v>
      </c>
      <c r="Q3" s="9">
        <v>56</v>
      </c>
      <c r="R3" s="9" t="s">
        <v>23</v>
      </c>
      <c r="S3" s="9">
        <v>40</v>
      </c>
      <c r="T3" s="9" t="s">
        <v>23</v>
      </c>
      <c r="U3" s="10" t="s">
        <v>23</v>
      </c>
      <c r="V3">
        <f t="shared" ref="V3:V66" si="1">IF(MOD(MID(B3,10,1),2)=0,1,0)</f>
        <v>1</v>
      </c>
      <c r="W3">
        <f t="shared" ref="W3:W34" si="2">IF(LEN(C3)&lt;&gt;0,1,0)</f>
        <v>1</v>
      </c>
      <c r="X3">
        <f t="shared" ref="X3:X34" si="3">IF(LEN(D3)&lt;&gt;0,1,0)</f>
        <v>1</v>
      </c>
      <c r="Y3">
        <f t="shared" ref="Y3:Y34" si="4">IF(LEN(E3)&lt;&gt;0,1,0)</f>
        <v>0</v>
      </c>
      <c r="Z3">
        <f t="shared" ref="Z3:Z34" si="5">IF(LEN(F3)&lt;&gt;0,1,0)</f>
        <v>0</v>
      </c>
      <c r="AA3">
        <f t="shared" ref="AA3:AA34" si="6">IF(LEN(G3)&lt;&gt;0,1,0)</f>
        <v>0</v>
      </c>
      <c r="AB3">
        <f t="shared" ref="AB3:AB34" si="7">IF(LEN(H3)&lt;&gt;0,1,0)</f>
        <v>0</v>
      </c>
      <c r="AC3">
        <v>0</v>
      </c>
      <c r="AD3">
        <f t="shared" ref="AD3:AD34" si="8">IF(LEN(J3)&lt;&gt;0,1,0)</f>
        <v>0</v>
      </c>
      <c r="AE3">
        <v>0</v>
      </c>
      <c r="AF3">
        <f t="shared" ref="AF3:AF34" si="9">IF(LEN(L3)&lt;&gt;0,1,0)</f>
        <v>0</v>
      </c>
      <c r="AG3">
        <v>0</v>
      </c>
      <c r="AH3">
        <f t="shared" ref="AH3:AH34" si="10">IF(LEN(N3)&lt;&gt;0,1,0)</f>
        <v>0</v>
      </c>
      <c r="AI3">
        <v>0</v>
      </c>
      <c r="AJ3">
        <f t="shared" ref="AJ3:AJ34" si="11">IF(LEN(P3)&lt;&gt;0,1,0)</f>
        <v>0</v>
      </c>
      <c r="AK3">
        <v>0</v>
      </c>
      <c r="AL3">
        <f t="shared" ref="AL3:AL34" si="12">IF(LEN(R3)&lt;&gt;0,1,0)</f>
        <v>0</v>
      </c>
      <c r="AM3">
        <v>0</v>
      </c>
      <c r="AN3">
        <f t="shared" ref="AN3:AN34" si="13">IF(LEN(T3)&lt;&gt;0,1,0)</f>
        <v>0</v>
      </c>
      <c r="AO3">
        <f t="shared" ref="AO3:AO34" si="14">IF(LEN(U3)&lt;&gt;0,1,0)</f>
        <v>0</v>
      </c>
      <c r="AP3">
        <f t="shared" ref="AP3:AP66" si="15">IF(COUNTIF(W3:AO3,1) &gt;2,1,0)</f>
        <v>0</v>
      </c>
    </row>
    <row r="4" spans="1:48" x14ac:dyDescent="0.35">
      <c r="A4" s="5" t="s">
        <v>21</v>
      </c>
      <c r="B4" s="6">
        <v>95012311345</v>
      </c>
      <c r="C4" s="6">
        <v>70</v>
      </c>
      <c r="D4" s="6">
        <v>58</v>
      </c>
      <c r="E4" s="6" t="s">
        <v>23</v>
      </c>
      <c r="F4" s="6" t="s">
        <v>23</v>
      </c>
      <c r="G4" s="6" t="s">
        <v>23</v>
      </c>
      <c r="H4" s="6" t="s">
        <v>23</v>
      </c>
      <c r="I4" s="6">
        <v>92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>
        <v>60</v>
      </c>
      <c r="R4" s="6" t="s">
        <v>23</v>
      </c>
      <c r="S4" s="6">
        <v>61</v>
      </c>
      <c r="T4" s="6" t="s">
        <v>23</v>
      </c>
      <c r="U4" s="7" t="s">
        <v>23</v>
      </c>
      <c r="V4">
        <f t="shared" si="1"/>
        <v>1</v>
      </c>
      <c r="W4">
        <f t="shared" si="2"/>
        <v>1</v>
      </c>
      <c r="X4">
        <f t="shared" si="3"/>
        <v>1</v>
      </c>
      <c r="Y4">
        <f t="shared" si="4"/>
        <v>0</v>
      </c>
      <c r="Z4">
        <f t="shared" si="5"/>
        <v>0</v>
      </c>
      <c r="AA4">
        <f t="shared" si="6"/>
        <v>0</v>
      </c>
      <c r="AB4">
        <f t="shared" si="7"/>
        <v>0</v>
      </c>
      <c r="AC4">
        <v>0</v>
      </c>
      <c r="AD4">
        <f t="shared" si="8"/>
        <v>0</v>
      </c>
      <c r="AE4">
        <v>0</v>
      </c>
      <c r="AF4">
        <f t="shared" si="9"/>
        <v>0</v>
      </c>
      <c r="AG4">
        <v>0</v>
      </c>
      <c r="AH4">
        <f t="shared" si="10"/>
        <v>0</v>
      </c>
      <c r="AI4">
        <v>0</v>
      </c>
      <c r="AJ4">
        <f t="shared" si="11"/>
        <v>0</v>
      </c>
      <c r="AK4">
        <v>0</v>
      </c>
      <c r="AL4">
        <f t="shared" si="12"/>
        <v>0</v>
      </c>
      <c r="AM4">
        <v>0</v>
      </c>
      <c r="AN4">
        <f t="shared" si="13"/>
        <v>0</v>
      </c>
      <c r="AO4">
        <f t="shared" si="14"/>
        <v>0</v>
      </c>
      <c r="AP4">
        <f t="shared" si="15"/>
        <v>0</v>
      </c>
    </row>
    <row r="5" spans="1:48" x14ac:dyDescent="0.35">
      <c r="A5" s="8" t="s">
        <v>21</v>
      </c>
      <c r="B5" s="9">
        <v>95030607404</v>
      </c>
      <c r="C5" s="9">
        <v>90</v>
      </c>
      <c r="D5" s="9">
        <v>78</v>
      </c>
      <c r="E5" s="9" t="s">
        <v>23</v>
      </c>
      <c r="F5" s="9" t="s">
        <v>23</v>
      </c>
      <c r="G5" s="9" t="s">
        <v>23</v>
      </c>
      <c r="H5" s="9" t="s">
        <v>23</v>
      </c>
      <c r="I5" s="9">
        <v>98</v>
      </c>
      <c r="J5" s="9">
        <v>68</v>
      </c>
      <c r="K5" s="9" t="s">
        <v>23</v>
      </c>
      <c r="L5" s="9" t="s">
        <v>23</v>
      </c>
      <c r="M5" s="9" t="s">
        <v>23</v>
      </c>
      <c r="N5" s="9" t="s">
        <v>23</v>
      </c>
      <c r="O5" s="9" t="s">
        <v>23</v>
      </c>
      <c r="P5" s="9" t="s">
        <v>23</v>
      </c>
      <c r="Q5" s="9">
        <v>70</v>
      </c>
      <c r="R5" s="9" t="s">
        <v>23</v>
      </c>
      <c r="S5" s="9">
        <v>73</v>
      </c>
      <c r="T5" s="9" t="s">
        <v>23</v>
      </c>
      <c r="U5" s="10" t="s">
        <v>23</v>
      </c>
      <c r="V5">
        <f t="shared" si="1"/>
        <v>1</v>
      </c>
      <c r="W5">
        <f t="shared" si="2"/>
        <v>1</v>
      </c>
      <c r="X5">
        <f t="shared" si="3"/>
        <v>1</v>
      </c>
      <c r="Y5">
        <f t="shared" si="4"/>
        <v>0</v>
      </c>
      <c r="Z5">
        <f t="shared" si="5"/>
        <v>0</v>
      </c>
      <c r="AA5">
        <f t="shared" si="6"/>
        <v>0</v>
      </c>
      <c r="AB5">
        <f t="shared" si="7"/>
        <v>0</v>
      </c>
      <c r="AC5">
        <v>0</v>
      </c>
      <c r="AD5">
        <f t="shared" si="8"/>
        <v>1</v>
      </c>
      <c r="AE5">
        <v>0</v>
      </c>
      <c r="AF5">
        <f t="shared" si="9"/>
        <v>0</v>
      </c>
      <c r="AG5">
        <v>0</v>
      </c>
      <c r="AH5">
        <f t="shared" si="10"/>
        <v>0</v>
      </c>
      <c r="AI5">
        <v>0</v>
      </c>
      <c r="AJ5">
        <f t="shared" si="11"/>
        <v>0</v>
      </c>
      <c r="AK5">
        <v>0</v>
      </c>
      <c r="AL5">
        <f t="shared" si="12"/>
        <v>0</v>
      </c>
      <c r="AM5">
        <v>0</v>
      </c>
      <c r="AN5">
        <f t="shared" si="13"/>
        <v>0</v>
      </c>
      <c r="AO5">
        <f t="shared" si="14"/>
        <v>0</v>
      </c>
      <c r="AP5">
        <f t="shared" si="15"/>
        <v>1</v>
      </c>
    </row>
    <row r="6" spans="1:48" x14ac:dyDescent="0.35">
      <c r="A6" s="5" t="s">
        <v>21</v>
      </c>
      <c r="B6" s="6">
        <v>95031506511</v>
      </c>
      <c r="C6" s="6">
        <v>62</v>
      </c>
      <c r="D6" s="6">
        <v>62</v>
      </c>
      <c r="E6" s="6" t="s">
        <v>23</v>
      </c>
      <c r="F6" s="6" t="s">
        <v>23</v>
      </c>
      <c r="G6" s="6" t="s">
        <v>23</v>
      </c>
      <c r="H6" s="6" t="s">
        <v>23</v>
      </c>
      <c r="I6" s="6">
        <v>87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>
        <v>70</v>
      </c>
      <c r="R6" s="6" t="s">
        <v>23</v>
      </c>
      <c r="S6" s="6">
        <v>51</v>
      </c>
      <c r="T6" s="6" t="s">
        <v>23</v>
      </c>
      <c r="U6" s="7" t="s">
        <v>23</v>
      </c>
      <c r="V6">
        <f t="shared" si="1"/>
        <v>0</v>
      </c>
      <c r="W6">
        <f t="shared" si="2"/>
        <v>1</v>
      </c>
      <c r="X6">
        <f t="shared" si="3"/>
        <v>1</v>
      </c>
      <c r="Y6">
        <f t="shared" si="4"/>
        <v>0</v>
      </c>
      <c r="Z6">
        <f t="shared" si="5"/>
        <v>0</v>
      </c>
      <c r="AA6">
        <f t="shared" si="6"/>
        <v>0</v>
      </c>
      <c r="AB6">
        <f t="shared" si="7"/>
        <v>0</v>
      </c>
      <c r="AC6">
        <v>0</v>
      </c>
      <c r="AD6">
        <f t="shared" si="8"/>
        <v>0</v>
      </c>
      <c r="AE6">
        <v>0</v>
      </c>
      <c r="AF6">
        <f t="shared" si="9"/>
        <v>0</v>
      </c>
      <c r="AG6">
        <v>0</v>
      </c>
      <c r="AH6">
        <f t="shared" si="10"/>
        <v>0</v>
      </c>
      <c r="AI6">
        <v>0</v>
      </c>
      <c r="AJ6">
        <f t="shared" si="11"/>
        <v>0</v>
      </c>
      <c r="AK6">
        <v>0</v>
      </c>
      <c r="AL6">
        <f t="shared" si="12"/>
        <v>0</v>
      </c>
      <c r="AM6">
        <v>0</v>
      </c>
      <c r="AN6">
        <f t="shared" si="13"/>
        <v>0</v>
      </c>
      <c r="AO6">
        <f t="shared" si="14"/>
        <v>0</v>
      </c>
      <c r="AP6">
        <f t="shared" si="15"/>
        <v>0</v>
      </c>
      <c r="AS6" s="26" t="s">
        <v>129</v>
      </c>
      <c r="AT6" s="26" t="s">
        <v>126</v>
      </c>
    </row>
    <row r="7" spans="1:48" x14ac:dyDescent="0.35">
      <c r="A7" s="8" t="s">
        <v>21</v>
      </c>
      <c r="B7" s="9">
        <v>95031714219</v>
      </c>
      <c r="C7" s="9">
        <v>65</v>
      </c>
      <c r="D7" s="9">
        <v>65</v>
      </c>
      <c r="E7" s="9" t="s">
        <v>23</v>
      </c>
      <c r="F7" s="9" t="s">
        <v>23</v>
      </c>
      <c r="G7" s="9" t="s">
        <v>23</v>
      </c>
      <c r="H7" s="9" t="s">
        <v>23</v>
      </c>
      <c r="I7" s="9">
        <v>75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>
        <v>48</v>
      </c>
      <c r="R7" s="9" t="s">
        <v>23</v>
      </c>
      <c r="S7" s="9">
        <v>40</v>
      </c>
      <c r="T7" s="9" t="s">
        <v>23</v>
      </c>
      <c r="U7" s="10" t="s">
        <v>23</v>
      </c>
      <c r="V7">
        <f t="shared" si="1"/>
        <v>0</v>
      </c>
      <c r="W7">
        <f t="shared" si="2"/>
        <v>1</v>
      </c>
      <c r="X7">
        <f t="shared" si="3"/>
        <v>1</v>
      </c>
      <c r="Y7">
        <f t="shared" si="4"/>
        <v>0</v>
      </c>
      <c r="Z7">
        <f t="shared" si="5"/>
        <v>0</v>
      </c>
      <c r="AA7">
        <f t="shared" si="6"/>
        <v>0</v>
      </c>
      <c r="AB7">
        <f t="shared" si="7"/>
        <v>0</v>
      </c>
      <c r="AC7">
        <v>0</v>
      </c>
      <c r="AD7">
        <f t="shared" si="8"/>
        <v>0</v>
      </c>
      <c r="AE7">
        <v>0</v>
      </c>
      <c r="AF7">
        <f t="shared" si="9"/>
        <v>0</v>
      </c>
      <c r="AG7">
        <v>0</v>
      </c>
      <c r="AH7">
        <f t="shared" si="10"/>
        <v>0</v>
      </c>
      <c r="AI7">
        <v>0</v>
      </c>
      <c r="AJ7">
        <f t="shared" si="11"/>
        <v>0</v>
      </c>
      <c r="AK7">
        <v>0</v>
      </c>
      <c r="AL7">
        <f t="shared" si="12"/>
        <v>0</v>
      </c>
      <c r="AM7">
        <v>0</v>
      </c>
      <c r="AN7">
        <f t="shared" si="13"/>
        <v>0</v>
      </c>
      <c r="AO7">
        <f t="shared" si="14"/>
        <v>0</v>
      </c>
      <c r="AP7">
        <f t="shared" si="15"/>
        <v>0</v>
      </c>
      <c r="AS7" s="26" t="s">
        <v>127</v>
      </c>
      <c r="AT7" t="s">
        <v>122</v>
      </c>
      <c r="AU7" t="s">
        <v>123</v>
      </c>
      <c r="AV7" t="s">
        <v>119</v>
      </c>
    </row>
    <row r="8" spans="1:48" x14ac:dyDescent="0.35">
      <c r="A8" s="5" t="s">
        <v>21</v>
      </c>
      <c r="B8" s="6">
        <v>95032402083</v>
      </c>
      <c r="C8" s="6" t="s">
        <v>23</v>
      </c>
      <c r="D8" s="6">
        <v>58</v>
      </c>
      <c r="E8" s="6" t="s">
        <v>23</v>
      </c>
      <c r="F8" s="6" t="s">
        <v>23</v>
      </c>
      <c r="G8" s="6" t="s">
        <v>23</v>
      </c>
      <c r="H8" s="6" t="s">
        <v>23</v>
      </c>
      <c r="I8" s="6">
        <v>96</v>
      </c>
      <c r="J8" s="6">
        <v>61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>
        <v>94</v>
      </c>
      <c r="R8" s="6">
        <v>34</v>
      </c>
      <c r="S8" s="6">
        <v>74</v>
      </c>
      <c r="T8" s="6" t="s">
        <v>23</v>
      </c>
      <c r="U8" s="7" t="s">
        <v>23</v>
      </c>
      <c r="V8">
        <f t="shared" si="1"/>
        <v>1</v>
      </c>
      <c r="W8">
        <f t="shared" si="2"/>
        <v>0</v>
      </c>
      <c r="X8">
        <f t="shared" si="3"/>
        <v>1</v>
      </c>
      <c r="Y8">
        <f t="shared" si="4"/>
        <v>0</v>
      </c>
      <c r="Z8">
        <f t="shared" si="5"/>
        <v>0</v>
      </c>
      <c r="AA8">
        <f t="shared" si="6"/>
        <v>0</v>
      </c>
      <c r="AB8">
        <f t="shared" si="7"/>
        <v>0</v>
      </c>
      <c r="AC8">
        <v>0</v>
      </c>
      <c r="AD8">
        <f t="shared" si="8"/>
        <v>1</v>
      </c>
      <c r="AE8">
        <v>0</v>
      </c>
      <c r="AF8">
        <f t="shared" si="9"/>
        <v>0</v>
      </c>
      <c r="AG8">
        <v>0</v>
      </c>
      <c r="AH8">
        <f t="shared" si="10"/>
        <v>0</v>
      </c>
      <c r="AI8">
        <v>0</v>
      </c>
      <c r="AJ8">
        <f t="shared" si="11"/>
        <v>0</v>
      </c>
      <c r="AK8">
        <v>0</v>
      </c>
      <c r="AL8">
        <f t="shared" si="12"/>
        <v>1</v>
      </c>
      <c r="AM8">
        <v>0</v>
      </c>
      <c r="AN8">
        <f t="shared" si="13"/>
        <v>0</v>
      </c>
      <c r="AO8">
        <f t="shared" si="14"/>
        <v>0</v>
      </c>
      <c r="AP8">
        <f t="shared" si="15"/>
        <v>1</v>
      </c>
      <c r="AS8" s="27" t="s">
        <v>21</v>
      </c>
      <c r="AT8" s="20">
        <v>1</v>
      </c>
      <c r="AU8" s="20">
        <v>11</v>
      </c>
      <c r="AV8" s="20">
        <v>12</v>
      </c>
    </row>
    <row r="9" spans="1:48" x14ac:dyDescent="0.35">
      <c r="A9" s="8" t="s">
        <v>21</v>
      </c>
      <c r="B9" s="9">
        <v>95032701960</v>
      </c>
      <c r="C9" s="9">
        <v>77</v>
      </c>
      <c r="D9" s="9">
        <v>85</v>
      </c>
      <c r="E9" s="9" t="s">
        <v>23</v>
      </c>
      <c r="F9" s="9" t="s">
        <v>23</v>
      </c>
      <c r="G9" s="9" t="s">
        <v>23</v>
      </c>
      <c r="H9" s="9" t="s">
        <v>23</v>
      </c>
      <c r="I9" s="9">
        <v>96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>
        <v>96</v>
      </c>
      <c r="R9" s="9" t="s">
        <v>23</v>
      </c>
      <c r="S9" s="9">
        <v>77</v>
      </c>
      <c r="T9" s="9" t="s">
        <v>23</v>
      </c>
      <c r="U9" s="10" t="s">
        <v>23</v>
      </c>
      <c r="V9">
        <f t="shared" si="1"/>
        <v>1</v>
      </c>
      <c r="W9">
        <f t="shared" si="2"/>
        <v>1</v>
      </c>
      <c r="X9">
        <f t="shared" si="3"/>
        <v>1</v>
      </c>
      <c r="Y9">
        <f t="shared" si="4"/>
        <v>0</v>
      </c>
      <c r="Z9">
        <f t="shared" si="5"/>
        <v>0</v>
      </c>
      <c r="AA9">
        <f t="shared" si="6"/>
        <v>0</v>
      </c>
      <c r="AB9">
        <f t="shared" si="7"/>
        <v>0</v>
      </c>
      <c r="AC9">
        <v>0</v>
      </c>
      <c r="AD9">
        <f t="shared" si="8"/>
        <v>0</v>
      </c>
      <c r="AE9">
        <v>0</v>
      </c>
      <c r="AF9">
        <f t="shared" si="9"/>
        <v>0</v>
      </c>
      <c r="AG9">
        <v>0</v>
      </c>
      <c r="AH9">
        <f t="shared" si="10"/>
        <v>0</v>
      </c>
      <c r="AI9">
        <v>0</v>
      </c>
      <c r="AJ9">
        <f t="shared" si="11"/>
        <v>0</v>
      </c>
      <c r="AK9">
        <v>0</v>
      </c>
      <c r="AL9">
        <f t="shared" si="12"/>
        <v>0</v>
      </c>
      <c r="AM9">
        <v>0</v>
      </c>
      <c r="AN9">
        <f t="shared" si="13"/>
        <v>0</v>
      </c>
      <c r="AO9">
        <f t="shared" si="14"/>
        <v>0</v>
      </c>
      <c r="AP9">
        <f t="shared" si="15"/>
        <v>0</v>
      </c>
      <c r="AS9" s="27" t="s">
        <v>77</v>
      </c>
      <c r="AT9" s="20">
        <v>7</v>
      </c>
      <c r="AU9" s="20">
        <v>18</v>
      </c>
      <c r="AV9" s="20">
        <v>25</v>
      </c>
    </row>
    <row r="10" spans="1:48" x14ac:dyDescent="0.35">
      <c r="A10" s="5" t="s">
        <v>21</v>
      </c>
      <c r="B10" s="6">
        <v>95040412034</v>
      </c>
      <c r="C10" s="6">
        <v>93</v>
      </c>
      <c r="D10" s="6">
        <v>67</v>
      </c>
      <c r="E10" s="6" t="s">
        <v>23</v>
      </c>
      <c r="F10" s="6" t="s">
        <v>23</v>
      </c>
      <c r="G10" s="6" t="s">
        <v>23</v>
      </c>
      <c r="H10" s="6" t="s">
        <v>23</v>
      </c>
      <c r="I10" s="6">
        <v>84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>
        <v>86</v>
      </c>
      <c r="R10" s="6" t="s">
        <v>23</v>
      </c>
      <c r="S10" s="6">
        <v>73</v>
      </c>
      <c r="T10" s="6" t="s">
        <v>23</v>
      </c>
      <c r="U10" s="7" t="s">
        <v>23</v>
      </c>
      <c r="V10">
        <f t="shared" si="1"/>
        <v>0</v>
      </c>
      <c r="W10">
        <f t="shared" si="2"/>
        <v>1</v>
      </c>
      <c r="X10">
        <f t="shared" si="3"/>
        <v>1</v>
      </c>
      <c r="Y10">
        <f t="shared" si="4"/>
        <v>0</v>
      </c>
      <c r="Z10">
        <f t="shared" si="5"/>
        <v>0</v>
      </c>
      <c r="AA10">
        <f t="shared" si="6"/>
        <v>0</v>
      </c>
      <c r="AB10">
        <f t="shared" si="7"/>
        <v>0</v>
      </c>
      <c r="AC10">
        <v>0</v>
      </c>
      <c r="AD10">
        <f t="shared" si="8"/>
        <v>0</v>
      </c>
      <c r="AE10">
        <v>0</v>
      </c>
      <c r="AF10">
        <f t="shared" si="9"/>
        <v>0</v>
      </c>
      <c r="AG10">
        <v>0</v>
      </c>
      <c r="AH10">
        <f t="shared" si="10"/>
        <v>0</v>
      </c>
      <c r="AI10">
        <v>0</v>
      </c>
      <c r="AJ10">
        <f t="shared" si="11"/>
        <v>0</v>
      </c>
      <c r="AK10">
        <v>0</v>
      </c>
      <c r="AL10">
        <f t="shared" si="12"/>
        <v>0</v>
      </c>
      <c r="AM10">
        <v>0</v>
      </c>
      <c r="AN10">
        <f t="shared" si="13"/>
        <v>0</v>
      </c>
      <c r="AO10">
        <f t="shared" si="14"/>
        <v>0</v>
      </c>
      <c r="AP10">
        <f t="shared" si="15"/>
        <v>0</v>
      </c>
      <c r="AS10" s="27" t="s">
        <v>92</v>
      </c>
      <c r="AT10" s="20">
        <v>3</v>
      </c>
      <c r="AU10" s="20">
        <v>9</v>
      </c>
      <c r="AV10" s="20">
        <v>12</v>
      </c>
    </row>
    <row r="11" spans="1:48" x14ac:dyDescent="0.35">
      <c r="A11" s="8" t="s">
        <v>21</v>
      </c>
      <c r="B11" s="9">
        <v>95040908766</v>
      </c>
      <c r="C11" s="9">
        <v>57</v>
      </c>
      <c r="D11" s="9">
        <v>47</v>
      </c>
      <c r="E11" s="9" t="s">
        <v>23</v>
      </c>
      <c r="F11" s="9" t="s">
        <v>23</v>
      </c>
      <c r="G11" s="9" t="s">
        <v>23</v>
      </c>
      <c r="H11" s="9" t="s">
        <v>23</v>
      </c>
      <c r="I11" s="9">
        <v>87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>
        <v>40</v>
      </c>
      <c r="R11" s="9" t="s">
        <v>23</v>
      </c>
      <c r="S11" s="9">
        <v>43</v>
      </c>
      <c r="T11" s="9" t="s">
        <v>23</v>
      </c>
      <c r="U11" s="10" t="s">
        <v>23</v>
      </c>
      <c r="V11">
        <f t="shared" si="1"/>
        <v>1</v>
      </c>
      <c r="W11">
        <f t="shared" si="2"/>
        <v>1</v>
      </c>
      <c r="X11">
        <f t="shared" si="3"/>
        <v>1</v>
      </c>
      <c r="Y11">
        <f t="shared" si="4"/>
        <v>0</v>
      </c>
      <c r="Z11">
        <f t="shared" si="5"/>
        <v>0</v>
      </c>
      <c r="AA11">
        <f t="shared" si="6"/>
        <v>0</v>
      </c>
      <c r="AB11">
        <f t="shared" si="7"/>
        <v>0</v>
      </c>
      <c r="AC11">
        <v>0</v>
      </c>
      <c r="AD11">
        <f t="shared" si="8"/>
        <v>0</v>
      </c>
      <c r="AE11">
        <v>0</v>
      </c>
      <c r="AF11">
        <f t="shared" si="9"/>
        <v>0</v>
      </c>
      <c r="AG11">
        <v>0</v>
      </c>
      <c r="AH11">
        <f t="shared" si="10"/>
        <v>0</v>
      </c>
      <c r="AI11">
        <v>0</v>
      </c>
      <c r="AJ11">
        <f t="shared" si="11"/>
        <v>0</v>
      </c>
      <c r="AK11">
        <v>0</v>
      </c>
      <c r="AL11">
        <f t="shared" si="12"/>
        <v>0</v>
      </c>
      <c r="AM11">
        <v>0</v>
      </c>
      <c r="AN11">
        <f t="shared" si="13"/>
        <v>0</v>
      </c>
      <c r="AO11">
        <f t="shared" si="14"/>
        <v>0</v>
      </c>
      <c r="AP11">
        <f t="shared" si="15"/>
        <v>0</v>
      </c>
      <c r="AS11" s="27" t="s">
        <v>96</v>
      </c>
      <c r="AT11" s="20">
        <v>21</v>
      </c>
      <c r="AU11" s="20">
        <v>6</v>
      </c>
      <c r="AV11" s="20">
        <v>27</v>
      </c>
    </row>
    <row r="12" spans="1:48" x14ac:dyDescent="0.35">
      <c r="A12" s="5" t="s">
        <v>21</v>
      </c>
      <c r="B12" s="6">
        <v>95041309368</v>
      </c>
      <c r="C12" s="6">
        <v>60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  <c r="I12" s="6">
        <v>96</v>
      </c>
      <c r="J12" s="6">
        <v>89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>
        <v>70</v>
      </c>
      <c r="R12" s="6" t="s">
        <v>23</v>
      </c>
      <c r="S12" s="6">
        <v>76</v>
      </c>
      <c r="T12" s="6" t="s">
        <v>23</v>
      </c>
      <c r="U12" s="7" t="s">
        <v>23</v>
      </c>
      <c r="V12">
        <f t="shared" si="1"/>
        <v>1</v>
      </c>
      <c r="W12">
        <f t="shared" si="2"/>
        <v>1</v>
      </c>
      <c r="X12">
        <f t="shared" si="3"/>
        <v>0</v>
      </c>
      <c r="Y12">
        <f t="shared" si="4"/>
        <v>0</v>
      </c>
      <c r="Z12">
        <f t="shared" si="5"/>
        <v>0</v>
      </c>
      <c r="AA12">
        <f t="shared" si="6"/>
        <v>0</v>
      </c>
      <c r="AB12">
        <f t="shared" si="7"/>
        <v>0</v>
      </c>
      <c r="AC12">
        <v>0</v>
      </c>
      <c r="AD12">
        <f t="shared" si="8"/>
        <v>1</v>
      </c>
      <c r="AE12">
        <v>0</v>
      </c>
      <c r="AF12">
        <f t="shared" si="9"/>
        <v>0</v>
      </c>
      <c r="AG12">
        <v>0</v>
      </c>
      <c r="AH12">
        <f t="shared" si="10"/>
        <v>0</v>
      </c>
      <c r="AI12">
        <v>0</v>
      </c>
      <c r="AJ12">
        <f t="shared" si="11"/>
        <v>0</v>
      </c>
      <c r="AK12">
        <v>0</v>
      </c>
      <c r="AL12">
        <f t="shared" si="12"/>
        <v>0</v>
      </c>
      <c r="AM12">
        <v>0</v>
      </c>
      <c r="AN12">
        <f t="shared" si="13"/>
        <v>0</v>
      </c>
      <c r="AO12">
        <f t="shared" si="14"/>
        <v>0</v>
      </c>
      <c r="AP12">
        <f t="shared" si="15"/>
        <v>0</v>
      </c>
      <c r="AS12" s="27" t="s">
        <v>100</v>
      </c>
      <c r="AT12" s="20">
        <v>1</v>
      </c>
      <c r="AU12" s="20">
        <v>13</v>
      </c>
      <c r="AV12" s="20">
        <v>14</v>
      </c>
    </row>
    <row r="13" spans="1:48" x14ac:dyDescent="0.35">
      <c r="A13" s="8" t="s">
        <v>21</v>
      </c>
      <c r="B13" s="9">
        <v>95052600643</v>
      </c>
      <c r="C13" s="9" t="s">
        <v>23</v>
      </c>
      <c r="D13" s="9" t="s">
        <v>23</v>
      </c>
      <c r="E13" s="9" t="s">
        <v>23</v>
      </c>
      <c r="F13" s="9">
        <v>90</v>
      </c>
      <c r="G13" s="9" t="s">
        <v>23</v>
      </c>
      <c r="H13" s="9" t="s">
        <v>23</v>
      </c>
      <c r="I13" s="9">
        <v>100</v>
      </c>
      <c r="J13" s="9">
        <v>100</v>
      </c>
      <c r="K13" s="9" t="s">
        <v>23</v>
      </c>
      <c r="L13" s="9" t="s">
        <v>23</v>
      </c>
      <c r="M13" s="9" t="s">
        <v>23</v>
      </c>
      <c r="N13" s="9" t="s">
        <v>23</v>
      </c>
      <c r="O13" s="9">
        <v>100</v>
      </c>
      <c r="P13" s="9" t="s">
        <v>23</v>
      </c>
      <c r="Q13" s="9">
        <v>98</v>
      </c>
      <c r="R13" s="9">
        <v>86</v>
      </c>
      <c r="S13" s="9">
        <v>80</v>
      </c>
      <c r="T13" s="9" t="s">
        <v>23</v>
      </c>
      <c r="U13" s="10" t="s">
        <v>23</v>
      </c>
      <c r="V13">
        <f t="shared" si="1"/>
        <v>1</v>
      </c>
      <c r="W13">
        <f t="shared" si="2"/>
        <v>0</v>
      </c>
      <c r="X13">
        <f t="shared" si="3"/>
        <v>0</v>
      </c>
      <c r="Y13">
        <f t="shared" si="4"/>
        <v>0</v>
      </c>
      <c r="Z13">
        <f t="shared" si="5"/>
        <v>1</v>
      </c>
      <c r="AA13">
        <f t="shared" si="6"/>
        <v>0</v>
      </c>
      <c r="AB13">
        <f t="shared" si="7"/>
        <v>0</v>
      </c>
      <c r="AC13">
        <v>0</v>
      </c>
      <c r="AD13">
        <f t="shared" si="8"/>
        <v>1</v>
      </c>
      <c r="AE13">
        <v>0</v>
      </c>
      <c r="AF13">
        <f t="shared" si="9"/>
        <v>0</v>
      </c>
      <c r="AG13">
        <v>0</v>
      </c>
      <c r="AH13">
        <f t="shared" si="10"/>
        <v>0</v>
      </c>
      <c r="AI13">
        <v>0</v>
      </c>
      <c r="AJ13">
        <f t="shared" si="11"/>
        <v>0</v>
      </c>
      <c r="AK13">
        <v>0</v>
      </c>
      <c r="AL13">
        <f t="shared" si="12"/>
        <v>1</v>
      </c>
      <c r="AM13">
        <v>0</v>
      </c>
      <c r="AN13">
        <f t="shared" si="13"/>
        <v>0</v>
      </c>
      <c r="AO13">
        <f t="shared" si="14"/>
        <v>0</v>
      </c>
      <c r="AP13">
        <f t="shared" si="15"/>
        <v>1</v>
      </c>
      <c r="AS13" s="27" t="s">
        <v>119</v>
      </c>
      <c r="AT13" s="20">
        <v>33</v>
      </c>
      <c r="AU13" s="20">
        <v>57</v>
      </c>
      <c r="AV13" s="20">
        <v>90</v>
      </c>
    </row>
    <row r="14" spans="1:48" x14ac:dyDescent="0.35">
      <c r="A14" s="5" t="s">
        <v>21</v>
      </c>
      <c r="B14" s="6">
        <v>95061500402</v>
      </c>
      <c r="C14" s="6">
        <v>95</v>
      </c>
      <c r="D14" s="6">
        <v>88</v>
      </c>
      <c r="E14" s="6" t="s">
        <v>23</v>
      </c>
      <c r="F14" s="6" t="s">
        <v>23</v>
      </c>
      <c r="G14" s="6" t="s">
        <v>23</v>
      </c>
      <c r="H14" s="6" t="s">
        <v>23</v>
      </c>
      <c r="I14" s="6">
        <v>92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>
        <v>92</v>
      </c>
      <c r="R14" s="6" t="s">
        <v>23</v>
      </c>
      <c r="S14" s="6">
        <v>79</v>
      </c>
      <c r="T14" s="6" t="s">
        <v>23</v>
      </c>
      <c r="U14" s="7" t="s">
        <v>23</v>
      </c>
      <c r="V14">
        <f t="shared" si="1"/>
        <v>1</v>
      </c>
      <c r="W14">
        <f t="shared" si="2"/>
        <v>1</v>
      </c>
      <c r="X14">
        <f t="shared" si="3"/>
        <v>1</v>
      </c>
      <c r="Y14">
        <f t="shared" si="4"/>
        <v>0</v>
      </c>
      <c r="Z14">
        <f t="shared" si="5"/>
        <v>0</v>
      </c>
      <c r="AA14">
        <f t="shared" si="6"/>
        <v>0</v>
      </c>
      <c r="AB14">
        <f t="shared" si="7"/>
        <v>0</v>
      </c>
      <c r="AC14">
        <v>0</v>
      </c>
      <c r="AD14">
        <f t="shared" si="8"/>
        <v>0</v>
      </c>
      <c r="AE14">
        <v>0</v>
      </c>
      <c r="AF14">
        <f t="shared" si="9"/>
        <v>0</v>
      </c>
      <c r="AG14">
        <v>0</v>
      </c>
      <c r="AH14">
        <f t="shared" si="10"/>
        <v>0</v>
      </c>
      <c r="AI14">
        <v>0</v>
      </c>
      <c r="AJ14">
        <f t="shared" si="11"/>
        <v>0</v>
      </c>
      <c r="AK14">
        <v>0</v>
      </c>
      <c r="AL14">
        <f t="shared" si="12"/>
        <v>0</v>
      </c>
      <c r="AM14">
        <v>0</v>
      </c>
      <c r="AN14">
        <f t="shared" si="13"/>
        <v>0</v>
      </c>
      <c r="AO14">
        <f t="shared" si="14"/>
        <v>0</v>
      </c>
      <c r="AP14">
        <f t="shared" si="15"/>
        <v>0</v>
      </c>
    </row>
    <row r="15" spans="1:48" x14ac:dyDescent="0.35">
      <c r="A15" s="8" t="s">
        <v>21</v>
      </c>
      <c r="B15" s="9">
        <v>95061702842</v>
      </c>
      <c r="C15" s="9">
        <v>75</v>
      </c>
      <c r="D15" s="9">
        <v>67</v>
      </c>
      <c r="E15" s="9" t="s">
        <v>23</v>
      </c>
      <c r="F15" s="9" t="s">
        <v>23</v>
      </c>
      <c r="G15" s="9" t="s">
        <v>23</v>
      </c>
      <c r="H15" s="9" t="s">
        <v>23</v>
      </c>
      <c r="I15" s="9">
        <v>91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>
        <v>88</v>
      </c>
      <c r="R15" s="9" t="s">
        <v>23</v>
      </c>
      <c r="S15" s="9">
        <v>59</v>
      </c>
      <c r="T15" s="9" t="s">
        <v>23</v>
      </c>
      <c r="U15" s="10" t="s">
        <v>23</v>
      </c>
      <c r="V15">
        <f t="shared" si="1"/>
        <v>1</v>
      </c>
      <c r="W15">
        <f t="shared" si="2"/>
        <v>1</v>
      </c>
      <c r="X15">
        <f t="shared" si="3"/>
        <v>1</v>
      </c>
      <c r="Y15">
        <f t="shared" si="4"/>
        <v>0</v>
      </c>
      <c r="Z15">
        <f t="shared" si="5"/>
        <v>0</v>
      </c>
      <c r="AA15">
        <f t="shared" si="6"/>
        <v>0</v>
      </c>
      <c r="AB15">
        <f t="shared" si="7"/>
        <v>0</v>
      </c>
      <c r="AC15">
        <v>0</v>
      </c>
      <c r="AD15">
        <f t="shared" si="8"/>
        <v>0</v>
      </c>
      <c r="AE15">
        <v>0</v>
      </c>
      <c r="AF15">
        <f t="shared" si="9"/>
        <v>0</v>
      </c>
      <c r="AG15">
        <v>0</v>
      </c>
      <c r="AH15">
        <f t="shared" si="10"/>
        <v>0</v>
      </c>
      <c r="AI15">
        <v>0</v>
      </c>
      <c r="AJ15">
        <f t="shared" si="11"/>
        <v>0</v>
      </c>
      <c r="AK15">
        <v>0</v>
      </c>
      <c r="AL15">
        <f t="shared" si="12"/>
        <v>0</v>
      </c>
      <c r="AM15">
        <v>0</v>
      </c>
      <c r="AN15">
        <f t="shared" si="13"/>
        <v>0</v>
      </c>
      <c r="AO15">
        <f t="shared" si="14"/>
        <v>0</v>
      </c>
      <c r="AP15">
        <f t="shared" si="15"/>
        <v>0</v>
      </c>
    </row>
    <row r="16" spans="1:48" x14ac:dyDescent="0.35">
      <c r="A16" s="5" t="s">
        <v>21</v>
      </c>
      <c r="B16" s="6">
        <v>95062301712</v>
      </c>
      <c r="C16" s="6">
        <v>85</v>
      </c>
      <c r="D16" s="6">
        <v>83</v>
      </c>
      <c r="E16" s="6">
        <v>48</v>
      </c>
      <c r="F16" s="6" t="s">
        <v>23</v>
      </c>
      <c r="G16" s="6" t="s">
        <v>23</v>
      </c>
      <c r="H16" s="6" t="s">
        <v>23</v>
      </c>
      <c r="I16" s="6">
        <v>94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>
        <v>92</v>
      </c>
      <c r="R16" s="6" t="s">
        <v>23</v>
      </c>
      <c r="S16" s="6">
        <v>56</v>
      </c>
      <c r="T16" s="6" t="s">
        <v>23</v>
      </c>
      <c r="U16" s="7" t="s">
        <v>23</v>
      </c>
      <c r="V16">
        <f t="shared" si="1"/>
        <v>0</v>
      </c>
      <c r="W16">
        <f t="shared" si="2"/>
        <v>1</v>
      </c>
      <c r="X16">
        <f t="shared" si="3"/>
        <v>1</v>
      </c>
      <c r="Y16">
        <f t="shared" si="4"/>
        <v>1</v>
      </c>
      <c r="Z16">
        <f t="shared" si="5"/>
        <v>0</v>
      </c>
      <c r="AA16">
        <f t="shared" si="6"/>
        <v>0</v>
      </c>
      <c r="AB16">
        <f t="shared" si="7"/>
        <v>0</v>
      </c>
      <c r="AC16">
        <v>0</v>
      </c>
      <c r="AD16">
        <f t="shared" si="8"/>
        <v>0</v>
      </c>
      <c r="AE16">
        <v>0</v>
      </c>
      <c r="AF16">
        <f t="shared" si="9"/>
        <v>0</v>
      </c>
      <c r="AG16">
        <v>0</v>
      </c>
      <c r="AH16">
        <f t="shared" si="10"/>
        <v>0</v>
      </c>
      <c r="AI16">
        <v>0</v>
      </c>
      <c r="AJ16">
        <f t="shared" si="11"/>
        <v>0</v>
      </c>
      <c r="AK16">
        <v>0</v>
      </c>
      <c r="AL16">
        <f t="shared" si="12"/>
        <v>0</v>
      </c>
      <c r="AM16">
        <v>0</v>
      </c>
      <c r="AN16">
        <f t="shared" si="13"/>
        <v>0</v>
      </c>
      <c r="AO16">
        <f t="shared" si="14"/>
        <v>0</v>
      </c>
      <c r="AP16">
        <f t="shared" si="15"/>
        <v>1</v>
      </c>
    </row>
    <row r="17" spans="1:42" x14ac:dyDescent="0.35">
      <c r="A17" s="8" t="s">
        <v>21</v>
      </c>
      <c r="B17" s="9">
        <v>95071508265</v>
      </c>
      <c r="C17" s="9">
        <v>62</v>
      </c>
      <c r="D17" s="9">
        <v>48</v>
      </c>
      <c r="E17" s="9" t="s">
        <v>23</v>
      </c>
      <c r="F17" s="9" t="s">
        <v>23</v>
      </c>
      <c r="G17" s="9" t="s">
        <v>23</v>
      </c>
      <c r="H17" s="9" t="s">
        <v>23</v>
      </c>
      <c r="I17" s="9">
        <v>85</v>
      </c>
      <c r="J17" s="9" t="s">
        <v>23</v>
      </c>
      <c r="K17" s="9" t="s">
        <v>23</v>
      </c>
      <c r="L17" s="9" t="s">
        <v>23</v>
      </c>
      <c r="M17" s="9" t="s">
        <v>23</v>
      </c>
      <c r="N17" s="9" t="s">
        <v>23</v>
      </c>
      <c r="O17" s="9" t="s">
        <v>23</v>
      </c>
      <c r="P17" s="9" t="s">
        <v>23</v>
      </c>
      <c r="Q17" s="9">
        <v>58</v>
      </c>
      <c r="R17" s="9" t="s">
        <v>23</v>
      </c>
      <c r="S17" s="9">
        <v>59</v>
      </c>
      <c r="T17" s="9" t="s">
        <v>23</v>
      </c>
      <c r="U17" s="10" t="s">
        <v>23</v>
      </c>
      <c r="V17">
        <f t="shared" si="1"/>
        <v>1</v>
      </c>
      <c r="W17">
        <f t="shared" si="2"/>
        <v>1</v>
      </c>
      <c r="X17">
        <f t="shared" si="3"/>
        <v>1</v>
      </c>
      <c r="Y17">
        <f t="shared" si="4"/>
        <v>0</v>
      </c>
      <c r="Z17">
        <f t="shared" si="5"/>
        <v>0</v>
      </c>
      <c r="AA17">
        <f t="shared" si="6"/>
        <v>0</v>
      </c>
      <c r="AB17">
        <f t="shared" si="7"/>
        <v>0</v>
      </c>
      <c r="AC17">
        <v>0</v>
      </c>
      <c r="AD17">
        <f t="shared" si="8"/>
        <v>0</v>
      </c>
      <c r="AE17">
        <v>0</v>
      </c>
      <c r="AF17">
        <f t="shared" si="9"/>
        <v>0</v>
      </c>
      <c r="AG17">
        <v>0</v>
      </c>
      <c r="AH17">
        <f t="shared" si="10"/>
        <v>0</v>
      </c>
      <c r="AI17">
        <v>0</v>
      </c>
      <c r="AJ17">
        <f t="shared" si="11"/>
        <v>0</v>
      </c>
      <c r="AK17">
        <v>0</v>
      </c>
      <c r="AL17">
        <f t="shared" si="12"/>
        <v>0</v>
      </c>
      <c r="AM17">
        <v>0</v>
      </c>
      <c r="AN17">
        <f t="shared" si="13"/>
        <v>0</v>
      </c>
      <c r="AO17">
        <f t="shared" si="14"/>
        <v>0</v>
      </c>
      <c r="AP17">
        <f t="shared" si="15"/>
        <v>0</v>
      </c>
    </row>
    <row r="18" spans="1:42" x14ac:dyDescent="0.35">
      <c r="A18" s="5" t="s">
        <v>21</v>
      </c>
      <c r="B18" s="6">
        <v>95071807500</v>
      </c>
      <c r="C18" s="6">
        <v>68</v>
      </c>
      <c r="D18" s="6">
        <v>62</v>
      </c>
      <c r="E18" s="6" t="s">
        <v>23</v>
      </c>
      <c r="F18" s="6" t="s">
        <v>23</v>
      </c>
      <c r="G18" s="6" t="s">
        <v>23</v>
      </c>
      <c r="H18" s="6" t="s">
        <v>23</v>
      </c>
      <c r="I18" s="6">
        <v>99</v>
      </c>
      <c r="J18" s="6">
        <v>93</v>
      </c>
      <c r="K18" s="6" t="s">
        <v>23</v>
      </c>
      <c r="L18" s="6" t="s">
        <v>23</v>
      </c>
      <c r="M18" s="6" t="s">
        <v>23</v>
      </c>
      <c r="N18" s="6" t="s">
        <v>23</v>
      </c>
      <c r="O18" s="6" t="s">
        <v>23</v>
      </c>
      <c r="P18" s="6" t="s">
        <v>23</v>
      </c>
      <c r="Q18" s="6">
        <v>78</v>
      </c>
      <c r="R18" s="6" t="s">
        <v>23</v>
      </c>
      <c r="S18" s="6">
        <v>54</v>
      </c>
      <c r="T18" s="6" t="s">
        <v>23</v>
      </c>
      <c r="U18" s="7" t="s">
        <v>23</v>
      </c>
      <c r="V18">
        <f t="shared" si="1"/>
        <v>1</v>
      </c>
      <c r="W18">
        <f t="shared" si="2"/>
        <v>1</v>
      </c>
      <c r="X18">
        <f t="shared" si="3"/>
        <v>1</v>
      </c>
      <c r="Y18">
        <f t="shared" si="4"/>
        <v>0</v>
      </c>
      <c r="Z18">
        <f t="shared" si="5"/>
        <v>0</v>
      </c>
      <c r="AA18">
        <f t="shared" si="6"/>
        <v>0</v>
      </c>
      <c r="AB18">
        <f t="shared" si="7"/>
        <v>0</v>
      </c>
      <c r="AC18">
        <v>0</v>
      </c>
      <c r="AD18">
        <f t="shared" si="8"/>
        <v>1</v>
      </c>
      <c r="AE18">
        <v>0</v>
      </c>
      <c r="AF18">
        <f t="shared" si="9"/>
        <v>0</v>
      </c>
      <c r="AG18">
        <v>0</v>
      </c>
      <c r="AH18">
        <f t="shared" si="10"/>
        <v>0</v>
      </c>
      <c r="AI18">
        <v>0</v>
      </c>
      <c r="AJ18">
        <f t="shared" si="11"/>
        <v>0</v>
      </c>
      <c r="AK18">
        <v>0</v>
      </c>
      <c r="AL18">
        <f t="shared" si="12"/>
        <v>0</v>
      </c>
      <c r="AM18">
        <v>0</v>
      </c>
      <c r="AN18">
        <f t="shared" si="13"/>
        <v>0</v>
      </c>
      <c r="AO18">
        <f t="shared" si="14"/>
        <v>0</v>
      </c>
      <c r="AP18">
        <f t="shared" si="15"/>
        <v>1</v>
      </c>
    </row>
    <row r="19" spans="1:42" x14ac:dyDescent="0.35">
      <c r="A19" s="8" t="s">
        <v>21</v>
      </c>
      <c r="B19" s="9">
        <v>95072900844</v>
      </c>
      <c r="C19" s="9">
        <v>55</v>
      </c>
      <c r="D19" s="9">
        <v>62</v>
      </c>
      <c r="E19" s="9" t="s">
        <v>23</v>
      </c>
      <c r="F19" s="9" t="s">
        <v>23</v>
      </c>
      <c r="G19" s="9" t="s">
        <v>23</v>
      </c>
      <c r="H19" s="9" t="s">
        <v>23</v>
      </c>
      <c r="I19" s="9">
        <v>96</v>
      </c>
      <c r="J19" s="9">
        <v>86</v>
      </c>
      <c r="K19" s="9" t="s">
        <v>23</v>
      </c>
      <c r="L19" s="9" t="s">
        <v>23</v>
      </c>
      <c r="M19" s="9" t="s">
        <v>23</v>
      </c>
      <c r="N19" s="9" t="s">
        <v>23</v>
      </c>
      <c r="O19" s="9" t="s">
        <v>23</v>
      </c>
      <c r="P19" s="9" t="s">
        <v>23</v>
      </c>
      <c r="Q19" s="9">
        <v>92</v>
      </c>
      <c r="R19" s="9" t="s">
        <v>23</v>
      </c>
      <c r="S19" s="9">
        <v>73</v>
      </c>
      <c r="T19" s="9" t="s">
        <v>23</v>
      </c>
      <c r="U19" s="10" t="s">
        <v>23</v>
      </c>
      <c r="V19">
        <f t="shared" si="1"/>
        <v>1</v>
      </c>
      <c r="W19">
        <f t="shared" si="2"/>
        <v>1</v>
      </c>
      <c r="X19">
        <f t="shared" si="3"/>
        <v>1</v>
      </c>
      <c r="Y19">
        <f t="shared" si="4"/>
        <v>0</v>
      </c>
      <c r="Z19">
        <f t="shared" si="5"/>
        <v>0</v>
      </c>
      <c r="AA19">
        <f t="shared" si="6"/>
        <v>0</v>
      </c>
      <c r="AB19">
        <f t="shared" si="7"/>
        <v>0</v>
      </c>
      <c r="AC19">
        <v>0</v>
      </c>
      <c r="AD19">
        <f t="shared" si="8"/>
        <v>1</v>
      </c>
      <c r="AE19">
        <v>0</v>
      </c>
      <c r="AF19">
        <f t="shared" si="9"/>
        <v>0</v>
      </c>
      <c r="AG19">
        <v>0</v>
      </c>
      <c r="AH19">
        <f t="shared" si="10"/>
        <v>0</v>
      </c>
      <c r="AI19">
        <v>0</v>
      </c>
      <c r="AJ19">
        <f t="shared" si="11"/>
        <v>0</v>
      </c>
      <c r="AK19">
        <v>0</v>
      </c>
      <c r="AL19">
        <f t="shared" si="12"/>
        <v>0</v>
      </c>
      <c r="AM19">
        <v>0</v>
      </c>
      <c r="AN19">
        <f t="shared" si="13"/>
        <v>0</v>
      </c>
      <c r="AO19">
        <f t="shared" si="14"/>
        <v>0</v>
      </c>
      <c r="AP19">
        <f t="shared" si="15"/>
        <v>1</v>
      </c>
    </row>
    <row r="20" spans="1:42" x14ac:dyDescent="0.35">
      <c r="A20" s="5" t="s">
        <v>21</v>
      </c>
      <c r="B20" s="6">
        <v>95073111506</v>
      </c>
      <c r="C20" s="6">
        <v>68</v>
      </c>
      <c r="D20" s="6">
        <v>45</v>
      </c>
      <c r="E20" s="6" t="s">
        <v>23</v>
      </c>
      <c r="F20" s="6" t="s">
        <v>23</v>
      </c>
      <c r="G20" s="6" t="s">
        <v>23</v>
      </c>
      <c r="H20" s="6" t="s">
        <v>23</v>
      </c>
      <c r="I20" s="6">
        <v>92</v>
      </c>
      <c r="J20" s="6" t="s">
        <v>23</v>
      </c>
      <c r="K20" s="6" t="s">
        <v>23</v>
      </c>
      <c r="L20" s="6" t="s">
        <v>23</v>
      </c>
      <c r="M20" s="6" t="s">
        <v>23</v>
      </c>
      <c r="N20" s="6" t="s">
        <v>23</v>
      </c>
      <c r="O20" s="6" t="s">
        <v>23</v>
      </c>
      <c r="P20" s="6" t="s">
        <v>23</v>
      </c>
      <c r="Q20" s="6">
        <v>78</v>
      </c>
      <c r="R20" s="6" t="s">
        <v>23</v>
      </c>
      <c r="S20" s="6">
        <v>56</v>
      </c>
      <c r="T20" s="6" t="s">
        <v>23</v>
      </c>
      <c r="U20" s="7" t="s">
        <v>23</v>
      </c>
      <c r="V20">
        <f t="shared" si="1"/>
        <v>1</v>
      </c>
      <c r="W20">
        <f t="shared" si="2"/>
        <v>1</v>
      </c>
      <c r="X20">
        <f t="shared" si="3"/>
        <v>1</v>
      </c>
      <c r="Y20">
        <f t="shared" si="4"/>
        <v>0</v>
      </c>
      <c r="Z20">
        <f t="shared" si="5"/>
        <v>0</v>
      </c>
      <c r="AA20">
        <f t="shared" si="6"/>
        <v>0</v>
      </c>
      <c r="AB20">
        <f t="shared" si="7"/>
        <v>0</v>
      </c>
      <c r="AC20">
        <v>0</v>
      </c>
      <c r="AD20">
        <f t="shared" si="8"/>
        <v>0</v>
      </c>
      <c r="AE20">
        <v>0</v>
      </c>
      <c r="AF20">
        <f t="shared" si="9"/>
        <v>0</v>
      </c>
      <c r="AG20">
        <v>0</v>
      </c>
      <c r="AH20">
        <f t="shared" si="10"/>
        <v>0</v>
      </c>
      <c r="AI20">
        <v>0</v>
      </c>
      <c r="AJ20">
        <f t="shared" si="11"/>
        <v>0</v>
      </c>
      <c r="AK20">
        <v>0</v>
      </c>
      <c r="AL20">
        <f t="shared" si="12"/>
        <v>0</v>
      </c>
      <c r="AM20">
        <v>0</v>
      </c>
      <c r="AN20">
        <f t="shared" si="13"/>
        <v>0</v>
      </c>
      <c r="AO20">
        <f t="shared" si="14"/>
        <v>0</v>
      </c>
      <c r="AP20">
        <f t="shared" si="15"/>
        <v>0</v>
      </c>
    </row>
    <row r="21" spans="1:42" x14ac:dyDescent="0.35">
      <c r="A21" s="8" t="s">
        <v>21</v>
      </c>
      <c r="B21" s="9">
        <v>95080409087</v>
      </c>
      <c r="C21" s="9">
        <v>78</v>
      </c>
      <c r="D21" s="9" t="s">
        <v>23</v>
      </c>
      <c r="E21" s="9" t="s">
        <v>23</v>
      </c>
      <c r="F21" s="9" t="s">
        <v>23</v>
      </c>
      <c r="G21" s="9" t="s">
        <v>23</v>
      </c>
      <c r="H21" s="9" t="s">
        <v>23</v>
      </c>
      <c r="I21" s="9">
        <v>95</v>
      </c>
      <c r="J21" s="9">
        <v>77</v>
      </c>
      <c r="K21" s="9" t="s">
        <v>23</v>
      </c>
      <c r="L21" s="9" t="s">
        <v>23</v>
      </c>
      <c r="M21" s="9" t="s">
        <v>23</v>
      </c>
      <c r="N21" s="9" t="s">
        <v>23</v>
      </c>
      <c r="O21" s="9" t="s">
        <v>23</v>
      </c>
      <c r="P21" s="9" t="s">
        <v>23</v>
      </c>
      <c r="Q21" s="9">
        <v>64</v>
      </c>
      <c r="R21" s="9" t="s">
        <v>23</v>
      </c>
      <c r="S21" s="9">
        <v>84</v>
      </c>
      <c r="T21" s="9" t="s">
        <v>23</v>
      </c>
      <c r="U21" s="10" t="s">
        <v>23</v>
      </c>
      <c r="V21">
        <f t="shared" si="1"/>
        <v>1</v>
      </c>
      <c r="W21">
        <f t="shared" si="2"/>
        <v>1</v>
      </c>
      <c r="X21">
        <f t="shared" si="3"/>
        <v>0</v>
      </c>
      <c r="Y21">
        <f t="shared" si="4"/>
        <v>0</v>
      </c>
      <c r="Z21">
        <f t="shared" si="5"/>
        <v>0</v>
      </c>
      <c r="AA21">
        <f t="shared" si="6"/>
        <v>0</v>
      </c>
      <c r="AB21">
        <f t="shared" si="7"/>
        <v>0</v>
      </c>
      <c r="AC21">
        <v>0</v>
      </c>
      <c r="AD21">
        <f t="shared" si="8"/>
        <v>1</v>
      </c>
      <c r="AE21">
        <v>0</v>
      </c>
      <c r="AF21">
        <f t="shared" si="9"/>
        <v>0</v>
      </c>
      <c r="AG21">
        <v>0</v>
      </c>
      <c r="AH21">
        <f t="shared" si="10"/>
        <v>0</v>
      </c>
      <c r="AI21">
        <v>0</v>
      </c>
      <c r="AJ21">
        <f t="shared" si="11"/>
        <v>0</v>
      </c>
      <c r="AK21">
        <v>0</v>
      </c>
      <c r="AL21">
        <f t="shared" si="12"/>
        <v>0</v>
      </c>
      <c r="AM21">
        <v>0</v>
      </c>
      <c r="AN21">
        <f t="shared" si="13"/>
        <v>0</v>
      </c>
      <c r="AO21">
        <f t="shared" si="14"/>
        <v>0</v>
      </c>
      <c r="AP21">
        <f t="shared" si="15"/>
        <v>0</v>
      </c>
    </row>
    <row r="22" spans="1:42" x14ac:dyDescent="0.35">
      <c r="A22" s="5" t="s">
        <v>21</v>
      </c>
      <c r="B22" s="6">
        <v>95081008322</v>
      </c>
      <c r="C22" s="6">
        <v>72</v>
      </c>
      <c r="D22" s="6">
        <v>68</v>
      </c>
      <c r="E22" s="6" t="s">
        <v>23</v>
      </c>
      <c r="F22" s="6" t="s">
        <v>23</v>
      </c>
      <c r="G22" s="6" t="s">
        <v>23</v>
      </c>
      <c r="H22" s="6" t="s">
        <v>23</v>
      </c>
      <c r="I22" s="6">
        <v>92</v>
      </c>
      <c r="J22" s="6" t="s">
        <v>23</v>
      </c>
      <c r="K22" s="6" t="s">
        <v>23</v>
      </c>
      <c r="L22" s="6" t="s">
        <v>23</v>
      </c>
      <c r="M22" s="6" t="s">
        <v>23</v>
      </c>
      <c r="N22" s="6" t="s">
        <v>23</v>
      </c>
      <c r="O22" s="6" t="s">
        <v>23</v>
      </c>
      <c r="P22" s="6" t="s">
        <v>23</v>
      </c>
      <c r="Q22" s="6">
        <v>70</v>
      </c>
      <c r="R22" s="6" t="s">
        <v>23</v>
      </c>
      <c r="S22" s="6">
        <v>64</v>
      </c>
      <c r="T22" s="6" t="s">
        <v>23</v>
      </c>
      <c r="U22" s="7" t="s">
        <v>23</v>
      </c>
      <c r="V22">
        <f t="shared" si="1"/>
        <v>1</v>
      </c>
      <c r="W22">
        <f t="shared" si="2"/>
        <v>1</v>
      </c>
      <c r="X22">
        <f t="shared" si="3"/>
        <v>1</v>
      </c>
      <c r="Y22">
        <f t="shared" si="4"/>
        <v>0</v>
      </c>
      <c r="Z22">
        <f t="shared" si="5"/>
        <v>0</v>
      </c>
      <c r="AA22">
        <f t="shared" si="6"/>
        <v>0</v>
      </c>
      <c r="AB22">
        <f t="shared" si="7"/>
        <v>0</v>
      </c>
      <c r="AC22">
        <v>0</v>
      </c>
      <c r="AD22">
        <f t="shared" si="8"/>
        <v>0</v>
      </c>
      <c r="AE22">
        <v>0</v>
      </c>
      <c r="AF22">
        <f t="shared" si="9"/>
        <v>0</v>
      </c>
      <c r="AG22">
        <v>0</v>
      </c>
      <c r="AH22">
        <f t="shared" si="10"/>
        <v>0</v>
      </c>
      <c r="AI22">
        <v>0</v>
      </c>
      <c r="AJ22">
        <f t="shared" si="11"/>
        <v>0</v>
      </c>
      <c r="AK22">
        <v>0</v>
      </c>
      <c r="AL22">
        <f t="shared" si="12"/>
        <v>0</v>
      </c>
      <c r="AM22">
        <v>0</v>
      </c>
      <c r="AN22">
        <f t="shared" si="13"/>
        <v>0</v>
      </c>
      <c r="AO22">
        <f t="shared" si="14"/>
        <v>0</v>
      </c>
      <c r="AP22">
        <f t="shared" si="15"/>
        <v>0</v>
      </c>
    </row>
    <row r="23" spans="1:42" x14ac:dyDescent="0.35">
      <c r="A23" s="8" t="s">
        <v>21</v>
      </c>
      <c r="B23" s="9">
        <v>95081802841</v>
      </c>
      <c r="C23" s="9">
        <v>55</v>
      </c>
      <c r="D23" s="9">
        <v>50</v>
      </c>
      <c r="E23" s="9" t="s">
        <v>23</v>
      </c>
      <c r="F23" s="9" t="s">
        <v>23</v>
      </c>
      <c r="G23" s="9" t="s">
        <v>23</v>
      </c>
      <c r="H23" s="9" t="s">
        <v>23</v>
      </c>
      <c r="I23" s="9">
        <v>84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9" t="s">
        <v>23</v>
      </c>
      <c r="P23" s="9" t="s">
        <v>23</v>
      </c>
      <c r="Q23" s="9">
        <v>58</v>
      </c>
      <c r="R23" s="9" t="s">
        <v>23</v>
      </c>
      <c r="S23" s="9">
        <v>54</v>
      </c>
      <c r="T23" s="9" t="s">
        <v>23</v>
      </c>
      <c r="U23" s="10" t="s">
        <v>23</v>
      </c>
      <c r="V23">
        <f t="shared" si="1"/>
        <v>1</v>
      </c>
      <c r="W23">
        <f t="shared" si="2"/>
        <v>1</v>
      </c>
      <c r="X23">
        <f t="shared" si="3"/>
        <v>1</v>
      </c>
      <c r="Y23">
        <f t="shared" si="4"/>
        <v>0</v>
      </c>
      <c r="Z23">
        <f t="shared" si="5"/>
        <v>0</v>
      </c>
      <c r="AA23">
        <f t="shared" si="6"/>
        <v>0</v>
      </c>
      <c r="AB23">
        <f t="shared" si="7"/>
        <v>0</v>
      </c>
      <c r="AC23">
        <v>0</v>
      </c>
      <c r="AD23">
        <f t="shared" si="8"/>
        <v>0</v>
      </c>
      <c r="AE23">
        <v>0</v>
      </c>
      <c r="AF23">
        <f t="shared" si="9"/>
        <v>0</v>
      </c>
      <c r="AG23">
        <v>0</v>
      </c>
      <c r="AH23">
        <f t="shared" si="10"/>
        <v>0</v>
      </c>
      <c r="AI23">
        <v>0</v>
      </c>
      <c r="AJ23">
        <f t="shared" si="11"/>
        <v>0</v>
      </c>
      <c r="AK23">
        <v>0</v>
      </c>
      <c r="AL23">
        <f t="shared" si="12"/>
        <v>0</v>
      </c>
      <c r="AM23">
        <v>0</v>
      </c>
      <c r="AN23">
        <f t="shared" si="13"/>
        <v>0</v>
      </c>
      <c r="AO23">
        <f t="shared" si="14"/>
        <v>0</v>
      </c>
      <c r="AP23">
        <f t="shared" si="15"/>
        <v>0</v>
      </c>
    </row>
    <row r="24" spans="1:42" x14ac:dyDescent="0.35">
      <c r="A24" s="5" t="s">
        <v>21</v>
      </c>
      <c r="B24" s="6">
        <v>95082400949</v>
      </c>
      <c r="C24" s="6">
        <v>67</v>
      </c>
      <c r="D24" s="6">
        <v>60</v>
      </c>
      <c r="E24" s="6" t="s">
        <v>23</v>
      </c>
      <c r="F24" s="6" t="s">
        <v>23</v>
      </c>
      <c r="G24" s="6" t="s">
        <v>23</v>
      </c>
      <c r="H24" s="6" t="s">
        <v>23</v>
      </c>
      <c r="I24" s="6">
        <v>92</v>
      </c>
      <c r="J24" s="6" t="s">
        <v>23</v>
      </c>
      <c r="K24" s="6" t="s">
        <v>23</v>
      </c>
      <c r="L24" s="6" t="s">
        <v>23</v>
      </c>
      <c r="M24" s="6" t="s">
        <v>23</v>
      </c>
      <c r="N24" s="6" t="s">
        <v>23</v>
      </c>
      <c r="O24" s="6" t="s">
        <v>23</v>
      </c>
      <c r="P24" s="6" t="s">
        <v>23</v>
      </c>
      <c r="Q24" s="6">
        <v>76</v>
      </c>
      <c r="R24" s="6" t="s">
        <v>23</v>
      </c>
      <c r="S24" s="6">
        <v>50</v>
      </c>
      <c r="T24" s="6" t="s">
        <v>23</v>
      </c>
      <c r="U24" s="7" t="s">
        <v>23</v>
      </c>
      <c r="V24">
        <f t="shared" si="1"/>
        <v>1</v>
      </c>
      <c r="W24">
        <f t="shared" si="2"/>
        <v>1</v>
      </c>
      <c r="X24">
        <f t="shared" si="3"/>
        <v>1</v>
      </c>
      <c r="Y24">
        <f t="shared" si="4"/>
        <v>0</v>
      </c>
      <c r="Z24">
        <f t="shared" si="5"/>
        <v>0</v>
      </c>
      <c r="AA24">
        <f t="shared" si="6"/>
        <v>0</v>
      </c>
      <c r="AB24">
        <f t="shared" si="7"/>
        <v>0</v>
      </c>
      <c r="AC24">
        <v>0</v>
      </c>
      <c r="AD24">
        <f t="shared" si="8"/>
        <v>0</v>
      </c>
      <c r="AE24">
        <v>0</v>
      </c>
      <c r="AF24">
        <f t="shared" si="9"/>
        <v>0</v>
      </c>
      <c r="AG24">
        <v>0</v>
      </c>
      <c r="AH24">
        <f t="shared" si="10"/>
        <v>0</v>
      </c>
      <c r="AI24">
        <v>0</v>
      </c>
      <c r="AJ24">
        <f t="shared" si="11"/>
        <v>0</v>
      </c>
      <c r="AK24">
        <v>0</v>
      </c>
      <c r="AL24">
        <f t="shared" si="12"/>
        <v>0</v>
      </c>
      <c r="AM24">
        <v>0</v>
      </c>
      <c r="AN24">
        <f t="shared" si="13"/>
        <v>0</v>
      </c>
      <c r="AO24">
        <f t="shared" si="14"/>
        <v>0</v>
      </c>
      <c r="AP24">
        <f t="shared" si="15"/>
        <v>0</v>
      </c>
    </row>
    <row r="25" spans="1:42" x14ac:dyDescent="0.35">
      <c r="A25" s="8" t="s">
        <v>21</v>
      </c>
      <c r="B25" s="9">
        <v>95082502641</v>
      </c>
      <c r="C25" s="9">
        <v>45</v>
      </c>
      <c r="D25" s="9">
        <v>30</v>
      </c>
      <c r="E25" s="9" t="s">
        <v>23</v>
      </c>
      <c r="F25" s="9" t="s">
        <v>23</v>
      </c>
      <c r="G25" s="9" t="s">
        <v>23</v>
      </c>
      <c r="H25" s="9" t="s">
        <v>23</v>
      </c>
      <c r="I25" s="9">
        <v>61</v>
      </c>
      <c r="J25" s="9" t="s">
        <v>23</v>
      </c>
      <c r="K25" s="9" t="s">
        <v>23</v>
      </c>
      <c r="L25" s="9" t="s">
        <v>23</v>
      </c>
      <c r="M25" s="9" t="s">
        <v>23</v>
      </c>
      <c r="N25" s="9" t="s">
        <v>23</v>
      </c>
      <c r="O25" s="9" t="s">
        <v>23</v>
      </c>
      <c r="P25" s="9" t="s">
        <v>23</v>
      </c>
      <c r="Q25" s="9">
        <v>50</v>
      </c>
      <c r="R25" s="9" t="s">
        <v>23</v>
      </c>
      <c r="S25" s="9">
        <v>33</v>
      </c>
      <c r="T25" s="9" t="s">
        <v>23</v>
      </c>
      <c r="U25" s="10" t="s">
        <v>23</v>
      </c>
      <c r="V25">
        <f t="shared" si="1"/>
        <v>1</v>
      </c>
      <c r="W25">
        <f t="shared" si="2"/>
        <v>1</v>
      </c>
      <c r="X25">
        <f t="shared" si="3"/>
        <v>1</v>
      </c>
      <c r="Y25">
        <f t="shared" si="4"/>
        <v>0</v>
      </c>
      <c r="Z25">
        <f t="shared" si="5"/>
        <v>0</v>
      </c>
      <c r="AA25">
        <f t="shared" si="6"/>
        <v>0</v>
      </c>
      <c r="AB25">
        <f t="shared" si="7"/>
        <v>0</v>
      </c>
      <c r="AC25">
        <v>0</v>
      </c>
      <c r="AD25">
        <f t="shared" si="8"/>
        <v>0</v>
      </c>
      <c r="AE25">
        <v>0</v>
      </c>
      <c r="AF25">
        <f t="shared" si="9"/>
        <v>0</v>
      </c>
      <c r="AG25">
        <v>0</v>
      </c>
      <c r="AH25">
        <f t="shared" si="10"/>
        <v>0</v>
      </c>
      <c r="AI25">
        <v>0</v>
      </c>
      <c r="AJ25">
        <f t="shared" si="11"/>
        <v>0</v>
      </c>
      <c r="AK25">
        <v>0</v>
      </c>
      <c r="AL25">
        <f t="shared" si="12"/>
        <v>0</v>
      </c>
      <c r="AM25">
        <v>0</v>
      </c>
      <c r="AN25">
        <f t="shared" si="13"/>
        <v>0</v>
      </c>
      <c r="AO25">
        <f t="shared" si="14"/>
        <v>0</v>
      </c>
      <c r="AP25">
        <f t="shared" si="15"/>
        <v>0</v>
      </c>
    </row>
    <row r="26" spans="1:42" x14ac:dyDescent="0.35">
      <c r="A26" s="5" t="s">
        <v>21</v>
      </c>
      <c r="B26" s="6">
        <v>95090501360</v>
      </c>
      <c r="C26" s="6">
        <v>83</v>
      </c>
      <c r="D26" s="6">
        <v>50</v>
      </c>
      <c r="E26" s="6" t="s">
        <v>23</v>
      </c>
      <c r="F26" s="6" t="s">
        <v>23</v>
      </c>
      <c r="G26" s="6" t="s">
        <v>23</v>
      </c>
      <c r="H26" s="6" t="s">
        <v>23</v>
      </c>
      <c r="I26" s="6">
        <v>100</v>
      </c>
      <c r="J26" s="6">
        <v>83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  <c r="P26" s="6" t="s">
        <v>23</v>
      </c>
      <c r="Q26" s="6">
        <v>62</v>
      </c>
      <c r="R26" s="6" t="s">
        <v>23</v>
      </c>
      <c r="S26" s="6">
        <v>76</v>
      </c>
      <c r="T26" s="6" t="s">
        <v>23</v>
      </c>
      <c r="U26" s="7" t="s">
        <v>23</v>
      </c>
      <c r="V26">
        <f t="shared" si="1"/>
        <v>1</v>
      </c>
      <c r="W26">
        <f t="shared" si="2"/>
        <v>1</v>
      </c>
      <c r="X26">
        <f t="shared" si="3"/>
        <v>1</v>
      </c>
      <c r="Y26">
        <f t="shared" si="4"/>
        <v>0</v>
      </c>
      <c r="Z26">
        <f t="shared" si="5"/>
        <v>0</v>
      </c>
      <c r="AA26">
        <f t="shared" si="6"/>
        <v>0</v>
      </c>
      <c r="AB26">
        <f t="shared" si="7"/>
        <v>0</v>
      </c>
      <c r="AC26">
        <v>0</v>
      </c>
      <c r="AD26">
        <f t="shared" si="8"/>
        <v>1</v>
      </c>
      <c r="AE26">
        <v>0</v>
      </c>
      <c r="AF26">
        <f t="shared" si="9"/>
        <v>0</v>
      </c>
      <c r="AG26">
        <v>0</v>
      </c>
      <c r="AH26">
        <f t="shared" si="10"/>
        <v>0</v>
      </c>
      <c r="AI26">
        <v>0</v>
      </c>
      <c r="AJ26">
        <f t="shared" si="11"/>
        <v>0</v>
      </c>
      <c r="AK26">
        <v>0</v>
      </c>
      <c r="AL26">
        <f t="shared" si="12"/>
        <v>0</v>
      </c>
      <c r="AM26">
        <v>0</v>
      </c>
      <c r="AN26">
        <f t="shared" si="13"/>
        <v>0</v>
      </c>
      <c r="AO26">
        <f t="shared" si="14"/>
        <v>0</v>
      </c>
      <c r="AP26">
        <f t="shared" si="15"/>
        <v>1</v>
      </c>
    </row>
    <row r="27" spans="1:42" x14ac:dyDescent="0.35">
      <c r="A27" s="8" t="s">
        <v>21</v>
      </c>
      <c r="B27" s="9">
        <v>95091604864</v>
      </c>
      <c r="C27" s="9">
        <v>80</v>
      </c>
      <c r="D27" s="9" t="s">
        <v>23</v>
      </c>
      <c r="E27" s="9" t="s">
        <v>23</v>
      </c>
      <c r="F27" s="9" t="s">
        <v>23</v>
      </c>
      <c r="G27" s="9" t="s">
        <v>23</v>
      </c>
      <c r="H27" s="9" t="s">
        <v>23</v>
      </c>
      <c r="I27" s="9">
        <v>99</v>
      </c>
      <c r="J27" s="9">
        <v>83</v>
      </c>
      <c r="K27" s="9" t="s">
        <v>23</v>
      </c>
      <c r="L27" s="9" t="s">
        <v>23</v>
      </c>
      <c r="M27" s="9" t="s">
        <v>23</v>
      </c>
      <c r="N27" s="9" t="s">
        <v>23</v>
      </c>
      <c r="O27" s="9" t="s">
        <v>23</v>
      </c>
      <c r="P27" s="9" t="s">
        <v>23</v>
      </c>
      <c r="Q27" s="9">
        <v>72</v>
      </c>
      <c r="R27" s="9" t="s">
        <v>23</v>
      </c>
      <c r="S27" s="9">
        <v>84</v>
      </c>
      <c r="T27" s="9" t="s">
        <v>23</v>
      </c>
      <c r="U27" s="10" t="s">
        <v>23</v>
      </c>
      <c r="V27">
        <f t="shared" si="1"/>
        <v>1</v>
      </c>
      <c r="W27">
        <f t="shared" si="2"/>
        <v>1</v>
      </c>
      <c r="X27">
        <f t="shared" si="3"/>
        <v>0</v>
      </c>
      <c r="Y27">
        <f t="shared" si="4"/>
        <v>0</v>
      </c>
      <c r="Z27">
        <f t="shared" si="5"/>
        <v>0</v>
      </c>
      <c r="AA27">
        <f t="shared" si="6"/>
        <v>0</v>
      </c>
      <c r="AB27">
        <f t="shared" si="7"/>
        <v>0</v>
      </c>
      <c r="AC27">
        <v>0</v>
      </c>
      <c r="AD27">
        <f t="shared" si="8"/>
        <v>1</v>
      </c>
      <c r="AE27">
        <v>0</v>
      </c>
      <c r="AF27">
        <f t="shared" si="9"/>
        <v>0</v>
      </c>
      <c r="AG27">
        <v>0</v>
      </c>
      <c r="AH27">
        <f t="shared" si="10"/>
        <v>0</v>
      </c>
      <c r="AI27">
        <v>0</v>
      </c>
      <c r="AJ27">
        <f t="shared" si="11"/>
        <v>0</v>
      </c>
      <c r="AK27">
        <v>0</v>
      </c>
      <c r="AL27">
        <f t="shared" si="12"/>
        <v>0</v>
      </c>
      <c r="AM27">
        <v>0</v>
      </c>
      <c r="AN27">
        <f t="shared" si="13"/>
        <v>0</v>
      </c>
      <c r="AO27">
        <f t="shared" si="14"/>
        <v>0</v>
      </c>
      <c r="AP27">
        <f t="shared" si="15"/>
        <v>0</v>
      </c>
    </row>
    <row r="28" spans="1:42" x14ac:dyDescent="0.35">
      <c r="A28" s="5" t="s">
        <v>21</v>
      </c>
      <c r="B28" s="6">
        <v>95110304166</v>
      </c>
      <c r="C28" s="6">
        <v>70</v>
      </c>
      <c r="D28" s="6">
        <v>60</v>
      </c>
      <c r="E28" s="6" t="s">
        <v>23</v>
      </c>
      <c r="F28" s="6" t="s">
        <v>23</v>
      </c>
      <c r="G28" s="6" t="s">
        <v>23</v>
      </c>
      <c r="H28" s="6" t="s">
        <v>23</v>
      </c>
      <c r="I28" s="6">
        <v>91</v>
      </c>
      <c r="J28" s="6" t="s">
        <v>23</v>
      </c>
      <c r="K28" s="6" t="s">
        <v>23</v>
      </c>
      <c r="L28" s="6" t="s">
        <v>23</v>
      </c>
      <c r="M28" s="6" t="s">
        <v>23</v>
      </c>
      <c r="N28" s="6" t="s">
        <v>23</v>
      </c>
      <c r="O28" s="6" t="s">
        <v>23</v>
      </c>
      <c r="P28" s="6" t="s">
        <v>23</v>
      </c>
      <c r="Q28" s="6">
        <v>80</v>
      </c>
      <c r="R28" s="6" t="s">
        <v>23</v>
      </c>
      <c r="S28" s="6">
        <v>74</v>
      </c>
      <c r="T28" s="6" t="s">
        <v>23</v>
      </c>
      <c r="U28" s="7" t="s">
        <v>23</v>
      </c>
      <c r="V28">
        <f t="shared" si="1"/>
        <v>1</v>
      </c>
      <c r="W28">
        <f t="shared" si="2"/>
        <v>1</v>
      </c>
      <c r="X28">
        <f t="shared" si="3"/>
        <v>1</v>
      </c>
      <c r="Y28">
        <f t="shared" si="4"/>
        <v>0</v>
      </c>
      <c r="Z28">
        <f t="shared" si="5"/>
        <v>0</v>
      </c>
      <c r="AA28">
        <f t="shared" si="6"/>
        <v>0</v>
      </c>
      <c r="AB28">
        <f t="shared" si="7"/>
        <v>0</v>
      </c>
      <c r="AC28">
        <v>0</v>
      </c>
      <c r="AD28">
        <f t="shared" si="8"/>
        <v>0</v>
      </c>
      <c r="AE28">
        <v>0</v>
      </c>
      <c r="AF28">
        <f t="shared" si="9"/>
        <v>0</v>
      </c>
      <c r="AG28">
        <v>0</v>
      </c>
      <c r="AH28">
        <f t="shared" si="10"/>
        <v>0</v>
      </c>
      <c r="AI28">
        <v>0</v>
      </c>
      <c r="AJ28">
        <f t="shared" si="11"/>
        <v>0</v>
      </c>
      <c r="AK28">
        <v>0</v>
      </c>
      <c r="AL28">
        <f t="shared" si="12"/>
        <v>0</v>
      </c>
      <c r="AM28">
        <v>0</v>
      </c>
      <c r="AN28">
        <f t="shared" si="13"/>
        <v>0</v>
      </c>
      <c r="AO28">
        <f t="shared" si="14"/>
        <v>0</v>
      </c>
      <c r="AP28">
        <f t="shared" si="15"/>
        <v>0</v>
      </c>
    </row>
    <row r="29" spans="1:42" x14ac:dyDescent="0.35">
      <c r="A29" s="8" t="s">
        <v>21</v>
      </c>
      <c r="B29" s="9">
        <v>95110400947</v>
      </c>
      <c r="C29" s="9" t="s">
        <v>23</v>
      </c>
      <c r="D29" s="9" t="s">
        <v>23</v>
      </c>
      <c r="E29" s="9">
        <v>55</v>
      </c>
      <c r="F29" s="9" t="s">
        <v>23</v>
      </c>
      <c r="G29" s="9" t="s">
        <v>23</v>
      </c>
      <c r="H29" s="9" t="s">
        <v>23</v>
      </c>
      <c r="I29" s="9">
        <v>96</v>
      </c>
      <c r="J29" s="9">
        <v>86</v>
      </c>
      <c r="K29" s="9" t="s">
        <v>23</v>
      </c>
      <c r="L29" s="9" t="s">
        <v>23</v>
      </c>
      <c r="M29" s="9" t="s">
        <v>23</v>
      </c>
      <c r="N29" s="9" t="s">
        <v>23</v>
      </c>
      <c r="O29" s="9" t="s">
        <v>23</v>
      </c>
      <c r="P29" s="9" t="s">
        <v>23</v>
      </c>
      <c r="Q29" s="9">
        <v>86</v>
      </c>
      <c r="R29" s="9" t="s">
        <v>23</v>
      </c>
      <c r="S29" s="9">
        <v>64</v>
      </c>
      <c r="T29" s="9" t="s">
        <v>23</v>
      </c>
      <c r="U29" s="10" t="s">
        <v>23</v>
      </c>
      <c r="V29">
        <f t="shared" si="1"/>
        <v>1</v>
      </c>
      <c r="W29">
        <f t="shared" si="2"/>
        <v>0</v>
      </c>
      <c r="X29">
        <f t="shared" si="3"/>
        <v>0</v>
      </c>
      <c r="Y29">
        <f t="shared" si="4"/>
        <v>1</v>
      </c>
      <c r="Z29">
        <f t="shared" si="5"/>
        <v>0</v>
      </c>
      <c r="AA29">
        <f t="shared" si="6"/>
        <v>0</v>
      </c>
      <c r="AB29">
        <f t="shared" si="7"/>
        <v>0</v>
      </c>
      <c r="AC29">
        <v>0</v>
      </c>
      <c r="AD29">
        <f t="shared" si="8"/>
        <v>1</v>
      </c>
      <c r="AE29">
        <v>0</v>
      </c>
      <c r="AF29">
        <f t="shared" si="9"/>
        <v>0</v>
      </c>
      <c r="AG29">
        <v>0</v>
      </c>
      <c r="AH29">
        <f t="shared" si="10"/>
        <v>0</v>
      </c>
      <c r="AI29">
        <v>0</v>
      </c>
      <c r="AJ29">
        <f t="shared" si="11"/>
        <v>0</v>
      </c>
      <c r="AK29">
        <v>0</v>
      </c>
      <c r="AL29">
        <f t="shared" si="12"/>
        <v>0</v>
      </c>
      <c r="AM29">
        <v>0</v>
      </c>
      <c r="AN29">
        <f t="shared" si="13"/>
        <v>0</v>
      </c>
      <c r="AO29">
        <f t="shared" si="14"/>
        <v>0</v>
      </c>
      <c r="AP29">
        <f t="shared" si="15"/>
        <v>0</v>
      </c>
    </row>
    <row r="30" spans="1:42" x14ac:dyDescent="0.35">
      <c r="A30" s="5" t="s">
        <v>21</v>
      </c>
      <c r="B30" s="6">
        <v>95111004447</v>
      </c>
      <c r="C30" s="6">
        <v>73</v>
      </c>
      <c r="D30" s="6">
        <v>78</v>
      </c>
      <c r="E30" s="6" t="s">
        <v>23</v>
      </c>
      <c r="F30" s="6" t="s">
        <v>23</v>
      </c>
      <c r="G30" s="6" t="s">
        <v>23</v>
      </c>
      <c r="H30" s="6" t="s">
        <v>23</v>
      </c>
      <c r="I30" s="6">
        <v>96</v>
      </c>
      <c r="J30" s="6" t="s">
        <v>23</v>
      </c>
      <c r="K30" s="6" t="s">
        <v>23</v>
      </c>
      <c r="L30" s="6" t="s">
        <v>23</v>
      </c>
      <c r="M30" s="6" t="s">
        <v>23</v>
      </c>
      <c r="N30" s="6" t="s">
        <v>23</v>
      </c>
      <c r="O30" s="6" t="s">
        <v>23</v>
      </c>
      <c r="P30" s="6" t="s">
        <v>23</v>
      </c>
      <c r="Q30" s="6">
        <v>82</v>
      </c>
      <c r="R30" s="6" t="s">
        <v>23</v>
      </c>
      <c r="S30" s="6">
        <v>60</v>
      </c>
      <c r="T30" s="6" t="s">
        <v>23</v>
      </c>
      <c r="U30" s="7" t="s">
        <v>23</v>
      </c>
      <c r="V30">
        <f t="shared" si="1"/>
        <v>1</v>
      </c>
      <c r="W30">
        <f t="shared" si="2"/>
        <v>1</v>
      </c>
      <c r="X30">
        <f t="shared" si="3"/>
        <v>1</v>
      </c>
      <c r="Y30">
        <f t="shared" si="4"/>
        <v>0</v>
      </c>
      <c r="Z30">
        <f t="shared" si="5"/>
        <v>0</v>
      </c>
      <c r="AA30">
        <f t="shared" si="6"/>
        <v>0</v>
      </c>
      <c r="AB30">
        <f t="shared" si="7"/>
        <v>0</v>
      </c>
      <c r="AC30">
        <v>0</v>
      </c>
      <c r="AD30">
        <f t="shared" si="8"/>
        <v>0</v>
      </c>
      <c r="AE30">
        <v>0</v>
      </c>
      <c r="AF30">
        <f t="shared" si="9"/>
        <v>0</v>
      </c>
      <c r="AG30">
        <v>0</v>
      </c>
      <c r="AH30">
        <f t="shared" si="10"/>
        <v>0</v>
      </c>
      <c r="AI30">
        <v>0</v>
      </c>
      <c r="AJ30">
        <f t="shared" si="11"/>
        <v>0</v>
      </c>
      <c r="AK30">
        <v>0</v>
      </c>
      <c r="AL30">
        <f t="shared" si="12"/>
        <v>0</v>
      </c>
      <c r="AM30">
        <v>0</v>
      </c>
      <c r="AN30">
        <f t="shared" si="13"/>
        <v>0</v>
      </c>
      <c r="AO30">
        <f t="shared" si="14"/>
        <v>0</v>
      </c>
      <c r="AP30">
        <f t="shared" si="15"/>
        <v>0</v>
      </c>
    </row>
    <row r="31" spans="1:42" x14ac:dyDescent="0.35">
      <c r="A31" s="8" t="s">
        <v>21</v>
      </c>
      <c r="B31" s="9">
        <v>95112301543</v>
      </c>
      <c r="C31" s="9">
        <v>80</v>
      </c>
      <c r="D31" s="9">
        <v>60</v>
      </c>
      <c r="E31" s="9" t="s">
        <v>23</v>
      </c>
      <c r="F31" s="9" t="s">
        <v>23</v>
      </c>
      <c r="G31" s="9" t="s">
        <v>23</v>
      </c>
      <c r="H31" s="9" t="s">
        <v>23</v>
      </c>
      <c r="I31" s="9">
        <v>88</v>
      </c>
      <c r="J31" s="9">
        <v>67</v>
      </c>
      <c r="K31" s="9" t="s">
        <v>23</v>
      </c>
      <c r="L31" s="9" t="s">
        <v>23</v>
      </c>
      <c r="M31" s="9" t="s">
        <v>23</v>
      </c>
      <c r="N31" s="9" t="s">
        <v>23</v>
      </c>
      <c r="O31" s="9" t="s">
        <v>23</v>
      </c>
      <c r="P31" s="9" t="s">
        <v>23</v>
      </c>
      <c r="Q31" s="9">
        <v>80</v>
      </c>
      <c r="R31" s="9" t="s">
        <v>23</v>
      </c>
      <c r="S31" s="9">
        <v>63</v>
      </c>
      <c r="T31" s="9" t="s">
        <v>23</v>
      </c>
      <c r="U31" s="10" t="s">
        <v>23</v>
      </c>
      <c r="V31">
        <f t="shared" si="1"/>
        <v>1</v>
      </c>
      <c r="W31">
        <f t="shared" si="2"/>
        <v>1</v>
      </c>
      <c r="X31">
        <f t="shared" si="3"/>
        <v>1</v>
      </c>
      <c r="Y31">
        <f t="shared" si="4"/>
        <v>0</v>
      </c>
      <c r="Z31">
        <f t="shared" si="5"/>
        <v>0</v>
      </c>
      <c r="AA31">
        <f t="shared" si="6"/>
        <v>0</v>
      </c>
      <c r="AB31">
        <f t="shared" si="7"/>
        <v>0</v>
      </c>
      <c r="AC31">
        <v>0</v>
      </c>
      <c r="AD31">
        <f t="shared" si="8"/>
        <v>1</v>
      </c>
      <c r="AE31">
        <v>0</v>
      </c>
      <c r="AF31">
        <f t="shared" si="9"/>
        <v>0</v>
      </c>
      <c r="AG31">
        <v>0</v>
      </c>
      <c r="AH31">
        <f t="shared" si="10"/>
        <v>0</v>
      </c>
      <c r="AI31">
        <v>0</v>
      </c>
      <c r="AJ31">
        <f t="shared" si="11"/>
        <v>0</v>
      </c>
      <c r="AK31">
        <v>0</v>
      </c>
      <c r="AL31">
        <f t="shared" si="12"/>
        <v>0</v>
      </c>
      <c r="AM31">
        <v>0</v>
      </c>
      <c r="AN31">
        <f t="shared" si="13"/>
        <v>0</v>
      </c>
      <c r="AO31">
        <f t="shared" si="14"/>
        <v>0</v>
      </c>
      <c r="AP31">
        <f t="shared" si="15"/>
        <v>1</v>
      </c>
    </row>
    <row r="32" spans="1:42" x14ac:dyDescent="0.35">
      <c r="A32" s="5" t="s">
        <v>21</v>
      </c>
      <c r="B32" s="6">
        <v>95120101108</v>
      </c>
      <c r="C32" s="6">
        <v>93</v>
      </c>
      <c r="D32" s="6">
        <v>88</v>
      </c>
      <c r="E32" s="6" t="s">
        <v>23</v>
      </c>
      <c r="F32" s="6" t="s">
        <v>23</v>
      </c>
      <c r="G32" s="6" t="s">
        <v>23</v>
      </c>
      <c r="H32" s="6" t="s">
        <v>23</v>
      </c>
      <c r="I32" s="6">
        <v>100</v>
      </c>
      <c r="J32" s="6">
        <v>76</v>
      </c>
      <c r="K32" s="6" t="s">
        <v>23</v>
      </c>
      <c r="L32" s="6" t="s">
        <v>23</v>
      </c>
      <c r="M32" s="6" t="s">
        <v>23</v>
      </c>
      <c r="N32" s="6" t="s">
        <v>23</v>
      </c>
      <c r="O32" s="6" t="s">
        <v>23</v>
      </c>
      <c r="P32" s="6" t="s">
        <v>23</v>
      </c>
      <c r="Q32" s="6">
        <v>92</v>
      </c>
      <c r="R32" s="6" t="s">
        <v>23</v>
      </c>
      <c r="S32" s="6">
        <v>76</v>
      </c>
      <c r="T32" s="6" t="s">
        <v>23</v>
      </c>
      <c r="U32" s="7" t="s">
        <v>23</v>
      </c>
      <c r="V32">
        <f t="shared" si="1"/>
        <v>1</v>
      </c>
      <c r="W32">
        <f t="shared" si="2"/>
        <v>1</v>
      </c>
      <c r="X32">
        <f t="shared" si="3"/>
        <v>1</v>
      </c>
      <c r="Y32">
        <f t="shared" si="4"/>
        <v>0</v>
      </c>
      <c r="Z32">
        <f t="shared" si="5"/>
        <v>0</v>
      </c>
      <c r="AA32">
        <f t="shared" si="6"/>
        <v>0</v>
      </c>
      <c r="AB32">
        <f t="shared" si="7"/>
        <v>0</v>
      </c>
      <c r="AC32">
        <v>0</v>
      </c>
      <c r="AD32">
        <f t="shared" si="8"/>
        <v>1</v>
      </c>
      <c r="AE32">
        <v>0</v>
      </c>
      <c r="AF32">
        <f t="shared" si="9"/>
        <v>0</v>
      </c>
      <c r="AG32">
        <v>0</v>
      </c>
      <c r="AH32">
        <f t="shared" si="10"/>
        <v>0</v>
      </c>
      <c r="AI32">
        <v>0</v>
      </c>
      <c r="AJ32">
        <f t="shared" si="11"/>
        <v>0</v>
      </c>
      <c r="AK32">
        <v>0</v>
      </c>
      <c r="AL32">
        <f t="shared" si="12"/>
        <v>0</v>
      </c>
      <c r="AM32">
        <v>0</v>
      </c>
      <c r="AN32">
        <f t="shared" si="13"/>
        <v>0</v>
      </c>
      <c r="AO32">
        <f t="shared" si="14"/>
        <v>0</v>
      </c>
      <c r="AP32">
        <f t="shared" si="15"/>
        <v>1</v>
      </c>
    </row>
    <row r="33" spans="1:42" x14ac:dyDescent="0.35">
      <c r="A33" s="8" t="s">
        <v>21</v>
      </c>
      <c r="B33" s="9">
        <v>95120600768</v>
      </c>
      <c r="C33" s="9">
        <v>85</v>
      </c>
      <c r="D33" s="9">
        <v>93</v>
      </c>
      <c r="E33" s="9">
        <v>82</v>
      </c>
      <c r="F33" s="9" t="s">
        <v>23</v>
      </c>
      <c r="G33" s="9" t="s">
        <v>23</v>
      </c>
      <c r="H33" s="9" t="s">
        <v>23</v>
      </c>
      <c r="I33" s="9">
        <v>96</v>
      </c>
      <c r="J33" s="9" t="s">
        <v>23</v>
      </c>
      <c r="K33" s="9" t="s">
        <v>23</v>
      </c>
      <c r="L33" s="9" t="s">
        <v>23</v>
      </c>
      <c r="M33" s="9" t="s">
        <v>23</v>
      </c>
      <c r="N33" s="9" t="s">
        <v>23</v>
      </c>
      <c r="O33" s="9" t="s">
        <v>23</v>
      </c>
      <c r="P33" s="9" t="s">
        <v>23</v>
      </c>
      <c r="Q33" s="9">
        <v>94</v>
      </c>
      <c r="R33" s="9">
        <v>74</v>
      </c>
      <c r="S33" s="9">
        <v>66</v>
      </c>
      <c r="T33" s="9" t="s">
        <v>23</v>
      </c>
      <c r="U33" s="10" t="s">
        <v>23</v>
      </c>
      <c r="V33">
        <f t="shared" si="1"/>
        <v>1</v>
      </c>
      <c r="W33">
        <f t="shared" si="2"/>
        <v>1</v>
      </c>
      <c r="X33">
        <f t="shared" si="3"/>
        <v>1</v>
      </c>
      <c r="Y33">
        <f t="shared" si="4"/>
        <v>1</v>
      </c>
      <c r="Z33">
        <f t="shared" si="5"/>
        <v>0</v>
      </c>
      <c r="AA33">
        <f t="shared" si="6"/>
        <v>0</v>
      </c>
      <c r="AB33">
        <f t="shared" si="7"/>
        <v>0</v>
      </c>
      <c r="AC33">
        <v>0</v>
      </c>
      <c r="AD33">
        <f t="shared" si="8"/>
        <v>0</v>
      </c>
      <c r="AE33">
        <v>0</v>
      </c>
      <c r="AF33">
        <f t="shared" si="9"/>
        <v>0</v>
      </c>
      <c r="AG33">
        <v>0</v>
      </c>
      <c r="AH33">
        <f t="shared" si="10"/>
        <v>0</v>
      </c>
      <c r="AI33">
        <v>0</v>
      </c>
      <c r="AJ33">
        <f t="shared" si="11"/>
        <v>0</v>
      </c>
      <c r="AK33">
        <v>0</v>
      </c>
      <c r="AL33">
        <f t="shared" si="12"/>
        <v>1</v>
      </c>
      <c r="AM33">
        <v>0</v>
      </c>
      <c r="AN33">
        <f t="shared" si="13"/>
        <v>0</v>
      </c>
      <c r="AO33">
        <f t="shared" si="14"/>
        <v>0</v>
      </c>
      <c r="AP33">
        <f t="shared" si="15"/>
        <v>1</v>
      </c>
    </row>
    <row r="34" spans="1:42" x14ac:dyDescent="0.35">
      <c r="A34" s="5" t="s">
        <v>21</v>
      </c>
      <c r="B34" s="6">
        <v>95120903939</v>
      </c>
      <c r="C34" s="6">
        <v>90</v>
      </c>
      <c r="D34" s="6">
        <v>82</v>
      </c>
      <c r="E34" s="6" t="s">
        <v>23</v>
      </c>
      <c r="F34" s="6" t="s">
        <v>23</v>
      </c>
      <c r="G34" s="6" t="s">
        <v>23</v>
      </c>
      <c r="H34" s="6" t="s">
        <v>23</v>
      </c>
      <c r="I34" s="6">
        <v>92</v>
      </c>
      <c r="J34" s="6" t="s">
        <v>23</v>
      </c>
      <c r="K34" s="6" t="s">
        <v>23</v>
      </c>
      <c r="L34" s="6" t="s">
        <v>23</v>
      </c>
      <c r="M34" s="6" t="s">
        <v>23</v>
      </c>
      <c r="N34" s="6" t="s">
        <v>23</v>
      </c>
      <c r="O34" s="6" t="s">
        <v>23</v>
      </c>
      <c r="P34" s="6" t="s">
        <v>23</v>
      </c>
      <c r="Q34" s="6">
        <v>86</v>
      </c>
      <c r="R34" s="6" t="s">
        <v>23</v>
      </c>
      <c r="S34" s="6">
        <v>63</v>
      </c>
      <c r="T34" s="6" t="s">
        <v>23</v>
      </c>
      <c r="U34" s="7" t="s">
        <v>23</v>
      </c>
      <c r="V34">
        <f t="shared" si="1"/>
        <v>0</v>
      </c>
      <c r="W34">
        <f t="shared" si="2"/>
        <v>1</v>
      </c>
      <c r="X34">
        <f t="shared" si="3"/>
        <v>1</v>
      </c>
      <c r="Y34">
        <f t="shared" si="4"/>
        <v>0</v>
      </c>
      <c r="Z34">
        <f t="shared" si="5"/>
        <v>0</v>
      </c>
      <c r="AA34">
        <f t="shared" si="6"/>
        <v>0</v>
      </c>
      <c r="AB34">
        <f t="shared" si="7"/>
        <v>0</v>
      </c>
      <c r="AC34">
        <v>0</v>
      </c>
      <c r="AD34">
        <f t="shared" si="8"/>
        <v>0</v>
      </c>
      <c r="AE34">
        <v>0</v>
      </c>
      <c r="AF34">
        <f t="shared" si="9"/>
        <v>0</v>
      </c>
      <c r="AG34">
        <v>0</v>
      </c>
      <c r="AH34">
        <f t="shared" si="10"/>
        <v>0</v>
      </c>
      <c r="AI34">
        <v>0</v>
      </c>
      <c r="AJ34">
        <f t="shared" si="11"/>
        <v>0</v>
      </c>
      <c r="AK34">
        <v>0</v>
      </c>
      <c r="AL34">
        <f t="shared" si="12"/>
        <v>0</v>
      </c>
      <c r="AM34">
        <v>0</v>
      </c>
      <c r="AN34">
        <f t="shared" si="13"/>
        <v>0</v>
      </c>
      <c r="AO34">
        <f t="shared" si="14"/>
        <v>0</v>
      </c>
      <c r="AP34">
        <f t="shared" si="15"/>
        <v>0</v>
      </c>
    </row>
    <row r="35" spans="1:42" x14ac:dyDescent="0.35">
      <c r="A35" s="8" t="s">
        <v>21</v>
      </c>
      <c r="B35" s="9">
        <v>95122401008</v>
      </c>
      <c r="C35" s="9">
        <v>87</v>
      </c>
      <c r="D35" s="9" t="s">
        <v>23</v>
      </c>
      <c r="E35" s="9" t="s">
        <v>23</v>
      </c>
      <c r="F35" s="9" t="s">
        <v>23</v>
      </c>
      <c r="G35" s="9" t="s">
        <v>23</v>
      </c>
      <c r="H35" s="9" t="s">
        <v>23</v>
      </c>
      <c r="I35" s="9">
        <v>100</v>
      </c>
      <c r="J35" s="9" t="s">
        <v>23</v>
      </c>
      <c r="K35" s="9" t="s">
        <v>23</v>
      </c>
      <c r="L35" s="9" t="s">
        <v>23</v>
      </c>
      <c r="M35" s="9" t="s">
        <v>23</v>
      </c>
      <c r="N35" s="9" t="s">
        <v>23</v>
      </c>
      <c r="O35" s="9" t="s">
        <v>23</v>
      </c>
      <c r="P35" s="9" t="s">
        <v>23</v>
      </c>
      <c r="Q35" s="9">
        <v>82</v>
      </c>
      <c r="R35" s="9" t="s">
        <v>23</v>
      </c>
      <c r="S35" s="9">
        <v>79</v>
      </c>
      <c r="T35" s="9">
        <v>73</v>
      </c>
      <c r="U35" s="10">
        <v>64</v>
      </c>
      <c r="V35">
        <f t="shared" si="1"/>
        <v>1</v>
      </c>
      <c r="W35">
        <f t="shared" ref="W35:W98" si="16">IF(LEN(C35)&lt;&gt;0,1,0)</f>
        <v>1</v>
      </c>
      <c r="X35">
        <f t="shared" ref="X35:X98" si="17">IF(LEN(D35)&lt;&gt;0,1,0)</f>
        <v>0</v>
      </c>
      <c r="Y35">
        <f t="shared" ref="Y35:Y98" si="18">IF(LEN(E35)&lt;&gt;0,1,0)</f>
        <v>0</v>
      </c>
      <c r="Z35">
        <f t="shared" ref="Z35:Z98" si="19">IF(LEN(F35)&lt;&gt;0,1,0)</f>
        <v>0</v>
      </c>
      <c r="AA35">
        <f t="shared" ref="AA35:AA98" si="20">IF(LEN(G35)&lt;&gt;0,1,0)</f>
        <v>0</v>
      </c>
      <c r="AB35">
        <f t="shared" ref="AB35:AB98" si="21">IF(LEN(H35)&lt;&gt;0,1,0)</f>
        <v>0</v>
      </c>
      <c r="AC35">
        <v>0</v>
      </c>
      <c r="AD35">
        <f t="shared" ref="AD35:AD98" si="22">IF(LEN(J35)&lt;&gt;0,1,0)</f>
        <v>0</v>
      </c>
      <c r="AE35">
        <v>0</v>
      </c>
      <c r="AF35">
        <f t="shared" ref="AF35:AF98" si="23">IF(LEN(L35)&lt;&gt;0,1,0)</f>
        <v>0</v>
      </c>
      <c r="AG35">
        <v>0</v>
      </c>
      <c r="AH35">
        <f t="shared" ref="AH35:AH98" si="24">IF(LEN(N35)&lt;&gt;0,1,0)</f>
        <v>0</v>
      </c>
      <c r="AI35">
        <v>0</v>
      </c>
      <c r="AJ35">
        <f t="shared" ref="AJ35:AJ98" si="25">IF(LEN(P35)&lt;&gt;0,1,0)</f>
        <v>0</v>
      </c>
      <c r="AK35">
        <v>0</v>
      </c>
      <c r="AL35">
        <f t="shared" ref="AL35:AL98" si="26">IF(LEN(R35)&lt;&gt;0,1,0)</f>
        <v>0</v>
      </c>
      <c r="AM35">
        <v>0</v>
      </c>
      <c r="AN35">
        <f t="shared" ref="AN35:AN98" si="27">IF(LEN(T35)&lt;&gt;0,1,0)</f>
        <v>1</v>
      </c>
      <c r="AO35">
        <f t="shared" ref="AO35:AO98" si="28">IF(LEN(U35)&lt;&gt;0,1,0)</f>
        <v>1</v>
      </c>
      <c r="AP35">
        <f t="shared" si="15"/>
        <v>1</v>
      </c>
    </row>
    <row r="36" spans="1:42" x14ac:dyDescent="0.35">
      <c r="A36" s="5" t="s">
        <v>77</v>
      </c>
      <c r="B36" s="6">
        <v>95011505013</v>
      </c>
      <c r="C36" s="6" t="s">
        <v>23</v>
      </c>
      <c r="D36" s="6" t="s">
        <v>23</v>
      </c>
      <c r="E36" s="6" t="s">
        <v>23</v>
      </c>
      <c r="F36" s="6" t="s">
        <v>23</v>
      </c>
      <c r="G36" s="6" t="s">
        <v>23</v>
      </c>
      <c r="H36" s="6" t="s">
        <v>23</v>
      </c>
      <c r="I36" s="6">
        <v>93</v>
      </c>
      <c r="J36" s="6">
        <v>60</v>
      </c>
      <c r="K36" s="6" t="s">
        <v>23</v>
      </c>
      <c r="L36" s="6" t="s">
        <v>23</v>
      </c>
      <c r="M36" s="6" t="s">
        <v>23</v>
      </c>
      <c r="N36" s="6" t="s">
        <v>23</v>
      </c>
      <c r="O36" s="6" t="s">
        <v>23</v>
      </c>
      <c r="P36" s="6" t="s">
        <v>23</v>
      </c>
      <c r="Q36" s="6">
        <v>46</v>
      </c>
      <c r="R36" s="6" t="s">
        <v>23</v>
      </c>
      <c r="S36" s="6">
        <v>60</v>
      </c>
      <c r="T36" s="6">
        <v>75</v>
      </c>
      <c r="U36" s="7" t="s">
        <v>23</v>
      </c>
      <c r="V36">
        <f t="shared" si="1"/>
        <v>0</v>
      </c>
      <c r="W36">
        <f t="shared" si="16"/>
        <v>0</v>
      </c>
      <c r="X36">
        <f t="shared" si="17"/>
        <v>0</v>
      </c>
      <c r="Y36">
        <f t="shared" si="18"/>
        <v>0</v>
      </c>
      <c r="Z36">
        <f t="shared" si="19"/>
        <v>0</v>
      </c>
      <c r="AA36">
        <f t="shared" si="20"/>
        <v>0</v>
      </c>
      <c r="AB36">
        <f t="shared" si="21"/>
        <v>0</v>
      </c>
      <c r="AC36">
        <v>0</v>
      </c>
      <c r="AD36">
        <f t="shared" si="22"/>
        <v>1</v>
      </c>
      <c r="AE36">
        <v>0</v>
      </c>
      <c r="AF36">
        <f t="shared" si="23"/>
        <v>0</v>
      </c>
      <c r="AG36">
        <v>0</v>
      </c>
      <c r="AH36">
        <f t="shared" si="24"/>
        <v>0</v>
      </c>
      <c r="AI36">
        <v>0</v>
      </c>
      <c r="AJ36">
        <f t="shared" si="25"/>
        <v>0</v>
      </c>
      <c r="AK36">
        <v>0</v>
      </c>
      <c r="AL36">
        <f t="shared" si="26"/>
        <v>0</v>
      </c>
      <c r="AM36">
        <v>0</v>
      </c>
      <c r="AN36">
        <f t="shared" si="27"/>
        <v>1</v>
      </c>
      <c r="AO36">
        <f t="shared" si="28"/>
        <v>0</v>
      </c>
      <c r="AP36">
        <f t="shared" si="15"/>
        <v>0</v>
      </c>
    </row>
    <row r="37" spans="1:42" x14ac:dyDescent="0.35">
      <c r="A37" s="8" t="s">
        <v>77</v>
      </c>
      <c r="B37" s="9">
        <v>95012403389</v>
      </c>
      <c r="C37" s="9" t="s">
        <v>23</v>
      </c>
      <c r="D37" s="9" t="s">
        <v>23</v>
      </c>
      <c r="E37" s="9" t="s">
        <v>23</v>
      </c>
      <c r="F37" s="9" t="s">
        <v>23</v>
      </c>
      <c r="G37" s="9" t="s">
        <v>23</v>
      </c>
      <c r="H37" s="9" t="s">
        <v>23</v>
      </c>
      <c r="I37" s="9">
        <v>96</v>
      </c>
      <c r="J37" s="9">
        <v>87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9">
        <v>50</v>
      </c>
      <c r="R37" s="9" t="s">
        <v>23</v>
      </c>
      <c r="S37" s="9">
        <v>40</v>
      </c>
      <c r="T37" s="9">
        <v>70</v>
      </c>
      <c r="U37" s="10">
        <v>44</v>
      </c>
      <c r="V37">
        <f t="shared" si="1"/>
        <v>1</v>
      </c>
      <c r="W37">
        <f t="shared" si="16"/>
        <v>0</v>
      </c>
      <c r="X37">
        <f t="shared" si="17"/>
        <v>0</v>
      </c>
      <c r="Y37">
        <f t="shared" si="18"/>
        <v>0</v>
      </c>
      <c r="Z37">
        <f t="shared" si="19"/>
        <v>0</v>
      </c>
      <c r="AA37">
        <f t="shared" si="20"/>
        <v>0</v>
      </c>
      <c r="AB37">
        <f t="shared" si="21"/>
        <v>0</v>
      </c>
      <c r="AC37">
        <v>0</v>
      </c>
      <c r="AD37">
        <f t="shared" si="22"/>
        <v>1</v>
      </c>
      <c r="AE37">
        <v>0</v>
      </c>
      <c r="AF37">
        <f t="shared" si="23"/>
        <v>0</v>
      </c>
      <c r="AG37">
        <v>0</v>
      </c>
      <c r="AH37">
        <f t="shared" si="24"/>
        <v>0</v>
      </c>
      <c r="AI37">
        <v>0</v>
      </c>
      <c r="AJ37">
        <f t="shared" si="25"/>
        <v>0</v>
      </c>
      <c r="AK37">
        <v>0</v>
      </c>
      <c r="AL37">
        <f t="shared" si="26"/>
        <v>0</v>
      </c>
      <c r="AM37">
        <v>0</v>
      </c>
      <c r="AN37">
        <f t="shared" si="27"/>
        <v>1</v>
      </c>
      <c r="AO37">
        <f t="shared" si="28"/>
        <v>1</v>
      </c>
      <c r="AP37">
        <f t="shared" si="15"/>
        <v>1</v>
      </c>
    </row>
    <row r="38" spans="1:42" x14ac:dyDescent="0.35">
      <c r="A38" s="5" t="s">
        <v>77</v>
      </c>
      <c r="B38" s="6">
        <v>95020804428</v>
      </c>
      <c r="C38" s="6" t="s">
        <v>23</v>
      </c>
      <c r="D38" s="6" t="s">
        <v>23</v>
      </c>
      <c r="E38" s="6" t="s">
        <v>23</v>
      </c>
      <c r="F38" s="6" t="s">
        <v>23</v>
      </c>
      <c r="G38" s="6">
        <v>92</v>
      </c>
      <c r="H38" s="6" t="s">
        <v>23</v>
      </c>
      <c r="I38" s="6">
        <v>100</v>
      </c>
      <c r="J38" s="6">
        <v>81</v>
      </c>
      <c r="K38" s="6" t="s">
        <v>23</v>
      </c>
      <c r="L38" s="6" t="s">
        <v>23</v>
      </c>
      <c r="M38" s="6" t="s">
        <v>23</v>
      </c>
      <c r="N38" s="6" t="s">
        <v>23</v>
      </c>
      <c r="O38" s="6" t="s">
        <v>23</v>
      </c>
      <c r="P38" s="6" t="s">
        <v>23</v>
      </c>
      <c r="Q38" s="6">
        <v>88</v>
      </c>
      <c r="R38" s="6" t="s">
        <v>23</v>
      </c>
      <c r="S38" s="6">
        <v>57</v>
      </c>
      <c r="T38" s="6">
        <v>70</v>
      </c>
      <c r="U38" s="7" t="s">
        <v>23</v>
      </c>
      <c r="V38">
        <f t="shared" si="1"/>
        <v>1</v>
      </c>
      <c r="W38">
        <f t="shared" si="16"/>
        <v>0</v>
      </c>
      <c r="X38">
        <f t="shared" si="17"/>
        <v>0</v>
      </c>
      <c r="Y38">
        <f t="shared" si="18"/>
        <v>0</v>
      </c>
      <c r="Z38">
        <f t="shared" si="19"/>
        <v>0</v>
      </c>
      <c r="AA38">
        <f t="shared" si="20"/>
        <v>1</v>
      </c>
      <c r="AB38">
        <f t="shared" si="21"/>
        <v>0</v>
      </c>
      <c r="AC38">
        <v>0</v>
      </c>
      <c r="AD38">
        <f t="shared" si="22"/>
        <v>1</v>
      </c>
      <c r="AE38">
        <v>0</v>
      </c>
      <c r="AF38">
        <f t="shared" si="23"/>
        <v>0</v>
      </c>
      <c r="AG38">
        <v>0</v>
      </c>
      <c r="AH38">
        <f t="shared" si="24"/>
        <v>0</v>
      </c>
      <c r="AI38">
        <v>0</v>
      </c>
      <c r="AJ38">
        <f t="shared" si="25"/>
        <v>0</v>
      </c>
      <c r="AK38">
        <v>0</v>
      </c>
      <c r="AL38">
        <f t="shared" si="26"/>
        <v>0</v>
      </c>
      <c r="AM38">
        <v>0</v>
      </c>
      <c r="AN38">
        <f t="shared" si="27"/>
        <v>1</v>
      </c>
      <c r="AO38">
        <f t="shared" si="28"/>
        <v>0</v>
      </c>
      <c r="AP38">
        <f t="shared" si="15"/>
        <v>1</v>
      </c>
    </row>
    <row r="39" spans="1:42" x14ac:dyDescent="0.35">
      <c r="A39" s="8" t="s">
        <v>77</v>
      </c>
      <c r="B39" s="9">
        <v>95021807901</v>
      </c>
      <c r="C39" s="9" t="s">
        <v>23</v>
      </c>
      <c r="D39" s="9" t="s">
        <v>23</v>
      </c>
      <c r="E39" s="9" t="s">
        <v>23</v>
      </c>
      <c r="F39" s="9" t="s">
        <v>23</v>
      </c>
      <c r="G39" s="9">
        <v>86</v>
      </c>
      <c r="H39" s="9" t="s">
        <v>23</v>
      </c>
      <c r="I39" s="9">
        <v>100</v>
      </c>
      <c r="J39" s="9">
        <v>90</v>
      </c>
      <c r="K39" s="9" t="s">
        <v>23</v>
      </c>
      <c r="L39" s="9" t="s">
        <v>23</v>
      </c>
      <c r="M39" s="9" t="s">
        <v>23</v>
      </c>
      <c r="N39" s="9" t="s">
        <v>23</v>
      </c>
      <c r="O39" s="9" t="s">
        <v>23</v>
      </c>
      <c r="P39" s="9" t="s">
        <v>23</v>
      </c>
      <c r="Q39" s="9">
        <v>70</v>
      </c>
      <c r="R39" s="9" t="s">
        <v>23</v>
      </c>
      <c r="S39" s="9">
        <v>56</v>
      </c>
      <c r="T39" s="9">
        <v>68</v>
      </c>
      <c r="U39" s="10">
        <v>78</v>
      </c>
      <c r="V39">
        <f t="shared" si="1"/>
        <v>1</v>
      </c>
      <c r="W39">
        <f t="shared" si="16"/>
        <v>0</v>
      </c>
      <c r="X39">
        <f t="shared" si="17"/>
        <v>0</v>
      </c>
      <c r="Y39">
        <f t="shared" si="18"/>
        <v>0</v>
      </c>
      <c r="Z39">
        <f t="shared" si="19"/>
        <v>0</v>
      </c>
      <c r="AA39">
        <f t="shared" si="20"/>
        <v>1</v>
      </c>
      <c r="AB39">
        <f t="shared" si="21"/>
        <v>0</v>
      </c>
      <c r="AC39">
        <v>0</v>
      </c>
      <c r="AD39">
        <f t="shared" si="22"/>
        <v>1</v>
      </c>
      <c r="AE39">
        <v>0</v>
      </c>
      <c r="AF39">
        <f t="shared" si="23"/>
        <v>0</v>
      </c>
      <c r="AG39">
        <v>0</v>
      </c>
      <c r="AH39">
        <f t="shared" si="24"/>
        <v>0</v>
      </c>
      <c r="AI39">
        <v>0</v>
      </c>
      <c r="AJ39">
        <f t="shared" si="25"/>
        <v>0</v>
      </c>
      <c r="AK39">
        <v>0</v>
      </c>
      <c r="AL39">
        <f t="shared" si="26"/>
        <v>0</v>
      </c>
      <c r="AM39">
        <v>0</v>
      </c>
      <c r="AN39">
        <f t="shared" si="27"/>
        <v>1</v>
      </c>
      <c r="AO39">
        <f t="shared" si="28"/>
        <v>1</v>
      </c>
      <c r="AP39">
        <f t="shared" si="15"/>
        <v>1</v>
      </c>
    </row>
    <row r="40" spans="1:42" x14ac:dyDescent="0.35">
      <c r="A40" s="5" t="s">
        <v>77</v>
      </c>
      <c r="B40" s="6">
        <v>95022105039</v>
      </c>
      <c r="C40" s="6" t="s">
        <v>23</v>
      </c>
      <c r="D40" s="6" t="s">
        <v>23</v>
      </c>
      <c r="E40" s="6" t="s">
        <v>23</v>
      </c>
      <c r="F40" s="6" t="s">
        <v>23</v>
      </c>
      <c r="G40" s="6">
        <v>90</v>
      </c>
      <c r="H40" s="6" t="s">
        <v>23</v>
      </c>
      <c r="I40" s="6">
        <v>96</v>
      </c>
      <c r="J40" s="6">
        <v>93</v>
      </c>
      <c r="K40" s="6" t="s">
        <v>23</v>
      </c>
      <c r="L40" s="6" t="s">
        <v>23</v>
      </c>
      <c r="M40" s="6" t="s">
        <v>23</v>
      </c>
      <c r="N40" s="6" t="s">
        <v>23</v>
      </c>
      <c r="O40" s="6" t="s">
        <v>23</v>
      </c>
      <c r="P40" s="6" t="s">
        <v>23</v>
      </c>
      <c r="Q40" s="6">
        <v>86</v>
      </c>
      <c r="R40" s="6">
        <v>36</v>
      </c>
      <c r="S40" s="6">
        <v>53</v>
      </c>
      <c r="T40" s="6">
        <v>73</v>
      </c>
      <c r="U40" s="7">
        <v>100</v>
      </c>
      <c r="V40">
        <f t="shared" si="1"/>
        <v>0</v>
      </c>
      <c r="W40">
        <f t="shared" si="16"/>
        <v>0</v>
      </c>
      <c r="X40">
        <f t="shared" si="17"/>
        <v>0</v>
      </c>
      <c r="Y40">
        <f t="shared" si="18"/>
        <v>0</v>
      </c>
      <c r="Z40">
        <f t="shared" si="19"/>
        <v>0</v>
      </c>
      <c r="AA40">
        <f t="shared" si="20"/>
        <v>1</v>
      </c>
      <c r="AB40">
        <f t="shared" si="21"/>
        <v>0</v>
      </c>
      <c r="AC40">
        <v>0</v>
      </c>
      <c r="AD40">
        <f t="shared" si="22"/>
        <v>1</v>
      </c>
      <c r="AE40">
        <v>0</v>
      </c>
      <c r="AF40">
        <f t="shared" si="23"/>
        <v>0</v>
      </c>
      <c r="AG40">
        <v>0</v>
      </c>
      <c r="AH40">
        <f t="shared" si="24"/>
        <v>0</v>
      </c>
      <c r="AI40">
        <v>0</v>
      </c>
      <c r="AJ40">
        <f t="shared" si="25"/>
        <v>0</v>
      </c>
      <c r="AK40">
        <v>0</v>
      </c>
      <c r="AL40">
        <f t="shared" si="26"/>
        <v>1</v>
      </c>
      <c r="AM40">
        <v>0</v>
      </c>
      <c r="AN40">
        <f t="shared" si="27"/>
        <v>1</v>
      </c>
      <c r="AO40">
        <f t="shared" si="28"/>
        <v>1</v>
      </c>
      <c r="AP40">
        <f t="shared" si="15"/>
        <v>1</v>
      </c>
    </row>
    <row r="41" spans="1:42" x14ac:dyDescent="0.35">
      <c r="A41" s="8" t="s">
        <v>77</v>
      </c>
      <c r="B41" s="9">
        <v>95031012300</v>
      </c>
      <c r="C41" s="9" t="s">
        <v>23</v>
      </c>
      <c r="D41" s="9" t="s">
        <v>23</v>
      </c>
      <c r="E41" s="9" t="s">
        <v>23</v>
      </c>
      <c r="F41" s="9" t="s">
        <v>23</v>
      </c>
      <c r="G41" s="9" t="s">
        <v>23</v>
      </c>
      <c r="H41" s="9" t="s">
        <v>23</v>
      </c>
      <c r="I41" s="9">
        <v>59</v>
      </c>
      <c r="J41" s="9">
        <v>44</v>
      </c>
      <c r="K41" s="9" t="s">
        <v>23</v>
      </c>
      <c r="L41" s="9" t="s">
        <v>23</v>
      </c>
      <c r="M41" s="9" t="s">
        <v>23</v>
      </c>
      <c r="N41" s="9" t="s">
        <v>23</v>
      </c>
      <c r="O41" s="9" t="s">
        <v>23</v>
      </c>
      <c r="P41" s="9" t="s">
        <v>23</v>
      </c>
      <c r="Q41" s="9">
        <v>34</v>
      </c>
      <c r="R41" s="9" t="s">
        <v>23</v>
      </c>
      <c r="S41" s="9">
        <v>30</v>
      </c>
      <c r="T41" s="9">
        <v>53</v>
      </c>
      <c r="U41" s="10">
        <v>34</v>
      </c>
      <c r="V41">
        <f t="shared" si="1"/>
        <v>1</v>
      </c>
      <c r="W41">
        <f t="shared" si="16"/>
        <v>0</v>
      </c>
      <c r="X41">
        <f t="shared" si="17"/>
        <v>0</v>
      </c>
      <c r="Y41">
        <f t="shared" si="18"/>
        <v>0</v>
      </c>
      <c r="Z41">
        <f t="shared" si="19"/>
        <v>0</v>
      </c>
      <c r="AA41">
        <f t="shared" si="20"/>
        <v>0</v>
      </c>
      <c r="AB41">
        <f t="shared" si="21"/>
        <v>0</v>
      </c>
      <c r="AC41">
        <v>0</v>
      </c>
      <c r="AD41">
        <f t="shared" si="22"/>
        <v>1</v>
      </c>
      <c r="AE41">
        <v>0</v>
      </c>
      <c r="AF41">
        <f t="shared" si="23"/>
        <v>0</v>
      </c>
      <c r="AG41">
        <v>0</v>
      </c>
      <c r="AH41">
        <f t="shared" si="24"/>
        <v>0</v>
      </c>
      <c r="AI41">
        <v>0</v>
      </c>
      <c r="AJ41">
        <f t="shared" si="25"/>
        <v>0</v>
      </c>
      <c r="AK41">
        <v>0</v>
      </c>
      <c r="AL41">
        <f t="shared" si="26"/>
        <v>0</v>
      </c>
      <c r="AM41">
        <v>0</v>
      </c>
      <c r="AN41">
        <f t="shared" si="27"/>
        <v>1</v>
      </c>
      <c r="AO41">
        <f t="shared" si="28"/>
        <v>1</v>
      </c>
      <c r="AP41">
        <f t="shared" si="15"/>
        <v>1</v>
      </c>
    </row>
    <row r="42" spans="1:42" x14ac:dyDescent="0.35">
      <c r="A42" s="5" t="s">
        <v>77</v>
      </c>
      <c r="B42" s="6">
        <v>95032101746</v>
      </c>
      <c r="C42" s="6" t="s">
        <v>23</v>
      </c>
      <c r="D42" s="6" t="s">
        <v>23</v>
      </c>
      <c r="E42" s="6" t="s">
        <v>23</v>
      </c>
      <c r="F42" s="6" t="s">
        <v>23</v>
      </c>
      <c r="G42" s="6">
        <v>88</v>
      </c>
      <c r="H42" s="6" t="s">
        <v>23</v>
      </c>
      <c r="I42" s="6">
        <v>98</v>
      </c>
      <c r="J42" s="6">
        <v>95</v>
      </c>
      <c r="K42" s="6" t="s">
        <v>23</v>
      </c>
      <c r="L42" s="6" t="s">
        <v>23</v>
      </c>
      <c r="M42" s="6" t="s">
        <v>23</v>
      </c>
      <c r="N42" s="6" t="s">
        <v>23</v>
      </c>
      <c r="O42" s="6" t="s">
        <v>23</v>
      </c>
      <c r="P42" s="6">
        <v>69</v>
      </c>
      <c r="Q42" s="6">
        <v>68</v>
      </c>
      <c r="R42" s="6" t="s">
        <v>23</v>
      </c>
      <c r="S42" s="6">
        <v>70</v>
      </c>
      <c r="T42" s="6">
        <v>80</v>
      </c>
      <c r="U42" s="7">
        <v>72</v>
      </c>
      <c r="V42">
        <f t="shared" si="1"/>
        <v>1</v>
      </c>
      <c r="W42">
        <f t="shared" si="16"/>
        <v>0</v>
      </c>
      <c r="X42">
        <f t="shared" si="17"/>
        <v>0</v>
      </c>
      <c r="Y42">
        <f t="shared" si="18"/>
        <v>0</v>
      </c>
      <c r="Z42">
        <f t="shared" si="19"/>
        <v>0</v>
      </c>
      <c r="AA42">
        <f t="shared" si="20"/>
        <v>1</v>
      </c>
      <c r="AB42">
        <f t="shared" si="21"/>
        <v>0</v>
      </c>
      <c r="AC42">
        <v>0</v>
      </c>
      <c r="AD42">
        <f t="shared" si="22"/>
        <v>1</v>
      </c>
      <c r="AE42">
        <v>0</v>
      </c>
      <c r="AF42">
        <f t="shared" si="23"/>
        <v>0</v>
      </c>
      <c r="AG42">
        <v>0</v>
      </c>
      <c r="AH42">
        <f t="shared" si="24"/>
        <v>0</v>
      </c>
      <c r="AI42">
        <v>0</v>
      </c>
      <c r="AJ42">
        <f t="shared" si="25"/>
        <v>1</v>
      </c>
      <c r="AK42">
        <v>0</v>
      </c>
      <c r="AL42">
        <f t="shared" si="26"/>
        <v>0</v>
      </c>
      <c r="AM42">
        <v>0</v>
      </c>
      <c r="AN42">
        <f t="shared" si="27"/>
        <v>1</v>
      </c>
      <c r="AO42">
        <f t="shared" si="28"/>
        <v>1</v>
      </c>
      <c r="AP42">
        <f t="shared" si="15"/>
        <v>1</v>
      </c>
    </row>
    <row r="43" spans="1:42" x14ac:dyDescent="0.35">
      <c r="A43" s="8" t="s">
        <v>77</v>
      </c>
      <c r="B43" s="9">
        <v>95032204296</v>
      </c>
      <c r="C43" s="9" t="s">
        <v>23</v>
      </c>
      <c r="D43" s="9" t="s">
        <v>23</v>
      </c>
      <c r="E43" s="9" t="s">
        <v>23</v>
      </c>
      <c r="F43" s="9" t="s">
        <v>23</v>
      </c>
      <c r="G43" s="9">
        <v>92</v>
      </c>
      <c r="H43" s="9" t="s">
        <v>23</v>
      </c>
      <c r="I43" s="9">
        <v>93</v>
      </c>
      <c r="J43" s="9">
        <v>95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>
        <v>56</v>
      </c>
      <c r="R43" s="9" t="s">
        <v>23</v>
      </c>
      <c r="S43" s="9">
        <v>79</v>
      </c>
      <c r="T43" s="9">
        <v>55</v>
      </c>
      <c r="U43" s="10">
        <v>72</v>
      </c>
      <c r="V43">
        <f t="shared" si="1"/>
        <v>0</v>
      </c>
      <c r="W43">
        <f t="shared" si="16"/>
        <v>0</v>
      </c>
      <c r="X43">
        <f t="shared" si="17"/>
        <v>0</v>
      </c>
      <c r="Y43">
        <f t="shared" si="18"/>
        <v>0</v>
      </c>
      <c r="Z43">
        <f t="shared" si="19"/>
        <v>0</v>
      </c>
      <c r="AA43">
        <f t="shared" si="20"/>
        <v>1</v>
      </c>
      <c r="AB43">
        <f t="shared" si="21"/>
        <v>0</v>
      </c>
      <c r="AC43">
        <v>0</v>
      </c>
      <c r="AD43">
        <f t="shared" si="22"/>
        <v>1</v>
      </c>
      <c r="AE43">
        <v>0</v>
      </c>
      <c r="AF43">
        <f t="shared" si="23"/>
        <v>0</v>
      </c>
      <c r="AG43">
        <v>0</v>
      </c>
      <c r="AH43">
        <f t="shared" si="24"/>
        <v>0</v>
      </c>
      <c r="AI43">
        <v>0</v>
      </c>
      <c r="AJ43">
        <f t="shared" si="25"/>
        <v>0</v>
      </c>
      <c r="AK43">
        <v>0</v>
      </c>
      <c r="AL43">
        <f t="shared" si="26"/>
        <v>0</v>
      </c>
      <c r="AM43">
        <v>0</v>
      </c>
      <c r="AN43">
        <f t="shared" si="27"/>
        <v>1</v>
      </c>
      <c r="AO43">
        <f t="shared" si="28"/>
        <v>1</v>
      </c>
      <c r="AP43">
        <f t="shared" si="15"/>
        <v>1</v>
      </c>
    </row>
    <row r="44" spans="1:42" x14ac:dyDescent="0.35">
      <c r="A44" s="5" t="s">
        <v>77</v>
      </c>
      <c r="B44" s="6">
        <v>95042205755</v>
      </c>
      <c r="C44" s="6" t="s">
        <v>23</v>
      </c>
      <c r="D44" s="6" t="s">
        <v>23</v>
      </c>
      <c r="E44" s="6" t="s">
        <v>23</v>
      </c>
      <c r="F44" s="6" t="s">
        <v>23</v>
      </c>
      <c r="G44" s="6">
        <v>94</v>
      </c>
      <c r="H44" s="6" t="s">
        <v>23</v>
      </c>
      <c r="I44" s="6">
        <v>90</v>
      </c>
      <c r="J44" s="6">
        <v>67</v>
      </c>
      <c r="K44" s="6" t="s">
        <v>23</v>
      </c>
      <c r="L44" s="6" t="s">
        <v>23</v>
      </c>
      <c r="M44" s="6" t="s">
        <v>23</v>
      </c>
      <c r="N44" s="6" t="s">
        <v>23</v>
      </c>
      <c r="O44" s="6" t="s">
        <v>23</v>
      </c>
      <c r="P44" s="6" t="s">
        <v>23</v>
      </c>
      <c r="Q44" s="6">
        <v>40</v>
      </c>
      <c r="R44" s="6" t="s">
        <v>23</v>
      </c>
      <c r="S44" s="6">
        <v>80</v>
      </c>
      <c r="T44" s="6">
        <v>60</v>
      </c>
      <c r="U44" s="7" t="s">
        <v>23</v>
      </c>
      <c r="V44">
        <f t="shared" si="1"/>
        <v>0</v>
      </c>
      <c r="W44">
        <f t="shared" si="16"/>
        <v>0</v>
      </c>
      <c r="X44">
        <f t="shared" si="17"/>
        <v>0</v>
      </c>
      <c r="Y44">
        <f t="shared" si="18"/>
        <v>0</v>
      </c>
      <c r="Z44">
        <f t="shared" si="19"/>
        <v>0</v>
      </c>
      <c r="AA44">
        <f t="shared" si="20"/>
        <v>1</v>
      </c>
      <c r="AB44">
        <f t="shared" si="21"/>
        <v>0</v>
      </c>
      <c r="AC44">
        <v>0</v>
      </c>
      <c r="AD44">
        <f t="shared" si="22"/>
        <v>1</v>
      </c>
      <c r="AE44">
        <v>0</v>
      </c>
      <c r="AF44">
        <f t="shared" si="23"/>
        <v>0</v>
      </c>
      <c r="AG44">
        <v>0</v>
      </c>
      <c r="AH44">
        <f t="shared" si="24"/>
        <v>0</v>
      </c>
      <c r="AI44">
        <v>0</v>
      </c>
      <c r="AJ44">
        <f t="shared" si="25"/>
        <v>0</v>
      </c>
      <c r="AK44">
        <v>0</v>
      </c>
      <c r="AL44">
        <f t="shared" si="26"/>
        <v>0</v>
      </c>
      <c r="AM44">
        <v>0</v>
      </c>
      <c r="AN44">
        <f t="shared" si="27"/>
        <v>1</v>
      </c>
      <c r="AO44">
        <f t="shared" si="28"/>
        <v>0</v>
      </c>
      <c r="AP44">
        <f t="shared" si="15"/>
        <v>1</v>
      </c>
    </row>
    <row r="45" spans="1:42" x14ac:dyDescent="0.35">
      <c r="A45" s="8" t="s">
        <v>77</v>
      </c>
      <c r="B45" s="9">
        <v>95050205185</v>
      </c>
      <c r="C45" s="9" t="s">
        <v>23</v>
      </c>
      <c r="D45" s="9" t="s">
        <v>23</v>
      </c>
      <c r="E45" s="9" t="s">
        <v>23</v>
      </c>
      <c r="F45" s="9" t="s">
        <v>23</v>
      </c>
      <c r="G45" s="9">
        <v>66</v>
      </c>
      <c r="H45" s="9" t="s">
        <v>23</v>
      </c>
      <c r="I45" s="9">
        <v>98</v>
      </c>
      <c r="J45" s="9">
        <v>67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>
        <v>50</v>
      </c>
      <c r="R45" s="9" t="s">
        <v>23</v>
      </c>
      <c r="S45" s="9">
        <v>54</v>
      </c>
      <c r="T45" s="9">
        <v>80</v>
      </c>
      <c r="U45" s="10">
        <v>68</v>
      </c>
      <c r="V45">
        <f t="shared" si="1"/>
        <v>1</v>
      </c>
      <c r="W45">
        <f t="shared" si="16"/>
        <v>0</v>
      </c>
      <c r="X45">
        <f t="shared" si="17"/>
        <v>0</v>
      </c>
      <c r="Y45">
        <f t="shared" si="18"/>
        <v>0</v>
      </c>
      <c r="Z45">
        <f t="shared" si="19"/>
        <v>0</v>
      </c>
      <c r="AA45">
        <f t="shared" si="20"/>
        <v>1</v>
      </c>
      <c r="AB45">
        <f t="shared" si="21"/>
        <v>0</v>
      </c>
      <c r="AC45">
        <v>0</v>
      </c>
      <c r="AD45">
        <f t="shared" si="22"/>
        <v>1</v>
      </c>
      <c r="AE45">
        <v>0</v>
      </c>
      <c r="AF45">
        <f t="shared" si="23"/>
        <v>0</v>
      </c>
      <c r="AG45">
        <v>0</v>
      </c>
      <c r="AH45">
        <f t="shared" si="24"/>
        <v>0</v>
      </c>
      <c r="AI45">
        <v>0</v>
      </c>
      <c r="AJ45">
        <f t="shared" si="25"/>
        <v>0</v>
      </c>
      <c r="AK45">
        <v>0</v>
      </c>
      <c r="AL45">
        <f t="shared" si="26"/>
        <v>0</v>
      </c>
      <c r="AM45">
        <v>0</v>
      </c>
      <c r="AN45">
        <f t="shared" si="27"/>
        <v>1</v>
      </c>
      <c r="AO45">
        <f t="shared" si="28"/>
        <v>1</v>
      </c>
      <c r="AP45">
        <f t="shared" si="15"/>
        <v>1</v>
      </c>
    </row>
    <row r="46" spans="1:42" x14ac:dyDescent="0.35">
      <c r="A46" s="5" t="s">
        <v>77</v>
      </c>
      <c r="B46" s="6">
        <v>95050904503</v>
      </c>
      <c r="C46" s="6" t="s">
        <v>23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>
        <v>100</v>
      </c>
      <c r="J46" s="6">
        <v>92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>
        <v>70</v>
      </c>
      <c r="R46" s="6" t="s">
        <v>23</v>
      </c>
      <c r="S46" s="6">
        <v>63</v>
      </c>
      <c r="T46" s="6">
        <v>45</v>
      </c>
      <c r="U46" s="7" t="s">
        <v>23</v>
      </c>
      <c r="V46">
        <f t="shared" si="1"/>
        <v>1</v>
      </c>
      <c r="W46">
        <f t="shared" si="16"/>
        <v>0</v>
      </c>
      <c r="X46">
        <f t="shared" si="17"/>
        <v>0</v>
      </c>
      <c r="Y46">
        <f t="shared" si="18"/>
        <v>0</v>
      </c>
      <c r="Z46">
        <f t="shared" si="19"/>
        <v>0</v>
      </c>
      <c r="AA46">
        <f t="shared" si="20"/>
        <v>0</v>
      </c>
      <c r="AB46">
        <f t="shared" si="21"/>
        <v>0</v>
      </c>
      <c r="AC46">
        <v>0</v>
      </c>
      <c r="AD46">
        <f t="shared" si="22"/>
        <v>1</v>
      </c>
      <c r="AE46">
        <v>0</v>
      </c>
      <c r="AF46">
        <f t="shared" si="23"/>
        <v>0</v>
      </c>
      <c r="AG46">
        <v>0</v>
      </c>
      <c r="AH46">
        <f t="shared" si="24"/>
        <v>0</v>
      </c>
      <c r="AI46">
        <v>0</v>
      </c>
      <c r="AJ46">
        <f t="shared" si="25"/>
        <v>0</v>
      </c>
      <c r="AK46">
        <v>0</v>
      </c>
      <c r="AL46">
        <f t="shared" si="26"/>
        <v>0</v>
      </c>
      <c r="AM46">
        <v>0</v>
      </c>
      <c r="AN46">
        <f t="shared" si="27"/>
        <v>1</v>
      </c>
      <c r="AO46">
        <f t="shared" si="28"/>
        <v>0</v>
      </c>
      <c r="AP46">
        <f t="shared" si="15"/>
        <v>0</v>
      </c>
    </row>
    <row r="47" spans="1:42" x14ac:dyDescent="0.35">
      <c r="A47" s="8" t="s">
        <v>77</v>
      </c>
      <c r="B47" s="9">
        <v>95051201982</v>
      </c>
      <c r="C47" s="9" t="s">
        <v>23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>
        <v>96</v>
      </c>
      <c r="J47" s="9">
        <v>63</v>
      </c>
      <c r="K47" s="9" t="s">
        <v>23</v>
      </c>
      <c r="L47" s="9" t="s">
        <v>23</v>
      </c>
      <c r="M47" s="9" t="s">
        <v>23</v>
      </c>
      <c r="N47" s="9" t="s">
        <v>23</v>
      </c>
      <c r="O47" s="9" t="s">
        <v>23</v>
      </c>
      <c r="P47" s="9" t="s">
        <v>23</v>
      </c>
      <c r="Q47" s="9">
        <v>64</v>
      </c>
      <c r="R47" s="9" t="s">
        <v>23</v>
      </c>
      <c r="S47" s="9">
        <v>63</v>
      </c>
      <c r="T47" s="9">
        <v>58</v>
      </c>
      <c r="U47" s="10">
        <v>48</v>
      </c>
      <c r="V47">
        <f t="shared" si="1"/>
        <v>1</v>
      </c>
      <c r="W47">
        <f t="shared" si="16"/>
        <v>0</v>
      </c>
      <c r="X47">
        <f t="shared" si="17"/>
        <v>0</v>
      </c>
      <c r="Y47">
        <f t="shared" si="18"/>
        <v>0</v>
      </c>
      <c r="Z47">
        <f t="shared" si="19"/>
        <v>0</v>
      </c>
      <c r="AA47">
        <f t="shared" si="20"/>
        <v>0</v>
      </c>
      <c r="AB47">
        <f t="shared" si="21"/>
        <v>0</v>
      </c>
      <c r="AC47">
        <v>0</v>
      </c>
      <c r="AD47">
        <f t="shared" si="22"/>
        <v>1</v>
      </c>
      <c r="AE47">
        <v>0</v>
      </c>
      <c r="AF47">
        <f t="shared" si="23"/>
        <v>0</v>
      </c>
      <c r="AG47">
        <v>0</v>
      </c>
      <c r="AH47">
        <f t="shared" si="24"/>
        <v>0</v>
      </c>
      <c r="AI47">
        <v>0</v>
      </c>
      <c r="AJ47">
        <f t="shared" si="25"/>
        <v>0</v>
      </c>
      <c r="AK47">
        <v>0</v>
      </c>
      <c r="AL47">
        <f t="shared" si="26"/>
        <v>0</v>
      </c>
      <c r="AM47">
        <v>0</v>
      </c>
      <c r="AN47">
        <f t="shared" si="27"/>
        <v>1</v>
      </c>
      <c r="AO47">
        <f t="shared" si="28"/>
        <v>1</v>
      </c>
      <c r="AP47">
        <f t="shared" si="15"/>
        <v>1</v>
      </c>
    </row>
    <row r="48" spans="1:42" x14ac:dyDescent="0.35">
      <c r="A48" s="5" t="s">
        <v>77</v>
      </c>
      <c r="B48" s="6">
        <v>95052501302</v>
      </c>
      <c r="C48" s="6" t="s">
        <v>23</v>
      </c>
      <c r="D48" s="6" t="s">
        <v>23</v>
      </c>
      <c r="E48" s="6" t="s">
        <v>23</v>
      </c>
      <c r="F48" s="6" t="s">
        <v>23</v>
      </c>
      <c r="G48" s="6" t="s">
        <v>23</v>
      </c>
      <c r="H48" s="6" t="s">
        <v>23</v>
      </c>
      <c r="I48" s="6">
        <v>96</v>
      </c>
      <c r="J48" s="6">
        <v>69</v>
      </c>
      <c r="K48" s="6" t="s">
        <v>23</v>
      </c>
      <c r="L48" s="6" t="s">
        <v>23</v>
      </c>
      <c r="M48" s="6" t="s">
        <v>23</v>
      </c>
      <c r="N48" s="6" t="s">
        <v>23</v>
      </c>
      <c r="O48" s="6" t="s">
        <v>23</v>
      </c>
      <c r="P48" s="6" t="s">
        <v>23</v>
      </c>
      <c r="Q48" s="6">
        <v>68</v>
      </c>
      <c r="R48" s="6" t="s">
        <v>23</v>
      </c>
      <c r="S48" s="6">
        <v>51</v>
      </c>
      <c r="T48" s="6">
        <v>70</v>
      </c>
      <c r="U48" s="7">
        <v>38</v>
      </c>
      <c r="V48">
        <f t="shared" si="1"/>
        <v>1</v>
      </c>
      <c r="W48">
        <f t="shared" si="16"/>
        <v>0</v>
      </c>
      <c r="X48">
        <f t="shared" si="17"/>
        <v>0</v>
      </c>
      <c r="Y48">
        <f t="shared" si="18"/>
        <v>0</v>
      </c>
      <c r="Z48">
        <f t="shared" si="19"/>
        <v>0</v>
      </c>
      <c r="AA48">
        <f t="shared" si="20"/>
        <v>0</v>
      </c>
      <c r="AB48">
        <f t="shared" si="21"/>
        <v>0</v>
      </c>
      <c r="AC48">
        <v>0</v>
      </c>
      <c r="AD48">
        <f t="shared" si="22"/>
        <v>1</v>
      </c>
      <c r="AE48">
        <v>0</v>
      </c>
      <c r="AF48">
        <f t="shared" si="23"/>
        <v>0</v>
      </c>
      <c r="AG48">
        <v>0</v>
      </c>
      <c r="AH48">
        <f t="shared" si="24"/>
        <v>0</v>
      </c>
      <c r="AI48">
        <v>0</v>
      </c>
      <c r="AJ48">
        <f t="shared" si="25"/>
        <v>0</v>
      </c>
      <c r="AK48">
        <v>0</v>
      </c>
      <c r="AL48">
        <f t="shared" si="26"/>
        <v>0</v>
      </c>
      <c r="AM48">
        <v>0</v>
      </c>
      <c r="AN48">
        <f t="shared" si="27"/>
        <v>1</v>
      </c>
      <c r="AO48">
        <f t="shared" si="28"/>
        <v>1</v>
      </c>
      <c r="AP48">
        <f t="shared" si="15"/>
        <v>1</v>
      </c>
    </row>
    <row r="49" spans="1:42" x14ac:dyDescent="0.35">
      <c r="A49" s="8" t="s">
        <v>77</v>
      </c>
      <c r="B49" s="9">
        <v>95060201793</v>
      </c>
      <c r="C49" s="9">
        <v>73</v>
      </c>
      <c r="D49" s="9">
        <v>65</v>
      </c>
      <c r="E49" s="9" t="s">
        <v>23</v>
      </c>
      <c r="F49" s="9" t="s">
        <v>23</v>
      </c>
      <c r="G49" s="9" t="s">
        <v>23</v>
      </c>
      <c r="H49" s="9" t="s">
        <v>23</v>
      </c>
      <c r="I49" s="9">
        <v>80</v>
      </c>
      <c r="J49" s="9" t="s">
        <v>23</v>
      </c>
      <c r="K49" s="9" t="s">
        <v>23</v>
      </c>
      <c r="L49" s="9" t="s">
        <v>23</v>
      </c>
      <c r="M49" s="9" t="s">
        <v>23</v>
      </c>
      <c r="N49" s="9" t="s">
        <v>23</v>
      </c>
      <c r="O49" s="9" t="s">
        <v>23</v>
      </c>
      <c r="P49" s="9" t="s">
        <v>23</v>
      </c>
      <c r="Q49" s="9">
        <v>52</v>
      </c>
      <c r="R49" s="9" t="s">
        <v>23</v>
      </c>
      <c r="S49" s="9">
        <v>56</v>
      </c>
      <c r="T49" s="9" t="s">
        <v>23</v>
      </c>
      <c r="U49" s="10" t="s">
        <v>23</v>
      </c>
      <c r="V49">
        <f t="shared" si="1"/>
        <v>0</v>
      </c>
      <c r="W49">
        <f t="shared" si="16"/>
        <v>1</v>
      </c>
      <c r="X49">
        <f t="shared" si="17"/>
        <v>1</v>
      </c>
      <c r="Y49">
        <f t="shared" si="18"/>
        <v>0</v>
      </c>
      <c r="Z49">
        <f t="shared" si="19"/>
        <v>0</v>
      </c>
      <c r="AA49">
        <f t="shared" si="20"/>
        <v>0</v>
      </c>
      <c r="AB49">
        <f t="shared" si="21"/>
        <v>0</v>
      </c>
      <c r="AC49">
        <v>0</v>
      </c>
      <c r="AD49">
        <f t="shared" si="22"/>
        <v>0</v>
      </c>
      <c r="AE49">
        <v>0</v>
      </c>
      <c r="AF49">
        <f t="shared" si="23"/>
        <v>0</v>
      </c>
      <c r="AG49">
        <v>0</v>
      </c>
      <c r="AH49">
        <f t="shared" si="24"/>
        <v>0</v>
      </c>
      <c r="AI49">
        <v>0</v>
      </c>
      <c r="AJ49">
        <f t="shared" si="25"/>
        <v>0</v>
      </c>
      <c r="AK49">
        <v>0</v>
      </c>
      <c r="AL49">
        <f t="shared" si="26"/>
        <v>0</v>
      </c>
      <c r="AM49">
        <v>0</v>
      </c>
      <c r="AN49">
        <f t="shared" si="27"/>
        <v>0</v>
      </c>
      <c r="AO49">
        <f t="shared" si="28"/>
        <v>0</v>
      </c>
      <c r="AP49">
        <f t="shared" si="15"/>
        <v>0</v>
      </c>
    </row>
    <row r="50" spans="1:42" x14ac:dyDescent="0.35">
      <c r="A50" s="5" t="s">
        <v>77</v>
      </c>
      <c r="B50" s="6">
        <v>95062400343</v>
      </c>
      <c r="C50" s="6">
        <v>50</v>
      </c>
      <c r="D50" s="6">
        <v>47</v>
      </c>
      <c r="E50" s="6" t="s">
        <v>23</v>
      </c>
      <c r="F50" s="6" t="s">
        <v>23</v>
      </c>
      <c r="G50" s="6" t="s">
        <v>23</v>
      </c>
      <c r="H50" s="6" t="s">
        <v>23</v>
      </c>
      <c r="I50" s="6">
        <v>92</v>
      </c>
      <c r="J50" s="6" t="s">
        <v>23</v>
      </c>
      <c r="K50" s="6" t="s">
        <v>23</v>
      </c>
      <c r="L50" s="6" t="s">
        <v>23</v>
      </c>
      <c r="M50" s="6" t="s">
        <v>23</v>
      </c>
      <c r="N50" s="6" t="s">
        <v>23</v>
      </c>
      <c r="O50" s="6" t="s">
        <v>23</v>
      </c>
      <c r="P50" s="6" t="s">
        <v>23</v>
      </c>
      <c r="Q50" s="6">
        <v>58</v>
      </c>
      <c r="R50" s="6" t="s">
        <v>23</v>
      </c>
      <c r="S50" s="6">
        <v>51</v>
      </c>
      <c r="T50" s="6" t="s">
        <v>23</v>
      </c>
      <c r="U50" s="7" t="s">
        <v>23</v>
      </c>
      <c r="V50">
        <f t="shared" si="1"/>
        <v>1</v>
      </c>
      <c r="W50">
        <f t="shared" si="16"/>
        <v>1</v>
      </c>
      <c r="X50">
        <f t="shared" si="17"/>
        <v>1</v>
      </c>
      <c r="Y50">
        <f t="shared" si="18"/>
        <v>0</v>
      </c>
      <c r="Z50">
        <f t="shared" si="19"/>
        <v>0</v>
      </c>
      <c r="AA50">
        <f t="shared" si="20"/>
        <v>0</v>
      </c>
      <c r="AB50">
        <f t="shared" si="21"/>
        <v>0</v>
      </c>
      <c r="AC50">
        <v>0</v>
      </c>
      <c r="AD50">
        <f t="shared" si="22"/>
        <v>0</v>
      </c>
      <c r="AE50">
        <v>0</v>
      </c>
      <c r="AF50">
        <f t="shared" si="23"/>
        <v>0</v>
      </c>
      <c r="AG50">
        <v>0</v>
      </c>
      <c r="AH50">
        <f t="shared" si="24"/>
        <v>0</v>
      </c>
      <c r="AI50">
        <v>0</v>
      </c>
      <c r="AJ50">
        <f t="shared" si="25"/>
        <v>0</v>
      </c>
      <c r="AK50">
        <v>0</v>
      </c>
      <c r="AL50">
        <f t="shared" si="26"/>
        <v>0</v>
      </c>
      <c r="AM50">
        <v>0</v>
      </c>
      <c r="AN50">
        <f t="shared" si="27"/>
        <v>0</v>
      </c>
      <c r="AO50">
        <f t="shared" si="28"/>
        <v>0</v>
      </c>
      <c r="AP50">
        <f t="shared" si="15"/>
        <v>0</v>
      </c>
    </row>
    <row r="51" spans="1:42" x14ac:dyDescent="0.35">
      <c r="A51" s="8" t="s">
        <v>77</v>
      </c>
      <c r="B51" s="9">
        <v>95070400070</v>
      </c>
      <c r="C51" s="9" t="s">
        <v>23</v>
      </c>
      <c r="D51" s="9" t="s">
        <v>23</v>
      </c>
      <c r="E51" s="9" t="s">
        <v>23</v>
      </c>
      <c r="F51" s="9" t="s">
        <v>23</v>
      </c>
      <c r="G51" s="9">
        <v>92</v>
      </c>
      <c r="H51" s="9" t="s">
        <v>23</v>
      </c>
      <c r="I51" s="9">
        <v>92</v>
      </c>
      <c r="J51" s="9">
        <v>59</v>
      </c>
      <c r="K51" s="9" t="s">
        <v>23</v>
      </c>
      <c r="L51" s="9" t="s">
        <v>23</v>
      </c>
      <c r="M51" s="9" t="s">
        <v>23</v>
      </c>
      <c r="N51" s="9" t="s">
        <v>23</v>
      </c>
      <c r="O51" s="9" t="s">
        <v>23</v>
      </c>
      <c r="P51" s="9" t="s">
        <v>23</v>
      </c>
      <c r="Q51" s="9">
        <v>72</v>
      </c>
      <c r="R51" s="9" t="s">
        <v>23</v>
      </c>
      <c r="S51" s="9">
        <v>41</v>
      </c>
      <c r="T51" s="9">
        <v>60</v>
      </c>
      <c r="U51" s="10">
        <v>68</v>
      </c>
      <c r="V51">
        <f t="shared" si="1"/>
        <v>0</v>
      </c>
      <c r="W51">
        <f t="shared" si="16"/>
        <v>0</v>
      </c>
      <c r="X51">
        <f t="shared" si="17"/>
        <v>0</v>
      </c>
      <c r="Y51">
        <f t="shared" si="18"/>
        <v>0</v>
      </c>
      <c r="Z51">
        <f t="shared" si="19"/>
        <v>0</v>
      </c>
      <c r="AA51">
        <f t="shared" si="20"/>
        <v>1</v>
      </c>
      <c r="AB51">
        <f t="shared" si="21"/>
        <v>0</v>
      </c>
      <c r="AC51">
        <v>0</v>
      </c>
      <c r="AD51">
        <f t="shared" si="22"/>
        <v>1</v>
      </c>
      <c r="AE51">
        <v>0</v>
      </c>
      <c r="AF51">
        <f t="shared" si="23"/>
        <v>0</v>
      </c>
      <c r="AG51">
        <v>0</v>
      </c>
      <c r="AH51">
        <f t="shared" si="24"/>
        <v>0</v>
      </c>
      <c r="AI51">
        <v>0</v>
      </c>
      <c r="AJ51">
        <f t="shared" si="25"/>
        <v>0</v>
      </c>
      <c r="AK51">
        <v>0</v>
      </c>
      <c r="AL51">
        <f t="shared" si="26"/>
        <v>0</v>
      </c>
      <c r="AM51">
        <v>0</v>
      </c>
      <c r="AN51">
        <f t="shared" si="27"/>
        <v>1</v>
      </c>
      <c r="AO51">
        <f t="shared" si="28"/>
        <v>1</v>
      </c>
      <c r="AP51">
        <f t="shared" si="15"/>
        <v>1</v>
      </c>
    </row>
    <row r="52" spans="1:42" x14ac:dyDescent="0.35">
      <c r="A52" s="5" t="s">
        <v>77</v>
      </c>
      <c r="B52" s="6">
        <v>95080101408</v>
      </c>
      <c r="C52" s="6">
        <v>73</v>
      </c>
      <c r="D52" s="6" t="s">
        <v>23</v>
      </c>
      <c r="E52" s="6" t="s">
        <v>23</v>
      </c>
      <c r="F52" s="6" t="s">
        <v>23</v>
      </c>
      <c r="G52" s="6" t="s">
        <v>23</v>
      </c>
      <c r="H52" s="6" t="s">
        <v>23</v>
      </c>
      <c r="I52" s="6">
        <v>97</v>
      </c>
      <c r="J52" s="6">
        <v>74</v>
      </c>
      <c r="K52" s="6" t="s">
        <v>23</v>
      </c>
      <c r="L52" s="6" t="s">
        <v>23</v>
      </c>
      <c r="M52" s="6" t="s">
        <v>23</v>
      </c>
      <c r="N52" s="6" t="s">
        <v>23</v>
      </c>
      <c r="O52" s="6" t="s">
        <v>23</v>
      </c>
      <c r="P52" s="6" t="s">
        <v>23</v>
      </c>
      <c r="Q52" s="6">
        <v>56</v>
      </c>
      <c r="R52" s="6" t="s">
        <v>23</v>
      </c>
      <c r="S52" s="6">
        <v>60</v>
      </c>
      <c r="T52" s="6">
        <v>73</v>
      </c>
      <c r="U52" s="7" t="s">
        <v>23</v>
      </c>
      <c r="V52">
        <f t="shared" si="1"/>
        <v>1</v>
      </c>
      <c r="W52">
        <f t="shared" si="16"/>
        <v>1</v>
      </c>
      <c r="X52">
        <f t="shared" si="17"/>
        <v>0</v>
      </c>
      <c r="Y52">
        <f t="shared" si="18"/>
        <v>0</v>
      </c>
      <c r="Z52">
        <f t="shared" si="19"/>
        <v>0</v>
      </c>
      <c r="AA52">
        <f t="shared" si="20"/>
        <v>0</v>
      </c>
      <c r="AB52">
        <f t="shared" si="21"/>
        <v>0</v>
      </c>
      <c r="AC52">
        <v>0</v>
      </c>
      <c r="AD52">
        <f t="shared" si="22"/>
        <v>1</v>
      </c>
      <c r="AE52">
        <v>0</v>
      </c>
      <c r="AF52">
        <f t="shared" si="23"/>
        <v>0</v>
      </c>
      <c r="AG52">
        <v>0</v>
      </c>
      <c r="AH52">
        <f t="shared" si="24"/>
        <v>0</v>
      </c>
      <c r="AI52">
        <v>0</v>
      </c>
      <c r="AJ52">
        <f t="shared" si="25"/>
        <v>0</v>
      </c>
      <c r="AK52">
        <v>0</v>
      </c>
      <c r="AL52">
        <f t="shared" si="26"/>
        <v>0</v>
      </c>
      <c r="AM52">
        <v>0</v>
      </c>
      <c r="AN52">
        <f t="shared" si="27"/>
        <v>1</v>
      </c>
      <c r="AO52">
        <f t="shared" si="28"/>
        <v>0</v>
      </c>
      <c r="AP52">
        <f t="shared" si="15"/>
        <v>1</v>
      </c>
    </row>
    <row r="53" spans="1:42" x14ac:dyDescent="0.35">
      <c r="A53" s="8" t="s">
        <v>77</v>
      </c>
      <c r="B53" s="9">
        <v>95080902016</v>
      </c>
      <c r="C53" s="9" t="s">
        <v>23</v>
      </c>
      <c r="D53" s="9" t="s">
        <v>23</v>
      </c>
      <c r="E53" s="9" t="s">
        <v>23</v>
      </c>
      <c r="F53" s="9" t="s">
        <v>23</v>
      </c>
      <c r="G53" s="9">
        <v>80</v>
      </c>
      <c r="H53" s="9" t="s">
        <v>23</v>
      </c>
      <c r="I53" s="9">
        <v>97</v>
      </c>
      <c r="J53" s="9">
        <v>83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23</v>
      </c>
      <c r="P53" s="9" t="s">
        <v>23</v>
      </c>
      <c r="Q53" s="9">
        <v>44</v>
      </c>
      <c r="R53" s="9" t="s">
        <v>23</v>
      </c>
      <c r="S53" s="9">
        <v>66</v>
      </c>
      <c r="T53" s="9">
        <v>63</v>
      </c>
      <c r="U53" s="10" t="s">
        <v>23</v>
      </c>
      <c r="V53">
        <f t="shared" si="1"/>
        <v>0</v>
      </c>
      <c r="W53">
        <f t="shared" si="16"/>
        <v>0</v>
      </c>
      <c r="X53">
        <f t="shared" si="17"/>
        <v>0</v>
      </c>
      <c r="Y53">
        <f t="shared" si="18"/>
        <v>0</v>
      </c>
      <c r="Z53">
        <f t="shared" si="19"/>
        <v>0</v>
      </c>
      <c r="AA53">
        <f t="shared" si="20"/>
        <v>1</v>
      </c>
      <c r="AB53">
        <f t="shared" si="21"/>
        <v>0</v>
      </c>
      <c r="AC53">
        <v>0</v>
      </c>
      <c r="AD53">
        <f t="shared" si="22"/>
        <v>1</v>
      </c>
      <c r="AE53">
        <v>0</v>
      </c>
      <c r="AF53">
        <f t="shared" si="23"/>
        <v>0</v>
      </c>
      <c r="AG53">
        <v>0</v>
      </c>
      <c r="AH53">
        <f t="shared" si="24"/>
        <v>0</v>
      </c>
      <c r="AI53">
        <v>0</v>
      </c>
      <c r="AJ53">
        <f t="shared" si="25"/>
        <v>0</v>
      </c>
      <c r="AK53">
        <v>0</v>
      </c>
      <c r="AL53">
        <f t="shared" si="26"/>
        <v>0</v>
      </c>
      <c r="AM53">
        <v>0</v>
      </c>
      <c r="AN53">
        <f t="shared" si="27"/>
        <v>1</v>
      </c>
      <c r="AO53">
        <f t="shared" si="28"/>
        <v>0</v>
      </c>
      <c r="AP53">
        <f t="shared" si="15"/>
        <v>1</v>
      </c>
    </row>
    <row r="54" spans="1:42" x14ac:dyDescent="0.35">
      <c r="A54" s="5" t="s">
        <v>77</v>
      </c>
      <c r="B54" s="6">
        <v>95081001141</v>
      </c>
      <c r="C54" s="6">
        <v>35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>
        <v>96</v>
      </c>
      <c r="J54" s="6">
        <v>84</v>
      </c>
      <c r="K54" s="6" t="s">
        <v>23</v>
      </c>
      <c r="L54" s="6" t="s">
        <v>23</v>
      </c>
      <c r="M54" s="6" t="s">
        <v>23</v>
      </c>
      <c r="N54" s="6" t="s">
        <v>23</v>
      </c>
      <c r="O54" s="6" t="s">
        <v>23</v>
      </c>
      <c r="P54" s="6" t="s">
        <v>23</v>
      </c>
      <c r="Q54" s="6">
        <v>32</v>
      </c>
      <c r="R54" s="6" t="s">
        <v>23</v>
      </c>
      <c r="S54" s="6">
        <v>51</v>
      </c>
      <c r="T54" s="6">
        <v>63</v>
      </c>
      <c r="U54" s="7" t="s">
        <v>23</v>
      </c>
      <c r="V54">
        <f t="shared" si="1"/>
        <v>1</v>
      </c>
      <c r="W54">
        <f t="shared" si="16"/>
        <v>1</v>
      </c>
      <c r="X54">
        <f t="shared" si="17"/>
        <v>0</v>
      </c>
      <c r="Y54">
        <f t="shared" si="18"/>
        <v>0</v>
      </c>
      <c r="Z54">
        <f t="shared" si="19"/>
        <v>0</v>
      </c>
      <c r="AA54">
        <f t="shared" si="20"/>
        <v>0</v>
      </c>
      <c r="AB54">
        <f t="shared" si="21"/>
        <v>0</v>
      </c>
      <c r="AC54">
        <v>0</v>
      </c>
      <c r="AD54">
        <f t="shared" si="22"/>
        <v>1</v>
      </c>
      <c r="AE54">
        <v>0</v>
      </c>
      <c r="AF54">
        <f t="shared" si="23"/>
        <v>0</v>
      </c>
      <c r="AG54">
        <v>0</v>
      </c>
      <c r="AH54">
        <f t="shared" si="24"/>
        <v>0</v>
      </c>
      <c r="AI54">
        <v>0</v>
      </c>
      <c r="AJ54">
        <f t="shared" si="25"/>
        <v>0</v>
      </c>
      <c r="AK54">
        <v>0</v>
      </c>
      <c r="AL54">
        <f t="shared" si="26"/>
        <v>0</v>
      </c>
      <c r="AM54">
        <v>0</v>
      </c>
      <c r="AN54">
        <f t="shared" si="27"/>
        <v>1</v>
      </c>
      <c r="AO54">
        <f t="shared" si="28"/>
        <v>0</v>
      </c>
      <c r="AP54">
        <f t="shared" si="15"/>
        <v>1</v>
      </c>
    </row>
    <row r="55" spans="1:42" x14ac:dyDescent="0.35">
      <c r="A55" s="8" t="s">
        <v>77</v>
      </c>
      <c r="B55" s="9">
        <v>95081600739</v>
      </c>
      <c r="C55" s="9" t="s">
        <v>23</v>
      </c>
      <c r="D55" s="9" t="s">
        <v>23</v>
      </c>
      <c r="E55" s="9" t="s">
        <v>23</v>
      </c>
      <c r="F55" s="9">
        <v>47</v>
      </c>
      <c r="G55" s="9" t="s">
        <v>23</v>
      </c>
      <c r="H55" s="9" t="s">
        <v>23</v>
      </c>
      <c r="I55" s="9">
        <v>86</v>
      </c>
      <c r="J55" s="9">
        <v>60</v>
      </c>
      <c r="K55" s="9" t="s">
        <v>23</v>
      </c>
      <c r="L55" s="9" t="s">
        <v>23</v>
      </c>
      <c r="M55" s="9" t="s">
        <v>23</v>
      </c>
      <c r="N55" s="9" t="s">
        <v>23</v>
      </c>
      <c r="O55" s="9" t="s">
        <v>23</v>
      </c>
      <c r="P55" s="9" t="s">
        <v>23</v>
      </c>
      <c r="Q55" s="9">
        <v>66</v>
      </c>
      <c r="R55" s="9" t="s">
        <v>23</v>
      </c>
      <c r="S55" s="9">
        <v>34</v>
      </c>
      <c r="T55" s="9">
        <v>58</v>
      </c>
      <c r="U55" s="10">
        <v>58</v>
      </c>
      <c r="V55">
        <f t="shared" si="1"/>
        <v>0</v>
      </c>
      <c r="W55">
        <f t="shared" si="16"/>
        <v>0</v>
      </c>
      <c r="X55">
        <f t="shared" si="17"/>
        <v>0</v>
      </c>
      <c r="Y55">
        <f t="shared" si="18"/>
        <v>0</v>
      </c>
      <c r="Z55">
        <f t="shared" si="19"/>
        <v>1</v>
      </c>
      <c r="AA55">
        <f t="shared" si="20"/>
        <v>0</v>
      </c>
      <c r="AB55">
        <f t="shared" si="21"/>
        <v>0</v>
      </c>
      <c r="AC55">
        <v>0</v>
      </c>
      <c r="AD55">
        <f t="shared" si="22"/>
        <v>1</v>
      </c>
      <c r="AE55">
        <v>0</v>
      </c>
      <c r="AF55">
        <f t="shared" si="23"/>
        <v>0</v>
      </c>
      <c r="AG55">
        <v>0</v>
      </c>
      <c r="AH55">
        <f t="shared" si="24"/>
        <v>0</v>
      </c>
      <c r="AI55">
        <v>0</v>
      </c>
      <c r="AJ55">
        <f t="shared" si="25"/>
        <v>0</v>
      </c>
      <c r="AK55">
        <v>0</v>
      </c>
      <c r="AL55">
        <f t="shared" si="26"/>
        <v>0</v>
      </c>
      <c r="AM55">
        <v>0</v>
      </c>
      <c r="AN55">
        <f t="shared" si="27"/>
        <v>1</v>
      </c>
      <c r="AO55">
        <f t="shared" si="28"/>
        <v>1</v>
      </c>
      <c r="AP55">
        <f t="shared" si="15"/>
        <v>1</v>
      </c>
    </row>
    <row r="56" spans="1:42" x14ac:dyDescent="0.35">
      <c r="A56" s="5" t="s">
        <v>77</v>
      </c>
      <c r="B56" s="6">
        <v>95083106189</v>
      </c>
      <c r="C56" s="6" t="s">
        <v>23</v>
      </c>
      <c r="D56" s="6" t="s">
        <v>23</v>
      </c>
      <c r="E56" s="6" t="s">
        <v>23</v>
      </c>
      <c r="F56" s="6" t="s">
        <v>23</v>
      </c>
      <c r="G56" s="6">
        <v>42</v>
      </c>
      <c r="H56" s="6" t="s">
        <v>23</v>
      </c>
      <c r="I56" s="6">
        <v>66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23</v>
      </c>
      <c r="O56" s="6" t="s">
        <v>23</v>
      </c>
      <c r="P56" s="6" t="s">
        <v>23</v>
      </c>
      <c r="Q56" s="6">
        <v>64</v>
      </c>
      <c r="R56" s="6" t="s">
        <v>23</v>
      </c>
      <c r="S56" s="6">
        <v>56</v>
      </c>
      <c r="T56" s="6">
        <v>75</v>
      </c>
      <c r="U56" s="7" t="s">
        <v>23</v>
      </c>
      <c r="V56">
        <f t="shared" si="1"/>
        <v>1</v>
      </c>
      <c r="W56">
        <f t="shared" si="16"/>
        <v>0</v>
      </c>
      <c r="X56">
        <f t="shared" si="17"/>
        <v>0</v>
      </c>
      <c r="Y56">
        <f t="shared" si="18"/>
        <v>0</v>
      </c>
      <c r="Z56">
        <f t="shared" si="19"/>
        <v>0</v>
      </c>
      <c r="AA56">
        <f t="shared" si="20"/>
        <v>1</v>
      </c>
      <c r="AB56">
        <f t="shared" si="21"/>
        <v>0</v>
      </c>
      <c r="AC56">
        <v>0</v>
      </c>
      <c r="AD56">
        <f t="shared" si="22"/>
        <v>0</v>
      </c>
      <c r="AE56">
        <v>0</v>
      </c>
      <c r="AF56">
        <f t="shared" si="23"/>
        <v>0</v>
      </c>
      <c r="AG56">
        <v>0</v>
      </c>
      <c r="AH56">
        <f t="shared" si="24"/>
        <v>0</v>
      </c>
      <c r="AI56">
        <v>0</v>
      </c>
      <c r="AJ56">
        <f t="shared" si="25"/>
        <v>0</v>
      </c>
      <c r="AK56">
        <v>0</v>
      </c>
      <c r="AL56">
        <f t="shared" si="26"/>
        <v>0</v>
      </c>
      <c r="AM56">
        <v>0</v>
      </c>
      <c r="AN56">
        <f t="shared" si="27"/>
        <v>1</v>
      </c>
      <c r="AO56">
        <f t="shared" si="28"/>
        <v>0</v>
      </c>
      <c r="AP56">
        <f t="shared" si="15"/>
        <v>0</v>
      </c>
    </row>
    <row r="57" spans="1:42" x14ac:dyDescent="0.35">
      <c r="A57" s="8" t="s">
        <v>77</v>
      </c>
      <c r="B57" s="9">
        <v>95092111585</v>
      </c>
      <c r="C57" s="9" t="s">
        <v>23</v>
      </c>
      <c r="D57" s="9" t="s">
        <v>23</v>
      </c>
      <c r="E57" s="9" t="s">
        <v>23</v>
      </c>
      <c r="F57" s="9" t="s">
        <v>23</v>
      </c>
      <c r="G57" s="9">
        <v>76</v>
      </c>
      <c r="H57" s="9" t="s">
        <v>23</v>
      </c>
      <c r="I57" s="9">
        <v>97</v>
      </c>
      <c r="J57" s="9">
        <v>78</v>
      </c>
      <c r="K57" s="9" t="s">
        <v>23</v>
      </c>
      <c r="L57" s="9" t="s">
        <v>23</v>
      </c>
      <c r="M57" s="9" t="s">
        <v>23</v>
      </c>
      <c r="N57" s="9" t="s">
        <v>23</v>
      </c>
      <c r="O57" s="9" t="s">
        <v>23</v>
      </c>
      <c r="P57" s="9" t="s">
        <v>23</v>
      </c>
      <c r="Q57" s="9">
        <v>72</v>
      </c>
      <c r="R57" s="9" t="s">
        <v>23</v>
      </c>
      <c r="S57" s="9">
        <v>60</v>
      </c>
      <c r="T57" s="9">
        <v>80</v>
      </c>
      <c r="U57" s="10" t="s">
        <v>23</v>
      </c>
      <c r="V57">
        <f t="shared" si="1"/>
        <v>1</v>
      </c>
      <c r="W57">
        <f t="shared" si="16"/>
        <v>0</v>
      </c>
      <c r="X57">
        <f t="shared" si="17"/>
        <v>0</v>
      </c>
      <c r="Y57">
        <f t="shared" si="18"/>
        <v>0</v>
      </c>
      <c r="Z57">
        <f t="shared" si="19"/>
        <v>0</v>
      </c>
      <c r="AA57">
        <f t="shared" si="20"/>
        <v>1</v>
      </c>
      <c r="AB57">
        <f t="shared" si="21"/>
        <v>0</v>
      </c>
      <c r="AC57">
        <v>0</v>
      </c>
      <c r="AD57">
        <f t="shared" si="22"/>
        <v>1</v>
      </c>
      <c r="AE57">
        <v>0</v>
      </c>
      <c r="AF57">
        <f t="shared" si="23"/>
        <v>0</v>
      </c>
      <c r="AG57">
        <v>0</v>
      </c>
      <c r="AH57">
        <f t="shared" si="24"/>
        <v>0</v>
      </c>
      <c r="AI57">
        <v>0</v>
      </c>
      <c r="AJ57">
        <f t="shared" si="25"/>
        <v>0</v>
      </c>
      <c r="AK57">
        <v>0</v>
      </c>
      <c r="AL57">
        <f t="shared" si="26"/>
        <v>0</v>
      </c>
      <c r="AM57">
        <v>0</v>
      </c>
      <c r="AN57">
        <f t="shared" si="27"/>
        <v>1</v>
      </c>
      <c r="AO57">
        <f t="shared" si="28"/>
        <v>0</v>
      </c>
      <c r="AP57">
        <f t="shared" si="15"/>
        <v>1</v>
      </c>
    </row>
    <row r="58" spans="1:42" x14ac:dyDescent="0.35">
      <c r="A58" s="5" t="s">
        <v>77</v>
      </c>
      <c r="B58" s="6">
        <v>95092712281</v>
      </c>
      <c r="C58" s="6" t="s">
        <v>23</v>
      </c>
      <c r="D58" s="6" t="s">
        <v>23</v>
      </c>
      <c r="E58" s="6" t="s">
        <v>23</v>
      </c>
      <c r="F58" s="6" t="s">
        <v>23</v>
      </c>
      <c r="G58" s="6">
        <v>80</v>
      </c>
      <c r="H58" s="6" t="s">
        <v>23</v>
      </c>
      <c r="I58" s="6">
        <v>78</v>
      </c>
      <c r="J58" s="6">
        <v>34</v>
      </c>
      <c r="K58" s="6" t="s">
        <v>23</v>
      </c>
      <c r="L58" s="6" t="s">
        <v>23</v>
      </c>
      <c r="M58" s="6" t="s">
        <v>23</v>
      </c>
      <c r="N58" s="6" t="s">
        <v>23</v>
      </c>
      <c r="O58" s="6" t="s">
        <v>23</v>
      </c>
      <c r="P58" s="6" t="s">
        <v>23</v>
      </c>
      <c r="Q58" s="6">
        <v>52</v>
      </c>
      <c r="R58" s="6" t="s">
        <v>23</v>
      </c>
      <c r="S58" s="6">
        <v>46</v>
      </c>
      <c r="T58" s="6">
        <v>80</v>
      </c>
      <c r="U58" s="7">
        <v>62</v>
      </c>
      <c r="V58">
        <f t="shared" si="1"/>
        <v>1</v>
      </c>
      <c r="W58">
        <f t="shared" si="16"/>
        <v>0</v>
      </c>
      <c r="X58">
        <f t="shared" si="17"/>
        <v>0</v>
      </c>
      <c r="Y58">
        <f t="shared" si="18"/>
        <v>0</v>
      </c>
      <c r="Z58">
        <f t="shared" si="19"/>
        <v>0</v>
      </c>
      <c r="AA58">
        <f t="shared" si="20"/>
        <v>1</v>
      </c>
      <c r="AB58">
        <f t="shared" si="21"/>
        <v>0</v>
      </c>
      <c r="AC58">
        <v>0</v>
      </c>
      <c r="AD58">
        <f t="shared" si="22"/>
        <v>1</v>
      </c>
      <c r="AE58">
        <v>0</v>
      </c>
      <c r="AF58">
        <f t="shared" si="23"/>
        <v>0</v>
      </c>
      <c r="AG58">
        <v>0</v>
      </c>
      <c r="AH58">
        <f t="shared" si="24"/>
        <v>0</v>
      </c>
      <c r="AI58">
        <v>0</v>
      </c>
      <c r="AJ58">
        <f t="shared" si="25"/>
        <v>0</v>
      </c>
      <c r="AK58">
        <v>0</v>
      </c>
      <c r="AL58">
        <f t="shared" si="26"/>
        <v>0</v>
      </c>
      <c r="AM58">
        <v>0</v>
      </c>
      <c r="AN58">
        <f t="shared" si="27"/>
        <v>1</v>
      </c>
      <c r="AO58">
        <f t="shared" si="28"/>
        <v>1</v>
      </c>
      <c r="AP58">
        <f t="shared" si="15"/>
        <v>1</v>
      </c>
    </row>
    <row r="59" spans="1:42" x14ac:dyDescent="0.35">
      <c r="A59" s="8" t="s">
        <v>77</v>
      </c>
      <c r="B59" s="9">
        <v>95100600025</v>
      </c>
      <c r="C59" s="9" t="s">
        <v>23</v>
      </c>
      <c r="D59" s="9" t="s">
        <v>23</v>
      </c>
      <c r="E59" s="9" t="s">
        <v>23</v>
      </c>
      <c r="F59" s="9" t="s">
        <v>23</v>
      </c>
      <c r="G59" s="9" t="s">
        <v>23</v>
      </c>
      <c r="H59" s="9" t="s">
        <v>23</v>
      </c>
      <c r="I59" s="9">
        <v>65</v>
      </c>
      <c r="J59" s="9" t="s">
        <v>23</v>
      </c>
      <c r="K59" s="9" t="s">
        <v>23</v>
      </c>
      <c r="L59" s="9" t="s">
        <v>23</v>
      </c>
      <c r="M59" s="9" t="s">
        <v>23</v>
      </c>
      <c r="N59" s="9" t="s">
        <v>23</v>
      </c>
      <c r="O59" s="9" t="s">
        <v>23</v>
      </c>
      <c r="P59" s="9" t="s">
        <v>23</v>
      </c>
      <c r="Q59" s="9">
        <v>50</v>
      </c>
      <c r="R59" s="9" t="s">
        <v>23</v>
      </c>
      <c r="S59" s="9">
        <v>43</v>
      </c>
      <c r="T59" s="9">
        <v>78</v>
      </c>
      <c r="U59" s="10">
        <v>24</v>
      </c>
      <c r="V59">
        <f t="shared" si="1"/>
        <v>1</v>
      </c>
      <c r="W59">
        <f t="shared" si="16"/>
        <v>0</v>
      </c>
      <c r="X59">
        <f t="shared" si="17"/>
        <v>0</v>
      </c>
      <c r="Y59">
        <f t="shared" si="18"/>
        <v>0</v>
      </c>
      <c r="Z59">
        <f t="shared" si="19"/>
        <v>0</v>
      </c>
      <c r="AA59">
        <f t="shared" si="20"/>
        <v>0</v>
      </c>
      <c r="AB59">
        <f t="shared" si="21"/>
        <v>0</v>
      </c>
      <c r="AC59">
        <v>0</v>
      </c>
      <c r="AD59">
        <f t="shared" si="22"/>
        <v>0</v>
      </c>
      <c r="AE59">
        <v>0</v>
      </c>
      <c r="AF59">
        <f t="shared" si="23"/>
        <v>0</v>
      </c>
      <c r="AG59">
        <v>0</v>
      </c>
      <c r="AH59">
        <f t="shared" si="24"/>
        <v>0</v>
      </c>
      <c r="AI59">
        <v>0</v>
      </c>
      <c r="AJ59">
        <f t="shared" si="25"/>
        <v>0</v>
      </c>
      <c r="AK59">
        <v>0</v>
      </c>
      <c r="AL59">
        <f t="shared" si="26"/>
        <v>0</v>
      </c>
      <c r="AM59">
        <v>0</v>
      </c>
      <c r="AN59">
        <f t="shared" si="27"/>
        <v>1</v>
      </c>
      <c r="AO59">
        <f t="shared" si="28"/>
        <v>1</v>
      </c>
      <c r="AP59">
        <f t="shared" si="15"/>
        <v>0</v>
      </c>
    </row>
    <row r="60" spans="1:42" x14ac:dyDescent="0.35">
      <c r="A60" s="5" t="s">
        <v>77</v>
      </c>
      <c r="B60" s="6">
        <v>95100606458</v>
      </c>
      <c r="C60" s="6" t="s">
        <v>23</v>
      </c>
      <c r="D60" s="6" t="s">
        <v>23</v>
      </c>
      <c r="E60" s="6" t="s">
        <v>23</v>
      </c>
      <c r="F60" s="6" t="s">
        <v>23</v>
      </c>
      <c r="G60" s="6">
        <v>88</v>
      </c>
      <c r="H60" s="6" t="s">
        <v>23</v>
      </c>
      <c r="I60" s="6">
        <v>96</v>
      </c>
      <c r="J60" s="6">
        <v>92</v>
      </c>
      <c r="K60" s="6" t="s">
        <v>23</v>
      </c>
      <c r="L60" s="6" t="s">
        <v>23</v>
      </c>
      <c r="M60" s="6" t="s">
        <v>23</v>
      </c>
      <c r="N60" s="6" t="s">
        <v>23</v>
      </c>
      <c r="O60" s="6" t="s">
        <v>23</v>
      </c>
      <c r="P60" s="6" t="s">
        <v>23</v>
      </c>
      <c r="Q60" s="6">
        <v>58</v>
      </c>
      <c r="R60" s="6" t="s">
        <v>23</v>
      </c>
      <c r="S60" s="6">
        <v>59</v>
      </c>
      <c r="T60" s="6">
        <v>53</v>
      </c>
      <c r="U60" s="7">
        <v>72</v>
      </c>
      <c r="V60">
        <f t="shared" si="1"/>
        <v>0</v>
      </c>
      <c r="W60">
        <f t="shared" si="16"/>
        <v>0</v>
      </c>
      <c r="X60">
        <f t="shared" si="17"/>
        <v>0</v>
      </c>
      <c r="Y60">
        <f t="shared" si="18"/>
        <v>0</v>
      </c>
      <c r="Z60">
        <f t="shared" si="19"/>
        <v>0</v>
      </c>
      <c r="AA60">
        <f t="shared" si="20"/>
        <v>1</v>
      </c>
      <c r="AB60">
        <f t="shared" si="21"/>
        <v>0</v>
      </c>
      <c r="AC60">
        <v>0</v>
      </c>
      <c r="AD60">
        <f t="shared" si="22"/>
        <v>1</v>
      </c>
      <c r="AE60">
        <v>0</v>
      </c>
      <c r="AF60">
        <f t="shared" si="23"/>
        <v>0</v>
      </c>
      <c r="AG60">
        <v>0</v>
      </c>
      <c r="AH60">
        <f t="shared" si="24"/>
        <v>0</v>
      </c>
      <c r="AI60">
        <v>0</v>
      </c>
      <c r="AJ60">
        <f t="shared" si="25"/>
        <v>0</v>
      </c>
      <c r="AK60">
        <v>0</v>
      </c>
      <c r="AL60">
        <f t="shared" si="26"/>
        <v>0</v>
      </c>
      <c r="AM60">
        <v>0</v>
      </c>
      <c r="AN60">
        <f t="shared" si="27"/>
        <v>1</v>
      </c>
      <c r="AO60">
        <f t="shared" si="28"/>
        <v>1</v>
      </c>
      <c r="AP60">
        <f t="shared" si="15"/>
        <v>1</v>
      </c>
    </row>
    <row r="61" spans="1:42" x14ac:dyDescent="0.35">
      <c r="A61" s="8" t="s">
        <v>77</v>
      </c>
      <c r="B61" s="9">
        <v>95100700282</v>
      </c>
      <c r="C61" s="9" t="s">
        <v>23</v>
      </c>
      <c r="D61" s="9" t="s">
        <v>23</v>
      </c>
      <c r="E61" s="9" t="s">
        <v>23</v>
      </c>
      <c r="F61" s="9" t="s">
        <v>23</v>
      </c>
      <c r="G61" s="9">
        <v>76</v>
      </c>
      <c r="H61" s="9" t="s">
        <v>23</v>
      </c>
      <c r="I61" s="9">
        <v>100</v>
      </c>
      <c r="J61" s="9">
        <v>90</v>
      </c>
      <c r="K61" s="9" t="s">
        <v>23</v>
      </c>
      <c r="L61" s="9" t="s">
        <v>23</v>
      </c>
      <c r="M61" s="9" t="s">
        <v>23</v>
      </c>
      <c r="N61" s="9" t="s">
        <v>23</v>
      </c>
      <c r="O61" s="9">
        <v>100</v>
      </c>
      <c r="P61" s="9" t="s">
        <v>23</v>
      </c>
      <c r="Q61" s="9">
        <v>78</v>
      </c>
      <c r="R61" s="9" t="s">
        <v>23</v>
      </c>
      <c r="S61" s="9">
        <v>66</v>
      </c>
      <c r="T61" s="9">
        <v>75</v>
      </c>
      <c r="U61" s="10" t="s">
        <v>23</v>
      </c>
      <c r="V61">
        <f t="shared" si="1"/>
        <v>1</v>
      </c>
      <c r="W61">
        <f t="shared" si="16"/>
        <v>0</v>
      </c>
      <c r="X61">
        <f t="shared" si="17"/>
        <v>0</v>
      </c>
      <c r="Y61">
        <f t="shared" si="18"/>
        <v>0</v>
      </c>
      <c r="Z61">
        <f t="shared" si="19"/>
        <v>0</v>
      </c>
      <c r="AA61">
        <f t="shared" si="20"/>
        <v>1</v>
      </c>
      <c r="AB61">
        <f t="shared" si="21"/>
        <v>0</v>
      </c>
      <c r="AC61">
        <v>0</v>
      </c>
      <c r="AD61">
        <f t="shared" si="22"/>
        <v>1</v>
      </c>
      <c r="AE61">
        <v>0</v>
      </c>
      <c r="AF61">
        <f t="shared" si="23"/>
        <v>0</v>
      </c>
      <c r="AG61">
        <v>0</v>
      </c>
      <c r="AH61">
        <f t="shared" si="24"/>
        <v>0</v>
      </c>
      <c r="AI61">
        <v>0</v>
      </c>
      <c r="AJ61">
        <f t="shared" si="25"/>
        <v>0</v>
      </c>
      <c r="AK61">
        <v>0</v>
      </c>
      <c r="AL61">
        <f t="shared" si="26"/>
        <v>0</v>
      </c>
      <c r="AM61">
        <v>0</v>
      </c>
      <c r="AN61">
        <f t="shared" si="27"/>
        <v>1</v>
      </c>
      <c r="AO61">
        <f t="shared" si="28"/>
        <v>0</v>
      </c>
      <c r="AP61">
        <f t="shared" si="15"/>
        <v>1</v>
      </c>
    </row>
    <row r="62" spans="1:42" x14ac:dyDescent="0.35">
      <c r="A62" s="5" t="s">
        <v>77</v>
      </c>
      <c r="B62" s="6">
        <v>95101000947</v>
      </c>
      <c r="C62" s="6" t="s">
        <v>23</v>
      </c>
      <c r="D62" s="6" t="s">
        <v>23</v>
      </c>
      <c r="E62" s="6" t="s">
        <v>23</v>
      </c>
      <c r="F62" s="6" t="s">
        <v>23</v>
      </c>
      <c r="G62" s="6">
        <v>96</v>
      </c>
      <c r="H62" s="6" t="s">
        <v>23</v>
      </c>
      <c r="I62" s="6">
        <v>98</v>
      </c>
      <c r="J62" s="6">
        <v>91</v>
      </c>
      <c r="K62" s="6" t="s">
        <v>23</v>
      </c>
      <c r="L62" s="6" t="s">
        <v>23</v>
      </c>
      <c r="M62" s="6" t="s">
        <v>23</v>
      </c>
      <c r="N62" s="6" t="s">
        <v>23</v>
      </c>
      <c r="O62" s="6" t="s">
        <v>23</v>
      </c>
      <c r="P62" s="6" t="s">
        <v>23</v>
      </c>
      <c r="Q62" s="6">
        <v>72</v>
      </c>
      <c r="R62" s="6" t="s">
        <v>23</v>
      </c>
      <c r="S62" s="6">
        <v>69</v>
      </c>
      <c r="T62" s="6">
        <v>85</v>
      </c>
      <c r="U62" s="7" t="s">
        <v>23</v>
      </c>
      <c r="V62">
        <f t="shared" si="1"/>
        <v>1</v>
      </c>
      <c r="W62">
        <f t="shared" si="16"/>
        <v>0</v>
      </c>
      <c r="X62">
        <f t="shared" si="17"/>
        <v>0</v>
      </c>
      <c r="Y62">
        <f t="shared" si="18"/>
        <v>0</v>
      </c>
      <c r="Z62">
        <f t="shared" si="19"/>
        <v>0</v>
      </c>
      <c r="AA62">
        <f t="shared" si="20"/>
        <v>1</v>
      </c>
      <c r="AB62">
        <f t="shared" si="21"/>
        <v>0</v>
      </c>
      <c r="AC62">
        <v>0</v>
      </c>
      <c r="AD62">
        <f t="shared" si="22"/>
        <v>1</v>
      </c>
      <c r="AE62">
        <v>0</v>
      </c>
      <c r="AF62">
        <f t="shared" si="23"/>
        <v>0</v>
      </c>
      <c r="AG62">
        <v>0</v>
      </c>
      <c r="AH62">
        <f t="shared" si="24"/>
        <v>0</v>
      </c>
      <c r="AI62">
        <v>0</v>
      </c>
      <c r="AJ62">
        <f t="shared" si="25"/>
        <v>0</v>
      </c>
      <c r="AK62">
        <v>0</v>
      </c>
      <c r="AL62">
        <f t="shared" si="26"/>
        <v>0</v>
      </c>
      <c r="AM62">
        <v>0</v>
      </c>
      <c r="AN62">
        <f t="shared" si="27"/>
        <v>1</v>
      </c>
      <c r="AO62">
        <f t="shared" si="28"/>
        <v>0</v>
      </c>
      <c r="AP62">
        <f t="shared" si="15"/>
        <v>1</v>
      </c>
    </row>
    <row r="63" spans="1:42" x14ac:dyDescent="0.35">
      <c r="A63" s="8" t="s">
        <v>77</v>
      </c>
      <c r="B63" s="9">
        <v>95110605809</v>
      </c>
      <c r="C63" s="9" t="s">
        <v>23</v>
      </c>
      <c r="D63" s="9" t="s">
        <v>23</v>
      </c>
      <c r="E63" s="9" t="s">
        <v>23</v>
      </c>
      <c r="F63" s="9" t="s">
        <v>23</v>
      </c>
      <c r="G63" s="9">
        <v>76</v>
      </c>
      <c r="H63" s="9" t="s">
        <v>23</v>
      </c>
      <c r="I63" s="9">
        <v>99</v>
      </c>
      <c r="J63" s="9">
        <v>84</v>
      </c>
      <c r="K63" s="9">
        <v>78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>
        <v>70</v>
      </c>
      <c r="R63" s="9" t="s">
        <v>23</v>
      </c>
      <c r="S63" s="9">
        <v>53</v>
      </c>
      <c r="T63" s="9">
        <v>73</v>
      </c>
      <c r="U63" s="10" t="s">
        <v>23</v>
      </c>
      <c r="V63">
        <f t="shared" si="1"/>
        <v>1</v>
      </c>
      <c r="W63">
        <f t="shared" si="16"/>
        <v>0</v>
      </c>
      <c r="X63">
        <f t="shared" si="17"/>
        <v>0</v>
      </c>
      <c r="Y63">
        <f t="shared" si="18"/>
        <v>0</v>
      </c>
      <c r="Z63">
        <f t="shared" si="19"/>
        <v>0</v>
      </c>
      <c r="AA63">
        <f t="shared" si="20"/>
        <v>1</v>
      </c>
      <c r="AB63">
        <f t="shared" si="21"/>
        <v>0</v>
      </c>
      <c r="AC63">
        <v>0</v>
      </c>
      <c r="AD63">
        <f t="shared" si="22"/>
        <v>1</v>
      </c>
      <c r="AE63">
        <v>0</v>
      </c>
      <c r="AF63">
        <f t="shared" si="23"/>
        <v>0</v>
      </c>
      <c r="AG63">
        <v>0</v>
      </c>
      <c r="AH63">
        <f t="shared" si="24"/>
        <v>0</v>
      </c>
      <c r="AI63">
        <v>0</v>
      </c>
      <c r="AJ63">
        <f t="shared" si="25"/>
        <v>0</v>
      </c>
      <c r="AK63">
        <v>0</v>
      </c>
      <c r="AL63">
        <f t="shared" si="26"/>
        <v>0</v>
      </c>
      <c r="AM63">
        <v>0</v>
      </c>
      <c r="AN63">
        <f t="shared" si="27"/>
        <v>1</v>
      </c>
      <c r="AO63">
        <f t="shared" si="28"/>
        <v>0</v>
      </c>
      <c r="AP63">
        <f t="shared" si="15"/>
        <v>1</v>
      </c>
    </row>
    <row r="64" spans="1:42" x14ac:dyDescent="0.35">
      <c r="A64" s="5" t="s">
        <v>77</v>
      </c>
      <c r="B64" s="6">
        <v>95110704362</v>
      </c>
      <c r="C64" s="6">
        <v>48</v>
      </c>
      <c r="D64" s="6">
        <v>17</v>
      </c>
      <c r="E64" s="6" t="s">
        <v>23</v>
      </c>
      <c r="F64" s="6" t="s">
        <v>23</v>
      </c>
      <c r="G64" s="6" t="s">
        <v>23</v>
      </c>
      <c r="H64" s="6" t="s">
        <v>23</v>
      </c>
      <c r="I64" s="6">
        <v>100</v>
      </c>
      <c r="J64" s="6">
        <v>92</v>
      </c>
      <c r="K64" s="6" t="s">
        <v>23</v>
      </c>
      <c r="L64" s="6" t="s">
        <v>23</v>
      </c>
      <c r="M64" s="6" t="s">
        <v>23</v>
      </c>
      <c r="N64" s="6" t="s">
        <v>23</v>
      </c>
      <c r="O64" s="6" t="s">
        <v>23</v>
      </c>
      <c r="P64" s="6" t="s">
        <v>23</v>
      </c>
      <c r="Q64" s="6">
        <v>60</v>
      </c>
      <c r="R64" s="6" t="s">
        <v>23</v>
      </c>
      <c r="S64" s="6">
        <v>47</v>
      </c>
      <c r="T64" s="6" t="s">
        <v>23</v>
      </c>
      <c r="U64" s="7" t="s">
        <v>23</v>
      </c>
      <c r="V64">
        <f t="shared" si="1"/>
        <v>1</v>
      </c>
      <c r="W64">
        <f t="shared" si="16"/>
        <v>1</v>
      </c>
      <c r="X64">
        <f t="shared" si="17"/>
        <v>1</v>
      </c>
      <c r="Y64">
        <f t="shared" si="18"/>
        <v>0</v>
      </c>
      <c r="Z64">
        <f t="shared" si="19"/>
        <v>0</v>
      </c>
      <c r="AA64">
        <f t="shared" si="20"/>
        <v>0</v>
      </c>
      <c r="AB64">
        <f t="shared" si="21"/>
        <v>0</v>
      </c>
      <c r="AC64">
        <v>0</v>
      </c>
      <c r="AD64">
        <f t="shared" si="22"/>
        <v>1</v>
      </c>
      <c r="AE64">
        <v>0</v>
      </c>
      <c r="AF64">
        <f t="shared" si="23"/>
        <v>0</v>
      </c>
      <c r="AG64">
        <v>0</v>
      </c>
      <c r="AH64">
        <f t="shared" si="24"/>
        <v>0</v>
      </c>
      <c r="AI64">
        <v>0</v>
      </c>
      <c r="AJ64">
        <f t="shared" si="25"/>
        <v>0</v>
      </c>
      <c r="AK64">
        <v>0</v>
      </c>
      <c r="AL64">
        <f t="shared" si="26"/>
        <v>0</v>
      </c>
      <c r="AM64">
        <v>0</v>
      </c>
      <c r="AN64">
        <f t="shared" si="27"/>
        <v>0</v>
      </c>
      <c r="AO64">
        <f t="shared" si="28"/>
        <v>0</v>
      </c>
      <c r="AP64">
        <f t="shared" si="15"/>
        <v>1</v>
      </c>
    </row>
    <row r="65" spans="1:42" x14ac:dyDescent="0.35">
      <c r="A65" s="8" t="s">
        <v>77</v>
      </c>
      <c r="B65" s="9">
        <v>95111800425</v>
      </c>
      <c r="C65" s="9" t="s">
        <v>23</v>
      </c>
      <c r="D65" s="9" t="s">
        <v>23</v>
      </c>
      <c r="E65" s="9" t="s">
        <v>23</v>
      </c>
      <c r="F65" s="9" t="s">
        <v>23</v>
      </c>
      <c r="G65" s="9">
        <v>80</v>
      </c>
      <c r="H65" s="9" t="s">
        <v>23</v>
      </c>
      <c r="I65" s="9">
        <v>98</v>
      </c>
      <c r="J65" s="9">
        <v>79</v>
      </c>
      <c r="K65" s="9" t="s">
        <v>23</v>
      </c>
      <c r="L65" s="9" t="s">
        <v>23</v>
      </c>
      <c r="M65" s="9" t="s">
        <v>23</v>
      </c>
      <c r="N65" s="9" t="s">
        <v>23</v>
      </c>
      <c r="O65" s="9" t="s">
        <v>23</v>
      </c>
      <c r="P65" s="9" t="s">
        <v>23</v>
      </c>
      <c r="Q65" s="9">
        <v>66</v>
      </c>
      <c r="R65" s="9" t="s">
        <v>23</v>
      </c>
      <c r="S65" s="9">
        <v>66</v>
      </c>
      <c r="T65" s="9">
        <v>63</v>
      </c>
      <c r="U65" s="10">
        <v>60</v>
      </c>
      <c r="V65">
        <f t="shared" si="1"/>
        <v>1</v>
      </c>
      <c r="W65">
        <f t="shared" si="16"/>
        <v>0</v>
      </c>
      <c r="X65">
        <f t="shared" si="17"/>
        <v>0</v>
      </c>
      <c r="Y65">
        <f t="shared" si="18"/>
        <v>0</v>
      </c>
      <c r="Z65">
        <f t="shared" si="19"/>
        <v>0</v>
      </c>
      <c r="AA65">
        <f t="shared" si="20"/>
        <v>1</v>
      </c>
      <c r="AB65">
        <f t="shared" si="21"/>
        <v>0</v>
      </c>
      <c r="AC65">
        <v>0</v>
      </c>
      <c r="AD65">
        <f t="shared" si="22"/>
        <v>1</v>
      </c>
      <c r="AE65">
        <v>0</v>
      </c>
      <c r="AF65">
        <f t="shared" si="23"/>
        <v>0</v>
      </c>
      <c r="AG65">
        <v>0</v>
      </c>
      <c r="AH65">
        <f t="shared" si="24"/>
        <v>0</v>
      </c>
      <c r="AI65">
        <v>0</v>
      </c>
      <c r="AJ65">
        <f t="shared" si="25"/>
        <v>0</v>
      </c>
      <c r="AK65">
        <v>0</v>
      </c>
      <c r="AL65">
        <f t="shared" si="26"/>
        <v>0</v>
      </c>
      <c r="AM65">
        <v>0</v>
      </c>
      <c r="AN65">
        <f t="shared" si="27"/>
        <v>1</v>
      </c>
      <c r="AO65">
        <f t="shared" si="28"/>
        <v>1</v>
      </c>
      <c r="AP65">
        <f t="shared" si="15"/>
        <v>1</v>
      </c>
    </row>
    <row r="66" spans="1:42" x14ac:dyDescent="0.35">
      <c r="A66" s="5" t="s">
        <v>77</v>
      </c>
      <c r="B66" s="6">
        <v>95112902461</v>
      </c>
      <c r="C66" s="6" t="s">
        <v>23</v>
      </c>
      <c r="D66" s="6" t="s">
        <v>23</v>
      </c>
      <c r="E66" s="6" t="s">
        <v>23</v>
      </c>
      <c r="F66" s="6" t="s">
        <v>23</v>
      </c>
      <c r="G66" s="6" t="s">
        <v>23</v>
      </c>
      <c r="H66" s="6" t="s">
        <v>23</v>
      </c>
      <c r="I66" s="6">
        <v>94</v>
      </c>
      <c r="J66" s="6">
        <v>66</v>
      </c>
      <c r="K66" s="6" t="s">
        <v>23</v>
      </c>
      <c r="L66" s="6" t="s">
        <v>23</v>
      </c>
      <c r="M66" s="6" t="s">
        <v>23</v>
      </c>
      <c r="N66" s="6" t="s">
        <v>23</v>
      </c>
      <c r="O66" s="6" t="s">
        <v>23</v>
      </c>
      <c r="P66" s="6" t="s">
        <v>23</v>
      </c>
      <c r="Q66" s="6">
        <v>76</v>
      </c>
      <c r="R66" s="6">
        <v>24</v>
      </c>
      <c r="S66" s="6">
        <v>44</v>
      </c>
      <c r="T66" s="6">
        <v>40</v>
      </c>
      <c r="U66" s="7" t="s">
        <v>23</v>
      </c>
      <c r="V66">
        <f t="shared" si="1"/>
        <v>1</v>
      </c>
      <c r="W66">
        <f t="shared" si="16"/>
        <v>0</v>
      </c>
      <c r="X66">
        <f t="shared" si="17"/>
        <v>0</v>
      </c>
      <c r="Y66">
        <f t="shared" si="18"/>
        <v>0</v>
      </c>
      <c r="Z66">
        <f t="shared" si="19"/>
        <v>0</v>
      </c>
      <c r="AA66">
        <f t="shared" si="20"/>
        <v>0</v>
      </c>
      <c r="AB66">
        <f t="shared" si="21"/>
        <v>0</v>
      </c>
      <c r="AC66">
        <v>0</v>
      </c>
      <c r="AD66">
        <f t="shared" si="22"/>
        <v>1</v>
      </c>
      <c r="AE66">
        <v>0</v>
      </c>
      <c r="AF66">
        <f t="shared" si="23"/>
        <v>0</v>
      </c>
      <c r="AG66">
        <v>0</v>
      </c>
      <c r="AH66">
        <f t="shared" si="24"/>
        <v>0</v>
      </c>
      <c r="AI66">
        <v>0</v>
      </c>
      <c r="AJ66">
        <f t="shared" si="25"/>
        <v>0</v>
      </c>
      <c r="AK66">
        <v>0</v>
      </c>
      <c r="AL66">
        <f t="shared" si="26"/>
        <v>1</v>
      </c>
      <c r="AM66">
        <v>0</v>
      </c>
      <c r="AN66">
        <f t="shared" si="27"/>
        <v>1</v>
      </c>
      <c r="AO66">
        <f t="shared" si="28"/>
        <v>0</v>
      </c>
      <c r="AP66">
        <f t="shared" si="15"/>
        <v>1</v>
      </c>
    </row>
    <row r="67" spans="1:42" x14ac:dyDescent="0.35">
      <c r="A67" s="8" t="s">
        <v>92</v>
      </c>
      <c r="B67" s="9">
        <v>94120209724</v>
      </c>
      <c r="C67" s="9" t="s">
        <v>23</v>
      </c>
      <c r="D67" s="9" t="s">
        <v>23</v>
      </c>
      <c r="E67" s="9" t="s">
        <v>23</v>
      </c>
      <c r="F67" s="9" t="s">
        <v>23</v>
      </c>
      <c r="G67" s="9" t="s">
        <v>23</v>
      </c>
      <c r="H67" s="9" t="s">
        <v>23</v>
      </c>
      <c r="I67" s="9">
        <v>95</v>
      </c>
      <c r="J67" s="9">
        <v>70</v>
      </c>
      <c r="K67" s="9" t="s">
        <v>23</v>
      </c>
      <c r="L67" s="9" t="s">
        <v>23</v>
      </c>
      <c r="M67" s="9">
        <v>51</v>
      </c>
      <c r="N67" s="9" t="s">
        <v>23</v>
      </c>
      <c r="O67" s="9" t="s">
        <v>23</v>
      </c>
      <c r="P67" s="9" t="s">
        <v>23</v>
      </c>
      <c r="Q67" s="9">
        <v>76</v>
      </c>
      <c r="R67" s="9">
        <v>52</v>
      </c>
      <c r="S67" s="9">
        <v>49</v>
      </c>
      <c r="T67" s="9" t="s">
        <v>23</v>
      </c>
      <c r="U67" s="10" t="s">
        <v>23</v>
      </c>
      <c r="V67">
        <f t="shared" ref="V67:V130" si="29">IF(MOD(MID(B67,10,1),2)=0,1,0)</f>
        <v>1</v>
      </c>
      <c r="W67">
        <f t="shared" si="16"/>
        <v>0</v>
      </c>
      <c r="X67">
        <f t="shared" si="17"/>
        <v>0</v>
      </c>
      <c r="Y67">
        <f t="shared" si="18"/>
        <v>0</v>
      </c>
      <c r="Z67">
        <f t="shared" si="19"/>
        <v>0</v>
      </c>
      <c r="AA67">
        <f t="shared" si="20"/>
        <v>0</v>
      </c>
      <c r="AB67">
        <f t="shared" si="21"/>
        <v>0</v>
      </c>
      <c r="AC67">
        <v>0</v>
      </c>
      <c r="AD67">
        <f t="shared" si="22"/>
        <v>1</v>
      </c>
      <c r="AE67">
        <v>0</v>
      </c>
      <c r="AF67">
        <f t="shared" si="23"/>
        <v>0</v>
      </c>
      <c r="AG67">
        <v>0</v>
      </c>
      <c r="AH67">
        <f t="shared" si="24"/>
        <v>0</v>
      </c>
      <c r="AI67">
        <v>0</v>
      </c>
      <c r="AJ67">
        <f t="shared" si="25"/>
        <v>0</v>
      </c>
      <c r="AK67">
        <v>0</v>
      </c>
      <c r="AL67">
        <f t="shared" si="26"/>
        <v>1</v>
      </c>
      <c r="AM67">
        <v>0</v>
      </c>
      <c r="AN67">
        <f t="shared" si="27"/>
        <v>0</v>
      </c>
      <c r="AO67">
        <f t="shared" si="28"/>
        <v>0</v>
      </c>
      <c r="AP67">
        <f t="shared" ref="AP67:AP130" si="30">IF(COUNTIF(W67:AO67,1) &gt;2,1,0)</f>
        <v>0</v>
      </c>
    </row>
    <row r="68" spans="1:42" x14ac:dyDescent="0.35">
      <c r="A68" s="5" t="s">
        <v>92</v>
      </c>
      <c r="B68" s="6">
        <v>95011303864</v>
      </c>
      <c r="C68" s="6" t="s">
        <v>23</v>
      </c>
      <c r="D68" s="6" t="s">
        <v>23</v>
      </c>
      <c r="E68" s="6" t="s">
        <v>23</v>
      </c>
      <c r="F68" s="6">
        <v>42</v>
      </c>
      <c r="G68" s="6" t="s">
        <v>23</v>
      </c>
      <c r="H68" s="6" t="s">
        <v>23</v>
      </c>
      <c r="I68" s="6">
        <v>52</v>
      </c>
      <c r="J68" s="6" t="s">
        <v>23</v>
      </c>
      <c r="K68" s="6" t="s">
        <v>23</v>
      </c>
      <c r="L68" s="6" t="s">
        <v>23</v>
      </c>
      <c r="M68" s="6" t="s">
        <v>23</v>
      </c>
      <c r="N68" s="6" t="s">
        <v>23</v>
      </c>
      <c r="O68" s="6" t="s">
        <v>23</v>
      </c>
      <c r="P68" s="6" t="s">
        <v>23</v>
      </c>
      <c r="Q68" s="6">
        <v>76</v>
      </c>
      <c r="R68" s="6">
        <v>40</v>
      </c>
      <c r="S68" s="6">
        <v>36</v>
      </c>
      <c r="T68" s="6" t="s">
        <v>23</v>
      </c>
      <c r="U68" s="7" t="s">
        <v>23</v>
      </c>
      <c r="V68">
        <f t="shared" si="29"/>
        <v>1</v>
      </c>
      <c r="W68">
        <f t="shared" si="16"/>
        <v>0</v>
      </c>
      <c r="X68">
        <f t="shared" si="17"/>
        <v>0</v>
      </c>
      <c r="Y68">
        <f t="shared" si="18"/>
        <v>0</v>
      </c>
      <c r="Z68">
        <f t="shared" si="19"/>
        <v>1</v>
      </c>
      <c r="AA68">
        <f t="shared" si="20"/>
        <v>0</v>
      </c>
      <c r="AB68">
        <f t="shared" si="21"/>
        <v>0</v>
      </c>
      <c r="AC68">
        <v>0</v>
      </c>
      <c r="AD68">
        <f t="shared" si="22"/>
        <v>0</v>
      </c>
      <c r="AE68">
        <v>0</v>
      </c>
      <c r="AF68">
        <f t="shared" si="23"/>
        <v>0</v>
      </c>
      <c r="AG68">
        <v>0</v>
      </c>
      <c r="AH68">
        <f t="shared" si="24"/>
        <v>0</v>
      </c>
      <c r="AI68">
        <v>0</v>
      </c>
      <c r="AJ68">
        <f t="shared" si="25"/>
        <v>0</v>
      </c>
      <c r="AK68">
        <v>0</v>
      </c>
      <c r="AL68">
        <f t="shared" si="26"/>
        <v>1</v>
      </c>
      <c r="AM68">
        <v>0</v>
      </c>
      <c r="AN68">
        <f t="shared" si="27"/>
        <v>0</v>
      </c>
      <c r="AO68">
        <f t="shared" si="28"/>
        <v>0</v>
      </c>
      <c r="AP68">
        <f t="shared" si="30"/>
        <v>0</v>
      </c>
    </row>
    <row r="69" spans="1:42" x14ac:dyDescent="0.35">
      <c r="A69" s="8" t="s">
        <v>92</v>
      </c>
      <c r="B69" s="9">
        <v>95012701920</v>
      </c>
      <c r="C69" s="9" t="s">
        <v>23</v>
      </c>
      <c r="D69" s="9" t="s">
        <v>23</v>
      </c>
      <c r="E69" s="9" t="s">
        <v>23</v>
      </c>
      <c r="F69" s="9">
        <v>77</v>
      </c>
      <c r="G69" s="9" t="s">
        <v>23</v>
      </c>
      <c r="H69" s="9" t="s">
        <v>23</v>
      </c>
      <c r="I69" s="9">
        <v>92</v>
      </c>
      <c r="J69" s="9">
        <v>80</v>
      </c>
      <c r="K69" s="9">
        <v>68</v>
      </c>
      <c r="L69" s="9" t="s">
        <v>23</v>
      </c>
      <c r="M69" s="9" t="s">
        <v>23</v>
      </c>
      <c r="N69" s="9" t="s">
        <v>23</v>
      </c>
      <c r="O69" s="9" t="s">
        <v>23</v>
      </c>
      <c r="P69" s="9" t="s">
        <v>23</v>
      </c>
      <c r="Q69" s="9">
        <v>66</v>
      </c>
      <c r="R69" s="9">
        <v>44</v>
      </c>
      <c r="S69" s="9">
        <v>54</v>
      </c>
      <c r="T69" s="9" t="s">
        <v>23</v>
      </c>
      <c r="U69" s="10" t="s">
        <v>23</v>
      </c>
      <c r="V69">
        <f t="shared" si="29"/>
        <v>1</v>
      </c>
      <c r="W69">
        <f t="shared" si="16"/>
        <v>0</v>
      </c>
      <c r="X69">
        <f t="shared" si="17"/>
        <v>0</v>
      </c>
      <c r="Y69">
        <f t="shared" si="18"/>
        <v>0</v>
      </c>
      <c r="Z69">
        <f t="shared" si="19"/>
        <v>1</v>
      </c>
      <c r="AA69">
        <f t="shared" si="20"/>
        <v>0</v>
      </c>
      <c r="AB69">
        <f t="shared" si="21"/>
        <v>0</v>
      </c>
      <c r="AC69">
        <v>0</v>
      </c>
      <c r="AD69">
        <f t="shared" si="22"/>
        <v>1</v>
      </c>
      <c r="AE69">
        <v>0</v>
      </c>
      <c r="AF69">
        <f t="shared" si="23"/>
        <v>0</v>
      </c>
      <c r="AG69">
        <v>0</v>
      </c>
      <c r="AH69">
        <f t="shared" si="24"/>
        <v>0</v>
      </c>
      <c r="AI69">
        <v>0</v>
      </c>
      <c r="AJ69">
        <f t="shared" si="25"/>
        <v>0</v>
      </c>
      <c r="AK69">
        <v>0</v>
      </c>
      <c r="AL69">
        <f t="shared" si="26"/>
        <v>1</v>
      </c>
      <c r="AM69">
        <v>0</v>
      </c>
      <c r="AN69">
        <f t="shared" si="27"/>
        <v>0</v>
      </c>
      <c r="AO69">
        <f t="shared" si="28"/>
        <v>0</v>
      </c>
      <c r="AP69">
        <f t="shared" si="30"/>
        <v>1</v>
      </c>
    </row>
    <row r="70" spans="1:42" x14ac:dyDescent="0.35">
      <c r="A70" s="5" t="s">
        <v>92</v>
      </c>
      <c r="B70" s="6">
        <v>95012707551</v>
      </c>
      <c r="C70" s="6" t="s">
        <v>23</v>
      </c>
      <c r="D70" s="6" t="s">
        <v>23</v>
      </c>
      <c r="E70" s="6" t="s">
        <v>23</v>
      </c>
      <c r="F70" s="6">
        <v>55</v>
      </c>
      <c r="G70" s="6" t="s">
        <v>23</v>
      </c>
      <c r="H70" s="6" t="s">
        <v>23</v>
      </c>
      <c r="I70" s="6">
        <v>88</v>
      </c>
      <c r="J70" s="6" t="s">
        <v>23</v>
      </c>
      <c r="K70" s="6" t="s">
        <v>23</v>
      </c>
      <c r="L70" s="6" t="s">
        <v>23</v>
      </c>
      <c r="M70" s="6" t="s">
        <v>23</v>
      </c>
      <c r="N70" s="6" t="s">
        <v>23</v>
      </c>
      <c r="O70" s="6" t="s">
        <v>23</v>
      </c>
      <c r="P70" s="6" t="s">
        <v>23</v>
      </c>
      <c r="Q70" s="6">
        <v>72</v>
      </c>
      <c r="R70" s="6">
        <v>42</v>
      </c>
      <c r="S70" s="6">
        <v>49</v>
      </c>
      <c r="T70" s="6" t="s">
        <v>23</v>
      </c>
      <c r="U70" s="7" t="s">
        <v>23</v>
      </c>
      <c r="V70">
        <f t="shared" si="29"/>
        <v>0</v>
      </c>
      <c r="W70">
        <f t="shared" si="16"/>
        <v>0</v>
      </c>
      <c r="X70">
        <f t="shared" si="17"/>
        <v>0</v>
      </c>
      <c r="Y70">
        <f t="shared" si="18"/>
        <v>0</v>
      </c>
      <c r="Z70">
        <f t="shared" si="19"/>
        <v>1</v>
      </c>
      <c r="AA70">
        <f t="shared" si="20"/>
        <v>0</v>
      </c>
      <c r="AB70">
        <f t="shared" si="21"/>
        <v>0</v>
      </c>
      <c r="AC70">
        <v>0</v>
      </c>
      <c r="AD70">
        <f t="shared" si="22"/>
        <v>0</v>
      </c>
      <c r="AE70">
        <v>0</v>
      </c>
      <c r="AF70">
        <f t="shared" si="23"/>
        <v>0</v>
      </c>
      <c r="AG70">
        <v>0</v>
      </c>
      <c r="AH70">
        <f t="shared" si="24"/>
        <v>0</v>
      </c>
      <c r="AI70">
        <v>0</v>
      </c>
      <c r="AJ70">
        <f t="shared" si="25"/>
        <v>0</v>
      </c>
      <c r="AK70">
        <v>0</v>
      </c>
      <c r="AL70">
        <f t="shared" si="26"/>
        <v>1</v>
      </c>
      <c r="AM70">
        <v>0</v>
      </c>
      <c r="AN70">
        <f t="shared" si="27"/>
        <v>0</v>
      </c>
      <c r="AO70">
        <f t="shared" si="28"/>
        <v>0</v>
      </c>
      <c r="AP70">
        <f t="shared" si="30"/>
        <v>0</v>
      </c>
    </row>
    <row r="71" spans="1:42" x14ac:dyDescent="0.35">
      <c r="A71" s="8" t="s">
        <v>92</v>
      </c>
      <c r="B71" s="9">
        <v>95021105139</v>
      </c>
      <c r="C71" s="9" t="s">
        <v>23</v>
      </c>
      <c r="D71" s="9" t="s">
        <v>23</v>
      </c>
      <c r="E71" s="9" t="s">
        <v>23</v>
      </c>
      <c r="F71" s="9">
        <v>85</v>
      </c>
      <c r="G71" s="9" t="s">
        <v>23</v>
      </c>
      <c r="H71" s="9" t="s">
        <v>23</v>
      </c>
      <c r="I71" s="9">
        <v>100</v>
      </c>
      <c r="J71" s="9">
        <v>81</v>
      </c>
      <c r="K71" s="9" t="s">
        <v>23</v>
      </c>
      <c r="L71" s="9" t="s">
        <v>23</v>
      </c>
      <c r="M71" s="9">
        <v>94</v>
      </c>
      <c r="N71" s="9" t="s">
        <v>23</v>
      </c>
      <c r="O71" s="9" t="s">
        <v>23</v>
      </c>
      <c r="P71" s="9" t="s">
        <v>23</v>
      </c>
      <c r="Q71" s="9">
        <v>94</v>
      </c>
      <c r="R71" s="9">
        <v>52</v>
      </c>
      <c r="S71" s="9">
        <v>71</v>
      </c>
      <c r="T71" s="9" t="s">
        <v>23</v>
      </c>
      <c r="U71" s="10" t="s">
        <v>23</v>
      </c>
      <c r="V71">
        <f t="shared" si="29"/>
        <v>0</v>
      </c>
      <c r="W71">
        <f t="shared" si="16"/>
        <v>0</v>
      </c>
      <c r="X71">
        <f t="shared" si="17"/>
        <v>0</v>
      </c>
      <c r="Y71">
        <f t="shared" si="18"/>
        <v>0</v>
      </c>
      <c r="Z71">
        <f t="shared" si="19"/>
        <v>1</v>
      </c>
      <c r="AA71">
        <f t="shared" si="20"/>
        <v>0</v>
      </c>
      <c r="AB71">
        <f t="shared" si="21"/>
        <v>0</v>
      </c>
      <c r="AC71">
        <v>0</v>
      </c>
      <c r="AD71">
        <f t="shared" si="22"/>
        <v>1</v>
      </c>
      <c r="AE71">
        <v>0</v>
      </c>
      <c r="AF71">
        <f t="shared" si="23"/>
        <v>0</v>
      </c>
      <c r="AG71">
        <v>0</v>
      </c>
      <c r="AH71">
        <f t="shared" si="24"/>
        <v>0</v>
      </c>
      <c r="AI71">
        <v>0</v>
      </c>
      <c r="AJ71">
        <f t="shared" si="25"/>
        <v>0</v>
      </c>
      <c r="AK71">
        <v>0</v>
      </c>
      <c r="AL71">
        <f t="shared" si="26"/>
        <v>1</v>
      </c>
      <c r="AM71">
        <v>0</v>
      </c>
      <c r="AN71">
        <f t="shared" si="27"/>
        <v>0</v>
      </c>
      <c r="AO71">
        <f t="shared" si="28"/>
        <v>0</v>
      </c>
      <c r="AP71">
        <f t="shared" si="30"/>
        <v>1</v>
      </c>
    </row>
    <row r="72" spans="1:42" x14ac:dyDescent="0.35">
      <c r="A72" s="5" t="s">
        <v>92</v>
      </c>
      <c r="B72" s="6">
        <v>95021201255</v>
      </c>
      <c r="C72" s="6" t="s">
        <v>23</v>
      </c>
      <c r="D72" s="6" t="s">
        <v>23</v>
      </c>
      <c r="E72" s="6" t="s">
        <v>23</v>
      </c>
      <c r="F72" s="6">
        <v>68</v>
      </c>
      <c r="G72" s="6" t="s">
        <v>23</v>
      </c>
      <c r="H72" s="6" t="s">
        <v>23</v>
      </c>
      <c r="I72" s="6">
        <v>84</v>
      </c>
      <c r="J72" s="6" t="s">
        <v>23</v>
      </c>
      <c r="K72" s="6" t="s">
        <v>23</v>
      </c>
      <c r="L72" s="6" t="s">
        <v>23</v>
      </c>
      <c r="M72" s="6" t="s">
        <v>23</v>
      </c>
      <c r="N72" s="6" t="s">
        <v>23</v>
      </c>
      <c r="O72" s="6" t="s">
        <v>23</v>
      </c>
      <c r="P72" s="6" t="s">
        <v>23</v>
      </c>
      <c r="Q72" s="6">
        <v>52</v>
      </c>
      <c r="R72" s="6">
        <v>14</v>
      </c>
      <c r="S72" s="6">
        <v>34</v>
      </c>
      <c r="T72" s="6" t="s">
        <v>23</v>
      </c>
      <c r="U72" s="7" t="s">
        <v>23</v>
      </c>
      <c r="V72">
        <f t="shared" si="29"/>
        <v>0</v>
      </c>
      <c r="W72">
        <f t="shared" si="16"/>
        <v>0</v>
      </c>
      <c r="X72">
        <f t="shared" si="17"/>
        <v>0</v>
      </c>
      <c r="Y72">
        <f t="shared" si="18"/>
        <v>0</v>
      </c>
      <c r="Z72">
        <f t="shared" si="19"/>
        <v>1</v>
      </c>
      <c r="AA72">
        <f t="shared" si="20"/>
        <v>0</v>
      </c>
      <c r="AB72">
        <f t="shared" si="21"/>
        <v>0</v>
      </c>
      <c r="AC72">
        <v>0</v>
      </c>
      <c r="AD72">
        <f t="shared" si="22"/>
        <v>0</v>
      </c>
      <c r="AE72">
        <v>0</v>
      </c>
      <c r="AF72">
        <f t="shared" si="23"/>
        <v>0</v>
      </c>
      <c r="AG72">
        <v>0</v>
      </c>
      <c r="AH72">
        <f t="shared" si="24"/>
        <v>0</v>
      </c>
      <c r="AI72">
        <v>0</v>
      </c>
      <c r="AJ72">
        <f t="shared" si="25"/>
        <v>0</v>
      </c>
      <c r="AK72">
        <v>0</v>
      </c>
      <c r="AL72">
        <f t="shared" si="26"/>
        <v>1</v>
      </c>
      <c r="AM72">
        <v>0</v>
      </c>
      <c r="AN72">
        <f t="shared" si="27"/>
        <v>0</v>
      </c>
      <c r="AO72">
        <f t="shared" si="28"/>
        <v>0</v>
      </c>
      <c r="AP72">
        <f t="shared" si="30"/>
        <v>0</v>
      </c>
    </row>
    <row r="73" spans="1:42" x14ac:dyDescent="0.35">
      <c r="A73" s="8" t="s">
        <v>92</v>
      </c>
      <c r="B73" s="9">
        <v>95021303223</v>
      </c>
      <c r="C73" s="9" t="s">
        <v>23</v>
      </c>
      <c r="D73" s="9" t="s">
        <v>23</v>
      </c>
      <c r="E73" s="9" t="s">
        <v>23</v>
      </c>
      <c r="F73" s="9">
        <v>60</v>
      </c>
      <c r="G73" s="9" t="s">
        <v>23</v>
      </c>
      <c r="H73" s="9" t="s">
        <v>23</v>
      </c>
      <c r="I73" s="9">
        <v>92</v>
      </c>
      <c r="J73" s="9" t="s">
        <v>23</v>
      </c>
      <c r="K73" s="9" t="s">
        <v>23</v>
      </c>
      <c r="L73" s="9" t="s">
        <v>23</v>
      </c>
      <c r="M73" s="9" t="s">
        <v>23</v>
      </c>
      <c r="N73" s="9" t="s">
        <v>23</v>
      </c>
      <c r="O73" s="9" t="s">
        <v>23</v>
      </c>
      <c r="P73" s="9" t="s">
        <v>23</v>
      </c>
      <c r="Q73" s="9">
        <v>70</v>
      </c>
      <c r="R73" s="9">
        <v>32</v>
      </c>
      <c r="S73" s="9">
        <v>63</v>
      </c>
      <c r="T73" s="9" t="s">
        <v>23</v>
      </c>
      <c r="U73" s="10" t="s">
        <v>23</v>
      </c>
      <c r="V73">
        <f t="shared" si="29"/>
        <v>1</v>
      </c>
      <c r="W73">
        <f t="shared" si="16"/>
        <v>0</v>
      </c>
      <c r="X73">
        <f t="shared" si="17"/>
        <v>0</v>
      </c>
      <c r="Y73">
        <f t="shared" si="18"/>
        <v>0</v>
      </c>
      <c r="Z73">
        <f t="shared" si="19"/>
        <v>1</v>
      </c>
      <c r="AA73">
        <f t="shared" si="20"/>
        <v>0</v>
      </c>
      <c r="AB73">
        <f t="shared" si="21"/>
        <v>0</v>
      </c>
      <c r="AC73">
        <v>0</v>
      </c>
      <c r="AD73">
        <f t="shared" si="22"/>
        <v>0</v>
      </c>
      <c r="AE73">
        <v>0</v>
      </c>
      <c r="AF73">
        <f t="shared" si="23"/>
        <v>0</v>
      </c>
      <c r="AG73">
        <v>0</v>
      </c>
      <c r="AH73">
        <f t="shared" si="24"/>
        <v>0</v>
      </c>
      <c r="AI73">
        <v>0</v>
      </c>
      <c r="AJ73">
        <f t="shared" si="25"/>
        <v>0</v>
      </c>
      <c r="AK73">
        <v>0</v>
      </c>
      <c r="AL73">
        <f t="shared" si="26"/>
        <v>1</v>
      </c>
      <c r="AM73">
        <v>0</v>
      </c>
      <c r="AN73">
        <f t="shared" si="27"/>
        <v>0</v>
      </c>
      <c r="AO73">
        <f t="shared" si="28"/>
        <v>0</v>
      </c>
      <c r="AP73">
        <f t="shared" si="30"/>
        <v>0</v>
      </c>
    </row>
    <row r="74" spans="1:42" x14ac:dyDescent="0.35">
      <c r="A74" s="5" t="s">
        <v>92</v>
      </c>
      <c r="B74" s="6">
        <v>95030407844</v>
      </c>
      <c r="C74" s="6" t="s">
        <v>23</v>
      </c>
      <c r="D74" s="6" t="s">
        <v>23</v>
      </c>
      <c r="E74" s="6" t="s">
        <v>23</v>
      </c>
      <c r="F74" s="6">
        <v>70</v>
      </c>
      <c r="G74" s="6" t="s">
        <v>23</v>
      </c>
      <c r="H74" s="6" t="s">
        <v>23</v>
      </c>
      <c r="I74" s="6">
        <v>94</v>
      </c>
      <c r="J74" s="6">
        <v>84</v>
      </c>
      <c r="K74" s="6" t="s">
        <v>23</v>
      </c>
      <c r="L74" s="6" t="s">
        <v>23</v>
      </c>
      <c r="M74" s="6" t="s">
        <v>23</v>
      </c>
      <c r="N74" s="6" t="s">
        <v>23</v>
      </c>
      <c r="O74" s="6" t="s">
        <v>23</v>
      </c>
      <c r="P74" s="6">
        <v>90</v>
      </c>
      <c r="Q74" s="6">
        <v>88</v>
      </c>
      <c r="R74" s="6">
        <v>56</v>
      </c>
      <c r="S74" s="6">
        <v>64</v>
      </c>
      <c r="T74" s="6" t="s">
        <v>23</v>
      </c>
      <c r="U74" s="7" t="s">
        <v>23</v>
      </c>
      <c r="V74">
        <f t="shared" si="29"/>
        <v>1</v>
      </c>
      <c r="W74">
        <f t="shared" si="16"/>
        <v>0</v>
      </c>
      <c r="X74">
        <f t="shared" si="17"/>
        <v>0</v>
      </c>
      <c r="Y74">
        <f t="shared" si="18"/>
        <v>0</v>
      </c>
      <c r="Z74">
        <f t="shared" si="19"/>
        <v>1</v>
      </c>
      <c r="AA74">
        <f t="shared" si="20"/>
        <v>0</v>
      </c>
      <c r="AB74">
        <f t="shared" si="21"/>
        <v>0</v>
      </c>
      <c r="AC74">
        <v>0</v>
      </c>
      <c r="AD74">
        <f t="shared" si="22"/>
        <v>1</v>
      </c>
      <c r="AE74">
        <v>0</v>
      </c>
      <c r="AF74">
        <f t="shared" si="23"/>
        <v>0</v>
      </c>
      <c r="AG74">
        <v>0</v>
      </c>
      <c r="AH74">
        <f t="shared" si="24"/>
        <v>0</v>
      </c>
      <c r="AI74">
        <v>0</v>
      </c>
      <c r="AJ74">
        <f t="shared" si="25"/>
        <v>1</v>
      </c>
      <c r="AK74">
        <v>0</v>
      </c>
      <c r="AL74">
        <f t="shared" si="26"/>
        <v>1</v>
      </c>
      <c r="AM74">
        <v>0</v>
      </c>
      <c r="AN74">
        <f t="shared" si="27"/>
        <v>0</v>
      </c>
      <c r="AO74">
        <f t="shared" si="28"/>
        <v>0</v>
      </c>
      <c r="AP74">
        <f t="shared" si="30"/>
        <v>1</v>
      </c>
    </row>
    <row r="75" spans="1:42" x14ac:dyDescent="0.35">
      <c r="A75" s="8" t="s">
        <v>92</v>
      </c>
      <c r="B75" s="9">
        <v>95040309147</v>
      </c>
      <c r="C75" s="9" t="s">
        <v>23</v>
      </c>
      <c r="D75" s="9" t="s">
        <v>23</v>
      </c>
      <c r="E75" s="9" t="s">
        <v>23</v>
      </c>
      <c r="F75" s="9">
        <v>38</v>
      </c>
      <c r="G75" s="9" t="s">
        <v>23</v>
      </c>
      <c r="H75" s="9" t="s">
        <v>23</v>
      </c>
      <c r="I75" s="9">
        <v>51</v>
      </c>
      <c r="J75" s="9" t="s">
        <v>23</v>
      </c>
      <c r="K75" s="9" t="s">
        <v>23</v>
      </c>
      <c r="L75" s="9" t="s">
        <v>23</v>
      </c>
      <c r="M75" s="9" t="s">
        <v>23</v>
      </c>
      <c r="N75" s="9" t="s">
        <v>23</v>
      </c>
      <c r="O75" s="9" t="s">
        <v>23</v>
      </c>
      <c r="P75" s="9" t="s">
        <v>23</v>
      </c>
      <c r="Q75" s="9">
        <v>48</v>
      </c>
      <c r="R75" s="9" t="s">
        <v>23</v>
      </c>
      <c r="S75" s="9">
        <v>49</v>
      </c>
      <c r="T75" s="9" t="s">
        <v>23</v>
      </c>
      <c r="U75" s="10" t="s">
        <v>23</v>
      </c>
      <c r="V75">
        <f t="shared" si="29"/>
        <v>1</v>
      </c>
      <c r="W75">
        <f t="shared" si="16"/>
        <v>0</v>
      </c>
      <c r="X75">
        <f t="shared" si="17"/>
        <v>0</v>
      </c>
      <c r="Y75">
        <f t="shared" si="18"/>
        <v>0</v>
      </c>
      <c r="Z75">
        <f t="shared" si="19"/>
        <v>1</v>
      </c>
      <c r="AA75">
        <f t="shared" si="20"/>
        <v>0</v>
      </c>
      <c r="AB75">
        <f t="shared" si="21"/>
        <v>0</v>
      </c>
      <c r="AC75">
        <v>0</v>
      </c>
      <c r="AD75">
        <f t="shared" si="22"/>
        <v>0</v>
      </c>
      <c r="AE75">
        <v>0</v>
      </c>
      <c r="AF75">
        <f t="shared" si="23"/>
        <v>0</v>
      </c>
      <c r="AG75">
        <v>0</v>
      </c>
      <c r="AH75">
        <f t="shared" si="24"/>
        <v>0</v>
      </c>
      <c r="AI75">
        <v>0</v>
      </c>
      <c r="AJ75">
        <f t="shared" si="25"/>
        <v>0</v>
      </c>
      <c r="AK75">
        <v>0</v>
      </c>
      <c r="AL75">
        <f t="shared" si="26"/>
        <v>0</v>
      </c>
      <c r="AM75">
        <v>0</v>
      </c>
      <c r="AN75">
        <f t="shared" si="27"/>
        <v>0</v>
      </c>
      <c r="AO75">
        <f t="shared" si="28"/>
        <v>0</v>
      </c>
      <c r="AP75">
        <f t="shared" si="30"/>
        <v>0</v>
      </c>
    </row>
    <row r="76" spans="1:42" x14ac:dyDescent="0.35">
      <c r="A76" s="5" t="s">
        <v>92</v>
      </c>
      <c r="B76" s="6">
        <v>95040502267</v>
      </c>
      <c r="C76" s="6" t="s">
        <v>23</v>
      </c>
      <c r="D76" s="6" t="s">
        <v>23</v>
      </c>
      <c r="E76" s="6" t="s">
        <v>23</v>
      </c>
      <c r="F76" s="6">
        <v>83</v>
      </c>
      <c r="G76" s="6" t="s">
        <v>23</v>
      </c>
      <c r="H76" s="6" t="s">
        <v>23</v>
      </c>
      <c r="I76" s="6" t="s">
        <v>23</v>
      </c>
      <c r="J76" s="6">
        <v>93</v>
      </c>
      <c r="K76" s="6" t="s">
        <v>23</v>
      </c>
      <c r="L76" s="6" t="s">
        <v>23</v>
      </c>
      <c r="M76" s="6" t="s">
        <v>23</v>
      </c>
      <c r="N76" s="6" t="s">
        <v>23</v>
      </c>
      <c r="O76" s="6">
        <v>96</v>
      </c>
      <c r="P76" s="6" t="s">
        <v>23</v>
      </c>
      <c r="Q76" s="6">
        <v>72</v>
      </c>
      <c r="R76" s="6">
        <v>64</v>
      </c>
      <c r="S76" s="6">
        <v>57</v>
      </c>
      <c r="T76" s="6" t="s">
        <v>23</v>
      </c>
      <c r="U76" s="7" t="s">
        <v>23</v>
      </c>
      <c r="V76">
        <f t="shared" si="29"/>
        <v>1</v>
      </c>
      <c r="W76">
        <f t="shared" si="16"/>
        <v>0</v>
      </c>
      <c r="X76">
        <f t="shared" si="17"/>
        <v>0</v>
      </c>
      <c r="Y76">
        <f t="shared" si="18"/>
        <v>0</v>
      </c>
      <c r="Z76">
        <f t="shared" si="19"/>
        <v>1</v>
      </c>
      <c r="AA76">
        <f t="shared" si="20"/>
        <v>0</v>
      </c>
      <c r="AB76">
        <f t="shared" si="21"/>
        <v>0</v>
      </c>
      <c r="AC76">
        <v>0</v>
      </c>
      <c r="AD76">
        <f t="shared" si="22"/>
        <v>1</v>
      </c>
      <c r="AE76">
        <v>0</v>
      </c>
      <c r="AF76">
        <f t="shared" si="23"/>
        <v>0</v>
      </c>
      <c r="AG76">
        <v>0</v>
      </c>
      <c r="AH76">
        <f t="shared" si="24"/>
        <v>0</v>
      </c>
      <c r="AI76">
        <v>0</v>
      </c>
      <c r="AJ76">
        <f t="shared" si="25"/>
        <v>0</v>
      </c>
      <c r="AK76">
        <v>0</v>
      </c>
      <c r="AL76">
        <f t="shared" si="26"/>
        <v>1</v>
      </c>
      <c r="AM76">
        <v>0</v>
      </c>
      <c r="AN76">
        <f t="shared" si="27"/>
        <v>0</v>
      </c>
      <c r="AO76">
        <f t="shared" si="28"/>
        <v>0</v>
      </c>
      <c r="AP76">
        <f t="shared" si="30"/>
        <v>1</v>
      </c>
    </row>
    <row r="77" spans="1:42" x14ac:dyDescent="0.35">
      <c r="A77" s="8" t="s">
        <v>92</v>
      </c>
      <c r="B77" s="9">
        <v>95040601874</v>
      </c>
      <c r="C77" s="9" t="s">
        <v>23</v>
      </c>
      <c r="D77" s="9" t="s">
        <v>23</v>
      </c>
      <c r="E77" s="9" t="s">
        <v>23</v>
      </c>
      <c r="F77" s="9">
        <v>93</v>
      </c>
      <c r="G77" s="9" t="s">
        <v>23</v>
      </c>
      <c r="H77" s="9" t="s">
        <v>23</v>
      </c>
      <c r="I77" s="9">
        <v>98</v>
      </c>
      <c r="J77" s="9">
        <v>80</v>
      </c>
      <c r="K77" s="9">
        <v>80</v>
      </c>
      <c r="L77" s="9" t="s">
        <v>23</v>
      </c>
      <c r="M77" s="9" t="s">
        <v>23</v>
      </c>
      <c r="N77" s="9" t="s">
        <v>23</v>
      </c>
      <c r="O77" s="9" t="s">
        <v>23</v>
      </c>
      <c r="P77" s="9" t="s">
        <v>23</v>
      </c>
      <c r="Q77" s="9">
        <v>78</v>
      </c>
      <c r="R77" s="9">
        <v>64</v>
      </c>
      <c r="S77" s="9">
        <v>63</v>
      </c>
      <c r="T77" s="9" t="s">
        <v>23</v>
      </c>
      <c r="U77" s="10" t="s">
        <v>23</v>
      </c>
      <c r="V77">
        <f t="shared" si="29"/>
        <v>0</v>
      </c>
      <c r="W77">
        <f t="shared" si="16"/>
        <v>0</v>
      </c>
      <c r="X77">
        <f t="shared" si="17"/>
        <v>0</v>
      </c>
      <c r="Y77">
        <f t="shared" si="18"/>
        <v>0</v>
      </c>
      <c r="Z77">
        <f t="shared" si="19"/>
        <v>1</v>
      </c>
      <c r="AA77">
        <f t="shared" si="20"/>
        <v>0</v>
      </c>
      <c r="AB77">
        <f t="shared" si="21"/>
        <v>0</v>
      </c>
      <c r="AC77">
        <v>0</v>
      </c>
      <c r="AD77">
        <f t="shared" si="22"/>
        <v>1</v>
      </c>
      <c r="AE77">
        <v>0</v>
      </c>
      <c r="AF77">
        <f t="shared" si="23"/>
        <v>0</v>
      </c>
      <c r="AG77">
        <v>0</v>
      </c>
      <c r="AH77">
        <f t="shared" si="24"/>
        <v>0</v>
      </c>
      <c r="AI77">
        <v>0</v>
      </c>
      <c r="AJ77">
        <f t="shared" si="25"/>
        <v>0</v>
      </c>
      <c r="AK77">
        <v>0</v>
      </c>
      <c r="AL77">
        <f t="shared" si="26"/>
        <v>1</v>
      </c>
      <c r="AM77">
        <v>0</v>
      </c>
      <c r="AN77">
        <f t="shared" si="27"/>
        <v>0</v>
      </c>
      <c r="AO77">
        <f t="shared" si="28"/>
        <v>0</v>
      </c>
      <c r="AP77">
        <f t="shared" si="30"/>
        <v>1</v>
      </c>
    </row>
    <row r="78" spans="1:42" x14ac:dyDescent="0.35">
      <c r="A78" s="5" t="s">
        <v>92</v>
      </c>
      <c r="B78" s="6">
        <v>95062703248</v>
      </c>
      <c r="C78" s="6" t="s">
        <v>23</v>
      </c>
      <c r="D78" s="6" t="s">
        <v>23</v>
      </c>
      <c r="E78" s="6" t="s">
        <v>23</v>
      </c>
      <c r="F78" s="6">
        <v>63</v>
      </c>
      <c r="G78" s="6" t="s">
        <v>23</v>
      </c>
      <c r="H78" s="6" t="s">
        <v>23</v>
      </c>
      <c r="I78" s="6">
        <v>88</v>
      </c>
      <c r="J78" s="6" t="s">
        <v>23</v>
      </c>
      <c r="K78" s="6" t="s">
        <v>23</v>
      </c>
      <c r="L78" s="6" t="s">
        <v>23</v>
      </c>
      <c r="M78" s="6" t="s">
        <v>23</v>
      </c>
      <c r="N78" s="6" t="s">
        <v>23</v>
      </c>
      <c r="O78" s="6" t="s">
        <v>23</v>
      </c>
      <c r="P78" s="6" t="s">
        <v>23</v>
      </c>
      <c r="Q78" s="6">
        <v>64</v>
      </c>
      <c r="R78" s="6" t="s">
        <v>23</v>
      </c>
      <c r="S78" s="6">
        <v>63</v>
      </c>
      <c r="T78" s="6">
        <v>43</v>
      </c>
      <c r="U78" s="7" t="s">
        <v>23</v>
      </c>
      <c r="V78">
        <f t="shared" si="29"/>
        <v>1</v>
      </c>
      <c r="W78">
        <f t="shared" si="16"/>
        <v>0</v>
      </c>
      <c r="X78">
        <f t="shared" si="17"/>
        <v>0</v>
      </c>
      <c r="Y78">
        <f t="shared" si="18"/>
        <v>0</v>
      </c>
      <c r="Z78">
        <f t="shared" si="19"/>
        <v>1</v>
      </c>
      <c r="AA78">
        <f t="shared" si="20"/>
        <v>0</v>
      </c>
      <c r="AB78">
        <f t="shared" si="21"/>
        <v>0</v>
      </c>
      <c r="AC78">
        <v>0</v>
      </c>
      <c r="AD78">
        <f t="shared" si="22"/>
        <v>0</v>
      </c>
      <c r="AE78">
        <v>0</v>
      </c>
      <c r="AF78">
        <f t="shared" si="23"/>
        <v>0</v>
      </c>
      <c r="AG78">
        <v>0</v>
      </c>
      <c r="AH78">
        <f t="shared" si="24"/>
        <v>0</v>
      </c>
      <c r="AI78">
        <v>0</v>
      </c>
      <c r="AJ78">
        <f t="shared" si="25"/>
        <v>0</v>
      </c>
      <c r="AK78">
        <v>0</v>
      </c>
      <c r="AL78">
        <f t="shared" si="26"/>
        <v>0</v>
      </c>
      <c r="AM78">
        <v>0</v>
      </c>
      <c r="AN78">
        <f t="shared" si="27"/>
        <v>1</v>
      </c>
      <c r="AO78">
        <f t="shared" si="28"/>
        <v>0</v>
      </c>
      <c r="AP78">
        <f t="shared" si="30"/>
        <v>0</v>
      </c>
    </row>
    <row r="79" spans="1:42" x14ac:dyDescent="0.35">
      <c r="A79" s="8" t="s">
        <v>92</v>
      </c>
      <c r="B79" s="9">
        <v>95062704850</v>
      </c>
      <c r="C79" s="9" t="s">
        <v>23</v>
      </c>
      <c r="D79" s="9" t="s">
        <v>23</v>
      </c>
      <c r="E79" s="9" t="s">
        <v>23</v>
      </c>
      <c r="F79" s="9">
        <v>65</v>
      </c>
      <c r="G79" s="9" t="s">
        <v>23</v>
      </c>
      <c r="H79" s="9" t="s">
        <v>23</v>
      </c>
      <c r="I79" s="9">
        <v>69</v>
      </c>
      <c r="J79" s="9" t="s">
        <v>23</v>
      </c>
      <c r="K79" s="9" t="s">
        <v>23</v>
      </c>
      <c r="L79" s="9" t="s">
        <v>23</v>
      </c>
      <c r="M79" s="9" t="s">
        <v>23</v>
      </c>
      <c r="N79" s="9" t="s">
        <v>23</v>
      </c>
      <c r="O79" s="9" t="s">
        <v>23</v>
      </c>
      <c r="P79" s="9" t="s">
        <v>23</v>
      </c>
      <c r="Q79" s="9">
        <v>52</v>
      </c>
      <c r="R79" s="9" t="s">
        <v>23</v>
      </c>
      <c r="S79" s="9">
        <v>51</v>
      </c>
      <c r="T79" s="9" t="s">
        <v>23</v>
      </c>
      <c r="U79" s="10" t="s">
        <v>23</v>
      </c>
      <c r="V79">
        <f t="shared" si="29"/>
        <v>0</v>
      </c>
      <c r="W79">
        <f t="shared" si="16"/>
        <v>0</v>
      </c>
      <c r="X79">
        <f t="shared" si="17"/>
        <v>0</v>
      </c>
      <c r="Y79">
        <f t="shared" si="18"/>
        <v>0</v>
      </c>
      <c r="Z79">
        <f t="shared" si="19"/>
        <v>1</v>
      </c>
      <c r="AA79">
        <f t="shared" si="20"/>
        <v>0</v>
      </c>
      <c r="AB79">
        <f t="shared" si="21"/>
        <v>0</v>
      </c>
      <c r="AC79">
        <v>0</v>
      </c>
      <c r="AD79">
        <f t="shared" si="22"/>
        <v>0</v>
      </c>
      <c r="AE79">
        <v>0</v>
      </c>
      <c r="AF79">
        <f t="shared" si="23"/>
        <v>0</v>
      </c>
      <c r="AG79">
        <v>0</v>
      </c>
      <c r="AH79">
        <f t="shared" si="24"/>
        <v>0</v>
      </c>
      <c r="AI79">
        <v>0</v>
      </c>
      <c r="AJ79">
        <f t="shared" si="25"/>
        <v>0</v>
      </c>
      <c r="AK79">
        <v>0</v>
      </c>
      <c r="AL79">
        <f t="shared" si="26"/>
        <v>0</v>
      </c>
      <c r="AM79">
        <v>0</v>
      </c>
      <c r="AN79">
        <f t="shared" si="27"/>
        <v>0</v>
      </c>
      <c r="AO79">
        <f t="shared" si="28"/>
        <v>0</v>
      </c>
      <c r="AP79">
        <f t="shared" si="30"/>
        <v>0</v>
      </c>
    </row>
    <row r="80" spans="1:42" x14ac:dyDescent="0.35">
      <c r="A80" s="5" t="s">
        <v>92</v>
      </c>
      <c r="B80" s="6">
        <v>95070400629</v>
      </c>
      <c r="C80" s="6" t="s">
        <v>23</v>
      </c>
      <c r="D80" s="6" t="s">
        <v>23</v>
      </c>
      <c r="E80" s="6" t="s">
        <v>23</v>
      </c>
      <c r="F80" s="6">
        <v>50</v>
      </c>
      <c r="G80" s="6" t="s">
        <v>23</v>
      </c>
      <c r="H80" s="6" t="s">
        <v>23</v>
      </c>
      <c r="I80" s="6">
        <v>82</v>
      </c>
      <c r="J80" s="6" t="s">
        <v>23</v>
      </c>
      <c r="K80" s="6" t="s">
        <v>23</v>
      </c>
      <c r="L80" s="6" t="s">
        <v>23</v>
      </c>
      <c r="M80" s="6" t="s">
        <v>23</v>
      </c>
      <c r="N80" s="6" t="s">
        <v>23</v>
      </c>
      <c r="O80" s="6" t="s">
        <v>23</v>
      </c>
      <c r="P80" s="6" t="s">
        <v>23</v>
      </c>
      <c r="Q80" s="6">
        <v>68</v>
      </c>
      <c r="R80" s="6">
        <v>36</v>
      </c>
      <c r="S80" s="6">
        <v>47</v>
      </c>
      <c r="T80" s="6" t="s">
        <v>23</v>
      </c>
      <c r="U80" s="7" t="s">
        <v>23</v>
      </c>
      <c r="V80">
        <f t="shared" si="29"/>
        <v>1</v>
      </c>
      <c r="W80">
        <f t="shared" si="16"/>
        <v>0</v>
      </c>
      <c r="X80">
        <f t="shared" si="17"/>
        <v>0</v>
      </c>
      <c r="Y80">
        <f t="shared" si="18"/>
        <v>0</v>
      </c>
      <c r="Z80">
        <f t="shared" si="19"/>
        <v>1</v>
      </c>
      <c r="AA80">
        <f t="shared" si="20"/>
        <v>0</v>
      </c>
      <c r="AB80">
        <f t="shared" si="21"/>
        <v>0</v>
      </c>
      <c r="AC80">
        <v>0</v>
      </c>
      <c r="AD80">
        <f t="shared" si="22"/>
        <v>0</v>
      </c>
      <c r="AE80">
        <v>0</v>
      </c>
      <c r="AF80">
        <f t="shared" si="23"/>
        <v>0</v>
      </c>
      <c r="AG80">
        <v>0</v>
      </c>
      <c r="AH80">
        <f t="shared" si="24"/>
        <v>0</v>
      </c>
      <c r="AI80">
        <v>0</v>
      </c>
      <c r="AJ80">
        <f t="shared" si="25"/>
        <v>0</v>
      </c>
      <c r="AK80">
        <v>0</v>
      </c>
      <c r="AL80">
        <f t="shared" si="26"/>
        <v>1</v>
      </c>
      <c r="AM80">
        <v>0</v>
      </c>
      <c r="AN80">
        <f t="shared" si="27"/>
        <v>0</v>
      </c>
      <c r="AO80">
        <f t="shared" si="28"/>
        <v>0</v>
      </c>
      <c r="AP80">
        <f t="shared" si="30"/>
        <v>0</v>
      </c>
    </row>
    <row r="81" spans="1:42" x14ac:dyDescent="0.35">
      <c r="A81" s="8" t="s">
        <v>92</v>
      </c>
      <c r="B81" s="9">
        <v>95070600715</v>
      </c>
      <c r="C81" s="9" t="s">
        <v>23</v>
      </c>
      <c r="D81" s="9" t="s">
        <v>23</v>
      </c>
      <c r="E81" s="9" t="s">
        <v>23</v>
      </c>
      <c r="F81" s="9">
        <v>53</v>
      </c>
      <c r="G81" s="9" t="s">
        <v>23</v>
      </c>
      <c r="H81" s="9" t="s">
        <v>23</v>
      </c>
      <c r="I81" s="9">
        <v>100</v>
      </c>
      <c r="J81" s="9">
        <v>77</v>
      </c>
      <c r="K81" s="9" t="s">
        <v>23</v>
      </c>
      <c r="L81" s="9" t="s">
        <v>23</v>
      </c>
      <c r="M81" s="9" t="s">
        <v>23</v>
      </c>
      <c r="N81" s="9" t="s">
        <v>23</v>
      </c>
      <c r="O81" s="9" t="s">
        <v>23</v>
      </c>
      <c r="P81" s="9" t="s">
        <v>23</v>
      </c>
      <c r="Q81" s="9">
        <v>82</v>
      </c>
      <c r="R81" s="9">
        <v>38</v>
      </c>
      <c r="S81" s="9">
        <v>53</v>
      </c>
      <c r="T81" s="9" t="s">
        <v>23</v>
      </c>
      <c r="U81" s="10">
        <v>46</v>
      </c>
      <c r="V81">
        <f t="shared" si="29"/>
        <v>0</v>
      </c>
      <c r="W81">
        <f t="shared" si="16"/>
        <v>0</v>
      </c>
      <c r="X81">
        <f t="shared" si="17"/>
        <v>0</v>
      </c>
      <c r="Y81">
        <f t="shared" si="18"/>
        <v>0</v>
      </c>
      <c r="Z81">
        <f t="shared" si="19"/>
        <v>1</v>
      </c>
      <c r="AA81">
        <f t="shared" si="20"/>
        <v>0</v>
      </c>
      <c r="AB81">
        <f t="shared" si="21"/>
        <v>0</v>
      </c>
      <c r="AC81">
        <v>0</v>
      </c>
      <c r="AD81">
        <f t="shared" si="22"/>
        <v>1</v>
      </c>
      <c r="AE81">
        <v>0</v>
      </c>
      <c r="AF81">
        <f t="shared" si="23"/>
        <v>0</v>
      </c>
      <c r="AG81">
        <v>0</v>
      </c>
      <c r="AH81">
        <f t="shared" si="24"/>
        <v>0</v>
      </c>
      <c r="AI81">
        <v>0</v>
      </c>
      <c r="AJ81">
        <f t="shared" si="25"/>
        <v>0</v>
      </c>
      <c r="AK81">
        <v>0</v>
      </c>
      <c r="AL81">
        <f t="shared" si="26"/>
        <v>1</v>
      </c>
      <c r="AM81">
        <v>0</v>
      </c>
      <c r="AN81">
        <f t="shared" si="27"/>
        <v>0</v>
      </c>
      <c r="AO81">
        <f t="shared" si="28"/>
        <v>1</v>
      </c>
      <c r="AP81">
        <f t="shared" si="30"/>
        <v>1</v>
      </c>
    </row>
    <row r="82" spans="1:42" x14ac:dyDescent="0.35">
      <c r="A82" s="5" t="s">
        <v>92</v>
      </c>
      <c r="B82" s="6">
        <v>95071306764</v>
      </c>
      <c r="C82" s="6" t="s">
        <v>23</v>
      </c>
      <c r="D82" s="6" t="s">
        <v>23</v>
      </c>
      <c r="E82" s="6" t="s">
        <v>23</v>
      </c>
      <c r="F82" s="6" t="s">
        <v>23</v>
      </c>
      <c r="G82" s="6" t="s">
        <v>23</v>
      </c>
      <c r="H82" s="6" t="s">
        <v>23</v>
      </c>
      <c r="I82" s="6">
        <v>98</v>
      </c>
      <c r="J82" s="6">
        <v>81</v>
      </c>
      <c r="K82" s="6" t="s">
        <v>23</v>
      </c>
      <c r="L82" s="6" t="s">
        <v>23</v>
      </c>
      <c r="M82" s="6" t="s">
        <v>23</v>
      </c>
      <c r="N82" s="6" t="s">
        <v>23</v>
      </c>
      <c r="O82" s="6" t="s">
        <v>23</v>
      </c>
      <c r="P82" s="6" t="s">
        <v>23</v>
      </c>
      <c r="Q82" s="6">
        <v>88</v>
      </c>
      <c r="R82" s="6">
        <v>40</v>
      </c>
      <c r="S82" s="6">
        <v>59</v>
      </c>
      <c r="T82" s="6" t="s">
        <v>23</v>
      </c>
      <c r="U82" s="7" t="s">
        <v>23</v>
      </c>
      <c r="V82">
        <f t="shared" si="29"/>
        <v>1</v>
      </c>
      <c r="W82">
        <f t="shared" si="16"/>
        <v>0</v>
      </c>
      <c r="X82">
        <f t="shared" si="17"/>
        <v>0</v>
      </c>
      <c r="Y82">
        <f t="shared" si="18"/>
        <v>0</v>
      </c>
      <c r="Z82">
        <f t="shared" si="19"/>
        <v>0</v>
      </c>
      <c r="AA82">
        <f t="shared" si="20"/>
        <v>0</v>
      </c>
      <c r="AB82">
        <f t="shared" si="21"/>
        <v>0</v>
      </c>
      <c r="AC82">
        <v>0</v>
      </c>
      <c r="AD82">
        <f t="shared" si="22"/>
        <v>1</v>
      </c>
      <c r="AE82">
        <v>0</v>
      </c>
      <c r="AF82">
        <f t="shared" si="23"/>
        <v>0</v>
      </c>
      <c r="AG82">
        <v>0</v>
      </c>
      <c r="AH82">
        <f t="shared" si="24"/>
        <v>0</v>
      </c>
      <c r="AI82">
        <v>0</v>
      </c>
      <c r="AJ82">
        <f t="shared" si="25"/>
        <v>0</v>
      </c>
      <c r="AK82">
        <v>0</v>
      </c>
      <c r="AL82">
        <f t="shared" si="26"/>
        <v>1</v>
      </c>
      <c r="AM82">
        <v>0</v>
      </c>
      <c r="AN82">
        <f t="shared" si="27"/>
        <v>0</v>
      </c>
      <c r="AO82">
        <f t="shared" si="28"/>
        <v>0</v>
      </c>
      <c r="AP82">
        <f t="shared" si="30"/>
        <v>0</v>
      </c>
    </row>
    <row r="83" spans="1:42" x14ac:dyDescent="0.35">
      <c r="A83" s="8" t="s">
        <v>92</v>
      </c>
      <c r="B83" s="9">
        <v>95071307406</v>
      </c>
      <c r="C83" s="9" t="s">
        <v>23</v>
      </c>
      <c r="D83" s="9" t="s">
        <v>23</v>
      </c>
      <c r="E83" s="9" t="s">
        <v>23</v>
      </c>
      <c r="F83" s="9">
        <v>70</v>
      </c>
      <c r="G83" s="9" t="s">
        <v>23</v>
      </c>
      <c r="H83" s="9" t="s">
        <v>23</v>
      </c>
      <c r="I83" s="9">
        <v>96</v>
      </c>
      <c r="J83" s="9">
        <v>51</v>
      </c>
      <c r="K83" s="9" t="s">
        <v>23</v>
      </c>
      <c r="L83" s="9" t="s">
        <v>23</v>
      </c>
      <c r="M83" s="9" t="s">
        <v>23</v>
      </c>
      <c r="N83" s="9" t="s">
        <v>23</v>
      </c>
      <c r="O83" s="9" t="s">
        <v>23</v>
      </c>
      <c r="P83" s="9" t="s">
        <v>23</v>
      </c>
      <c r="Q83" s="9">
        <v>76</v>
      </c>
      <c r="R83" s="9" t="s">
        <v>23</v>
      </c>
      <c r="S83" s="9">
        <v>66</v>
      </c>
      <c r="T83" s="9">
        <v>95</v>
      </c>
      <c r="U83" s="10" t="s">
        <v>23</v>
      </c>
      <c r="V83">
        <f t="shared" si="29"/>
        <v>1</v>
      </c>
      <c r="W83">
        <f t="shared" si="16"/>
        <v>0</v>
      </c>
      <c r="X83">
        <f t="shared" si="17"/>
        <v>0</v>
      </c>
      <c r="Y83">
        <f t="shared" si="18"/>
        <v>0</v>
      </c>
      <c r="Z83">
        <f t="shared" si="19"/>
        <v>1</v>
      </c>
      <c r="AA83">
        <f t="shared" si="20"/>
        <v>0</v>
      </c>
      <c r="AB83">
        <f t="shared" si="21"/>
        <v>0</v>
      </c>
      <c r="AC83">
        <v>0</v>
      </c>
      <c r="AD83">
        <f t="shared" si="22"/>
        <v>1</v>
      </c>
      <c r="AE83">
        <v>0</v>
      </c>
      <c r="AF83">
        <f t="shared" si="23"/>
        <v>0</v>
      </c>
      <c r="AG83">
        <v>0</v>
      </c>
      <c r="AH83">
        <f t="shared" si="24"/>
        <v>0</v>
      </c>
      <c r="AI83">
        <v>0</v>
      </c>
      <c r="AJ83">
        <f t="shared" si="25"/>
        <v>0</v>
      </c>
      <c r="AK83">
        <v>0</v>
      </c>
      <c r="AL83">
        <f t="shared" si="26"/>
        <v>0</v>
      </c>
      <c r="AM83">
        <v>0</v>
      </c>
      <c r="AN83">
        <f t="shared" si="27"/>
        <v>1</v>
      </c>
      <c r="AO83">
        <f t="shared" si="28"/>
        <v>0</v>
      </c>
      <c r="AP83">
        <f t="shared" si="30"/>
        <v>1</v>
      </c>
    </row>
    <row r="84" spans="1:42" x14ac:dyDescent="0.35">
      <c r="A84" s="5" t="s">
        <v>92</v>
      </c>
      <c r="B84" s="6">
        <v>95072805323</v>
      </c>
      <c r="C84" s="6" t="s">
        <v>23</v>
      </c>
      <c r="D84" s="6" t="s">
        <v>23</v>
      </c>
      <c r="E84" s="6" t="s">
        <v>23</v>
      </c>
      <c r="F84" s="6">
        <v>68</v>
      </c>
      <c r="G84" s="6" t="s">
        <v>23</v>
      </c>
      <c r="H84" s="6" t="s">
        <v>23</v>
      </c>
      <c r="I84" s="6">
        <v>87</v>
      </c>
      <c r="J84" s="6">
        <v>55</v>
      </c>
      <c r="K84" s="6" t="s">
        <v>23</v>
      </c>
      <c r="L84" s="6" t="s">
        <v>23</v>
      </c>
      <c r="M84" s="6" t="s">
        <v>23</v>
      </c>
      <c r="N84" s="6" t="s">
        <v>23</v>
      </c>
      <c r="O84" s="6" t="s">
        <v>23</v>
      </c>
      <c r="P84" s="6" t="s">
        <v>23</v>
      </c>
      <c r="Q84" s="6">
        <v>86</v>
      </c>
      <c r="R84" s="6">
        <v>48</v>
      </c>
      <c r="S84" s="6">
        <v>63</v>
      </c>
      <c r="T84" s="6">
        <v>55</v>
      </c>
      <c r="U84" s="7" t="s">
        <v>23</v>
      </c>
      <c r="V84">
        <f t="shared" si="29"/>
        <v>1</v>
      </c>
      <c r="W84">
        <f t="shared" si="16"/>
        <v>0</v>
      </c>
      <c r="X84">
        <f t="shared" si="17"/>
        <v>0</v>
      </c>
      <c r="Y84">
        <f t="shared" si="18"/>
        <v>0</v>
      </c>
      <c r="Z84">
        <f t="shared" si="19"/>
        <v>1</v>
      </c>
      <c r="AA84">
        <f t="shared" si="20"/>
        <v>0</v>
      </c>
      <c r="AB84">
        <f t="shared" si="21"/>
        <v>0</v>
      </c>
      <c r="AC84">
        <v>0</v>
      </c>
      <c r="AD84">
        <f t="shared" si="22"/>
        <v>1</v>
      </c>
      <c r="AE84">
        <v>0</v>
      </c>
      <c r="AF84">
        <f t="shared" si="23"/>
        <v>0</v>
      </c>
      <c r="AG84">
        <v>0</v>
      </c>
      <c r="AH84">
        <f t="shared" si="24"/>
        <v>0</v>
      </c>
      <c r="AI84">
        <v>0</v>
      </c>
      <c r="AJ84">
        <f t="shared" si="25"/>
        <v>0</v>
      </c>
      <c r="AK84">
        <v>0</v>
      </c>
      <c r="AL84">
        <f t="shared" si="26"/>
        <v>1</v>
      </c>
      <c r="AM84">
        <v>0</v>
      </c>
      <c r="AN84">
        <f t="shared" si="27"/>
        <v>1</v>
      </c>
      <c r="AO84">
        <f t="shared" si="28"/>
        <v>0</v>
      </c>
      <c r="AP84">
        <f t="shared" si="30"/>
        <v>1</v>
      </c>
    </row>
    <row r="85" spans="1:42" x14ac:dyDescent="0.35">
      <c r="A85" s="8" t="s">
        <v>92</v>
      </c>
      <c r="B85" s="9">
        <v>95072901340</v>
      </c>
      <c r="C85" s="9" t="s">
        <v>23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>
        <v>91</v>
      </c>
      <c r="J85" s="9">
        <v>66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>
        <v>100</v>
      </c>
      <c r="R85" s="9">
        <v>66</v>
      </c>
      <c r="S85" s="9">
        <v>76</v>
      </c>
      <c r="T85" s="9">
        <v>70</v>
      </c>
      <c r="U85" s="10" t="s">
        <v>23</v>
      </c>
      <c r="V85">
        <f t="shared" si="29"/>
        <v>1</v>
      </c>
      <c r="W85">
        <f t="shared" si="16"/>
        <v>0</v>
      </c>
      <c r="X85">
        <f t="shared" si="17"/>
        <v>0</v>
      </c>
      <c r="Y85">
        <f t="shared" si="18"/>
        <v>0</v>
      </c>
      <c r="Z85">
        <f t="shared" si="19"/>
        <v>0</v>
      </c>
      <c r="AA85">
        <f t="shared" si="20"/>
        <v>0</v>
      </c>
      <c r="AB85">
        <f t="shared" si="21"/>
        <v>0</v>
      </c>
      <c r="AC85">
        <v>0</v>
      </c>
      <c r="AD85">
        <f t="shared" si="22"/>
        <v>1</v>
      </c>
      <c r="AE85">
        <v>0</v>
      </c>
      <c r="AF85">
        <f t="shared" si="23"/>
        <v>0</v>
      </c>
      <c r="AG85">
        <v>0</v>
      </c>
      <c r="AH85">
        <f t="shared" si="24"/>
        <v>0</v>
      </c>
      <c r="AI85">
        <v>0</v>
      </c>
      <c r="AJ85">
        <f t="shared" si="25"/>
        <v>0</v>
      </c>
      <c r="AK85">
        <v>0</v>
      </c>
      <c r="AL85">
        <f t="shared" si="26"/>
        <v>1</v>
      </c>
      <c r="AM85">
        <v>0</v>
      </c>
      <c r="AN85">
        <f t="shared" si="27"/>
        <v>1</v>
      </c>
      <c r="AO85">
        <f t="shared" si="28"/>
        <v>0</v>
      </c>
      <c r="AP85">
        <f t="shared" si="30"/>
        <v>1</v>
      </c>
    </row>
    <row r="86" spans="1:42" x14ac:dyDescent="0.35">
      <c r="A86" s="5" t="s">
        <v>92</v>
      </c>
      <c r="B86" s="6">
        <v>95072901364</v>
      </c>
      <c r="C86" s="6" t="s">
        <v>23</v>
      </c>
      <c r="D86" s="6" t="s">
        <v>23</v>
      </c>
      <c r="E86" s="6" t="s">
        <v>23</v>
      </c>
      <c r="F86" s="6" t="s">
        <v>23</v>
      </c>
      <c r="G86" s="6" t="s">
        <v>23</v>
      </c>
      <c r="H86" s="6" t="s">
        <v>23</v>
      </c>
      <c r="I86" s="6">
        <v>100</v>
      </c>
      <c r="J86" s="6">
        <v>92</v>
      </c>
      <c r="K86" s="6">
        <v>72</v>
      </c>
      <c r="L86" s="6" t="s">
        <v>23</v>
      </c>
      <c r="M86" s="6" t="s">
        <v>23</v>
      </c>
      <c r="N86" s="6" t="s">
        <v>23</v>
      </c>
      <c r="O86" s="6" t="s">
        <v>23</v>
      </c>
      <c r="P86" s="6" t="s">
        <v>23</v>
      </c>
      <c r="Q86" s="6">
        <v>74</v>
      </c>
      <c r="R86" s="6">
        <v>52</v>
      </c>
      <c r="S86" s="6">
        <v>54</v>
      </c>
      <c r="T86" s="6" t="s">
        <v>23</v>
      </c>
      <c r="U86" s="7" t="s">
        <v>23</v>
      </c>
      <c r="V86">
        <f t="shared" si="29"/>
        <v>1</v>
      </c>
      <c r="W86">
        <f t="shared" si="16"/>
        <v>0</v>
      </c>
      <c r="X86">
        <f t="shared" si="17"/>
        <v>0</v>
      </c>
      <c r="Y86">
        <f t="shared" si="18"/>
        <v>0</v>
      </c>
      <c r="Z86">
        <f t="shared" si="19"/>
        <v>0</v>
      </c>
      <c r="AA86">
        <f t="shared" si="20"/>
        <v>0</v>
      </c>
      <c r="AB86">
        <f t="shared" si="21"/>
        <v>0</v>
      </c>
      <c r="AC86">
        <v>0</v>
      </c>
      <c r="AD86">
        <f t="shared" si="22"/>
        <v>1</v>
      </c>
      <c r="AE86">
        <v>0</v>
      </c>
      <c r="AF86">
        <f t="shared" si="23"/>
        <v>0</v>
      </c>
      <c r="AG86">
        <v>0</v>
      </c>
      <c r="AH86">
        <f t="shared" si="24"/>
        <v>0</v>
      </c>
      <c r="AI86">
        <v>0</v>
      </c>
      <c r="AJ86">
        <f t="shared" si="25"/>
        <v>0</v>
      </c>
      <c r="AK86">
        <v>0</v>
      </c>
      <c r="AL86">
        <f t="shared" si="26"/>
        <v>1</v>
      </c>
      <c r="AM86">
        <v>0</v>
      </c>
      <c r="AN86">
        <f t="shared" si="27"/>
        <v>0</v>
      </c>
      <c r="AO86">
        <f t="shared" si="28"/>
        <v>0</v>
      </c>
      <c r="AP86">
        <f t="shared" si="30"/>
        <v>0</v>
      </c>
    </row>
    <row r="87" spans="1:42" x14ac:dyDescent="0.35">
      <c r="A87" s="8" t="s">
        <v>92</v>
      </c>
      <c r="B87" s="9">
        <v>95082206507</v>
      </c>
      <c r="C87" s="9" t="s">
        <v>23</v>
      </c>
      <c r="D87" s="9" t="s">
        <v>23</v>
      </c>
      <c r="E87" s="9" t="s">
        <v>23</v>
      </c>
      <c r="F87" s="9">
        <v>87</v>
      </c>
      <c r="G87" s="9" t="s">
        <v>23</v>
      </c>
      <c r="H87" s="9" t="s">
        <v>23</v>
      </c>
      <c r="I87" s="9">
        <v>98</v>
      </c>
      <c r="J87" s="9" t="s">
        <v>23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23</v>
      </c>
      <c r="Q87" s="9">
        <v>96</v>
      </c>
      <c r="R87" s="9">
        <v>90</v>
      </c>
      <c r="S87" s="9">
        <v>91</v>
      </c>
      <c r="T87" s="9" t="s">
        <v>23</v>
      </c>
      <c r="U87" s="10" t="s">
        <v>23</v>
      </c>
      <c r="V87">
        <f t="shared" si="29"/>
        <v>1</v>
      </c>
      <c r="W87">
        <f t="shared" si="16"/>
        <v>0</v>
      </c>
      <c r="X87">
        <f t="shared" si="17"/>
        <v>0</v>
      </c>
      <c r="Y87">
        <f t="shared" si="18"/>
        <v>0</v>
      </c>
      <c r="Z87">
        <f t="shared" si="19"/>
        <v>1</v>
      </c>
      <c r="AA87">
        <f t="shared" si="20"/>
        <v>0</v>
      </c>
      <c r="AB87">
        <f t="shared" si="21"/>
        <v>0</v>
      </c>
      <c r="AC87">
        <v>0</v>
      </c>
      <c r="AD87">
        <f t="shared" si="22"/>
        <v>0</v>
      </c>
      <c r="AE87">
        <v>0</v>
      </c>
      <c r="AF87">
        <f t="shared" si="23"/>
        <v>0</v>
      </c>
      <c r="AG87">
        <v>0</v>
      </c>
      <c r="AH87">
        <f t="shared" si="24"/>
        <v>0</v>
      </c>
      <c r="AI87">
        <v>0</v>
      </c>
      <c r="AJ87">
        <f t="shared" si="25"/>
        <v>0</v>
      </c>
      <c r="AK87">
        <v>0</v>
      </c>
      <c r="AL87">
        <f t="shared" si="26"/>
        <v>1</v>
      </c>
      <c r="AM87">
        <v>0</v>
      </c>
      <c r="AN87">
        <f t="shared" si="27"/>
        <v>0</v>
      </c>
      <c r="AO87">
        <f t="shared" si="28"/>
        <v>0</v>
      </c>
      <c r="AP87">
        <f t="shared" si="30"/>
        <v>0</v>
      </c>
    </row>
    <row r="88" spans="1:42" x14ac:dyDescent="0.35">
      <c r="A88" s="5" t="s">
        <v>92</v>
      </c>
      <c r="B88" s="6">
        <v>95091103271</v>
      </c>
      <c r="C88" s="6" t="s">
        <v>23</v>
      </c>
      <c r="D88" s="6" t="s">
        <v>23</v>
      </c>
      <c r="E88" s="6" t="s">
        <v>23</v>
      </c>
      <c r="F88" s="6">
        <v>47</v>
      </c>
      <c r="G88" s="6" t="s">
        <v>23</v>
      </c>
      <c r="H88" s="6" t="s">
        <v>23</v>
      </c>
      <c r="I88" s="6">
        <v>89</v>
      </c>
      <c r="J88" s="6" t="s">
        <v>23</v>
      </c>
      <c r="K88" s="6" t="s">
        <v>23</v>
      </c>
      <c r="L88" s="6" t="s">
        <v>23</v>
      </c>
      <c r="M88" s="6" t="s">
        <v>23</v>
      </c>
      <c r="N88" s="6" t="s">
        <v>23</v>
      </c>
      <c r="O88" s="6" t="s">
        <v>23</v>
      </c>
      <c r="P88" s="6" t="s">
        <v>23</v>
      </c>
      <c r="Q88" s="6">
        <v>76</v>
      </c>
      <c r="R88" s="6">
        <v>40</v>
      </c>
      <c r="S88" s="6">
        <v>54</v>
      </c>
      <c r="T88" s="6" t="s">
        <v>23</v>
      </c>
      <c r="U88" s="7" t="s">
        <v>23</v>
      </c>
      <c r="V88">
        <f t="shared" si="29"/>
        <v>0</v>
      </c>
      <c r="W88">
        <f t="shared" si="16"/>
        <v>0</v>
      </c>
      <c r="X88">
        <f t="shared" si="17"/>
        <v>0</v>
      </c>
      <c r="Y88">
        <f t="shared" si="18"/>
        <v>0</v>
      </c>
      <c r="Z88">
        <f t="shared" si="19"/>
        <v>1</v>
      </c>
      <c r="AA88">
        <f t="shared" si="20"/>
        <v>0</v>
      </c>
      <c r="AB88">
        <f t="shared" si="21"/>
        <v>0</v>
      </c>
      <c r="AC88">
        <v>0</v>
      </c>
      <c r="AD88">
        <f t="shared" si="22"/>
        <v>0</v>
      </c>
      <c r="AE88">
        <v>0</v>
      </c>
      <c r="AF88">
        <f t="shared" si="23"/>
        <v>0</v>
      </c>
      <c r="AG88">
        <v>0</v>
      </c>
      <c r="AH88">
        <f t="shared" si="24"/>
        <v>0</v>
      </c>
      <c r="AI88">
        <v>0</v>
      </c>
      <c r="AJ88">
        <f t="shared" si="25"/>
        <v>0</v>
      </c>
      <c r="AK88">
        <v>0</v>
      </c>
      <c r="AL88">
        <f t="shared" si="26"/>
        <v>1</v>
      </c>
      <c r="AM88">
        <v>0</v>
      </c>
      <c r="AN88">
        <f t="shared" si="27"/>
        <v>0</v>
      </c>
      <c r="AO88">
        <f t="shared" si="28"/>
        <v>0</v>
      </c>
      <c r="AP88">
        <f t="shared" si="30"/>
        <v>0</v>
      </c>
    </row>
    <row r="89" spans="1:42" x14ac:dyDescent="0.35">
      <c r="A89" s="8" t="s">
        <v>92</v>
      </c>
      <c r="B89" s="9">
        <v>95092301371</v>
      </c>
      <c r="C89" s="9" t="s">
        <v>23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>
        <v>94</v>
      </c>
      <c r="J89" s="9">
        <v>88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>
        <v>88</v>
      </c>
      <c r="R89" s="9">
        <v>46</v>
      </c>
      <c r="S89" s="9">
        <v>77</v>
      </c>
      <c r="T89" s="9" t="s">
        <v>23</v>
      </c>
      <c r="U89" s="10" t="s">
        <v>23</v>
      </c>
      <c r="V89">
        <f t="shared" si="29"/>
        <v>0</v>
      </c>
      <c r="W89">
        <f t="shared" si="16"/>
        <v>0</v>
      </c>
      <c r="X89">
        <f t="shared" si="17"/>
        <v>0</v>
      </c>
      <c r="Y89">
        <f t="shared" si="18"/>
        <v>0</v>
      </c>
      <c r="Z89">
        <f t="shared" si="19"/>
        <v>0</v>
      </c>
      <c r="AA89">
        <f t="shared" si="20"/>
        <v>0</v>
      </c>
      <c r="AB89">
        <f t="shared" si="21"/>
        <v>0</v>
      </c>
      <c r="AC89">
        <v>0</v>
      </c>
      <c r="AD89">
        <f t="shared" si="22"/>
        <v>1</v>
      </c>
      <c r="AE89">
        <v>0</v>
      </c>
      <c r="AF89">
        <f t="shared" si="23"/>
        <v>0</v>
      </c>
      <c r="AG89">
        <v>0</v>
      </c>
      <c r="AH89">
        <f t="shared" si="24"/>
        <v>0</v>
      </c>
      <c r="AI89">
        <v>0</v>
      </c>
      <c r="AJ89">
        <f t="shared" si="25"/>
        <v>0</v>
      </c>
      <c r="AK89">
        <v>0</v>
      </c>
      <c r="AL89">
        <f t="shared" si="26"/>
        <v>1</v>
      </c>
      <c r="AM89">
        <v>0</v>
      </c>
      <c r="AN89">
        <f t="shared" si="27"/>
        <v>0</v>
      </c>
      <c r="AO89">
        <f t="shared" si="28"/>
        <v>0</v>
      </c>
      <c r="AP89">
        <f t="shared" si="30"/>
        <v>0</v>
      </c>
    </row>
    <row r="90" spans="1:42" x14ac:dyDescent="0.35">
      <c r="A90" s="5" t="s">
        <v>92</v>
      </c>
      <c r="B90" s="6">
        <v>95100703063</v>
      </c>
      <c r="C90" s="6" t="s">
        <v>23</v>
      </c>
      <c r="D90" s="6" t="s">
        <v>23</v>
      </c>
      <c r="E90" s="6" t="s">
        <v>23</v>
      </c>
      <c r="F90" s="6">
        <v>68</v>
      </c>
      <c r="G90" s="6" t="s">
        <v>23</v>
      </c>
      <c r="H90" s="6" t="s">
        <v>23</v>
      </c>
      <c r="I90" s="6">
        <v>94</v>
      </c>
      <c r="J90" s="6">
        <v>78</v>
      </c>
      <c r="K90" s="6" t="s">
        <v>23</v>
      </c>
      <c r="L90" s="6" t="s">
        <v>23</v>
      </c>
      <c r="M90" s="6" t="s">
        <v>23</v>
      </c>
      <c r="N90" s="6" t="s">
        <v>23</v>
      </c>
      <c r="O90" s="6">
        <v>96</v>
      </c>
      <c r="P90" s="6" t="s">
        <v>23</v>
      </c>
      <c r="Q90" s="6">
        <v>100</v>
      </c>
      <c r="R90" s="6">
        <v>54</v>
      </c>
      <c r="S90" s="6">
        <v>50</v>
      </c>
      <c r="T90" s="6" t="s">
        <v>23</v>
      </c>
      <c r="U90" s="7" t="s">
        <v>23</v>
      </c>
      <c r="V90">
        <f t="shared" si="29"/>
        <v>1</v>
      </c>
      <c r="W90">
        <f t="shared" si="16"/>
        <v>0</v>
      </c>
      <c r="X90">
        <f t="shared" si="17"/>
        <v>0</v>
      </c>
      <c r="Y90">
        <f t="shared" si="18"/>
        <v>0</v>
      </c>
      <c r="Z90">
        <f t="shared" si="19"/>
        <v>1</v>
      </c>
      <c r="AA90">
        <f t="shared" si="20"/>
        <v>0</v>
      </c>
      <c r="AB90">
        <f t="shared" si="21"/>
        <v>0</v>
      </c>
      <c r="AC90">
        <v>0</v>
      </c>
      <c r="AD90">
        <f t="shared" si="22"/>
        <v>1</v>
      </c>
      <c r="AE90">
        <v>0</v>
      </c>
      <c r="AF90">
        <f t="shared" si="23"/>
        <v>0</v>
      </c>
      <c r="AG90">
        <v>0</v>
      </c>
      <c r="AH90">
        <f t="shared" si="24"/>
        <v>0</v>
      </c>
      <c r="AI90">
        <v>0</v>
      </c>
      <c r="AJ90">
        <f t="shared" si="25"/>
        <v>0</v>
      </c>
      <c r="AK90">
        <v>0</v>
      </c>
      <c r="AL90">
        <f t="shared" si="26"/>
        <v>1</v>
      </c>
      <c r="AM90">
        <v>0</v>
      </c>
      <c r="AN90">
        <f t="shared" si="27"/>
        <v>0</v>
      </c>
      <c r="AO90">
        <f t="shared" si="28"/>
        <v>0</v>
      </c>
      <c r="AP90">
        <f t="shared" si="30"/>
        <v>1</v>
      </c>
    </row>
    <row r="91" spans="1:42" x14ac:dyDescent="0.35">
      <c r="A91" s="8" t="s">
        <v>92</v>
      </c>
      <c r="B91" s="9">
        <v>95102509322</v>
      </c>
      <c r="C91" s="9" t="s">
        <v>23</v>
      </c>
      <c r="D91" s="9" t="s">
        <v>23</v>
      </c>
      <c r="E91" s="9" t="s">
        <v>23</v>
      </c>
      <c r="F91" s="9">
        <v>77</v>
      </c>
      <c r="G91" s="9" t="s">
        <v>23</v>
      </c>
      <c r="H91" s="9" t="s">
        <v>23</v>
      </c>
      <c r="I91" s="9">
        <v>72</v>
      </c>
      <c r="J91" s="9">
        <v>44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23</v>
      </c>
      <c r="P91" s="9" t="s">
        <v>23</v>
      </c>
      <c r="Q91" s="9">
        <v>78</v>
      </c>
      <c r="R91" s="9">
        <v>40</v>
      </c>
      <c r="S91" s="9">
        <v>60</v>
      </c>
      <c r="T91" s="9" t="s">
        <v>23</v>
      </c>
      <c r="U91" s="10" t="s">
        <v>23</v>
      </c>
      <c r="V91">
        <f t="shared" si="29"/>
        <v>1</v>
      </c>
      <c r="W91">
        <f t="shared" si="16"/>
        <v>0</v>
      </c>
      <c r="X91">
        <f t="shared" si="17"/>
        <v>0</v>
      </c>
      <c r="Y91">
        <f t="shared" si="18"/>
        <v>0</v>
      </c>
      <c r="Z91">
        <f t="shared" si="19"/>
        <v>1</v>
      </c>
      <c r="AA91">
        <f t="shared" si="20"/>
        <v>0</v>
      </c>
      <c r="AB91">
        <f t="shared" si="21"/>
        <v>0</v>
      </c>
      <c r="AC91">
        <v>0</v>
      </c>
      <c r="AD91">
        <f t="shared" si="22"/>
        <v>1</v>
      </c>
      <c r="AE91">
        <v>0</v>
      </c>
      <c r="AF91">
        <f t="shared" si="23"/>
        <v>0</v>
      </c>
      <c r="AG91">
        <v>0</v>
      </c>
      <c r="AH91">
        <f t="shared" si="24"/>
        <v>0</v>
      </c>
      <c r="AI91">
        <v>0</v>
      </c>
      <c r="AJ91">
        <f t="shared" si="25"/>
        <v>0</v>
      </c>
      <c r="AK91">
        <v>0</v>
      </c>
      <c r="AL91">
        <f t="shared" si="26"/>
        <v>1</v>
      </c>
      <c r="AM91">
        <v>0</v>
      </c>
      <c r="AN91">
        <f t="shared" si="27"/>
        <v>0</v>
      </c>
      <c r="AO91">
        <f t="shared" si="28"/>
        <v>0</v>
      </c>
      <c r="AP91">
        <f t="shared" si="30"/>
        <v>1</v>
      </c>
    </row>
    <row r="92" spans="1:42" x14ac:dyDescent="0.35">
      <c r="A92" s="5" t="s">
        <v>92</v>
      </c>
      <c r="B92" s="6">
        <v>95121002200</v>
      </c>
      <c r="C92" s="6" t="s">
        <v>23</v>
      </c>
      <c r="D92" s="6" t="s">
        <v>23</v>
      </c>
      <c r="E92" s="6" t="s">
        <v>23</v>
      </c>
      <c r="F92" s="6">
        <v>80</v>
      </c>
      <c r="G92" s="6" t="s">
        <v>23</v>
      </c>
      <c r="H92" s="6" t="s">
        <v>23</v>
      </c>
      <c r="I92" s="6">
        <v>100</v>
      </c>
      <c r="J92" s="6">
        <v>82</v>
      </c>
      <c r="K92" s="6" t="s">
        <v>23</v>
      </c>
      <c r="L92" s="6" t="s">
        <v>23</v>
      </c>
      <c r="M92" s="6" t="s">
        <v>23</v>
      </c>
      <c r="N92" s="6" t="s">
        <v>23</v>
      </c>
      <c r="O92" s="6">
        <v>100</v>
      </c>
      <c r="P92" s="6" t="s">
        <v>23</v>
      </c>
      <c r="Q92" s="6">
        <v>86</v>
      </c>
      <c r="R92" s="6">
        <v>94</v>
      </c>
      <c r="S92" s="6">
        <v>63</v>
      </c>
      <c r="T92" s="6" t="s">
        <v>23</v>
      </c>
      <c r="U92" s="7" t="s">
        <v>23</v>
      </c>
      <c r="V92">
        <f t="shared" si="29"/>
        <v>1</v>
      </c>
      <c r="W92">
        <f t="shared" si="16"/>
        <v>0</v>
      </c>
      <c r="X92">
        <f t="shared" si="17"/>
        <v>0</v>
      </c>
      <c r="Y92">
        <f t="shared" si="18"/>
        <v>0</v>
      </c>
      <c r="Z92">
        <f t="shared" si="19"/>
        <v>1</v>
      </c>
      <c r="AA92">
        <f t="shared" si="20"/>
        <v>0</v>
      </c>
      <c r="AB92">
        <f t="shared" si="21"/>
        <v>0</v>
      </c>
      <c r="AC92">
        <v>0</v>
      </c>
      <c r="AD92">
        <f t="shared" si="22"/>
        <v>1</v>
      </c>
      <c r="AE92">
        <v>0</v>
      </c>
      <c r="AF92">
        <f t="shared" si="23"/>
        <v>0</v>
      </c>
      <c r="AG92">
        <v>0</v>
      </c>
      <c r="AH92">
        <f t="shared" si="24"/>
        <v>0</v>
      </c>
      <c r="AI92">
        <v>0</v>
      </c>
      <c r="AJ92">
        <f t="shared" si="25"/>
        <v>0</v>
      </c>
      <c r="AK92">
        <v>0</v>
      </c>
      <c r="AL92">
        <f t="shared" si="26"/>
        <v>1</v>
      </c>
      <c r="AM92">
        <v>0</v>
      </c>
      <c r="AN92">
        <f t="shared" si="27"/>
        <v>0</v>
      </c>
      <c r="AO92">
        <f t="shared" si="28"/>
        <v>0</v>
      </c>
      <c r="AP92">
        <f t="shared" si="30"/>
        <v>1</v>
      </c>
    </row>
    <row r="93" spans="1:42" x14ac:dyDescent="0.35">
      <c r="A93" s="8" t="s">
        <v>92</v>
      </c>
      <c r="B93" s="9">
        <v>96010806327</v>
      </c>
      <c r="C93" s="9" t="s">
        <v>23</v>
      </c>
      <c r="D93" s="9" t="s">
        <v>23</v>
      </c>
      <c r="E93" s="9" t="s">
        <v>23</v>
      </c>
      <c r="F93" s="9">
        <v>82</v>
      </c>
      <c r="G93" s="9" t="s">
        <v>23</v>
      </c>
      <c r="H93" s="9" t="s">
        <v>23</v>
      </c>
      <c r="I93" s="9">
        <v>94</v>
      </c>
      <c r="J93" s="9">
        <v>61</v>
      </c>
      <c r="K93" s="9" t="s">
        <v>23</v>
      </c>
      <c r="L93" s="9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9">
        <v>68</v>
      </c>
      <c r="R93" s="9" t="s">
        <v>23</v>
      </c>
      <c r="S93" s="9">
        <v>71</v>
      </c>
      <c r="T93" s="9" t="s">
        <v>23</v>
      </c>
      <c r="U93" s="10" t="s">
        <v>23</v>
      </c>
      <c r="V93">
        <f t="shared" si="29"/>
        <v>1</v>
      </c>
      <c r="W93">
        <f t="shared" si="16"/>
        <v>0</v>
      </c>
      <c r="X93">
        <f t="shared" si="17"/>
        <v>0</v>
      </c>
      <c r="Y93">
        <f t="shared" si="18"/>
        <v>0</v>
      </c>
      <c r="Z93">
        <f t="shared" si="19"/>
        <v>1</v>
      </c>
      <c r="AA93">
        <f t="shared" si="20"/>
        <v>0</v>
      </c>
      <c r="AB93">
        <f t="shared" si="21"/>
        <v>0</v>
      </c>
      <c r="AC93">
        <v>0</v>
      </c>
      <c r="AD93">
        <f t="shared" si="22"/>
        <v>1</v>
      </c>
      <c r="AE93">
        <v>0</v>
      </c>
      <c r="AF93">
        <f t="shared" si="23"/>
        <v>0</v>
      </c>
      <c r="AG93">
        <v>0</v>
      </c>
      <c r="AH93">
        <f t="shared" si="24"/>
        <v>0</v>
      </c>
      <c r="AI93">
        <v>0</v>
      </c>
      <c r="AJ93">
        <f t="shared" si="25"/>
        <v>0</v>
      </c>
      <c r="AK93">
        <v>0</v>
      </c>
      <c r="AL93">
        <f t="shared" si="26"/>
        <v>0</v>
      </c>
      <c r="AM93">
        <v>0</v>
      </c>
      <c r="AN93">
        <f t="shared" si="27"/>
        <v>0</v>
      </c>
      <c r="AO93">
        <f t="shared" si="28"/>
        <v>0</v>
      </c>
      <c r="AP93">
        <f t="shared" si="30"/>
        <v>0</v>
      </c>
    </row>
    <row r="94" spans="1:42" x14ac:dyDescent="0.35">
      <c r="A94" s="5" t="s">
        <v>96</v>
      </c>
      <c r="B94" s="6">
        <v>95010400678</v>
      </c>
      <c r="C94" s="6" t="s">
        <v>23</v>
      </c>
      <c r="D94" s="6" t="s">
        <v>23</v>
      </c>
      <c r="E94" s="6">
        <v>70</v>
      </c>
      <c r="F94" s="6" t="s">
        <v>23</v>
      </c>
      <c r="G94" s="6" t="s">
        <v>23</v>
      </c>
      <c r="H94" s="6" t="s">
        <v>23</v>
      </c>
      <c r="I94" s="6">
        <v>94</v>
      </c>
      <c r="J94" s="6">
        <v>73</v>
      </c>
      <c r="K94" s="6" t="s">
        <v>23</v>
      </c>
      <c r="L94" s="6" t="s">
        <v>23</v>
      </c>
      <c r="M94" s="6" t="s">
        <v>23</v>
      </c>
      <c r="N94" s="6" t="s">
        <v>23</v>
      </c>
      <c r="O94" s="6" t="s">
        <v>23</v>
      </c>
      <c r="P94" s="6" t="s">
        <v>23</v>
      </c>
      <c r="Q94" s="6">
        <v>90</v>
      </c>
      <c r="R94" s="6">
        <v>70</v>
      </c>
      <c r="S94" s="6">
        <v>59</v>
      </c>
      <c r="T94" s="6" t="s">
        <v>23</v>
      </c>
      <c r="U94" s="7" t="s">
        <v>23</v>
      </c>
      <c r="V94">
        <f t="shared" si="29"/>
        <v>0</v>
      </c>
      <c r="W94">
        <f t="shared" si="16"/>
        <v>0</v>
      </c>
      <c r="X94">
        <f t="shared" si="17"/>
        <v>0</v>
      </c>
      <c r="Y94">
        <f t="shared" si="18"/>
        <v>1</v>
      </c>
      <c r="Z94">
        <f t="shared" si="19"/>
        <v>0</v>
      </c>
      <c r="AA94">
        <f t="shared" si="20"/>
        <v>0</v>
      </c>
      <c r="AB94">
        <f t="shared" si="21"/>
        <v>0</v>
      </c>
      <c r="AC94">
        <v>0</v>
      </c>
      <c r="AD94">
        <f t="shared" si="22"/>
        <v>1</v>
      </c>
      <c r="AE94">
        <v>0</v>
      </c>
      <c r="AF94">
        <f t="shared" si="23"/>
        <v>0</v>
      </c>
      <c r="AG94">
        <v>0</v>
      </c>
      <c r="AH94">
        <f t="shared" si="24"/>
        <v>0</v>
      </c>
      <c r="AI94">
        <v>0</v>
      </c>
      <c r="AJ94">
        <f t="shared" si="25"/>
        <v>0</v>
      </c>
      <c r="AK94">
        <v>0</v>
      </c>
      <c r="AL94">
        <f t="shared" si="26"/>
        <v>1</v>
      </c>
      <c r="AM94">
        <v>0</v>
      </c>
      <c r="AN94">
        <f t="shared" si="27"/>
        <v>0</v>
      </c>
      <c r="AO94">
        <f t="shared" si="28"/>
        <v>0</v>
      </c>
      <c r="AP94">
        <f t="shared" si="30"/>
        <v>1</v>
      </c>
    </row>
    <row r="95" spans="1:42" x14ac:dyDescent="0.35">
      <c r="A95" s="8" t="s">
        <v>96</v>
      </c>
      <c r="B95" s="9">
        <v>95012402890</v>
      </c>
      <c r="C95" s="9" t="s">
        <v>23</v>
      </c>
      <c r="D95" s="9" t="s">
        <v>23</v>
      </c>
      <c r="E95" s="9">
        <v>53</v>
      </c>
      <c r="F95" s="9" t="s">
        <v>23</v>
      </c>
      <c r="G95" s="9" t="s">
        <v>23</v>
      </c>
      <c r="H95" s="9" t="s">
        <v>23</v>
      </c>
      <c r="I95" s="9">
        <v>96</v>
      </c>
      <c r="J95" s="9">
        <v>67</v>
      </c>
      <c r="K95" s="9" t="s">
        <v>23</v>
      </c>
      <c r="L95" s="9" t="s">
        <v>23</v>
      </c>
      <c r="M95" s="9" t="s">
        <v>23</v>
      </c>
      <c r="N95" s="9" t="s">
        <v>23</v>
      </c>
      <c r="O95" s="9" t="s">
        <v>23</v>
      </c>
      <c r="P95" s="9" t="s">
        <v>23</v>
      </c>
      <c r="Q95" s="9">
        <v>90</v>
      </c>
      <c r="R95" s="9">
        <v>40</v>
      </c>
      <c r="S95" s="9">
        <v>64</v>
      </c>
      <c r="T95" s="9" t="s">
        <v>23</v>
      </c>
      <c r="U95" s="10" t="s">
        <v>23</v>
      </c>
      <c r="V95">
        <f t="shared" si="29"/>
        <v>0</v>
      </c>
      <c r="W95">
        <f t="shared" si="16"/>
        <v>0</v>
      </c>
      <c r="X95">
        <f t="shared" si="17"/>
        <v>0</v>
      </c>
      <c r="Y95">
        <f t="shared" si="18"/>
        <v>1</v>
      </c>
      <c r="Z95">
        <f t="shared" si="19"/>
        <v>0</v>
      </c>
      <c r="AA95">
        <f t="shared" si="20"/>
        <v>0</v>
      </c>
      <c r="AB95">
        <f t="shared" si="21"/>
        <v>0</v>
      </c>
      <c r="AC95">
        <v>0</v>
      </c>
      <c r="AD95">
        <f t="shared" si="22"/>
        <v>1</v>
      </c>
      <c r="AE95">
        <v>0</v>
      </c>
      <c r="AF95">
        <f t="shared" si="23"/>
        <v>0</v>
      </c>
      <c r="AG95">
        <v>0</v>
      </c>
      <c r="AH95">
        <f t="shared" si="24"/>
        <v>0</v>
      </c>
      <c r="AI95">
        <v>0</v>
      </c>
      <c r="AJ95">
        <f t="shared" si="25"/>
        <v>0</v>
      </c>
      <c r="AK95">
        <v>0</v>
      </c>
      <c r="AL95">
        <f t="shared" si="26"/>
        <v>1</v>
      </c>
      <c r="AM95">
        <v>0</v>
      </c>
      <c r="AN95">
        <f t="shared" si="27"/>
        <v>0</v>
      </c>
      <c r="AO95">
        <f t="shared" si="28"/>
        <v>0</v>
      </c>
      <c r="AP95">
        <f t="shared" si="30"/>
        <v>1</v>
      </c>
    </row>
    <row r="96" spans="1:42" x14ac:dyDescent="0.35">
      <c r="A96" s="5" t="s">
        <v>96</v>
      </c>
      <c r="B96" s="6">
        <v>95012801194</v>
      </c>
      <c r="C96" s="6" t="s">
        <v>23</v>
      </c>
      <c r="D96" s="6" t="s">
        <v>23</v>
      </c>
      <c r="E96" s="6">
        <v>75</v>
      </c>
      <c r="F96" s="6" t="s">
        <v>23</v>
      </c>
      <c r="G96" s="6" t="s">
        <v>23</v>
      </c>
      <c r="H96" s="6">
        <v>78</v>
      </c>
      <c r="I96" s="6">
        <v>98</v>
      </c>
      <c r="J96" s="6">
        <v>96</v>
      </c>
      <c r="K96" s="6" t="s">
        <v>23</v>
      </c>
      <c r="L96" s="6" t="s">
        <v>23</v>
      </c>
      <c r="M96" s="6" t="s">
        <v>23</v>
      </c>
      <c r="N96" s="6" t="s">
        <v>23</v>
      </c>
      <c r="O96" s="6" t="s">
        <v>23</v>
      </c>
      <c r="P96" s="6" t="s">
        <v>23</v>
      </c>
      <c r="Q96" s="6">
        <v>100</v>
      </c>
      <c r="R96" s="6">
        <v>90</v>
      </c>
      <c r="S96" s="6">
        <v>80</v>
      </c>
      <c r="T96" s="6" t="s">
        <v>23</v>
      </c>
      <c r="U96" s="7" t="s">
        <v>23</v>
      </c>
      <c r="V96">
        <f t="shared" si="29"/>
        <v>0</v>
      </c>
      <c r="W96">
        <f t="shared" si="16"/>
        <v>0</v>
      </c>
      <c r="X96">
        <f t="shared" si="17"/>
        <v>0</v>
      </c>
      <c r="Y96">
        <f t="shared" si="18"/>
        <v>1</v>
      </c>
      <c r="Z96">
        <f t="shared" si="19"/>
        <v>0</v>
      </c>
      <c r="AA96">
        <f t="shared" si="20"/>
        <v>0</v>
      </c>
      <c r="AB96">
        <f t="shared" si="21"/>
        <v>1</v>
      </c>
      <c r="AC96">
        <v>0</v>
      </c>
      <c r="AD96">
        <f t="shared" si="22"/>
        <v>1</v>
      </c>
      <c r="AE96">
        <v>0</v>
      </c>
      <c r="AF96">
        <f t="shared" si="23"/>
        <v>0</v>
      </c>
      <c r="AG96">
        <v>0</v>
      </c>
      <c r="AH96">
        <f t="shared" si="24"/>
        <v>0</v>
      </c>
      <c r="AI96">
        <v>0</v>
      </c>
      <c r="AJ96">
        <f t="shared" si="25"/>
        <v>0</v>
      </c>
      <c r="AK96">
        <v>0</v>
      </c>
      <c r="AL96">
        <f t="shared" si="26"/>
        <v>1</v>
      </c>
      <c r="AM96">
        <v>0</v>
      </c>
      <c r="AN96">
        <f t="shared" si="27"/>
        <v>0</v>
      </c>
      <c r="AO96">
        <f t="shared" si="28"/>
        <v>0</v>
      </c>
      <c r="AP96">
        <f t="shared" si="30"/>
        <v>1</v>
      </c>
    </row>
    <row r="97" spans="1:42" x14ac:dyDescent="0.35">
      <c r="A97" s="8" t="s">
        <v>96</v>
      </c>
      <c r="B97" s="9">
        <v>95012904927</v>
      </c>
      <c r="C97" s="9" t="s">
        <v>23</v>
      </c>
      <c r="D97" s="9" t="s">
        <v>23</v>
      </c>
      <c r="E97" s="9">
        <v>82</v>
      </c>
      <c r="F97" s="9" t="s">
        <v>23</v>
      </c>
      <c r="G97" s="9" t="s">
        <v>23</v>
      </c>
      <c r="H97" s="9" t="s">
        <v>23</v>
      </c>
      <c r="I97" s="9">
        <v>100</v>
      </c>
      <c r="J97" s="9">
        <v>91</v>
      </c>
      <c r="K97" s="9" t="s">
        <v>23</v>
      </c>
      <c r="L97" s="9" t="s">
        <v>23</v>
      </c>
      <c r="M97" s="9" t="s">
        <v>23</v>
      </c>
      <c r="N97" s="9" t="s">
        <v>23</v>
      </c>
      <c r="O97" s="9" t="s">
        <v>23</v>
      </c>
      <c r="P97" s="9" t="s">
        <v>23</v>
      </c>
      <c r="Q97" s="9">
        <v>86</v>
      </c>
      <c r="R97" s="9">
        <v>80</v>
      </c>
      <c r="S97" s="9">
        <v>84</v>
      </c>
      <c r="T97" s="9" t="s">
        <v>23</v>
      </c>
      <c r="U97" s="10" t="s">
        <v>23</v>
      </c>
      <c r="V97">
        <f t="shared" si="29"/>
        <v>1</v>
      </c>
      <c r="W97">
        <f t="shared" si="16"/>
        <v>0</v>
      </c>
      <c r="X97">
        <f t="shared" si="17"/>
        <v>0</v>
      </c>
      <c r="Y97">
        <f t="shared" si="18"/>
        <v>1</v>
      </c>
      <c r="Z97">
        <f t="shared" si="19"/>
        <v>0</v>
      </c>
      <c r="AA97">
        <f t="shared" si="20"/>
        <v>0</v>
      </c>
      <c r="AB97">
        <f t="shared" si="21"/>
        <v>0</v>
      </c>
      <c r="AC97">
        <v>0</v>
      </c>
      <c r="AD97">
        <f t="shared" si="22"/>
        <v>1</v>
      </c>
      <c r="AE97">
        <v>0</v>
      </c>
      <c r="AF97">
        <f t="shared" si="23"/>
        <v>0</v>
      </c>
      <c r="AG97">
        <v>0</v>
      </c>
      <c r="AH97">
        <f t="shared" si="24"/>
        <v>0</v>
      </c>
      <c r="AI97">
        <v>0</v>
      </c>
      <c r="AJ97">
        <f t="shared" si="25"/>
        <v>0</v>
      </c>
      <c r="AK97">
        <v>0</v>
      </c>
      <c r="AL97">
        <f t="shared" si="26"/>
        <v>1</v>
      </c>
      <c r="AM97">
        <v>0</v>
      </c>
      <c r="AN97">
        <f t="shared" si="27"/>
        <v>0</v>
      </c>
      <c r="AO97">
        <f t="shared" si="28"/>
        <v>0</v>
      </c>
      <c r="AP97">
        <f t="shared" si="30"/>
        <v>1</v>
      </c>
    </row>
    <row r="98" spans="1:42" x14ac:dyDescent="0.35">
      <c r="A98" s="5" t="s">
        <v>96</v>
      </c>
      <c r="B98" s="6">
        <v>95020904777</v>
      </c>
      <c r="C98" s="6" t="s">
        <v>23</v>
      </c>
      <c r="D98" s="6" t="s">
        <v>23</v>
      </c>
      <c r="E98" s="6">
        <v>32</v>
      </c>
      <c r="F98" s="6" t="s">
        <v>23</v>
      </c>
      <c r="G98" s="6" t="s">
        <v>23</v>
      </c>
      <c r="H98" s="6" t="s">
        <v>23</v>
      </c>
      <c r="I98" s="6">
        <v>96</v>
      </c>
      <c r="J98" s="6">
        <v>74</v>
      </c>
      <c r="K98" s="6" t="s">
        <v>23</v>
      </c>
      <c r="L98" s="6" t="s">
        <v>23</v>
      </c>
      <c r="M98" s="6" t="s">
        <v>23</v>
      </c>
      <c r="N98" s="6" t="s">
        <v>23</v>
      </c>
      <c r="O98" s="6" t="s">
        <v>23</v>
      </c>
      <c r="P98" s="6" t="s">
        <v>23</v>
      </c>
      <c r="Q98" s="6">
        <v>82</v>
      </c>
      <c r="R98" s="6" t="s">
        <v>23</v>
      </c>
      <c r="S98" s="6">
        <v>60</v>
      </c>
      <c r="T98" s="6">
        <v>25</v>
      </c>
      <c r="U98" s="7" t="s">
        <v>23</v>
      </c>
      <c r="V98">
        <f t="shared" si="29"/>
        <v>0</v>
      </c>
      <c r="W98">
        <f t="shared" si="16"/>
        <v>0</v>
      </c>
      <c r="X98">
        <f t="shared" si="17"/>
        <v>0</v>
      </c>
      <c r="Y98">
        <f t="shared" si="18"/>
        <v>1</v>
      </c>
      <c r="Z98">
        <f t="shared" si="19"/>
        <v>0</v>
      </c>
      <c r="AA98">
        <f t="shared" si="20"/>
        <v>0</v>
      </c>
      <c r="AB98">
        <f t="shared" si="21"/>
        <v>0</v>
      </c>
      <c r="AC98">
        <v>0</v>
      </c>
      <c r="AD98">
        <f t="shared" si="22"/>
        <v>1</v>
      </c>
      <c r="AE98">
        <v>0</v>
      </c>
      <c r="AF98">
        <f t="shared" si="23"/>
        <v>0</v>
      </c>
      <c r="AG98">
        <v>0</v>
      </c>
      <c r="AH98">
        <f t="shared" si="24"/>
        <v>0</v>
      </c>
      <c r="AI98">
        <v>0</v>
      </c>
      <c r="AJ98">
        <f t="shared" si="25"/>
        <v>0</v>
      </c>
      <c r="AK98">
        <v>0</v>
      </c>
      <c r="AL98">
        <f t="shared" si="26"/>
        <v>0</v>
      </c>
      <c r="AM98">
        <v>0</v>
      </c>
      <c r="AN98">
        <f t="shared" si="27"/>
        <v>1</v>
      </c>
      <c r="AO98">
        <f t="shared" si="28"/>
        <v>0</v>
      </c>
      <c r="AP98">
        <f t="shared" si="30"/>
        <v>1</v>
      </c>
    </row>
    <row r="99" spans="1:42" x14ac:dyDescent="0.35">
      <c r="A99" s="8" t="s">
        <v>96</v>
      </c>
      <c r="B99" s="9">
        <v>95021601338</v>
      </c>
      <c r="C99" s="9" t="s">
        <v>23</v>
      </c>
      <c r="D99" s="9" t="s">
        <v>23</v>
      </c>
      <c r="E99" s="9">
        <v>77</v>
      </c>
      <c r="F99" s="9" t="s">
        <v>23</v>
      </c>
      <c r="G99" s="9" t="s">
        <v>23</v>
      </c>
      <c r="H99" s="9">
        <v>88</v>
      </c>
      <c r="I99" s="9">
        <v>98</v>
      </c>
      <c r="J99" s="9">
        <v>76</v>
      </c>
      <c r="K99" s="9" t="s">
        <v>23</v>
      </c>
      <c r="L99" s="9" t="s">
        <v>23</v>
      </c>
      <c r="M99" s="9" t="s">
        <v>23</v>
      </c>
      <c r="N99" s="9" t="s">
        <v>23</v>
      </c>
      <c r="O99" s="9" t="s">
        <v>23</v>
      </c>
      <c r="P99" s="9" t="s">
        <v>23</v>
      </c>
      <c r="Q99" s="9">
        <v>98</v>
      </c>
      <c r="R99" s="9">
        <v>68</v>
      </c>
      <c r="S99" s="9">
        <v>73</v>
      </c>
      <c r="T99" s="9" t="s">
        <v>23</v>
      </c>
      <c r="U99" s="10" t="s">
        <v>23</v>
      </c>
      <c r="V99">
        <f t="shared" si="29"/>
        <v>0</v>
      </c>
      <c r="W99">
        <f t="shared" ref="W99:W154" si="31">IF(LEN(C99)&lt;&gt;0,1,0)</f>
        <v>0</v>
      </c>
      <c r="X99">
        <f t="shared" ref="X99:X154" si="32">IF(LEN(D99)&lt;&gt;0,1,0)</f>
        <v>0</v>
      </c>
      <c r="Y99">
        <f t="shared" ref="Y99:Y154" si="33">IF(LEN(E99)&lt;&gt;0,1,0)</f>
        <v>1</v>
      </c>
      <c r="Z99">
        <f t="shared" ref="Z99:Z154" si="34">IF(LEN(F99)&lt;&gt;0,1,0)</f>
        <v>0</v>
      </c>
      <c r="AA99">
        <f t="shared" ref="AA99:AA154" si="35">IF(LEN(G99)&lt;&gt;0,1,0)</f>
        <v>0</v>
      </c>
      <c r="AB99">
        <f t="shared" ref="AB99:AB154" si="36">IF(LEN(H99)&lt;&gt;0,1,0)</f>
        <v>1</v>
      </c>
      <c r="AC99">
        <v>0</v>
      </c>
      <c r="AD99">
        <f t="shared" ref="AD99:AD154" si="37">IF(LEN(J99)&lt;&gt;0,1,0)</f>
        <v>1</v>
      </c>
      <c r="AE99">
        <v>0</v>
      </c>
      <c r="AF99">
        <f t="shared" ref="AF99:AF154" si="38">IF(LEN(L99)&lt;&gt;0,1,0)</f>
        <v>0</v>
      </c>
      <c r="AG99">
        <v>0</v>
      </c>
      <c r="AH99">
        <f t="shared" ref="AH99:AH154" si="39">IF(LEN(N99)&lt;&gt;0,1,0)</f>
        <v>0</v>
      </c>
      <c r="AI99">
        <v>0</v>
      </c>
      <c r="AJ99">
        <f t="shared" ref="AJ99:AJ154" si="40">IF(LEN(P99)&lt;&gt;0,1,0)</f>
        <v>0</v>
      </c>
      <c r="AK99">
        <v>0</v>
      </c>
      <c r="AL99">
        <f t="shared" ref="AL99:AL154" si="41">IF(LEN(R99)&lt;&gt;0,1,0)</f>
        <v>1</v>
      </c>
      <c r="AM99">
        <v>0</v>
      </c>
      <c r="AN99">
        <f t="shared" ref="AN99:AN154" si="42">IF(LEN(T99)&lt;&gt;0,1,0)</f>
        <v>0</v>
      </c>
      <c r="AO99">
        <f t="shared" ref="AO99:AO154" si="43">IF(LEN(U99)&lt;&gt;0,1,0)</f>
        <v>0</v>
      </c>
      <c r="AP99">
        <f t="shared" si="30"/>
        <v>1</v>
      </c>
    </row>
    <row r="100" spans="1:42" x14ac:dyDescent="0.35">
      <c r="A100" s="5" t="s">
        <v>96</v>
      </c>
      <c r="B100" s="6">
        <v>95032801943</v>
      </c>
      <c r="C100" s="6" t="s">
        <v>23</v>
      </c>
      <c r="D100" s="6" t="s">
        <v>23</v>
      </c>
      <c r="E100" s="6">
        <v>70</v>
      </c>
      <c r="F100" s="6" t="s">
        <v>23</v>
      </c>
      <c r="G100" s="6" t="s">
        <v>23</v>
      </c>
      <c r="H100" s="6" t="s">
        <v>23</v>
      </c>
      <c r="I100" s="6">
        <v>97</v>
      </c>
      <c r="J100" s="6">
        <v>65</v>
      </c>
      <c r="K100" s="6" t="s">
        <v>23</v>
      </c>
      <c r="L100" s="6" t="s">
        <v>23</v>
      </c>
      <c r="M100" s="6" t="s">
        <v>23</v>
      </c>
      <c r="N100" s="6" t="s">
        <v>23</v>
      </c>
      <c r="O100" s="6" t="s">
        <v>23</v>
      </c>
      <c r="P100" s="6" t="s">
        <v>23</v>
      </c>
      <c r="Q100" s="6">
        <v>94</v>
      </c>
      <c r="R100" s="6">
        <v>78</v>
      </c>
      <c r="S100" s="6">
        <v>76</v>
      </c>
      <c r="T100" s="6" t="s">
        <v>23</v>
      </c>
      <c r="U100" s="7" t="s">
        <v>23</v>
      </c>
      <c r="V100">
        <f t="shared" si="29"/>
        <v>1</v>
      </c>
      <c r="W100">
        <f t="shared" si="31"/>
        <v>0</v>
      </c>
      <c r="X100">
        <f t="shared" si="32"/>
        <v>0</v>
      </c>
      <c r="Y100">
        <f t="shared" si="33"/>
        <v>1</v>
      </c>
      <c r="Z100">
        <f t="shared" si="34"/>
        <v>0</v>
      </c>
      <c r="AA100">
        <f t="shared" si="35"/>
        <v>0</v>
      </c>
      <c r="AB100">
        <f t="shared" si="36"/>
        <v>0</v>
      </c>
      <c r="AC100">
        <v>0</v>
      </c>
      <c r="AD100">
        <f t="shared" si="37"/>
        <v>1</v>
      </c>
      <c r="AE100">
        <v>0</v>
      </c>
      <c r="AF100">
        <f t="shared" si="38"/>
        <v>0</v>
      </c>
      <c r="AG100">
        <v>0</v>
      </c>
      <c r="AH100">
        <f t="shared" si="39"/>
        <v>0</v>
      </c>
      <c r="AI100">
        <v>0</v>
      </c>
      <c r="AJ100">
        <f t="shared" si="40"/>
        <v>0</v>
      </c>
      <c r="AK100">
        <v>0</v>
      </c>
      <c r="AL100">
        <f t="shared" si="41"/>
        <v>1</v>
      </c>
      <c r="AM100">
        <v>0</v>
      </c>
      <c r="AN100">
        <f t="shared" si="42"/>
        <v>0</v>
      </c>
      <c r="AO100">
        <f t="shared" si="43"/>
        <v>0</v>
      </c>
      <c r="AP100">
        <f t="shared" si="30"/>
        <v>1</v>
      </c>
    </row>
    <row r="101" spans="1:42" x14ac:dyDescent="0.35">
      <c r="A101" s="8" t="s">
        <v>96</v>
      </c>
      <c r="B101" s="9">
        <v>95032801950</v>
      </c>
      <c r="C101" s="9" t="s">
        <v>23</v>
      </c>
      <c r="D101" s="9" t="s">
        <v>23</v>
      </c>
      <c r="E101" s="9">
        <v>32</v>
      </c>
      <c r="F101" s="9" t="s">
        <v>23</v>
      </c>
      <c r="G101" s="9" t="s">
        <v>23</v>
      </c>
      <c r="H101" s="9" t="s">
        <v>23</v>
      </c>
      <c r="I101" s="9">
        <v>95</v>
      </c>
      <c r="J101" s="9">
        <v>75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9" t="s">
        <v>23</v>
      </c>
      <c r="Q101" s="9">
        <v>72</v>
      </c>
      <c r="R101" s="9">
        <v>58</v>
      </c>
      <c r="S101" s="9">
        <v>54</v>
      </c>
      <c r="T101" s="9" t="s">
        <v>23</v>
      </c>
      <c r="U101" s="10" t="s">
        <v>23</v>
      </c>
      <c r="V101">
        <f t="shared" si="29"/>
        <v>0</v>
      </c>
      <c r="W101">
        <f t="shared" si="31"/>
        <v>0</v>
      </c>
      <c r="X101">
        <f t="shared" si="32"/>
        <v>0</v>
      </c>
      <c r="Y101">
        <f t="shared" si="33"/>
        <v>1</v>
      </c>
      <c r="Z101">
        <f t="shared" si="34"/>
        <v>0</v>
      </c>
      <c r="AA101">
        <f t="shared" si="35"/>
        <v>0</v>
      </c>
      <c r="AB101">
        <f t="shared" si="36"/>
        <v>0</v>
      </c>
      <c r="AC101">
        <v>0</v>
      </c>
      <c r="AD101">
        <f t="shared" si="37"/>
        <v>1</v>
      </c>
      <c r="AE101">
        <v>0</v>
      </c>
      <c r="AF101">
        <f t="shared" si="38"/>
        <v>0</v>
      </c>
      <c r="AG101">
        <v>0</v>
      </c>
      <c r="AH101">
        <f t="shared" si="39"/>
        <v>0</v>
      </c>
      <c r="AI101">
        <v>0</v>
      </c>
      <c r="AJ101">
        <f t="shared" si="40"/>
        <v>0</v>
      </c>
      <c r="AK101">
        <v>0</v>
      </c>
      <c r="AL101">
        <f t="shared" si="41"/>
        <v>1</v>
      </c>
      <c r="AM101">
        <v>0</v>
      </c>
      <c r="AN101">
        <f t="shared" si="42"/>
        <v>0</v>
      </c>
      <c r="AO101">
        <f t="shared" si="43"/>
        <v>0</v>
      </c>
      <c r="AP101">
        <f t="shared" si="30"/>
        <v>1</v>
      </c>
    </row>
    <row r="102" spans="1:42" x14ac:dyDescent="0.35">
      <c r="A102" s="5" t="s">
        <v>96</v>
      </c>
      <c r="B102" s="6">
        <v>95040804338</v>
      </c>
      <c r="C102" s="6">
        <v>37</v>
      </c>
      <c r="D102" s="6" t="s">
        <v>23</v>
      </c>
      <c r="E102" s="6">
        <v>37</v>
      </c>
      <c r="F102" s="6" t="s">
        <v>23</v>
      </c>
      <c r="G102" s="6" t="s">
        <v>23</v>
      </c>
      <c r="H102" s="6" t="s">
        <v>23</v>
      </c>
      <c r="I102" s="6">
        <v>96</v>
      </c>
      <c r="J102" s="6">
        <v>84</v>
      </c>
      <c r="K102" s="6" t="s">
        <v>23</v>
      </c>
      <c r="L102" s="6" t="s">
        <v>23</v>
      </c>
      <c r="M102" s="6" t="s">
        <v>23</v>
      </c>
      <c r="N102" s="6" t="s">
        <v>23</v>
      </c>
      <c r="O102" s="6" t="s">
        <v>23</v>
      </c>
      <c r="P102" s="6" t="s">
        <v>23</v>
      </c>
      <c r="Q102" s="6">
        <v>86</v>
      </c>
      <c r="R102" s="6" t="s">
        <v>23</v>
      </c>
      <c r="S102" s="6">
        <v>53</v>
      </c>
      <c r="T102" s="6" t="s">
        <v>23</v>
      </c>
      <c r="U102" s="7" t="s">
        <v>23</v>
      </c>
      <c r="V102">
        <f t="shared" si="29"/>
        <v>0</v>
      </c>
      <c r="W102">
        <f t="shared" si="31"/>
        <v>1</v>
      </c>
      <c r="X102">
        <f t="shared" si="32"/>
        <v>0</v>
      </c>
      <c r="Y102">
        <f t="shared" si="33"/>
        <v>1</v>
      </c>
      <c r="Z102">
        <f t="shared" si="34"/>
        <v>0</v>
      </c>
      <c r="AA102">
        <f t="shared" si="35"/>
        <v>0</v>
      </c>
      <c r="AB102">
        <f t="shared" si="36"/>
        <v>0</v>
      </c>
      <c r="AC102">
        <v>0</v>
      </c>
      <c r="AD102">
        <f t="shared" si="37"/>
        <v>1</v>
      </c>
      <c r="AE102">
        <v>0</v>
      </c>
      <c r="AF102">
        <f t="shared" si="38"/>
        <v>0</v>
      </c>
      <c r="AG102">
        <v>0</v>
      </c>
      <c r="AH102">
        <f t="shared" si="39"/>
        <v>0</v>
      </c>
      <c r="AI102">
        <v>0</v>
      </c>
      <c r="AJ102">
        <f t="shared" si="40"/>
        <v>0</v>
      </c>
      <c r="AK102">
        <v>0</v>
      </c>
      <c r="AL102">
        <f t="shared" si="41"/>
        <v>0</v>
      </c>
      <c r="AM102">
        <v>0</v>
      </c>
      <c r="AN102">
        <f t="shared" si="42"/>
        <v>0</v>
      </c>
      <c r="AO102">
        <f t="shared" si="43"/>
        <v>0</v>
      </c>
      <c r="AP102">
        <f t="shared" si="30"/>
        <v>1</v>
      </c>
    </row>
    <row r="103" spans="1:42" x14ac:dyDescent="0.35">
      <c r="A103" s="8" t="s">
        <v>96</v>
      </c>
      <c r="B103" s="9">
        <v>95050803734</v>
      </c>
      <c r="C103" s="9" t="s">
        <v>23</v>
      </c>
      <c r="D103" s="9" t="s">
        <v>23</v>
      </c>
      <c r="E103" s="9">
        <v>75</v>
      </c>
      <c r="F103" s="9" t="s">
        <v>23</v>
      </c>
      <c r="G103" s="9" t="s">
        <v>23</v>
      </c>
      <c r="H103" s="9" t="s">
        <v>23</v>
      </c>
      <c r="I103" s="9">
        <v>98</v>
      </c>
      <c r="J103" s="9">
        <v>94</v>
      </c>
      <c r="K103" s="9" t="s">
        <v>23</v>
      </c>
      <c r="L103" s="9" t="s">
        <v>23</v>
      </c>
      <c r="M103" s="9" t="s">
        <v>23</v>
      </c>
      <c r="N103" s="9" t="s">
        <v>23</v>
      </c>
      <c r="O103" s="9" t="s">
        <v>23</v>
      </c>
      <c r="P103" s="9" t="s">
        <v>23</v>
      </c>
      <c r="Q103" s="9">
        <v>84</v>
      </c>
      <c r="R103" s="9">
        <v>82</v>
      </c>
      <c r="S103" s="9">
        <v>56</v>
      </c>
      <c r="T103" s="9" t="s">
        <v>23</v>
      </c>
      <c r="U103" s="10" t="s">
        <v>23</v>
      </c>
      <c r="V103">
        <f t="shared" si="29"/>
        <v>0</v>
      </c>
      <c r="W103">
        <f t="shared" si="31"/>
        <v>0</v>
      </c>
      <c r="X103">
        <f t="shared" si="32"/>
        <v>0</v>
      </c>
      <c r="Y103">
        <f t="shared" si="33"/>
        <v>1</v>
      </c>
      <c r="Z103">
        <f t="shared" si="34"/>
        <v>0</v>
      </c>
      <c r="AA103">
        <f t="shared" si="35"/>
        <v>0</v>
      </c>
      <c r="AB103">
        <f t="shared" si="36"/>
        <v>0</v>
      </c>
      <c r="AC103">
        <v>0</v>
      </c>
      <c r="AD103">
        <f t="shared" si="37"/>
        <v>1</v>
      </c>
      <c r="AE103">
        <v>0</v>
      </c>
      <c r="AF103">
        <f t="shared" si="38"/>
        <v>0</v>
      </c>
      <c r="AG103">
        <v>0</v>
      </c>
      <c r="AH103">
        <f t="shared" si="39"/>
        <v>0</v>
      </c>
      <c r="AI103">
        <v>0</v>
      </c>
      <c r="AJ103">
        <f t="shared" si="40"/>
        <v>0</v>
      </c>
      <c r="AK103">
        <v>0</v>
      </c>
      <c r="AL103">
        <f t="shared" si="41"/>
        <v>1</v>
      </c>
      <c r="AM103">
        <v>0</v>
      </c>
      <c r="AN103">
        <f t="shared" si="42"/>
        <v>0</v>
      </c>
      <c r="AO103">
        <f t="shared" si="43"/>
        <v>0</v>
      </c>
      <c r="AP103">
        <f t="shared" si="30"/>
        <v>1</v>
      </c>
    </row>
    <row r="104" spans="1:42" x14ac:dyDescent="0.35">
      <c r="A104" s="5" t="s">
        <v>96</v>
      </c>
      <c r="B104" s="6">
        <v>95052200645</v>
      </c>
      <c r="C104" s="6" t="s">
        <v>23</v>
      </c>
      <c r="D104" s="6" t="s">
        <v>23</v>
      </c>
      <c r="E104" s="6">
        <v>92</v>
      </c>
      <c r="F104" s="6" t="s">
        <v>23</v>
      </c>
      <c r="G104" s="6" t="s">
        <v>23</v>
      </c>
      <c r="H104" s="6" t="s">
        <v>23</v>
      </c>
      <c r="I104" s="6">
        <v>98</v>
      </c>
      <c r="J104" s="6">
        <v>86</v>
      </c>
      <c r="K104" s="6" t="s">
        <v>23</v>
      </c>
      <c r="L104" s="6" t="s">
        <v>23</v>
      </c>
      <c r="M104" s="6" t="s">
        <v>23</v>
      </c>
      <c r="N104" s="6" t="s">
        <v>23</v>
      </c>
      <c r="O104" s="6" t="s">
        <v>23</v>
      </c>
      <c r="P104" s="6" t="s">
        <v>23</v>
      </c>
      <c r="Q104" s="6">
        <v>94</v>
      </c>
      <c r="R104" s="6">
        <v>88</v>
      </c>
      <c r="S104" s="6">
        <v>77</v>
      </c>
      <c r="T104" s="6" t="s">
        <v>23</v>
      </c>
      <c r="U104" s="7" t="s">
        <v>23</v>
      </c>
      <c r="V104">
        <f t="shared" si="29"/>
        <v>1</v>
      </c>
      <c r="W104">
        <f t="shared" si="31"/>
        <v>0</v>
      </c>
      <c r="X104">
        <f t="shared" si="32"/>
        <v>0</v>
      </c>
      <c r="Y104">
        <f t="shared" si="33"/>
        <v>1</v>
      </c>
      <c r="Z104">
        <f t="shared" si="34"/>
        <v>0</v>
      </c>
      <c r="AA104">
        <f t="shared" si="35"/>
        <v>0</v>
      </c>
      <c r="AB104">
        <f t="shared" si="36"/>
        <v>0</v>
      </c>
      <c r="AC104">
        <v>0</v>
      </c>
      <c r="AD104">
        <f t="shared" si="37"/>
        <v>1</v>
      </c>
      <c r="AE104">
        <v>0</v>
      </c>
      <c r="AF104">
        <f t="shared" si="38"/>
        <v>0</v>
      </c>
      <c r="AG104">
        <v>0</v>
      </c>
      <c r="AH104">
        <f t="shared" si="39"/>
        <v>0</v>
      </c>
      <c r="AI104">
        <v>0</v>
      </c>
      <c r="AJ104">
        <f t="shared" si="40"/>
        <v>0</v>
      </c>
      <c r="AK104">
        <v>0</v>
      </c>
      <c r="AL104">
        <f t="shared" si="41"/>
        <v>1</v>
      </c>
      <c r="AM104">
        <v>0</v>
      </c>
      <c r="AN104">
        <f t="shared" si="42"/>
        <v>0</v>
      </c>
      <c r="AO104">
        <f t="shared" si="43"/>
        <v>0</v>
      </c>
      <c r="AP104">
        <f t="shared" si="30"/>
        <v>1</v>
      </c>
    </row>
    <row r="105" spans="1:42" x14ac:dyDescent="0.35">
      <c r="A105" s="8" t="s">
        <v>96</v>
      </c>
      <c r="B105" s="9">
        <v>95052901713</v>
      </c>
      <c r="C105" s="9" t="s">
        <v>23</v>
      </c>
      <c r="D105" s="9" t="s">
        <v>23</v>
      </c>
      <c r="E105" s="9" t="s">
        <v>23</v>
      </c>
      <c r="F105" s="9">
        <v>45</v>
      </c>
      <c r="G105" s="9" t="s">
        <v>23</v>
      </c>
      <c r="H105" s="9" t="s">
        <v>23</v>
      </c>
      <c r="I105" s="9">
        <v>100</v>
      </c>
      <c r="J105" s="9">
        <v>80</v>
      </c>
      <c r="K105" s="9" t="s">
        <v>23</v>
      </c>
      <c r="L105" s="9" t="s">
        <v>23</v>
      </c>
      <c r="M105" s="9" t="s">
        <v>23</v>
      </c>
      <c r="N105" s="9" t="s">
        <v>23</v>
      </c>
      <c r="O105" s="9" t="s">
        <v>23</v>
      </c>
      <c r="P105" s="9" t="s">
        <v>23</v>
      </c>
      <c r="Q105" s="9">
        <v>78</v>
      </c>
      <c r="R105" s="9">
        <v>36</v>
      </c>
      <c r="S105" s="9">
        <v>30</v>
      </c>
      <c r="T105" s="9" t="s">
        <v>23</v>
      </c>
      <c r="U105" s="10" t="s">
        <v>23</v>
      </c>
      <c r="V105">
        <f t="shared" si="29"/>
        <v>0</v>
      </c>
      <c r="W105">
        <f t="shared" si="31"/>
        <v>0</v>
      </c>
      <c r="X105">
        <f t="shared" si="32"/>
        <v>0</v>
      </c>
      <c r="Y105">
        <f t="shared" si="33"/>
        <v>0</v>
      </c>
      <c r="Z105">
        <f t="shared" si="34"/>
        <v>1</v>
      </c>
      <c r="AA105">
        <f t="shared" si="35"/>
        <v>0</v>
      </c>
      <c r="AB105">
        <f t="shared" si="36"/>
        <v>0</v>
      </c>
      <c r="AC105">
        <v>0</v>
      </c>
      <c r="AD105">
        <f t="shared" si="37"/>
        <v>1</v>
      </c>
      <c r="AE105">
        <v>0</v>
      </c>
      <c r="AF105">
        <f t="shared" si="38"/>
        <v>0</v>
      </c>
      <c r="AG105">
        <v>0</v>
      </c>
      <c r="AH105">
        <f t="shared" si="39"/>
        <v>0</v>
      </c>
      <c r="AI105">
        <v>0</v>
      </c>
      <c r="AJ105">
        <f t="shared" si="40"/>
        <v>0</v>
      </c>
      <c r="AK105">
        <v>0</v>
      </c>
      <c r="AL105">
        <f t="shared" si="41"/>
        <v>1</v>
      </c>
      <c r="AM105">
        <v>0</v>
      </c>
      <c r="AN105">
        <f t="shared" si="42"/>
        <v>0</v>
      </c>
      <c r="AO105">
        <f t="shared" si="43"/>
        <v>0</v>
      </c>
      <c r="AP105">
        <f t="shared" si="30"/>
        <v>1</v>
      </c>
    </row>
    <row r="106" spans="1:42" x14ac:dyDescent="0.35">
      <c r="A106" s="5" t="s">
        <v>96</v>
      </c>
      <c r="B106" s="6">
        <v>95060303600</v>
      </c>
      <c r="C106" s="6" t="s">
        <v>23</v>
      </c>
      <c r="D106" s="6" t="s">
        <v>23</v>
      </c>
      <c r="E106" s="6" t="s">
        <v>23</v>
      </c>
      <c r="F106" s="6" t="s">
        <v>23</v>
      </c>
      <c r="G106" s="6" t="s">
        <v>23</v>
      </c>
      <c r="H106" s="6" t="s">
        <v>23</v>
      </c>
      <c r="I106" s="6">
        <v>100</v>
      </c>
      <c r="J106" s="6">
        <v>94</v>
      </c>
      <c r="K106" s="6">
        <v>99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23</v>
      </c>
      <c r="Q106" s="6">
        <v>80</v>
      </c>
      <c r="R106" s="6">
        <v>74</v>
      </c>
      <c r="S106" s="6">
        <v>74</v>
      </c>
      <c r="T106" s="6" t="s">
        <v>23</v>
      </c>
      <c r="U106" s="7" t="s">
        <v>23</v>
      </c>
      <c r="V106">
        <f t="shared" si="29"/>
        <v>1</v>
      </c>
      <c r="W106">
        <f t="shared" si="31"/>
        <v>0</v>
      </c>
      <c r="X106">
        <f t="shared" si="32"/>
        <v>0</v>
      </c>
      <c r="Y106">
        <f t="shared" si="33"/>
        <v>0</v>
      </c>
      <c r="Z106">
        <f t="shared" si="34"/>
        <v>0</v>
      </c>
      <c r="AA106">
        <f t="shared" si="35"/>
        <v>0</v>
      </c>
      <c r="AB106">
        <f t="shared" si="36"/>
        <v>0</v>
      </c>
      <c r="AC106">
        <v>0</v>
      </c>
      <c r="AD106">
        <f t="shared" si="37"/>
        <v>1</v>
      </c>
      <c r="AE106">
        <v>0</v>
      </c>
      <c r="AF106">
        <f t="shared" si="38"/>
        <v>0</v>
      </c>
      <c r="AG106">
        <v>0</v>
      </c>
      <c r="AH106">
        <f t="shared" si="39"/>
        <v>0</v>
      </c>
      <c r="AI106">
        <v>0</v>
      </c>
      <c r="AJ106">
        <f t="shared" si="40"/>
        <v>0</v>
      </c>
      <c r="AK106">
        <v>0</v>
      </c>
      <c r="AL106">
        <f t="shared" si="41"/>
        <v>1</v>
      </c>
      <c r="AM106">
        <v>0</v>
      </c>
      <c r="AN106">
        <f t="shared" si="42"/>
        <v>0</v>
      </c>
      <c r="AO106">
        <f t="shared" si="43"/>
        <v>0</v>
      </c>
      <c r="AP106">
        <f t="shared" si="30"/>
        <v>0</v>
      </c>
    </row>
    <row r="107" spans="1:42" x14ac:dyDescent="0.35">
      <c r="A107" s="8" t="s">
        <v>96</v>
      </c>
      <c r="B107" s="9">
        <v>95060705327</v>
      </c>
      <c r="C107" s="9" t="s">
        <v>23</v>
      </c>
      <c r="D107" s="9" t="s">
        <v>23</v>
      </c>
      <c r="E107" s="9" t="s">
        <v>23</v>
      </c>
      <c r="F107" s="9" t="s">
        <v>23</v>
      </c>
      <c r="G107" s="9" t="s">
        <v>23</v>
      </c>
      <c r="H107" s="9" t="s">
        <v>23</v>
      </c>
      <c r="I107" s="9">
        <v>98</v>
      </c>
      <c r="J107" s="9">
        <v>78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23</v>
      </c>
      <c r="Q107" s="9">
        <v>64</v>
      </c>
      <c r="R107" s="9" t="s">
        <v>23</v>
      </c>
      <c r="S107" s="9">
        <v>54</v>
      </c>
      <c r="T107" s="9" t="s">
        <v>23</v>
      </c>
      <c r="U107" s="10" t="s">
        <v>23</v>
      </c>
      <c r="V107">
        <f t="shared" si="29"/>
        <v>1</v>
      </c>
      <c r="W107">
        <f t="shared" si="31"/>
        <v>0</v>
      </c>
      <c r="X107">
        <f t="shared" si="32"/>
        <v>0</v>
      </c>
      <c r="Y107">
        <f t="shared" si="33"/>
        <v>0</v>
      </c>
      <c r="Z107">
        <f t="shared" si="34"/>
        <v>0</v>
      </c>
      <c r="AA107">
        <f t="shared" si="35"/>
        <v>0</v>
      </c>
      <c r="AB107">
        <f t="shared" si="36"/>
        <v>0</v>
      </c>
      <c r="AC107">
        <v>0</v>
      </c>
      <c r="AD107">
        <f t="shared" si="37"/>
        <v>1</v>
      </c>
      <c r="AE107">
        <v>0</v>
      </c>
      <c r="AF107">
        <f t="shared" si="38"/>
        <v>0</v>
      </c>
      <c r="AG107">
        <v>0</v>
      </c>
      <c r="AH107">
        <f t="shared" si="39"/>
        <v>0</v>
      </c>
      <c r="AI107">
        <v>0</v>
      </c>
      <c r="AJ107">
        <f t="shared" si="40"/>
        <v>0</v>
      </c>
      <c r="AK107">
        <v>0</v>
      </c>
      <c r="AL107">
        <f t="shared" si="41"/>
        <v>0</v>
      </c>
      <c r="AM107">
        <v>0</v>
      </c>
      <c r="AN107">
        <f t="shared" si="42"/>
        <v>0</v>
      </c>
      <c r="AO107">
        <f t="shared" si="43"/>
        <v>0</v>
      </c>
      <c r="AP107">
        <f t="shared" si="30"/>
        <v>0</v>
      </c>
    </row>
    <row r="108" spans="1:42" x14ac:dyDescent="0.35">
      <c r="A108" s="5" t="s">
        <v>96</v>
      </c>
      <c r="B108" s="6">
        <v>95060913018</v>
      </c>
      <c r="C108" s="6" t="s">
        <v>23</v>
      </c>
      <c r="D108" s="6" t="s">
        <v>23</v>
      </c>
      <c r="E108" s="6">
        <v>72</v>
      </c>
      <c r="F108" s="6" t="s">
        <v>23</v>
      </c>
      <c r="G108" s="6" t="s">
        <v>23</v>
      </c>
      <c r="H108" s="6" t="s">
        <v>23</v>
      </c>
      <c r="I108" s="6">
        <v>98</v>
      </c>
      <c r="J108" s="6">
        <v>79</v>
      </c>
      <c r="K108" s="6" t="s">
        <v>23</v>
      </c>
      <c r="L108" s="6" t="s">
        <v>23</v>
      </c>
      <c r="M108" s="6" t="s">
        <v>23</v>
      </c>
      <c r="N108" s="6" t="s">
        <v>23</v>
      </c>
      <c r="O108" s="6" t="s">
        <v>23</v>
      </c>
      <c r="P108" s="6" t="s">
        <v>23</v>
      </c>
      <c r="Q108" s="6">
        <v>100</v>
      </c>
      <c r="R108" s="6">
        <v>78</v>
      </c>
      <c r="S108" s="6">
        <v>64</v>
      </c>
      <c r="T108" s="6" t="s">
        <v>23</v>
      </c>
      <c r="U108" s="7" t="s">
        <v>23</v>
      </c>
      <c r="V108">
        <f t="shared" si="29"/>
        <v>0</v>
      </c>
      <c r="W108">
        <f t="shared" si="31"/>
        <v>0</v>
      </c>
      <c r="X108">
        <f t="shared" si="32"/>
        <v>0</v>
      </c>
      <c r="Y108">
        <f t="shared" si="33"/>
        <v>1</v>
      </c>
      <c r="Z108">
        <f t="shared" si="34"/>
        <v>0</v>
      </c>
      <c r="AA108">
        <f t="shared" si="35"/>
        <v>0</v>
      </c>
      <c r="AB108">
        <f t="shared" si="36"/>
        <v>0</v>
      </c>
      <c r="AC108">
        <v>0</v>
      </c>
      <c r="AD108">
        <f t="shared" si="37"/>
        <v>1</v>
      </c>
      <c r="AE108">
        <v>0</v>
      </c>
      <c r="AF108">
        <f t="shared" si="38"/>
        <v>0</v>
      </c>
      <c r="AG108">
        <v>0</v>
      </c>
      <c r="AH108">
        <f t="shared" si="39"/>
        <v>0</v>
      </c>
      <c r="AI108">
        <v>0</v>
      </c>
      <c r="AJ108">
        <f t="shared" si="40"/>
        <v>0</v>
      </c>
      <c r="AK108">
        <v>0</v>
      </c>
      <c r="AL108">
        <f t="shared" si="41"/>
        <v>1</v>
      </c>
      <c r="AM108">
        <v>0</v>
      </c>
      <c r="AN108">
        <f t="shared" si="42"/>
        <v>0</v>
      </c>
      <c r="AO108">
        <f t="shared" si="43"/>
        <v>0</v>
      </c>
      <c r="AP108">
        <f t="shared" si="30"/>
        <v>1</v>
      </c>
    </row>
    <row r="109" spans="1:42" x14ac:dyDescent="0.35">
      <c r="A109" s="8" t="s">
        <v>96</v>
      </c>
      <c r="B109" s="9">
        <v>95072510054</v>
      </c>
      <c r="C109" s="9" t="s">
        <v>23</v>
      </c>
      <c r="D109" s="9" t="s">
        <v>23</v>
      </c>
      <c r="E109" s="9">
        <v>62</v>
      </c>
      <c r="F109" s="9" t="s">
        <v>23</v>
      </c>
      <c r="G109" s="9" t="s">
        <v>23</v>
      </c>
      <c r="H109" s="9" t="s">
        <v>23</v>
      </c>
      <c r="I109" s="9">
        <v>100</v>
      </c>
      <c r="J109" s="9">
        <v>75</v>
      </c>
      <c r="K109" s="9" t="s">
        <v>23</v>
      </c>
      <c r="L109" s="9" t="s">
        <v>23</v>
      </c>
      <c r="M109" s="9" t="s">
        <v>23</v>
      </c>
      <c r="N109" s="9" t="s">
        <v>23</v>
      </c>
      <c r="O109" s="9" t="s">
        <v>23</v>
      </c>
      <c r="P109" s="9" t="s">
        <v>23</v>
      </c>
      <c r="Q109" s="9">
        <v>92</v>
      </c>
      <c r="R109" s="9">
        <v>38</v>
      </c>
      <c r="S109" s="9">
        <v>74</v>
      </c>
      <c r="T109" s="9" t="s">
        <v>23</v>
      </c>
      <c r="U109" s="10" t="s">
        <v>23</v>
      </c>
      <c r="V109">
        <f t="shared" si="29"/>
        <v>0</v>
      </c>
      <c r="W109">
        <f t="shared" si="31"/>
        <v>0</v>
      </c>
      <c r="X109">
        <f t="shared" si="32"/>
        <v>0</v>
      </c>
      <c r="Y109">
        <f t="shared" si="33"/>
        <v>1</v>
      </c>
      <c r="Z109">
        <f t="shared" si="34"/>
        <v>0</v>
      </c>
      <c r="AA109">
        <f t="shared" si="35"/>
        <v>0</v>
      </c>
      <c r="AB109">
        <f t="shared" si="36"/>
        <v>0</v>
      </c>
      <c r="AC109">
        <v>0</v>
      </c>
      <c r="AD109">
        <f t="shared" si="37"/>
        <v>1</v>
      </c>
      <c r="AE109">
        <v>0</v>
      </c>
      <c r="AF109">
        <f t="shared" si="38"/>
        <v>0</v>
      </c>
      <c r="AG109">
        <v>0</v>
      </c>
      <c r="AH109">
        <f t="shared" si="39"/>
        <v>0</v>
      </c>
      <c r="AI109">
        <v>0</v>
      </c>
      <c r="AJ109">
        <f t="shared" si="40"/>
        <v>0</v>
      </c>
      <c r="AK109">
        <v>0</v>
      </c>
      <c r="AL109">
        <f t="shared" si="41"/>
        <v>1</v>
      </c>
      <c r="AM109">
        <v>0</v>
      </c>
      <c r="AN109">
        <f t="shared" si="42"/>
        <v>0</v>
      </c>
      <c r="AO109">
        <f t="shared" si="43"/>
        <v>0</v>
      </c>
      <c r="AP109">
        <f t="shared" si="30"/>
        <v>1</v>
      </c>
    </row>
    <row r="110" spans="1:42" x14ac:dyDescent="0.35">
      <c r="A110" s="5" t="s">
        <v>96</v>
      </c>
      <c r="B110" s="6">
        <v>95080407818</v>
      </c>
      <c r="C110" s="6" t="s">
        <v>23</v>
      </c>
      <c r="D110" s="6" t="s">
        <v>23</v>
      </c>
      <c r="E110" s="6" t="s">
        <v>23</v>
      </c>
      <c r="F110" s="6" t="s">
        <v>23</v>
      </c>
      <c r="G110" s="6" t="s">
        <v>23</v>
      </c>
      <c r="H110" s="6">
        <v>70</v>
      </c>
      <c r="I110" s="6">
        <v>98</v>
      </c>
      <c r="J110" s="6">
        <v>79</v>
      </c>
      <c r="K110" s="6" t="s">
        <v>23</v>
      </c>
      <c r="L110" s="6" t="s">
        <v>23</v>
      </c>
      <c r="M110" s="6" t="s">
        <v>23</v>
      </c>
      <c r="N110" s="6" t="s">
        <v>23</v>
      </c>
      <c r="O110" s="6" t="s">
        <v>23</v>
      </c>
      <c r="P110" s="6" t="s">
        <v>23</v>
      </c>
      <c r="Q110" s="6">
        <v>94</v>
      </c>
      <c r="R110" s="6">
        <v>62</v>
      </c>
      <c r="S110" s="6">
        <v>59</v>
      </c>
      <c r="T110" s="6" t="s">
        <v>23</v>
      </c>
      <c r="U110" s="7" t="s">
        <v>23</v>
      </c>
      <c r="V110">
        <f t="shared" si="29"/>
        <v>0</v>
      </c>
      <c r="W110">
        <f t="shared" si="31"/>
        <v>0</v>
      </c>
      <c r="X110">
        <f t="shared" si="32"/>
        <v>0</v>
      </c>
      <c r="Y110">
        <f t="shared" si="33"/>
        <v>0</v>
      </c>
      <c r="Z110">
        <f t="shared" si="34"/>
        <v>0</v>
      </c>
      <c r="AA110">
        <f t="shared" si="35"/>
        <v>0</v>
      </c>
      <c r="AB110">
        <f t="shared" si="36"/>
        <v>1</v>
      </c>
      <c r="AC110">
        <v>0</v>
      </c>
      <c r="AD110">
        <f t="shared" si="37"/>
        <v>1</v>
      </c>
      <c r="AE110">
        <v>0</v>
      </c>
      <c r="AF110">
        <f t="shared" si="38"/>
        <v>0</v>
      </c>
      <c r="AG110">
        <v>0</v>
      </c>
      <c r="AH110">
        <f t="shared" si="39"/>
        <v>0</v>
      </c>
      <c r="AI110">
        <v>0</v>
      </c>
      <c r="AJ110">
        <f t="shared" si="40"/>
        <v>0</v>
      </c>
      <c r="AK110">
        <v>0</v>
      </c>
      <c r="AL110">
        <f t="shared" si="41"/>
        <v>1</v>
      </c>
      <c r="AM110">
        <v>0</v>
      </c>
      <c r="AN110">
        <f t="shared" si="42"/>
        <v>0</v>
      </c>
      <c r="AO110">
        <f t="shared" si="43"/>
        <v>0</v>
      </c>
      <c r="AP110">
        <f t="shared" si="30"/>
        <v>1</v>
      </c>
    </row>
    <row r="111" spans="1:42" x14ac:dyDescent="0.35">
      <c r="A111" s="8" t="s">
        <v>96</v>
      </c>
      <c r="B111" s="9">
        <v>95080805098</v>
      </c>
      <c r="C111" s="9" t="s">
        <v>23</v>
      </c>
      <c r="D111" s="9" t="s">
        <v>23</v>
      </c>
      <c r="E111" s="9">
        <v>48</v>
      </c>
      <c r="F111" s="9" t="s">
        <v>23</v>
      </c>
      <c r="G111" s="9" t="s">
        <v>23</v>
      </c>
      <c r="H111" s="9" t="s">
        <v>23</v>
      </c>
      <c r="I111" s="9">
        <v>84</v>
      </c>
      <c r="J111" s="9">
        <v>28</v>
      </c>
      <c r="K111" s="9" t="s">
        <v>23</v>
      </c>
      <c r="L111" s="9" t="s">
        <v>23</v>
      </c>
      <c r="M111" s="9" t="s">
        <v>23</v>
      </c>
      <c r="N111" s="9" t="s">
        <v>23</v>
      </c>
      <c r="O111" s="9" t="s">
        <v>23</v>
      </c>
      <c r="P111" s="9" t="s">
        <v>23</v>
      </c>
      <c r="Q111" s="9">
        <v>88</v>
      </c>
      <c r="R111" s="9">
        <v>68</v>
      </c>
      <c r="S111" s="9">
        <v>51</v>
      </c>
      <c r="T111" s="9" t="s">
        <v>23</v>
      </c>
      <c r="U111" s="10" t="s">
        <v>23</v>
      </c>
      <c r="V111">
        <f t="shared" si="29"/>
        <v>0</v>
      </c>
      <c r="W111">
        <f t="shared" si="31"/>
        <v>0</v>
      </c>
      <c r="X111">
        <f t="shared" si="32"/>
        <v>0</v>
      </c>
      <c r="Y111">
        <f t="shared" si="33"/>
        <v>1</v>
      </c>
      <c r="Z111">
        <f t="shared" si="34"/>
        <v>0</v>
      </c>
      <c r="AA111">
        <f t="shared" si="35"/>
        <v>0</v>
      </c>
      <c r="AB111">
        <f t="shared" si="36"/>
        <v>0</v>
      </c>
      <c r="AC111">
        <v>0</v>
      </c>
      <c r="AD111">
        <f t="shared" si="37"/>
        <v>1</v>
      </c>
      <c r="AE111">
        <v>0</v>
      </c>
      <c r="AF111">
        <f t="shared" si="38"/>
        <v>0</v>
      </c>
      <c r="AG111">
        <v>0</v>
      </c>
      <c r="AH111">
        <f t="shared" si="39"/>
        <v>0</v>
      </c>
      <c r="AI111">
        <v>0</v>
      </c>
      <c r="AJ111">
        <f t="shared" si="40"/>
        <v>0</v>
      </c>
      <c r="AK111">
        <v>0</v>
      </c>
      <c r="AL111">
        <f t="shared" si="41"/>
        <v>1</v>
      </c>
      <c r="AM111">
        <v>0</v>
      </c>
      <c r="AN111">
        <f t="shared" si="42"/>
        <v>0</v>
      </c>
      <c r="AO111">
        <f t="shared" si="43"/>
        <v>0</v>
      </c>
      <c r="AP111">
        <f t="shared" si="30"/>
        <v>1</v>
      </c>
    </row>
    <row r="112" spans="1:42" x14ac:dyDescent="0.35">
      <c r="A112" s="5" t="s">
        <v>96</v>
      </c>
      <c r="B112" s="6">
        <v>95081600791</v>
      </c>
      <c r="C112" s="6" t="s">
        <v>23</v>
      </c>
      <c r="D112" s="6" t="s">
        <v>23</v>
      </c>
      <c r="E112" s="6">
        <v>62</v>
      </c>
      <c r="F112" s="6" t="s">
        <v>23</v>
      </c>
      <c r="G112" s="6" t="s">
        <v>23</v>
      </c>
      <c r="H112" s="6" t="s">
        <v>23</v>
      </c>
      <c r="I112" s="6">
        <v>98</v>
      </c>
      <c r="J112" s="6">
        <v>79</v>
      </c>
      <c r="K112" s="6" t="s">
        <v>23</v>
      </c>
      <c r="L112" s="6" t="s">
        <v>23</v>
      </c>
      <c r="M112" s="6" t="s">
        <v>23</v>
      </c>
      <c r="N112" s="6" t="s">
        <v>23</v>
      </c>
      <c r="O112" s="6" t="s">
        <v>23</v>
      </c>
      <c r="P112" s="6" t="s">
        <v>23</v>
      </c>
      <c r="Q112" s="6">
        <v>100</v>
      </c>
      <c r="R112" s="6">
        <v>66</v>
      </c>
      <c r="S112" s="6">
        <v>51</v>
      </c>
      <c r="T112" s="6" t="s">
        <v>23</v>
      </c>
      <c r="U112" s="7" t="s">
        <v>23</v>
      </c>
      <c r="V112">
        <f t="shared" si="29"/>
        <v>0</v>
      </c>
      <c r="W112">
        <f t="shared" si="31"/>
        <v>0</v>
      </c>
      <c r="X112">
        <f t="shared" si="32"/>
        <v>0</v>
      </c>
      <c r="Y112">
        <f t="shared" si="33"/>
        <v>1</v>
      </c>
      <c r="Z112">
        <f t="shared" si="34"/>
        <v>0</v>
      </c>
      <c r="AA112">
        <f t="shared" si="35"/>
        <v>0</v>
      </c>
      <c r="AB112">
        <f t="shared" si="36"/>
        <v>0</v>
      </c>
      <c r="AC112">
        <v>0</v>
      </c>
      <c r="AD112">
        <f t="shared" si="37"/>
        <v>1</v>
      </c>
      <c r="AE112">
        <v>0</v>
      </c>
      <c r="AF112">
        <f t="shared" si="38"/>
        <v>0</v>
      </c>
      <c r="AG112">
        <v>0</v>
      </c>
      <c r="AH112">
        <f t="shared" si="39"/>
        <v>0</v>
      </c>
      <c r="AI112">
        <v>0</v>
      </c>
      <c r="AJ112">
        <f t="shared" si="40"/>
        <v>0</v>
      </c>
      <c r="AK112">
        <v>0</v>
      </c>
      <c r="AL112">
        <f t="shared" si="41"/>
        <v>1</v>
      </c>
      <c r="AM112">
        <v>0</v>
      </c>
      <c r="AN112">
        <f t="shared" si="42"/>
        <v>0</v>
      </c>
      <c r="AO112">
        <f t="shared" si="43"/>
        <v>0</v>
      </c>
      <c r="AP112">
        <f t="shared" si="30"/>
        <v>1</v>
      </c>
    </row>
    <row r="113" spans="1:42" x14ac:dyDescent="0.35">
      <c r="A113" s="8" t="s">
        <v>96</v>
      </c>
      <c r="B113" s="9">
        <v>95082906797</v>
      </c>
      <c r="C113" s="9" t="s">
        <v>23</v>
      </c>
      <c r="D113" s="9" t="s">
        <v>23</v>
      </c>
      <c r="E113" s="9">
        <v>67</v>
      </c>
      <c r="F113" s="9" t="s">
        <v>23</v>
      </c>
      <c r="G113" s="9" t="s">
        <v>23</v>
      </c>
      <c r="H113" s="9" t="s">
        <v>23</v>
      </c>
      <c r="I113" s="9">
        <v>100</v>
      </c>
      <c r="J113" s="9">
        <v>85</v>
      </c>
      <c r="K113" s="9" t="s">
        <v>23</v>
      </c>
      <c r="L113" s="9" t="s">
        <v>23</v>
      </c>
      <c r="M113" s="9" t="s">
        <v>23</v>
      </c>
      <c r="N113" s="9" t="s">
        <v>23</v>
      </c>
      <c r="O113" s="9" t="s">
        <v>23</v>
      </c>
      <c r="P113" s="9" t="s">
        <v>23</v>
      </c>
      <c r="Q113" s="9">
        <v>92</v>
      </c>
      <c r="R113" s="9">
        <v>70</v>
      </c>
      <c r="S113" s="9">
        <v>63</v>
      </c>
      <c r="T113" s="9" t="s">
        <v>23</v>
      </c>
      <c r="U113" s="10" t="s">
        <v>23</v>
      </c>
      <c r="V113">
        <f t="shared" si="29"/>
        <v>0</v>
      </c>
      <c r="W113">
        <f t="shared" si="31"/>
        <v>0</v>
      </c>
      <c r="X113">
        <f t="shared" si="32"/>
        <v>0</v>
      </c>
      <c r="Y113">
        <f t="shared" si="33"/>
        <v>1</v>
      </c>
      <c r="Z113">
        <f t="shared" si="34"/>
        <v>0</v>
      </c>
      <c r="AA113">
        <f t="shared" si="35"/>
        <v>0</v>
      </c>
      <c r="AB113">
        <f t="shared" si="36"/>
        <v>0</v>
      </c>
      <c r="AC113">
        <v>0</v>
      </c>
      <c r="AD113">
        <f t="shared" si="37"/>
        <v>1</v>
      </c>
      <c r="AE113">
        <v>0</v>
      </c>
      <c r="AF113">
        <f t="shared" si="38"/>
        <v>0</v>
      </c>
      <c r="AG113">
        <v>0</v>
      </c>
      <c r="AH113">
        <f t="shared" si="39"/>
        <v>0</v>
      </c>
      <c r="AI113">
        <v>0</v>
      </c>
      <c r="AJ113">
        <f t="shared" si="40"/>
        <v>0</v>
      </c>
      <c r="AK113">
        <v>0</v>
      </c>
      <c r="AL113">
        <f t="shared" si="41"/>
        <v>1</v>
      </c>
      <c r="AM113">
        <v>0</v>
      </c>
      <c r="AN113">
        <f t="shared" si="42"/>
        <v>0</v>
      </c>
      <c r="AO113">
        <f t="shared" si="43"/>
        <v>0</v>
      </c>
      <c r="AP113">
        <f t="shared" si="30"/>
        <v>1</v>
      </c>
    </row>
    <row r="114" spans="1:42" x14ac:dyDescent="0.35">
      <c r="A114" s="5" t="s">
        <v>96</v>
      </c>
      <c r="B114" s="6">
        <v>95083100398</v>
      </c>
      <c r="C114" s="6" t="s">
        <v>23</v>
      </c>
      <c r="D114" s="6" t="s">
        <v>23</v>
      </c>
      <c r="E114" s="6">
        <v>67</v>
      </c>
      <c r="F114" s="6" t="s">
        <v>23</v>
      </c>
      <c r="G114" s="6" t="s">
        <v>23</v>
      </c>
      <c r="H114" s="6" t="s">
        <v>23</v>
      </c>
      <c r="I114" s="6">
        <v>100</v>
      </c>
      <c r="J114" s="6">
        <v>78</v>
      </c>
      <c r="K114" s="6" t="s">
        <v>23</v>
      </c>
      <c r="L114" s="6" t="s">
        <v>23</v>
      </c>
      <c r="M114" s="6" t="s">
        <v>23</v>
      </c>
      <c r="N114" s="6" t="s">
        <v>23</v>
      </c>
      <c r="O114" s="6" t="s">
        <v>23</v>
      </c>
      <c r="P114" s="6" t="s">
        <v>23</v>
      </c>
      <c r="Q114" s="6">
        <v>98</v>
      </c>
      <c r="R114" s="6">
        <v>68</v>
      </c>
      <c r="S114" s="6">
        <v>63</v>
      </c>
      <c r="T114" s="6" t="s">
        <v>23</v>
      </c>
      <c r="U114" s="7" t="s">
        <v>23</v>
      </c>
      <c r="V114">
        <f t="shared" si="29"/>
        <v>0</v>
      </c>
      <c r="W114">
        <f t="shared" si="31"/>
        <v>0</v>
      </c>
      <c r="X114">
        <f t="shared" si="32"/>
        <v>0</v>
      </c>
      <c r="Y114">
        <f t="shared" si="33"/>
        <v>1</v>
      </c>
      <c r="Z114">
        <f t="shared" si="34"/>
        <v>0</v>
      </c>
      <c r="AA114">
        <f t="shared" si="35"/>
        <v>0</v>
      </c>
      <c r="AB114">
        <f t="shared" si="36"/>
        <v>0</v>
      </c>
      <c r="AC114">
        <v>0</v>
      </c>
      <c r="AD114">
        <f t="shared" si="37"/>
        <v>1</v>
      </c>
      <c r="AE114">
        <v>0</v>
      </c>
      <c r="AF114">
        <f t="shared" si="38"/>
        <v>0</v>
      </c>
      <c r="AG114">
        <v>0</v>
      </c>
      <c r="AH114">
        <f t="shared" si="39"/>
        <v>0</v>
      </c>
      <c r="AI114">
        <v>0</v>
      </c>
      <c r="AJ114">
        <f t="shared" si="40"/>
        <v>0</v>
      </c>
      <c r="AK114">
        <v>0</v>
      </c>
      <c r="AL114">
        <f t="shared" si="41"/>
        <v>1</v>
      </c>
      <c r="AM114">
        <v>0</v>
      </c>
      <c r="AN114">
        <f t="shared" si="42"/>
        <v>0</v>
      </c>
      <c r="AO114">
        <f t="shared" si="43"/>
        <v>0</v>
      </c>
      <c r="AP114">
        <f t="shared" si="30"/>
        <v>1</v>
      </c>
    </row>
    <row r="115" spans="1:42" x14ac:dyDescent="0.35">
      <c r="A115" s="8" t="s">
        <v>96</v>
      </c>
      <c r="B115" s="9">
        <v>95091803737</v>
      </c>
      <c r="C115" s="9" t="s">
        <v>23</v>
      </c>
      <c r="D115" s="9" t="s">
        <v>23</v>
      </c>
      <c r="E115" s="9" t="s">
        <v>23</v>
      </c>
      <c r="F115" s="9" t="s">
        <v>23</v>
      </c>
      <c r="G115" s="9" t="s">
        <v>23</v>
      </c>
      <c r="H115" s="9">
        <v>98</v>
      </c>
      <c r="I115" s="9">
        <v>99</v>
      </c>
      <c r="J115" s="9">
        <v>84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23</v>
      </c>
      <c r="Q115" s="9">
        <v>96</v>
      </c>
      <c r="R115" s="9">
        <v>92</v>
      </c>
      <c r="S115" s="9">
        <v>66</v>
      </c>
      <c r="T115" s="9" t="s">
        <v>23</v>
      </c>
      <c r="U115" s="10" t="s">
        <v>23</v>
      </c>
      <c r="V115">
        <f t="shared" si="29"/>
        <v>0</v>
      </c>
      <c r="W115">
        <f t="shared" si="31"/>
        <v>0</v>
      </c>
      <c r="X115">
        <f t="shared" si="32"/>
        <v>0</v>
      </c>
      <c r="Y115">
        <f t="shared" si="33"/>
        <v>0</v>
      </c>
      <c r="Z115">
        <f t="shared" si="34"/>
        <v>0</v>
      </c>
      <c r="AA115">
        <f t="shared" si="35"/>
        <v>0</v>
      </c>
      <c r="AB115">
        <f t="shared" si="36"/>
        <v>1</v>
      </c>
      <c r="AC115">
        <v>0</v>
      </c>
      <c r="AD115">
        <f t="shared" si="37"/>
        <v>1</v>
      </c>
      <c r="AE115">
        <v>0</v>
      </c>
      <c r="AF115">
        <f t="shared" si="38"/>
        <v>0</v>
      </c>
      <c r="AG115">
        <v>0</v>
      </c>
      <c r="AH115">
        <f t="shared" si="39"/>
        <v>0</v>
      </c>
      <c r="AI115">
        <v>0</v>
      </c>
      <c r="AJ115">
        <f t="shared" si="40"/>
        <v>0</v>
      </c>
      <c r="AK115">
        <v>0</v>
      </c>
      <c r="AL115">
        <f t="shared" si="41"/>
        <v>1</v>
      </c>
      <c r="AM115">
        <v>0</v>
      </c>
      <c r="AN115">
        <f t="shared" si="42"/>
        <v>0</v>
      </c>
      <c r="AO115">
        <f t="shared" si="43"/>
        <v>0</v>
      </c>
      <c r="AP115">
        <f t="shared" si="30"/>
        <v>1</v>
      </c>
    </row>
    <row r="116" spans="1:42" x14ac:dyDescent="0.35">
      <c r="A116" s="5" t="s">
        <v>96</v>
      </c>
      <c r="B116" s="6">
        <v>95100400649</v>
      </c>
      <c r="C116" s="6" t="s">
        <v>23</v>
      </c>
      <c r="D116" s="6" t="s">
        <v>23</v>
      </c>
      <c r="E116" s="6" t="s">
        <v>23</v>
      </c>
      <c r="F116" s="6" t="s">
        <v>23</v>
      </c>
      <c r="G116" s="6" t="s">
        <v>23</v>
      </c>
      <c r="H116" s="6" t="s">
        <v>23</v>
      </c>
      <c r="I116" s="6">
        <v>96</v>
      </c>
      <c r="J116" s="6">
        <v>86</v>
      </c>
      <c r="K116" s="6" t="s">
        <v>23</v>
      </c>
      <c r="L116" s="6" t="s">
        <v>23</v>
      </c>
      <c r="M116" s="6" t="s">
        <v>23</v>
      </c>
      <c r="N116" s="6" t="s">
        <v>23</v>
      </c>
      <c r="O116" s="6" t="s">
        <v>23</v>
      </c>
      <c r="P116" s="6" t="s">
        <v>23</v>
      </c>
      <c r="Q116" s="6">
        <v>94</v>
      </c>
      <c r="R116" s="6">
        <v>60</v>
      </c>
      <c r="S116" s="6">
        <v>57</v>
      </c>
      <c r="T116" s="6" t="s">
        <v>23</v>
      </c>
      <c r="U116" s="7" t="s">
        <v>23</v>
      </c>
      <c r="V116">
        <f t="shared" si="29"/>
        <v>1</v>
      </c>
      <c r="W116">
        <f t="shared" si="31"/>
        <v>0</v>
      </c>
      <c r="X116">
        <f t="shared" si="32"/>
        <v>0</v>
      </c>
      <c r="Y116">
        <f t="shared" si="33"/>
        <v>0</v>
      </c>
      <c r="Z116">
        <f t="shared" si="34"/>
        <v>0</v>
      </c>
      <c r="AA116">
        <f t="shared" si="35"/>
        <v>0</v>
      </c>
      <c r="AB116">
        <f t="shared" si="36"/>
        <v>0</v>
      </c>
      <c r="AC116">
        <v>0</v>
      </c>
      <c r="AD116">
        <f t="shared" si="37"/>
        <v>1</v>
      </c>
      <c r="AE116">
        <v>0</v>
      </c>
      <c r="AF116">
        <f t="shared" si="38"/>
        <v>0</v>
      </c>
      <c r="AG116">
        <v>0</v>
      </c>
      <c r="AH116">
        <f t="shared" si="39"/>
        <v>0</v>
      </c>
      <c r="AI116">
        <v>0</v>
      </c>
      <c r="AJ116">
        <f t="shared" si="40"/>
        <v>0</v>
      </c>
      <c r="AK116">
        <v>0</v>
      </c>
      <c r="AL116">
        <f t="shared" si="41"/>
        <v>1</v>
      </c>
      <c r="AM116">
        <v>0</v>
      </c>
      <c r="AN116">
        <f t="shared" si="42"/>
        <v>0</v>
      </c>
      <c r="AO116">
        <f t="shared" si="43"/>
        <v>0</v>
      </c>
      <c r="AP116">
        <f t="shared" si="30"/>
        <v>0</v>
      </c>
    </row>
    <row r="117" spans="1:42" x14ac:dyDescent="0.35">
      <c r="A117" s="8" t="s">
        <v>96</v>
      </c>
      <c r="B117" s="9">
        <v>95101104184</v>
      </c>
      <c r="C117" s="9" t="s">
        <v>23</v>
      </c>
      <c r="D117" s="9" t="s">
        <v>23</v>
      </c>
      <c r="E117" s="9">
        <v>55</v>
      </c>
      <c r="F117" s="9" t="s">
        <v>23</v>
      </c>
      <c r="G117" s="9" t="s">
        <v>23</v>
      </c>
      <c r="H117" s="9" t="s">
        <v>23</v>
      </c>
      <c r="I117" s="9">
        <v>97</v>
      </c>
      <c r="J117" s="9">
        <v>92</v>
      </c>
      <c r="K117" s="9" t="s">
        <v>23</v>
      </c>
      <c r="L117" s="9" t="s">
        <v>23</v>
      </c>
      <c r="M117" s="9" t="s">
        <v>23</v>
      </c>
      <c r="N117" s="9" t="s">
        <v>23</v>
      </c>
      <c r="O117" s="9" t="s">
        <v>23</v>
      </c>
      <c r="P117" s="9" t="s">
        <v>23</v>
      </c>
      <c r="Q117" s="9">
        <v>94</v>
      </c>
      <c r="R117" s="9">
        <v>78</v>
      </c>
      <c r="S117" s="9">
        <v>63</v>
      </c>
      <c r="T117" s="9" t="s">
        <v>23</v>
      </c>
      <c r="U117" s="10" t="s">
        <v>23</v>
      </c>
      <c r="V117">
        <f t="shared" si="29"/>
        <v>1</v>
      </c>
      <c r="W117">
        <f t="shared" si="31"/>
        <v>0</v>
      </c>
      <c r="X117">
        <f t="shared" si="32"/>
        <v>0</v>
      </c>
      <c r="Y117">
        <f t="shared" si="33"/>
        <v>1</v>
      </c>
      <c r="Z117">
        <f t="shared" si="34"/>
        <v>0</v>
      </c>
      <c r="AA117">
        <f t="shared" si="35"/>
        <v>0</v>
      </c>
      <c r="AB117">
        <f t="shared" si="36"/>
        <v>0</v>
      </c>
      <c r="AC117">
        <v>0</v>
      </c>
      <c r="AD117">
        <f t="shared" si="37"/>
        <v>1</v>
      </c>
      <c r="AE117">
        <v>0</v>
      </c>
      <c r="AF117">
        <f t="shared" si="38"/>
        <v>0</v>
      </c>
      <c r="AG117">
        <v>0</v>
      </c>
      <c r="AH117">
        <f t="shared" si="39"/>
        <v>0</v>
      </c>
      <c r="AI117">
        <v>0</v>
      </c>
      <c r="AJ117">
        <f t="shared" si="40"/>
        <v>0</v>
      </c>
      <c r="AK117">
        <v>0</v>
      </c>
      <c r="AL117">
        <f t="shared" si="41"/>
        <v>1</v>
      </c>
      <c r="AM117">
        <v>0</v>
      </c>
      <c r="AN117">
        <f t="shared" si="42"/>
        <v>0</v>
      </c>
      <c r="AO117">
        <f t="shared" si="43"/>
        <v>0</v>
      </c>
      <c r="AP117">
        <f t="shared" si="30"/>
        <v>1</v>
      </c>
    </row>
    <row r="118" spans="1:42" x14ac:dyDescent="0.35">
      <c r="A118" s="5" t="s">
        <v>96</v>
      </c>
      <c r="B118" s="6">
        <v>95101303842</v>
      </c>
      <c r="C118" s="6" t="s">
        <v>23</v>
      </c>
      <c r="D118" s="6" t="s">
        <v>23</v>
      </c>
      <c r="E118" s="6">
        <v>78</v>
      </c>
      <c r="F118" s="6" t="s">
        <v>23</v>
      </c>
      <c r="G118" s="6" t="s">
        <v>23</v>
      </c>
      <c r="H118" s="6" t="s">
        <v>23</v>
      </c>
      <c r="I118" s="6">
        <v>98</v>
      </c>
      <c r="J118" s="6">
        <v>85</v>
      </c>
      <c r="K118" s="6" t="s">
        <v>23</v>
      </c>
      <c r="L118" s="6" t="s">
        <v>23</v>
      </c>
      <c r="M118" s="6" t="s">
        <v>23</v>
      </c>
      <c r="N118" s="6" t="s">
        <v>23</v>
      </c>
      <c r="O118" s="6" t="s">
        <v>23</v>
      </c>
      <c r="P118" s="6" t="s">
        <v>23</v>
      </c>
      <c r="Q118" s="6">
        <v>100</v>
      </c>
      <c r="R118" s="6">
        <v>92</v>
      </c>
      <c r="S118" s="6">
        <v>70</v>
      </c>
      <c r="T118" s="6" t="s">
        <v>23</v>
      </c>
      <c r="U118" s="7" t="s">
        <v>23</v>
      </c>
      <c r="V118">
        <f t="shared" si="29"/>
        <v>1</v>
      </c>
      <c r="W118">
        <f t="shared" si="31"/>
        <v>0</v>
      </c>
      <c r="X118">
        <f t="shared" si="32"/>
        <v>0</v>
      </c>
      <c r="Y118">
        <f t="shared" si="33"/>
        <v>1</v>
      </c>
      <c r="Z118">
        <f t="shared" si="34"/>
        <v>0</v>
      </c>
      <c r="AA118">
        <f t="shared" si="35"/>
        <v>0</v>
      </c>
      <c r="AB118">
        <f t="shared" si="36"/>
        <v>0</v>
      </c>
      <c r="AC118">
        <v>0</v>
      </c>
      <c r="AD118">
        <f t="shared" si="37"/>
        <v>1</v>
      </c>
      <c r="AE118">
        <v>0</v>
      </c>
      <c r="AF118">
        <f t="shared" si="38"/>
        <v>0</v>
      </c>
      <c r="AG118">
        <v>0</v>
      </c>
      <c r="AH118">
        <f t="shared" si="39"/>
        <v>0</v>
      </c>
      <c r="AI118">
        <v>0</v>
      </c>
      <c r="AJ118">
        <f t="shared" si="40"/>
        <v>0</v>
      </c>
      <c r="AK118">
        <v>0</v>
      </c>
      <c r="AL118">
        <f t="shared" si="41"/>
        <v>1</v>
      </c>
      <c r="AM118">
        <v>0</v>
      </c>
      <c r="AN118">
        <f t="shared" si="42"/>
        <v>0</v>
      </c>
      <c r="AO118">
        <f t="shared" si="43"/>
        <v>0</v>
      </c>
      <c r="AP118">
        <f t="shared" si="30"/>
        <v>1</v>
      </c>
    </row>
    <row r="119" spans="1:42" x14ac:dyDescent="0.35">
      <c r="A119" s="8" t="s">
        <v>96</v>
      </c>
      <c r="B119" s="9">
        <v>95101902775</v>
      </c>
      <c r="C119" s="9" t="s">
        <v>23</v>
      </c>
      <c r="D119" s="9" t="s">
        <v>23</v>
      </c>
      <c r="E119" s="9" t="s">
        <v>23</v>
      </c>
      <c r="F119" s="9" t="s">
        <v>23</v>
      </c>
      <c r="G119" s="9" t="s">
        <v>23</v>
      </c>
      <c r="H119" s="9">
        <v>52</v>
      </c>
      <c r="I119" s="9">
        <v>96</v>
      </c>
      <c r="J119" s="9">
        <v>68</v>
      </c>
      <c r="K119" s="9" t="s">
        <v>23</v>
      </c>
      <c r="L119" s="9" t="s">
        <v>23</v>
      </c>
      <c r="M119" s="9" t="s">
        <v>23</v>
      </c>
      <c r="N119" s="9" t="s">
        <v>23</v>
      </c>
      <c r="O119" s="9" t="s">
        <v>23</v>
      </c>
      <c r="P119" s="9" t="s">
        <v>23</v>
      </c>
      <c r="Q119" s="9">
        <v>94</v>
      </c>
      <c r="R119" s="9">
        <v>56</v>
      </c>
      <c r="S119" s="9">
        <v>57</v>
      </c>
      <c r="T119" s="9" t="s">
        <v>23</v>
      </c>
      <c r="U119" s="10" t="s">
        <v>23</v>
      </c>
      <c r="V119">
        <f t="shared" si="29"/>
        <v>0</v>
      </c>
      <c r="W119">
        <f t="shared" si="31"/>
        <v>0</v>
      </c>
      <c r="X119">
        <f t="shared" si="32"/>
        <v>0</v>
      </c>
      <c r="Y119">
        <f t="shared" si="33"/>
        <v>0</v>
      </c>
      <c r="Z119">
        <f t="shared" si="34"/>
        <v>0</v>
      </c>
      <c r="AA119">
        <f t="shared" si="35"/>
        <v>0</v>
      </c>
      <c r="AB119">
        <f t="shared" si="36"/>
        <v>1</v>
      </c>
      <c r="AC119">
        <v>0</v>
      </c>
      <c r="AD119">
        <f t="shared" si="37"/>
        <v>1</v>
      </c>
      <c r="AE119">
        <v>0</v>
      </c>
      <c r="AF119">
        <f t="shared" si="38"/>
        <v>0</v>
      </c>
      <c r="AG119">
        <v>0</v>
      </c>
      <c r="AH119">
        <f t="shared" si="39"/>
        <v>0</v>
      </c>
      <c r="AI119">
        <v>0</v>
      </c>
      <c r="AJ119">
        <f t="shared" si="40"/>
        <v>0</v>
      </c>
      <c r="AK119">
        <v>0</v>
      </c>
      <c r="AL119">
        <f t="shared" si="41"/>
        <v>1</v>
      </c>
      <c r="AM119">
        <v>0</v>
      </c>
      <c r="AN119">
        <f t="shared" si="42"/>
        <v>0</v>
      </c>
      <c r="AO119">
        <f t="shared" si="43"/>
        <v>0</v>
      </c>
      <c r="AP119">
        <f t="shared" si="30"/>
        <v>1</v>
      </c>
    </row>
    <row r="120" spans="1:42" x14ac:dyDescent="0.35">
      <c r="A120" s="5" t="s">
        <v>96</v>
      </c>
      <c r="B120" s="6">
        <v>95102002757</v>
      </c>
      <c r="C120" s="6" t="s">
        <v>23</v>
      </c>
      <c r="D120" s="6" t="s">
        <v>23</v>
      </c>
      <c r="E120" s="6">
        <v>70</v>
      </c>
      <c r="F120" s="6" t="s">
        <v>23</v>
      </c>
      <c r="G120" s="6" t="s">
        <v>23</v>
      </c>
      <c r="H120" s="6" t="s">
        <v>23</v>
      </c>
      <c r="I120" s="6">
        <v>100</v>
      </c>
      <c r="J120" s="6">
        <v>86</v>
      </c>
      <c r="K120" s="6" t="s">
        <v>23</v>
      </c>
      <c r="L120" s="6" t="s">
        <v>23</v>
      </c>
      <c r="M120" s="6" t="s">
        <v>23</v>
      </c>
      <c r="N120" s="6" t="s">
        <v>23</v>
      </c>
      <c r="O120" s="6" t="s">
        <v>23</v>
      </c>
      <c r="P120" s="6" t="s">
        <v>23</v>
      </c>
      <c r="Q120" s="6">
        <v>98</v>
      </c>
      <c r="R120" s="6">
        <v>78</v>
      </c>
      <c r="S120" s="6">
        <v>90</v>
      </c>
      <c r="T120" s="6" t="s">
        <v>23</v>
      </c>
      <c r="U120" s="7" t="s">
        <v>23</v>
      </c>
      <c r="V120">
        <f t="shared" si="29"/>
        <v>0</v>
      </c>
      <c r="W120">
        <f t="shared" si="31"/>
        <v>0</v>
      </c>
      <c r="X120">
        <f t="shared" si="32"/>
        <v>0</v>
      </c>
      <c r="Y120">
        <f t="shared" si="33"/>
        <v>1</v>
      </c>
      <c r="Z120">
        <f t="shared" si="34"/>
        <v>0</v>
      </c>
      <c r="AA120">
        <f t="shared" si="35"/>
        <v>0</v>
      </c>
      <c r="AB120">
        <f t="shared" si="36"/>
        <v>0</v>
      </c>
      <c r="AC120">
        <v>0</v>
      </c>
      <c r="AD120">
        <f t="shared" si="37"/>
        <v>1</v>
      </c>
      <c r="AE120">
        <v>0</v>
      </c>
      <c r="AF120">
        <f t="shared" si="38"/>
        <v>0</v>
      </c>
      <c r="AG120">
        <v>0</v>
      </c>
      <c r="AH120">
        <f t="shared" si="39"/>
        <v>0</v>
      </c>
      <c r="AI120">
        <v>0</v>
      </c>
      <c r="AJ120">
        <f t="shared" si="40"/>
        <v>0</v>
      </c>
      <c r="AK120">
        <v>0</v>
      </c>
      <c r="AL120">
        <f t="shared" si="41"/>
        <v>1</v>
      </c>
      <c r="AM120">
        <v>0</v>
      </c>
      <c r="AN120">
        <f t="shared" si="42"/>
        <v>0</v>
      </c>
      <c r="AO120">
        <f t="shared" si="43"/>
        <v>0</v>
      </c>
      <c r="AP120">
        <f t="shared" si="30"/>
        <v>1</v>
      </c>
    </row>
    <row r="121" spans="1:42" x14ac:dyDescent="0.35">
      <c r="A121" s="8" t="s">
        <v>96</v>
      </c>
      <c r="B121" s="9">
        <v>95102301894</v>
      </c>
      <c r="C121" s="9" t="s">
        <v>23</v>
      </c>
      <c r="D121" s="9" t="s">
        <v>23</v>
      </c>
      <c r="E121" s="9">
        <v>32</v>
      </c>
      <c r="F121" s="9" t="s">
        <v>23</v>
      </c>
      <c r="G121" s="9" t="s">
        <v>23</v>
      </c>
      <c r="H121" s="9" t="s">
        <v>23</v>
      </c>
      <c r="I121" s="9">
        <v>96</v>
      </c>
      <c r="J121" s="9">
        <v>78</v>
      </c>
      <c r="K121" s="9" t="s">
        <v>23</v>
      </c>
      <c r="L121" s="9" t="s">
        <v>23</v>
      </c>
      <c r="M121" s="9" t="s">
        <v>23</v>
      </c>
      <c r="N121" s="9" t="s">
        <v>23</v>
      </c>
      <c r="O121" s="9" t="s">
        <v>23</v>
      </c>
      <c r="P121" s="9" t="s">
        <v>23</v>
      </c>
      <c r="Q121" s="9">
        <v>90</v>
      </c>
      <c r="R121" s="9">
        <v>74</v>
      </c>
      <c r="S121" s="9">
        <v>74</v>
      </c>
      <c r="T121" s="9" t="s">
        <v>23</v>
      </c>
      <c r="U121" s="10" t="s">
        <v>23</v>
      </c>
      <c r="V121">
        <f t="shared" si="29"/>
        <v>0</v>
      </c>
      <c r="W121">
        <f t="shared" si="31"/>
        <v>0</v>
      </c>
      <c r="X121">
        <f t="shared" si="32"/>
        <v>0</v>
      </c>
      <c r="Y121">
        <f t="shared" si="33"/>
        <v>1</v>
      </c>
      <c r="Z121">
        <f t="shared" si="34"/>
        <v>0</v>
      </c>
      <c r="AA121">
        <f t="shared" si="35"/>
        <v>0</v>
      </c>
      <c r="AB121">
        <f t="shared" si="36"/>
        <v>0</v>
      </c>
      <c r="AC121">
        <v>0</v>
      </c>
      <c r="AD121">
        <f t="shared" si="37"/>
        <v>1</v>
      </c>
      <c r="AE121">
        <v>0</v>
      </c>
      <c r="AF121">
        <f t="shared" si="38"/>
        <v>0</v>
      </c>
      <c r="AG121">
        <v>0</v>
      </c>
      <c r="AH121">
        <f t="shared" si="39"/>
        <v>0</v>
      </c>
      <c r="AI121">
        <v>0</v>
      </c>
      <c r="AJ121">
        <f t="shared" si="40"/>
        <v>0</v>
      </c>
      <c r="AK121">
        <v>0</v>
      </c>
      <c r="AL121">
        <f t="shared" si="41"/>
        <v>1</v>
      </c>
      <c r="AM121">
        <v>0</v>
      </c>
      <c r="AN121">
        <f t="shared" si="42"/>
        <v>0</v>
      </c>
      <c r="AO121">
        <f t="shared" si="43"/>
        <v>0</v>
      </c>
      <c r="AP121">
        <f t="shared" si="30"/>
        <v>1</v>
      </c>
    </row>
    <row r="122" spans="1:42" x14ac:dyDescent="0.35">
      <c r="A122" s="5" t="s">
        <v>96</v>
      </c>
      <c r="B122" s="6">
        <v>95112306692</v>
      </c>
      <c r="C122" s="6" t="s">
        <v>23</v>
      </c>
      <c r="D122" s="6" t="s">
        <v>23</v>
      </c>
      <c r="E122" s="6">
        <v>75</v>
      </c>
      <c r="F122" s="6" t="s">
        <v>23</v>
      </c>
      <c r="G122" s="6" t="s">
        <v>23</v>
      </c>
      <c r="H122" s="6" t="s">
        <v>23</v>
      </c>
      <c r="I122" s="6">
        <v>100</v>
      </c>
      <c r="J122" s="6">
        <v>64</v>
      </c>
      <c r="K122" s="6" t="s">
        <v>23</v>
      </c>
      <c r="L122" s="6" t="s">
        <v>23</v>
      </c>
      <c r="M122" s="6" t="s">
        <v>23</v>
      </c>
      <c r="N122" s="6" t="s">
        <v>23</v>
      </c>
      <c r="O122" s="6" t="s">
        <v>23</v>
      </c>
      <c r="P122" s="6" t="s">
        <v>23</v>
      </c>
      <c r="Q122" s="6">
        <v>92</v>
      </c>
      <c r="R122" s="6">
        <v>74</v>
      </c>
      <c r="S122" s="6">
        <v>70</v>
      </c>
      <c r="T122" s="6" t="s">
        <v>23</v>
      </c>
      <c r="U122" s="7" t="s">
        <v>23</v>
      </c>
      <c r="V122">
        <f t="shared" si="29"/>
        <v>0</v>
      </c>
      <c r="W122">
        <f t="shared" si="31"/>
        <v>0</v>
      </c>
      <c r="X122">
        <f t="shared" si="32"/>
        <v>0</v>
      </c>
      <c r="Y122">
        <f t="shared" si="33"/>
        <v>1</v>
      </c>
      <c r="Z122">
        <f t="shared" si="34"/>
        <v>0</v>
      </c>
      <c r="AA122">
        <f t="shared" si="35"/>
        <v>0</v>
      </c>
      <c r="AB122">
        <f t="shared" si="36"/>
        <v>0</v>
      </c>
      <c r="AC122">
        <v>0</v>
      </c>
      <c r="AD122">
        <f t="shared" si="37"/>
        <v>1</v>
      </c>
      <c r="AE122">
        <v>0</v>
      </c>
      <c r="AF122">
        <f t="shared" si="38"/>
        <v>0</v>
      </c>
      <c r="AG122">
        <v>0</v>
      </c>
      <c r="AH122">
        <f t="shared" si="39"/>
        <v>0</v>
      </c>
      <c r="AI122">
        <v>0</v>
      </c>
      <c r="AJ122">
        <f t="shared" si="40"/>
        <v>0</v>
      </c>
      <c r="AK122">
        <v>0</v>
      </c>
      <c r="AL122">
        <f t="shared" si="41"/>
        <v>1</v>
      </c>
      <c r="AM122">
        <v>0</v>
      </c>
      <c r="AN122">
        <f t="shared" si="42"/>
        <v>0</v>
      </c>
      <c r="AO122">
        <f t="shared" si="43"/>
        <v>0</v>
      </c>
      <c r="AP122">
        <f t="shared" si="30"/>
        <v>1</v>
      </c>
    </row>
    <row r="123" spans="1:42" x14ac:dyDescent="0.35">
      <c r="A123" s="8" t="s">
        <v>96</v>
      </c>
      <c r="B123" s="9">
        <v>95112702337</v>
      </c>
      <c r="C123" s="9" t="s">
        <v>23</v>
      </c>
      <c r="D123" s="9" t="s">
        <v>23</v>
      </c>
      <c r="E123" s="9">
        <v>63</v>
      </c>
      <c r="F123" s="9" t="s">
        <v>23</v>
      </c>
      <c r="G123" s="9" t="s">
        <v>23</v>
      </c>
      <c r="H123" s="9" t="s">
        <v>23</v>
      </c>
      <c r="I123" s="9">
        <v>96</v>
      </c>
      <c r="J123" s="9" t="s">
        <v>23</v>
      </c>
      <c r="K123" s="9" t="s">
        <v>23</v>
      </c>
      <c r="L123" s="9" t="s">
        <v>23</v>
      </c>
      <c r="M123" s="9" t="s">
        <v>23</v>
      </c>
      <c r="N123" s="9" t="s">
        <v>23</v>
      </c>
      <c r="O123" s="9" t="s">
        <v>23</v>
      </c>
      <c r="P123" s="9" t="s">
        <v>23</v>
      </c>
      <c r="Q123" s="9">
        <v>96</v>
      </c>
      <c r="R123" s="9">
        <v>92</v>
      </c>
      <c r="S123" s="9">
        <v>67</v>
      </c>
      <c r="T123" s="9" t="s">
        <v>23</v>
      </c>
      <c r="U123" s="10" t="s">
        <v>23</v>
      </c>
      <c r="V123">
        <f t="shared" si="29"/>
        <v>0</v>
      </c>
      <c r="W123">
        <f t="shared" si="31"/>
        <v>0</v>
      </c>
      <c r="X123">
        <f t="shared" si="32"/>
        <v>0</v>
      </c>
      <c r="Y123">
        <f t="shared" si="33"/>
        <v>1</v>
      </c>
      <c r="Z123">
        <f t="shared" si="34"/>
        <v>0</v>
      </c>
      <c r="AA123">
        <f t="shared" si="35"/>
        <v>0</v>
      </c>
      <c r="AB123">
        <f t="shared" si="36"/>
        <v>0</v>
      </c>
      <c r="AC123">
        <v>0</v>
      </c>
      <c r="AD123">
        <f t="shared" si="37"/>
        <v>0</v>
      </c>
      <c r="AE123">
        <v>0</v>
      </c>
      <c r="AF123">
        <f t="shared" si="38"/>
        <v>0</v>
      </c>
      <c r="AG123">
        <v>0</v>
      </c>
      <c r="AH123">
        <f t="shared" si="39"/>
        <v>0</v>
      </c>
      <c r="AI123">
        <v>0</v>
      </c>
      <c r="AJ123">
        <f t="shared" si="40"/>
        <v>0</v>
      </c>
      <c r="AK123">
        <v>0</v>
      </c>
      <c r="AL123">
        <f t="shared" si="41"/>
        <v>1</v>
      </c>
      <c r="AM123">
        <v>0</v>
      </c>
      <c r="AN123">
        <f t="shared" si="42"/>
        <v>0</v>
      </c>
      <c r="AO123">
        <f t="shared" si="43"/>
        <v>0</v>
      </c>
      <c r="AP123">
        <f t="shared" si="30"/>
        <v>0</v>
      </c>
    </row>
    <row r="124" spans="1:42" x14ac:dyDescent="0.35">
      <c r="A124" s="5" t="s">
        <v>96</v>
      </c>
      <c r="B124" s="6">
        <v>95122110962</v>
      </c>
      <c r="C124" s="6" t="s">
        <v>23</v>
      </c>
      <c r="D124" s="6" t="s">
        <v>23</v>
      </c>
      <c r="E124" s="6" t="s">
        <v>23</v>
      </c>
      <c r="F124" s="6" t="s">
        <v>23</v>
      </c>
      <c r="G124" s="6" t="s">
        <v>23</v>
      </c>
      <c r="H124" s="6" t="s">
        <v>23</v>
      </c>
      <c r="I124" s="6">
        <v>98</v>
      </c>
      <c r="J124" s="6">
        <v>65</v>
      </c>
      <c r="K124" s="6" t="s">
        <v>23</v>
      </c>
      <c r="L124" s="6" t="s">
        <v>23</v>
      </c>
      <c r="M124" s="6" t="s">
        <v>23</v>
      </c>
      <c r="N124" s="6" t="s">
        <v>23</v>
      </c>
      <c r="O124" s="6" t="s">
        <v>23</v>
      </c>
      <c r="P124" s="6" t="s">
        <v>23</v>
      </c>
      <c r="Q124" s="6">
        <v>94</v>
      </c>
      <c r="R124" s="6">
        <v>68</v>
      </c>
      <c r="S124" s="6">
        <v>81</v>
      </c>
      <c r="T124" s="6" t="s">
        <v>23</v>
      </c>
      <c r="U124" s="7" t="s">
        <v>23</v>
      </c>
      <c r="V124">
        <f t="shared" si="29"/>
        <v>1</v>
      </c>
      <c r="W124">
        <f t="shared" si="31"/>
        <v>0</v>
      </c>
      <c r="X124">
        <f t="shared" si="32"/>
        <v>0</v>
      </c>
      <c r="Y124">
        <f t="shared" si="33"/>
        <v>0</v>
      </c>
      <c r="Z124">
        <f t="shared" si="34"/>
        <v>0</v>
      </c>
      <c r="AA124">
        <f t="shared" si="35"/>
        <v>0</v>
      </c>
      <c r="AB124">
        <f t="shared" si="36"/>
        <v>0</v>
      </c>
      <c r="AC124">
        <v>0</v>
      </c>
      <c r="AD124">
        <f t="shared" si="37"/>
        <v>1</v>
      </c>
      <c r="AE124">
        <v>0</v>
      </c>
      <c r="AF124">
        <f t="shared" si="38"/>
        <v>0</v>
      </c>
      <c r="AG124">
        <v>0</v>
      </c>
      <c r="AH124">
        <f t="shared" si="39"/>
        <v>0</v>
      </c>
      <c r="AI124">
        <v>0</v>
      </c>
      <c r="AJ124">
        <f t="shared" si="40"/>
        <v>0</v>
      </c>
      <c r="AK124">
        <v>0</v>
      </c>
      <c r="AL124">
        <f t="shared" si="41"/>
        <v>1</v>
      </c>
      <c r="AM124">
        <v>0</v>
      </c>
      <c r="AN124">
        <f t="shared" si="42"/>
        <v>0</v>
      </c>
      <c r="AO124">
        <f t="shared" si="43"/>
        <v>0</v>
      </c>
      <c r="AP124">
        <f t="shared" si="30"/>
        <v>0</v>
      </c>
    </row>
    <row r="125" spans="1:42" x14ac:dyDescent="0.35">
      <c r="A125" s="8" t="s">
        <v>96</v>
      </c>
      <c r="B125" s="9">
        <v>95123001771</v>
      </c>
      <c r="C125" s="9" t="s">
        <v>23</v>
      </c>
      <c r="D125" s="9" t="s">
        <v>23</v>
      </c>
      <c r="E125" s="9" t="s">
        <v>23</v>
      </c>
      <c r="F125" s="9" t="s">
        <v>23</v>
      </c>
      <c r="G125" s="9" t="s">
        <v>23</v>
      </c>
      <c r="H125" s="9" t="s">
        <v>23</v>
      </c>
      <c r="I125" s="9">
        <v>98</v>
      </c>
      <c r="J125" s="9">
        <v>84</v>
      </c>
      <c r="K125" s="9" t="s">
        <v>23</v>
      </c>
      <c r="L125" s="9" t="s">
        <v>23</v>
      </c>
      <c r="M125" s="9" t="s">
        <v>23</v>
      </c>
      <c r="N125" s="9" t="s">
        <v>23</v>
      </c>
      <c r="O125" s="9" t="s">
        <v>23</v>
      </c>
      <c r="P125" s="9" t="s">
        <v>23</v>
      </c>
      <c r="Q125" s="9">
        <v>82</v>
      </c>
      <c r="R125" s="9">
        <v>54</v>
      </c>
      <c r="S125" s="9">
        <v>73</v>
      </c>
      <c r="T125" s="9" t="s">
        <v>23</v>
      </c>
      <c r="U125" s="10" t="s">
        <v>23</v>
      </c>
      <c r="V125">
        <f t="shared" si="29"/>
        <v>0</v>
      </c>
      <c r="W125">
        <f t="shared" si="31"/>
        <v>0</v>
      </c>
      <c r="X125">
        <f t="shared" si="32"/>
        <v>0</v>
      </c>
      <c r="Y125">
        <f t="shared" si="33"/>
        <v>0</v>
      </c>
      <c r="Z125">
        <f t="shared" si="34"/>
        <v>0</v>
      </c>
      <c r="AA125">
        <f t="shared" si="35"/>
        <v>0</v>
      </c>
      <c r="AB125">
        <f t="shared" si="36"/>
        <v>0</v>
      </c>
      <c r="AC125">
        <v>0</v>
      </c>
      <c r="AD125">
        <f t="shared" si="37"/>
        <v>1</v>
      </c>
      <c r="AE125">
        <v>0</v>
      </c>
      <c r="AF125">
        <f t="shared" si="38"/>
        <v>0</v>
      </c>
      <c r="AG125">
        <v>0</v>
      </c>
      <c r="AH125">
        <f t="shared" si="39"/>
        <v>0</v>
      </c>
      <c r="AI125">
        <v>0</v>
      </c>
      <c r="AJ125">
        <f t="shared" si="40"/>
        <v>0</v>
      </c>
      <c r="AK125">
        <v>0</v>
      </c>
      <c r="AL125">
        <f t="shared" si="41"/>
        <v>1</v>
      </c>
      <c r="AM125">
        <v>0</v>
      </c>
      <c r="AN125">
        <f t="shared" si="42"/>
        <v>0</v>
      </c>
      <c r="AO125">
        <f t="shared" si="43"/>
        <v>0</v>
      </c>
      <c r="AP125">
        <f t="shared" si="30"/>
        <v>0</v>
      </c>
    </row>
    <row r="126" spans="1:42" x14ac:dyDescent="0.35">
      <c r="A126" s="5" t="s">
        <v>96</v>
      </c>
      <c r="B126" s="6">
        <v>96011200502</v>
      </c>
      <c r="C126" s="6" t="s">
        <v>23</v>
      </c>
      <c r="D126" s="6" t="s">
        <v>23</v>
      </c>
      <c r="E126" s="6">
        <v>77</v>
      </c>
      <c r="F126" s="6" t="s">
        <v>23</v>
      </c>
      <c r="G126" s="6" t="s">
        <v>23</v>
      </c>
      <c r="H126" s="6" t="s">
        <v>23</v>
      </c>
      <c r="I126" s="6">
        <v>94</v>
      </c>
      <c r="J126" s="6">
        <v>86</v>
      </c>
      <c r="K126" s="6" t="s">
        <v>23</v>
      </c>
      <c r="L126" s="6" t="s">
        <v>23</v>
      </c>
      <c r="M126" s="6" t="s">
        <v>23</v>
      </c>
      <c r="N126" s="6" t="s">
        <v>23</v>
      </c>
      <c r="O126" s="6" t="s">
        <v>23</v>
      </c>
      <c r="P126" s="6" t="s">
        <v>23</v>
      </c>
      <c r="Q126" s="6">
        <v>98</v>
      </c>
      <c r="R126" s="6">
        <v>64</v>
      </c>
      <c r="S126" s="6">
        <v>59</v>
      </c>
      <c r="T126" s="6" t="s">
        <v>23</v>
      </c>
      <c r="U126" s="7" t="s">
        <v>23</v>
      </c>
      <c r="V126">
        <f t="shared" si="29"/>
        <v>1</v>
      </c>
      <c r="W126">
        <f t="shared" si="31"/>
        <v>0</v>
      </c>
      <c r="X126">
        <f t="shared" si="32"/>
        <v>0</v>
      </c>
      <c r="Y126">
        <f t="shared" si="33"/>
        <v>1</v>
      </c>
      <c r="Z126">
        <f t="shared" si="34"/>
        <v>0</v>
      </c>
      <c r="AA126">
        <f t="shared" si="35"/>
        <v>0</v>
      </c>
      <c r="AB126">
        <f t="shared" si="36"/>
        <v>0</v>
      </c>
      <c r="AC126">
        <v>0</v>
      </c>
      <c r="AD126">
        <f t="shared" si="37"/>
        <v>1</v>
      </c>
      <c r="AE126">
        <v>0</v>
      </c>
      <c r="AF126">
        <f t="shared" si="38"/>
        <v>0</v>
      </c>
      <c r="AG126">
        <v>0</v>
      </c>
      <c r="AH126">
        <f t="shared" si="39"/>
        <v>0</v>
      </c>
      <c r="AI126">
        <v>0</v>
      </c>
      <c r="AJ126">
        <f t="shared" si="40"/>
        <v>0</v>
      </c>
      <c r="AK126">
        <v>0</v>
      </c>
      <c r="AL126">
        <f t="shared" si="41"/>
        <v>1</v>
      </c>
      <c r="AM126">
        <v>0</v>
      </c>
      <c r="AN126">
        <f t="shared" si="42"/>
        <v>0</v>
      </c>
      <c r="AO126">
        <f t="shared" si="43"/>
        <v>0</v>
      </c>
      <c r="AP126">
        <f t="shared" si="30"/>
        <v>1</v>
      </c>
    </row>
    <row r="127" spans="1:42" x14ac:dyDescent="0.35">
      <c r="A127" s="8" t="s">
        <v>100</v>
      </c>
      <c r="B127" s="9">
        <v>94011110436</v>
      </c>
      <c r="C127" s="9" t="s">
        <v>23</v>
      </c>
      <c r="D127" s="9" t="s">
        <v>23</v>
      </c>
      <c r="E127" s="9" t="s">
        <v>23</v>
      </c>
      <c r="F127" s="9" t="s">
        <v>23</v>
      </c>
      <c r="G127" s="9" t="s">
        <v>23</v>
      </c>
      <c r="H127" s="9" t="s">
        <v>23</v>
      </c>
      <c r="I127" s="9">
        <v>96</v>
      </c>
      <c r="J127" s="9" t="s">
        <v>23</v>
      </c>
      <c r="K127" s="9" t="s">
        <v>23</v>
      </c>
      <c r="L127" s="9" t="s">
        <v>23</v>
      </c>
      <c r="M127" s="9">
        <v>97</v>
      </c>
      <c r="N127" s="9">
        <v>73</v>
      </c>
      <c r="O127" s="9" t="s">
        <v>23</v>
      </c>
      <c r="P127" s="9" t="s">
        <v>23</v>
      </c>
      <c r="Q127" s="9">
        <v>58</v>
      </c>
      <c r="R127" s="9" t="s">
        <v>23</v>
      </c>
      <c r="S127" s="9">
        <v>69</v>
      </c>
      <c r="T127" s="9">
        <v>65</v>
      </c>
      <c r="U127" s="10" t="s">
        <v>23</v>
      </c>
      <c r="V127">
        <f t="shared" si="29"/>
        <v>0</v>
      </c>
      <c r="W127">
        <f t="shared" si="31"/>
        <v>0</v>
      </c>
      <c r="X127">
        <f t="shared" si="32"/>
        <v>0</v>
      </c>
      <c r="Y127">
        <f t="shared" si="33"/>
        <v>0</v>
      </c>
      <c r="Z127">
        <f t="shared" si="34"/>
        <v>0</v>
      </c>
      <c r="AA127">
        <f t="shared" si="35"/>
        <v>0</v>
      </c>
      <c r="AB127">
        <f t="shared" si="36"/>
        <v>0</v>
      </c>
      <c r="AC127">
        <v>0</v>
      </c>
      <c r="AD127">
        <f t="shared" si="37"/>
        <v>0</v>
      </c>
      <c r="AE127">
        <v>0</v>
      </c>
      <c r="AF127">
        <f t="shared" si="38"/>
        <v>0</v>
      </c>
      <c r="AG127">
        <v>0</v>
      </c>
      <c r="AH127">
        <f t="shared" si="39"/>
        <v>1</v>
      </c>
      <c r="AI127">
        <v>0</v>
      </c>
      <c r="AJ127">
        <f t="shared" si="40"/>
        <v>0</v>
      </c>
      <c r="AK127">
        <v>0</v>
      </c>
      <c r="AL127">
        <f t="shared" si="41"/>
        <v>0</v>
      </c>
      <c r="AM127">
        <v>0</v>
      </c>
      <c r="AN127">
        <f t="shared" si="42"/>
        <v>1</v>
      </c>
      <c r="AO127">
        <f t="shared" si="43"/>
        <v>0</v>
      </c>
      <c r="AP127">
        <f t="shared" si="30"/>
        <v>0</v>
      </c>
    </row>
    <row r="128" spans="1:42" x14ac:dyDescent="0.35">
      <c r="A128" s="5" t="s">
        <v>100</v>
      </c>
      <c r="B128" s="6">
        <v>94013113642</v>
      </c>
      <c r="C128" s="6" t="s">
        <v>23</v>
      </c>
      <c r="D128" s="6" t="s">
        <v>23</v>
      </c>
      <c r="E128" s="6" t="s">
        <v>23</v>
      </c>
      <c r="F128" s="6" t="s">
        <v>23</v>
      </c>
      <c r="G128" s="6" t="s">
        <v>23</v>
      </c>
      <c r="H128" s="6" t="s">
        <v>23</v>
      </c>
      <c r="I128" s="6">
        <v>96</v>
      </c>
      <c r="J128" s="6" t="s">
        <v>23</v>
      </c>
      <c r="K128" s="6" t="s">
        <v>23</v>
      </c>
      <c r="L128" s="6" t="s">
        <v>23</v>
      </c>
      <c r="M128" s="6">
        <v>83</v>
      </c>
      <c r="N128" s="6">
        <v>61</v>
      </c>
      <c r="O128" s="6" t="s">
        <v>23</v>
      </c>
      <c r="P128" s="6" t="s">
        <v>23</v>
      </c>
      <c r="Q128" s="6">
        <v>68</v>
      </c>
      <c r="R128" s="6" t="s">
        <v>23</v>
      </c>
      <c r="S128" s="6">
        <v>69</v>
      </c>
      <c r="T128" s="6">
        <v>58</v>
      </c>
      <c r="U128" s="7" t="s">
        <v>23</v>
      </c>
      <c r="V128">
        <f t="shared" si="29"/>
        <v>1</v>
      </c>
      <c r="W128">
        <f t="shared" si="31"/>
        <v>0</v>
      </c>
      <c r="X128">
        <f t="shared" si="32"/>
        <v>0</v>
      </c>
      <c r="Y128">
        <f t="shared" si="33"/>
        <v>0</v>
      </c>
      <c r="Z128">
        <f t="shared" si="34"/>
        <v>0</v>
      </c>
      <c r="AA128">
        <f t="shared" si="35"/>
        <v>0</v>
      </c>
      <c r="AB128">
        <f t="shared" si="36"/>
        <v>0</v>
      </c>
      <c r="AC128">
        <v>0</v>
      </c>
      <c r="AD128">
        <f t="shared" si="37"/>
        <v>0</v>
      </c>
      <c r="AE128">
        <v>0</v>
      </c>
      <c r="AF128">
        <f t="shared" si="38"/>
        <v>0</v>
      </c>
      <c r="AG128">
        <v>0</v>
      </c>
      <c r="AH128">
        <f t="shared" si="39"/>
        <v>1</v>
      </c>
      <c r="AI128">
        <v>0</v>
      </c>
      <c r="AJ128">
        <f t="shared" si="40"/>
        <v>0</v>
      </c>
      <c r="AK128">
        <v>0</v>
      </c>
      <c r="AL128">
        <f t="shared" si="41"/>
        <v>0</v>
      </c>
      <c r="AM128">
        <v>0</v>
      </c>
      <c r="AN128">
        <f t="shared" si="42"/>
        <v>1</v>
      </c>
      <c r="AO128">
        <f t="shared" si="43"/>
        <v>0</v>
      </c>
      <c r="AP128">
        <f t="shared" si="30"/>
        <v>0</v>
      </c>
    </row>
    <row r="129" spans="1:42" x14ac:dyDescent="0.35">
      <c r="A129" s="8" t="s">
        <v>100</v>
      </c>
      <c r="B129" s="9">
        <v>94020211283</v>
      </c>
      <c r="C129" s="9" t="s">
        <v>23</v>
      </c>
      <c r="D129" s="9" t="s">
        <v>23</v>
      </c>
      <c r="E129" s="9" t="s">
        <v>23</v>
      </c>
      <c r="F129" s="9" t="s">
        <v>23</v>
      </c>
      <c r="G129" s="9" t="s">
        <v>23</v>
      </c>
      <c r="H129" s="9" t="s">
        <v>23</v>
      </c>
      <c r="I129" s="9">
        <v>88</v>
      </c>
      <c r="J129" s="9" t="s">
        <v>23</v>
      </c>
      <c r="K129" s="9" t="s">
        <v>23</v>
      </c>
      <c r="L129" s="9" t="s">
        <v>23</v>
      </c>
      <c r="M129" s="9">
        <v>90</v>
      </c>
      <c r="N129" s="9">
        <v>65</v>
      </c>
      <c r="O129" s="9" t="s">
        <v>23</v>
      </c>
      <c r="P129" s="9" t="s">
        <v>23</v>
      </c>
      <c r="Q129" s="9">
        <v>50</v>
      </c>
      <c r="R129" s="9" t="s">
        <v>23</v>
      </c>
      <c r="S129" s="9">
        <v>81</v>
      </c>
      <c r="T129" s="9">
        <v>58</v>
      </c>
      <c r="U129" s="10" t="s">
        <v>23</v>
      </c>
      <c r="V129">
        <f t="shared" si="29"/>
        <v>1</v>
      </c>
      <c r="W129">
        <f t="shared" si="31"/>
        <v>0</v>
      </c>
      <c r="X129">
        <f t="shared" si="32"/>
        <v>0</v>
      </c>
      <c r="Y129">
        <f t="shared" si="33"/>
        <v>0</v>
      </c>
      <c r="Z129">
        <f t="shared" si="34"/>
        <v>0</v>
      </c>
      <c r="AA129">
        <f t="shared" si="35"/>
        <v>0</v>
      </c>
      <c r="AB129">
        <f t="shared" si="36"/>
        <v>0</v>
      </c>
      <c r="AC129">
        <v>0</v>
      </c>
      <c r="AD129">
        <f t="shared" si="37"/>
        <v>0</v>
      </c>
      <c r="AE129">
        <v>0</v>
      </c>
      <c r="AF129">
        <f t="shared" si="38"/>
        <v>0</v>
      </c>
      <c r="AG129">
        <v>0</v>
      </c>
      <c r="AH129">
        <f t="shared" si="39"/>
        <v>1</v>
      </c>
      <c r="AI129">
        <v>0</v>
      </c>
      <c r="AJ129">
        <f t="shared" si="40"/>
        <v>0</v>
      </c>
      <c r="AK129">
        <v>0</v>
      </c>
      <c r="AL129">
        <f t="shared" si="41"/>
        <v>0</v>
      </c>
      <c r="AM129">
        <v>0</v>
      </c>
      <c r="AN129">
        <f t="shared" si="42"/>
        <v>1</v>
      </c>
      <c r="AO129">
        <f t="shared" si="43"/>
        <v>0</v>
      </c>
      <c r="AP129">
        <f t="shared" si="30"/>
        <v>0</v>
      </c>
    </row>
    <row r="130" spans="1:42" x14ac:dyDescent="0.35">
      <c r="A130" s="5" t="s">
        <v>100</v>
      </c>
      <c r="B130" s="6">
        <v>94021306625</v>
      </c>
      <c r="C130" s="6" t="s">
        <v>23</v>
      </c>
      <c r="D130" s="6" t="s">
        <v>23</v>
      </c>
      <c r="E130" s="6" t="s">
        <v>23</v>
      </c>
      <c r="F130" s="6" t="s">
        <v>23</v>
      </c>
      <c r="G130" s="6" t="s">
        <v>23</v>
      </c>
      <c r="H130" s="6" t="s">
        <v>23</v>
      </c>
      <c r="I130" s="6">
        <v>90</v>
      </c>
      <c r="J130" s="6" t="s">
        <v>23</v>
      </c>
      <c r="K130" s="6" t="s">
        <v>23</v>
      </c>
      <c r="L130" s="6" t="s">
        <v>23</v>
      </c>
      <c r="M130" s="6">
        <v>84</v>
      </c>
      <c r="N130" s="6">
        <v>68</v>
      </c>
      <c r="O130" s="6" t="s">
        <v>23</v>
      </c>
      <c r="P130" s="6" t="s">
        <v>23</v>
      </c>
      <c r="Q130" s="6">
        <v>58</v>
      </c>
      <c r="R130" s="6" t="s">
        <v>23</v>
      </c>
      <c r="S130" s="6">
        <v>76</v>
      </c>
      <c r="T130" s="6">
        <v>88</v>
      </c>
      <c r="U130" s="7" t="s">
        <v>23</v>
      </c>
      <c r="V130">
        <f t="shared" si="29"/>
        <v>1</v>
      </c>
      <c r="W130">
        <f t="shared" si="31"/>
        <v>0</v>
      </c>
      <c r="X130">
        <f t="shared" si="32"/>
        <v>0</v>
      </c>
      <c r="Y130">
        <f t="shared" si="33"/>
        <v>0</v>
      </c>
      <c r="Z130">
        <f t="shared" si="34"/>
        <v>0</v>
      </c>
      <c r="AA130">
        <f t="shared" si="35"/>
        <v>0</v>
      </c>
      <c r="AB130">
        <f t="shared" si="36"/>
        <v>0</v>
      </c>
      <c r="AC130">
        <v>0</v>
      </c>
      <c r="AD130">
        <f t="shared" si="37"/>
        <v>0</v>
      </c>
      <c r="AE130">
        <v>0</v>
      </c>
      <c r="AF130">
        <f t="shared" si="38"/>
        <v>0</v>
      </c>
      <c r="AG130">
        <v>0</v>
      </c>
      <c r="AH130">
        <f t="shared" si="39"/>
        <v>1</v>
      </c>
      <c r="AI130">
        <v>0</v>
      </c>
      <c r="AJ130">
        <f t="shared" si="40"/>
        <v>0</v>
      </c>
      <c r="AK130">
        <v>0</v>
      </c>
      <c r="AL130">
        <f t="shared" si="41"/>
        <v>0</v>
      </c>
      <c r="AM130">
        <v>0</v>
      </c>
      <c r="AN130">
        <f t="shared" si="42"/>
        <v>1</v>
      </c>
      <c r="AO130">
        <f t="shared" si="43"/>
        <v>0</v>
      </c>
      <c r="AP130">
        <f t="shared" si="30"/>
        <v>0</v>
      </c>
    </row>
    <row r="131" spans="1:42" x14ac:dyDescent="0.35">
      <c r="A131" s="8" t="s">
        <v>100</v>
      </c>
      <c r="B131" s="9">
        <v>94030804224</v>
      </c>
      <c r="C131" s="9" t="s">
        <v>23</v>
      </c>
      <c r="D131" s="9" t="s">
        <v>23</v>
      </c>
      <c r="E131" s="9" t="s">
        <v>23</v>
      </c>
      <c r="F131" s="9">
        <v>85</v>
      </c>
      <c r="G131" s="9" t="s">
        <v>23</v>
      </c>
      <c r="H131" s="9" t="s">
        <v>23</v>
      </c>
      <c r="I131" s="9" t="s">
        <v>23</v>
      </c>
      <c r="J131" s="9">
        <v>95</v>
      </c>
      <c r="K131" s="9" t="s">
        <v>23</v>
      </c>
      <c r="L131" s="9" t="s">
        <v>23</v>
      </c>
      <c r="M131" s="9">
        <v>100</v>
      </c>
      <c r="N131" s="9" t="s">
        <v>23</v>
      </c>
      <c r="O131" s="9" t="s">
        <v>23</v>
      </c>
      <c r="P131" s="9" t="s">
        <v>23</v>
      </c>
      <c r="Q131" s="9">
        <v>82</v>
      </c>
      <c r="R131" s="9" t="s">
        <v>23</v>
      </c>
      <c r="S131" s="9">
        <v>73</v>
      </c>
      <c r="T131" s="9">
        <v>88</v>
      </c>
      <c r="U131" s="10" t="s">
        <v>23</v>
      </c>
      <c r="V131">
        <f t="shared" ref="V131:V153" si="44">IF(MOD(MID(B131,10,1),2)=0,1,0)</f>
        <v>1</v>
      </c>
      <c r="W131">
        <f t="shared" si="31"/>
        <v>0</v>
      </c>
      <c r="X131">
        <f t="shared" si="32"/>
        <v>0</v>
      </c>
      <c r="Y131">
        <f t="shared" si="33"/>
        <v>0</v>
      </c>
      <c r="Z131">
        <f t="shared" si="34"/>
        <v>1</v>
      </c>
      <c r="AA131">
        <f t="shared" si="35"/>
        <v>0</v>
      </c>
      <c r="AB131">
        <f t="shared" si="36"/>
        <v>0</v>
      </c>
      <c r="AC131">
        <v>0</v>
      </c>
      <c r="AD131">
        <f t="shared" si="37"/>
        <v>1</v>
      </c>
      <c r="AE131">
        <v>0</v>
      </c>
      <c r="AF131">
        <f t="shared" si="38"/>
        <v>0</v>
      </c>
      <c r="AG131">
        <v>0</v>
      </c>
      <c r="AH131">
        <f t="shared" si="39"/>
        <v>0</v>
      </c>
      <c r="AI131">
        <v>0</v>
      </c>
      <c r="AJ131">
        <f t="shared" si="40"/>
        <v>0</v>
      </c>
      <c r="AK131">
        <v>0</v>
      </c>
      <c r="AL131">
        <f t="shared" si="41"/>
        <v>0</v>
      </c>
      <c r="AM131">
        <v>0</v>
      </c>
      <c r="AN131">
        <f t="shared" si="42"/>
        <v>1</v>
      </c>
      <c r="AO131">
        <f t="shared" si="43"/>
        <v>0</v>
      </c>
      <c r="AP131">
        <f t="shared" ref="AP131:AP153" si="45">IF(COUNTIF(W131:AO131,1) &gt;2,1,0)</f>
        <v>1</v>
      </c>
    </row>
    <row r="132" spans="1:42" x14ac:dyDescent="0.35">
      <c r="A132" s="5" t="s">
        <v>100</v>
      </c>
      <c r="B132" s="6">
        <v>94031410644</v>
      </c>
      <c r="C132" s="6" t="s">
        <v>23</v>
      </c>
      <c r="D132" s="6" t="s">
        <v>23</v>
      </c>
      <c r="E132" s="6" t="s">
        <v>23</v>
      </c>
      <c r="F132" s="6" t="s">
        <v>23</v>
      </c>
      <c r="G132" s="6" t="s">
        <v>23</v>
      </c>
      <c r="H132" s="6" t="s">
        <v>23</v>
      </c>
      <c r="I132" s="6">
        <v>96</v>
      </c>
      <c r="J132" s="6" t="s">
        <v>23</v>
      </c>
      <c r="K132" s="6" t="s">
        <v>23</v>
      </c>
      <c r="L132" s="6" t="s">
        <v>23</v>
      </c>
      <c r="M132" s="6" t="s">
        <v>23</v>
      </c>
      <c r="N132" s="6">
        <v>45</v>
      </c>
      <c r="O132" s="6" t="s">
        <v>23</v>
      </c>
      <c r="P132" s="6" t="s">
        <v>23</v>
      </c>
      <c r="Q132" s="6">
        <v>74</v>
      </c>
      <c r="R132" s="6" t="s">
        <v>23</v>
      </c>
      <c r="S132" s="6">
        <v>61</v>
      </c>
      <c r="T132" s="6">
        <v>83</v>
      </c>
      <c r="U132" s="7" t="s">
        <v>23</v>
      </c>
      <c r="V132">
        <f t="shared" si="44"/>
        <v>1</v>
      </c>
      <c r="W132">
        <f t="shared" si="31"/>
        <v>0</v>
      </c>
      <c r="X132">
        <f t="shared" si="32"/>
        <v>0</v>
      </c>
      <c r="Y132">
        <f t="shared" si="33"/>
        <v>0</v>
      </c>
      <c r="Z132">
        <f t="shared" si="34"/>
        <v>0</v>
      </c>
      <c r="AA132">
        <f t="shared" si="35"/>
        <v>0</v>
      </c>
      <c r="AB132">
        <f t="shared" si="36"/>
        <v>0</v>
      </c>
      <c r="AC132">
        <v>0</v>
      </c>
      <c r="AD132">
        <f t="shared" si="37"/>
        <v>0</v>
      </c>
      <c r="AE132">
        <v>0</v>
      </c>
      <c r="AF132">
        <f t="shared" si="38"/>
        <v>0</v>
      </c>
      <c r="AG132">
        <v>0</v>
      </c>
      <c r="AH132">
        <f t="shared" si="39"/>
        <v>1</v>
      </c>
      <c r="AI132">
        <v>0</v>
      </c>
      <c r="AJ132">
        <f t="shared" si="40"/>
        <v>0</v>
      </c>
      <c r="AK132">
        <v>0</v>
      </c>
      <c r="AL132">
        <f t="shared" si="41"/>
        <v>0</v>
      </c>
      <c r="AM132">
        <v>0</v>
      </c>
      <c r="AN132">
        <f t="shared" si="42"/>
        <v>1</v>
      </c>
      <c r="AO132">
        <f t="shared" si="43"/>
        <v>0</v>
      </c>
      <c r="AP132">
        <f t="shared" si="45"/>
        <v>0</v>
      </c>
    </row>
    <row r="133" spans="1:42" x14ac:dyDescent="0.35">
      <c r="A133" s="8" t="s">
        <v>100</v>
      </c>
      <c r="B133" s="9">
        <v>94040607118</v>
      </c>
      <c r="C133" s="9" t="s">
        <v>23</v>
      </c>
      <c r="D133" s="9" t="s">
        <v>23</v>
      </c>
      <c r="E133" s="9" t="s">
        <v>23</v>
      </c>
      <c r="F133" s="9" t="s">
        <v>23</v>
      </c>
      <c r="G133" s="9" t="s">
        <v>23</v>
      </c>
      <c r="H133" s="9" t="s">
        <v>23</v>
      </c>
      <c r="I133" s="9">
        <v>94</v>
      </c>
      <c r="J133" s="9">
        <v>79</v>
      </c>
      <c r="K133" s="9" t="s">
        <v>23</v>
      </c>
      <c r="L133" s="9" t="s">
        <v>23</v>
      </c>
      <c r="M133" s="9" t="s">
        <v>23</v>
      </c>
      <c r="N133" s="9">
        <v>79</v>
      </c>
      <c r="O133" s="9" t="s">
        <v>23</v>
      </c>
      <c r="P133" s="9" t="s">
        <v>23</v>
      </c>
      <c r="Q133" s="9">
        <v>64</v>
      </c>
      <c r="R133" s="9" t="s">
        <v>23</v>
      </c>
      <c r="S133" s="9">
        <v>74</v>
      </c>
      <c r="T133" s="9">
        <v>53</v>
      </c>
      <c r="U133" s="10" t="s">
        <v>23</v>
      </c>
      <c r="V133">
        <f t="shared" si="44"/>
        <v>0</v>
      </c>
      <c r="W133">
        <f t="shared" si="31"/>
        <v>0</v>
      </c>
      <c r="X133">
        <f t="shared" si="32"/>
        <v>0</v>
      </c>
      <c r="Y133">
        <f t="shared" si="33"/>
        <v>0</v>
      </c>
      <c r="Z133">
        <f t="shared" si="34"/>
        <v>0</v>
      </c>
      <c r="AA133">
        <f t="shared" si="35"/>
        <v>0</v>
      </c>
      <c r="AB133">
        <f t="shared" si="36"/>
        <v>0</v>
      </c>
      <c r="AC133">
        <v>0</v>
      </c>
      <c r="AD133">
        <f t="shared" si="37"/>
        <v>1</v>
      </c>
      <c r="AE133">
        <v>0</v>
      </c>
      <c r="AF133">
        <f t="shared" si="38"/>
        <v>0</v>
      </c>
      <c r="AG133">
        <v>0</v>
      </c>
      <c r="AH133">
        <f t="shared" si="39"/>
        <v>1</v>
      </c>
      <c r="AI133">
        <v>0</v>
      </c>
      <c r="AJ133">
        <f t="shared" si="40"/>
        <v>0</v>
      </c>
      <c r="AK133">
        <v>0</v>
      </c>
      <c r="AL133">
        <f t="shared" si="41"/>
        <v>0</v>
      </c>
      <c r="AM133">
        <v>0</v>
      </c>
      <c r="AN133">
        <f t="shared" si="42"/>
        <v>1</v>
      </c>
      <c r="AO133">
        <f t="shared" si="43"/>
        <v>0</v>
      </c>
      <c r="AP133">
        <f t="shared" si="45"/>
        <v>1</v>
      </c>
    </row>
    <row r="134" spans="1:42" x14ac:dyDescent="0.35">
      <c r="A134" s="5" t="s">
        <v>100</v>
      </c>
      <c r="B134" s="6">
        <v>94042912726</v>
      </c>
      <c r="C134" s="6" t="s">
        <v>23</v>
      </c>
      <c r="D134" s="6" t="s">
        <v>23</v>
      </c>
      <c r="E134" s="6" t="s">
        <v>23</v>
      </c>
      <c r="F134" s="6">
        <v>38</v>
      </c>
      <c r="G134" s="6" t="s">
        <v>23</v>
      </c>
      <c r="H134" s="6" t="s">
        <v>23</v>
      </c>
      <c r="I134" s="6">
        <v>87</v>
      </c>
      <c r="J134" s="6">
        <v>69</v>
      </c>
      <c r="K134" s="6" t="s">
        <v>23</v>
      </c>
      <c r="L134" s="6" t="s">
        <v>23</v>
      </c>
      <c r="M134" s="6" t="s">
        <v>23</v>
      </c>
      <c r="N134" s="6">
        <v>72</v>
      </c>
      <c r="O134" s="6" t="s">
        <v>23</v>
      </c>
      <c r="P134" s="6" t="s">
        <v>23</v>
      </c>
      <c r="Q134" s="6">
        <v>56</v>
      </c>
      <c r="R134" s="6" t="s">
        <v>23</v>
      </c>
      <c r="S134" s="6">
        <v>54</v>
      </c>
      <c r="T134" s="6">
        <v>60</v>
      </c>
      <c r="U134" s="7" t="s">
        <v>23</v>
      </c>
      <c r="V134">
        <f t="shared" si="44"/>
        <v>1</v>
      </c>
      <c r="W134">
        <f t="shared" si="31"/>
        <v>0</v>
      </c>
      <c r="X134">
        <f t="shared" si="32"/>
        <v>0</v>
      </c>
      <c r="Y134">
        <f t="shared" si="33"/>
        <v>0</v>
      </c>
      <c r="Z134">
        <f t="shared" si="34"/>
        <v>1</v>
      </c>
      <c r="AA134">
        <f t="shared" si="35"/>
        <v>0</v>
      </c>
      <c r="AB134">
        <f t="shared" si="36"/>
        <v>0</v>
      </c>
      <c r="AC134">
        <v>0</v>
      </c>
      <c r="AD134">
        <f t="shared" si="37"/>
        <v>1</v>
      </c>
      <c r="AE134">
        <v>0</v>
      </c>
      <c r="AF134">
        <f t="shared" si="38"/>
        <v>0</v>
      </c>
      <c r="AG134">
        <v>0</v>
      </c>
      <c r="AH134">
        <f t="shared" si="39"/>
        <v>1</v>
      </c>
      <c r="AI134">
        <v>0</v>
      </c>
      <c r="AJ134">
        <f t="shared" si="40"/>
        <v>0</v>
      </c>
      <c r="AK134">
        <v>0</v>
      </c>
      <c r="AL134">
        <f t="shared" si="41"/>
        <v>0</v>
      </c>
      <c r="AM134">
        <v>0</v>
      </c>
      <c r="AN134">
        <f t="shared" si="42"/>
        <v>1</v>
      </c>
      <c r="AO134">
        <f t="shared" si="43"/>
        <v>0</v>
      </c>
      <c r="AP134">
        <f t="shared" si="45"/>
        <v>1</v>
      </c>
    </row>
    <row r="135" spans="1:42" x14ac:dyDescent="0.35">
      <c r="A135" s="8" t="s">
        <v>100</v>
      </c>
      <c r="B135" s="9">
        <v>94060604247</v>
      </c>
      <c r="C135" s="9">
        <v>62</v>
      </c>
      <c r="D135" s="9">
        <v>35</v>
      </c>
      <c r="E135" s="9" t="s">
        <v>23</v>
      </c>
      <c r="F135" s="9" t="s">
        <v>23</v>
      </c>
      <c r="G135" s="9" t="s">
        <v>23</v>
      </c>
      <c r="H135" s="9" t="s">
        <v>23</v>
      </c>
      <c r="I135" s="9">
        <v>97</v>
      </c>
      <c r="J135" s="9" t="s">
        <v>23</v>
      </c>
      <c r="K135" s="9" t="s">
        <v>23</v>
      </c>
      <c r="L135" s="9" t="s">
        <v>23</v>
      </c>
      <c r="M135" s="9">
        <v>92</v>
      </c>
      <c r="N135" s="9">
        <v>52</v>
      </c>
      <c r="O135" s="9" t="s">
        <v>23</v>
      </c>
      <c r="P135" s="9" t="s">
        <v>23</v>
      </c>
      <c r="Q135" s="9">
        <v>56</v>
      </c>
      <c r="R135" s="9" t="s">
        <v>23</v>
      </c>
      <c r="S135" s="9">
        <v>67</v>
      </c>
      <c r="T135" s="9" t="s">
        <v>23</v>
      </c>
      <c r="U135" s="10" t="s">
        <v>23</v>
      </c>
      <c r="V135">
        <f t="shared" si="44"/>
        <v>1</v>
      </c>
      <c r="W135">
        <f t="shared" si="31"/>
        <v>1</v>
      </c>
      <c r="X135">
        <f t="shared" si="32"/>
        <v>1</v>
      </c>
      <c r="Y135">
        <f t="shared" si="33"/>
        <v>0</v>
      </c>
      <c r="Z135">
        <f t="shared" si="34"/>
        <v>0</v>
      </c>
      <c r="AA135">
        <f t="shared" si="35"/>
        <v>0</v>
      </c>
      <c r="AB135">
        <f t="shared" si="36"/>
        <v>0</v>
      </c>
      <c r="AC135">
        <v>0</v>
      </c>
      <c r="AD135">
        <f t="shared" si="37"/>
        <v>0</v>
      </c>
      <c r="AE135">
        <v>0</v>
      </c>
      <c r="AF135">
        <f t="shared" si="38"/>
        <v>0</v>
      </c>
      <c r="AG135">
        <v>0</v>
      </c>
      <c r="AH135">
        <f t="shared" si="39"/>
        <v>1</v>
      </c>
      <c r="AI135">
        <v>0</v>
      </c>
      <c r="AJ135">
        <f t="shared" si="40"/>
        <v>0</v>
      </c>
      <c r="AK135">
        <v>0</v>
      </c>
      <c r="AL135">
        <f t="shared" si="41"/>
        <v>0</v>
      </c>
      <c r="AM135">
        <v>0</v>
      </c>
      <c r="AN135">
        <f t="shared" si="42"/>
        <v>0</v>
      </c>
      <c r="AO135">
        <f t="shared" si="43"/>
        <v>0</v>
      </c>
      <c r="AP135">
        <f t="shared" si="45"/>
        <v>1</v>
      </c>
    </row>
    <row r="136" spans="1:42" x14ac:dyDescent="0.35">
      <c r="A136" s="5" t="s">
        <v>100</v>
      </c>
      <c r="B136" s="6">
        <v>94062703166</v>
      </c>
      <c r="C136" s="6" t="s">
        <v>23</v>
      </c>
      <c r="D136" s="6" t="s">
        <v>23</v>
      </c>
      <c r="E136" s="6" t="s">
        <v>23</v>
      </c>
      <c r="F136" s="6">
        <v>50</v>
      </c>
      <c r="G136" s="6" t="s">
        <v>23</v>
      </c>
      <c r="H136" s="6" t="s">
        <v>23</v>
      </c>
      <c r="I136" s="6">
        <v>92</v>
      </c>
      <c r="J136" s="6" t="s">
        <v>23</v>
      </c>
      <c r="K136" s="6" t="s">
        <v>23</v>
      </c>
      <c r="L136" s="6" t="s">
        <v>23</v>
      </c>
      <c r="M136" s="6">
        <v>84</v>
      </c>
      <c r="N136" s="6">
        <v>63</v>
      </c>
      <c r="O136" s="6" t="s">
        <v>23</v>
      </c>
      <c r="P136" s="6" t="s">
        <v>23</v>
      </c>
      <c r="Q136" s="6">
        <v>54</v>
      </c>
      <c r="R136" s="6" t="s">
        <v>23</v>
      </c>
      <c r="S136" s="6">
        <v>60</v>
      </c>
      <c r="T136" s="6" t="s">
        <v>23</v>
      </c>
      <c r="U136" s="7" t="s">
        <v>23</v>
      </c>
      <c r="V136">
        <f t="shared" si="44"/>
        <v>1</v>
      </c>
      <c r="W136">
        <f t="shared" si="31"/>
        <v>0</v>
      </c>
      <c r="X136">
        <f t="shared" si="32"/>
        <v>0</v>
      </c>
      <c r="Y136">
        <f t="shared" si="33"/>
        <v>0</v>
      </c>
      <c r="Z136">
        <f t="shared" si="34"/>
        <v>1</v>
      </c>
      <c r="AA136">
        <f t="shared" si="35"/>
        <v>0</v>
      </c>
      <c r="AB136">
        <f t="shared" si="36"/>
        <v>0</v>
      </c>
      <c r="AC136">
        <v>0</v>
      </c>
      <c r="AD136">
        <f t="shared" si="37"/>
        <v>0</v>
      </c>
      <c r="AE136">
        <v>0</v>
      </c>
      <c r="AF136">
        <f t="shared" si="38"/>
        <v>0</v>
      </c>
      <c r="AG136">
        <v>0</v>
      </c>
      <c r="AH136">
        <f t="shared" si="39"/>
        <v>1</v>
      </c>
      <c r="AI136">
        <v>0</v>
      </c>
      <c r="AJ136">
        <f t="shared" si="40"/>
        <v>0</v>
      </c>
      <c r="AK136">
        <v>0</v>
      </c>
      <c r="AL136">
        <f t="shared" si="41"/>
        <v>0</v>
      </c>
      <c r="AM136">
        <v>0</v>
      </c>
      <c r="AN136">
        <f t="shared" si="42"/>
        <v>0</v>
      </c>
      <c r="AO136">
        <f t="shared" si="43"/>
        <v>0</v>
      </c>
      <c r="AP136">
        <f t="shared" si="45"/>
        <v>0</v>
      </c>
    </row>
    <row r="137" spans="1:42" x14ac:dyDescent="0.35">
      <c r="A137" s="8" t="s">
        <v>100</v>
      </c>
      <c r="B137" s="9">
        <v>94063002080</v>
      </c>
      <c r="C137" s="9" t="s">
        <v>23</v>
      </c>
      <c r="D137" s="9" t="s">
        <v>23</v>
      </c>
      <c r="E137" s="9" t="s">
        <v>23</v>
      </c>
      <c r="F137" s="9">
        <v>82</v>
      </c>
      <c r="G137" s="9" t="s">
        <v>23</v>
      </c>
      <c r="H137" s="9" t="s">
        <v>23</v>
      </c>
      <c r="I137" s="9">
        <v>100</v>
      </c>
      <c r="J137" s="9" t="s">
        <v>23</v>
      </c>
      <c r="K137" s="9" t="s">
        <v>23</v>
      </c>
      <c r="L137" s="9" t="s">
        <v>23</v>
      </c>
      <c r="M137" s="9">
        <v>100</v>
      </c>
      <c r="N137" s="9" t="s">
        <v>23</v>
      </c>
      <c r="O137" s="9" t="s">
        <v>23</v>
      </c>
      <c r="P137" s="9" t="s">
        <v>23</v>
      </c>
      <c r="Q137" s="9">
        <v>100</v>
      </c>
      <c r="R137" s="9">
        <v>66</v>
      </c>
      <c r="S137" s="9">
        <v>73</v>
      </c>
      <c r="T137" s="9">
        <v>85</v>
      </c>
      <c r="U137" s="10" t="s">
        <v>23</v>
      </c>
      <c r="V137">
        <f t="shared" si="44"/>
        <v>1</v>
      </c>
      <c r="W137">
        <f t="shared" si="31"/>
        <v>0</v>
      </c>
      <c r="X137">
        <f t="shared" si="32"/>
        <v>0</v>
      </c>
      <c r="Y137">
        <f t="shared" si="33"/>
        <v>0</v>
      </c>
      <c r="Z137">
        <f t="shared" si="34"/>
        <v>1</v>
      </c>
      <c r="AA137">
        <f t="shared" si="35"/>
        <v>0</v>
      </c>
      <c r="AB137">
        <f t="shared" si="36"/>
        <v>0</v>
      </c>
      <c r="AC137">
        <v>0</v>
      </c>
      <c r="AD137">
        <f t="shared" si="37"/>
        <v>0</v>
      </c>
      <c r="AE137">
        <v>0</v>
      </c>
      <c r="AF137">
        <f t="shared" si="38"/>
        <v>0</v>
      </c>
      <c r="AG137">
        <v>0</v>
      </c>
      <c r="AH137">
        <f t="shared" si="39"/>
        <v>0</v>
      </c>
      <c r="AI137">
        <v>0</v>
      </c>
      <c r="AJ137">
        <f t="shared" si="40"/>
        <v>0</v>
      </c>
      <c r="AK137">
        <v>0</v>
      </c>
      <c r="AL137">
        <f t="shared" si="41"/>
        <v>1</v>
      </c>
      <c r="AM137">
        <v>0</v>
      </c>
      <c r="AN137">
        <f t="shared" si="42"/>
        <v>1</v>
      </c>
      <c r="AO137">
        <f t="shared" si="43"/>
        <v>0</v>
      </c>
      <c r="AP137">
        <f t="shared" si="45"/>
        <v>1</v>
      </c>
    </row>
    <row r="138" spans="1:42" x14ac:dyDescent="0.35">
      <c r="A138" s="5" t="s">
        <v>100</v>
      </c>
      <c r="B138" s="6">
        <v>94081102166</v>
      </c>
      <c r="C138" s="6" t="s">
        <v>23</v>
      </c>
      <c r="D138" s="6" t="s">
        <v>23</v>
      </c>
      <c r="E138" s="6" t="s">
        <v>23</v>
      </c>
      <c r="F138" s="6" t="s">
        <v>23</v>
      </c>
      <c r="G138" s="6" t="s">
        <v>23</v>
      </c>
      <c r="H138" s="6" t="s">
        <v>23</v>
      </c>
      <c r="I138" s="6">
        <v>96</v>
      </c>
      <c r="J138" s="6" t="s">
        <v>23</v>
      </c>
      <c r="K138" s="6" t="s">
        <v>23</v>
      </c>
      <c r="L138" s="6" t="s">
        <v>23</v>
      </c>
      <c r="M138" s="6" t="s">
        <v>23</v>
      </c>
      <c r="N138" s="6">
        <v>79</v>
      </c>
      <c r="O138" s="6" t="s">
        <v>23</v>
      </c>
      <c r="P138" s="6" t="s">
        <v>23</v>
      </c>
      <c r="Q138" s="6">
        <v>56</v>
      </c>
      <c r="R138" s="6" t="s">
        <v>23</v>
      </c>
      <c r="S138" s="6">
        <v>81</v>
      </c>
      <c r="T138" s="6">
        <v>83</v>
      </c>
      <c r="U138" s="7" t="s">
        <v>23</v>
      </c>
      <c r="V138">
        <f t="shared" si="44"/>
        <v>1</v>
      </c>
      <c r="W138">
        <f t="shared" si="31"/>
        <v>0</v>
      </c>
      <c r="X138">
        <f t="shared" si="32"/>
        <v>0</v>
      </c>
      <c r="Y138">
        <f t="shared" si="33"/>
        <v>0</v>
      </c>
      <c r="Z138">
        <f t="shared" si="34"/>
        <v>0</v>
      </c>
      <c r="AA138">
        <f t="shared" si="35"/>
        <v>0</v>
      </c>
      <c r="AB138">
        <f t="shared" si="36"/>
        <v>0</v>
      </c>
      <c r="AC138">
        <v>0</v>
      </c>
      <c r="AD138">
        <f t="shared" si="37"/>
        <v>0</v>
      </c>
      <c r="AE138">
        <v>0</v>
      </c>
      <c r="AF138">
        <f t="shared" si="38"/>
        <v>0</v>
      </c>
      <c r="AG138">
        <v>0</v>
      </c>
      <c r="AH138">
        <f t="shared" si="39"/>
        <v>1</v>
      </c>
      <c r="AI138">
        <v>0</v>
      </c>
      <c r="AJ138">
        <f t="shared" si="40"/>
        <v>0</v>
      </c>
      <c r="AK138">
        <v>0</v>
      </c>
      <c r="AL138">
        <f t="shared" si="41"/>
        <v>0</v>
      </c>
      <c r="AM138">
        <v>0</v>
      </c>
      <c r="AN138">
        <f t="shared" si="42"/>
        <v>1</v>
      </c>
      <c r="AO138">
        <f t="shared" si="43"/>
        <v>0</v>
      </c>
      <c r="AP138">
        <f t="shared" si="45"/>
        <v>0</v>
      </c>
    </row>
    <row r="139" spans="1:42" x14ac:dyDescent="0.35">
      <c r="A139" s="8" t="s">
        <v>100</v>
      </c>
      <c r="B139" s="9">
        <v>94082703588</v>
      </c>
      <c r="C139" s="9" t="s">
        <v>23</v>
      </c>
      <c r="D139" s="9" t="s">
        <v>23</v>
      </c>
      <c r="E139" s="9" t="s">
        <v>23</v>
      </c>
      <c r="F139" s="9" t="s">
        <v>23</v>
      </c>
      <c r="G139" s="9">
        <v>66</v>
      </c>
      <c r="H139" s="9" t="s">
        <v>23</v>
      </c>
      <c r="I139" s="9">
        <v>94</v>
      </c>
      <c r="J139" s="9">
        <v>93</v>
      </c>
      <c r="K139" s="9" t="s">
        <v>23</v>
      </c>
      <c r="L139" s="9" t="s">
        <v>23</v>
      </c>
      <c r="M139" s="9" t="s">
        <v>23</v>
      </c>
      <c r="N139" s="9">
        <v>83</v>
      </c>
      <c r="O139" s="9" t="s">
        <v>23</v>
      </c>
      <c r="P139" s="9" t="s">
        <v>23</v>
      </c>
      <c r="Q139" s="9">
        <v>78</v>
      </c>
      <c r="R139" s="9" t="s">
        <v>23</v>
      </c>
      <c r="S139" s="9">
        <v>90</v>
      </c>
      <c r="T139" s="9">
        <v>100</v>
      </c>
      <c r="U139" s="10" t="s">
        <v>23</v>
      </c>
      <c r="V139">
        <f t="shared" si="44"/>
        <v>1</v>
      </c>
      <c r="W139">
        <f t="shared" si="31"/>
        <v>0</v>
      </c>
      <c r="X139">
        <f t="shared" si="32"/>
        <v>0</v>
      </c>
      <c r="Y139">
        <f t="shared" si="33"/>
        <v>0</v>
      </c>
      <c r="Z139">
        <f t="shared" si="34"/>
        <v>0</v>
      </c>
      <c r="AA139">
        <f t="shared" si="35"/>
        <v>1</v>
      </c>
      <c r="AB139">
        <f t="shared" si="36"/>
        <v>0</v>
      </c>
      <c r="AC139">
        <v>0</v>
      </c>
      <c r="AD139">
        <f t="shared" si="37"/>
        <v>1</v>
      </c>
      <c r="AE139">
        <v>0</v>
      </c>
      <c r="AF139">
        <f t="shared" si="38"/>
        <v>0</v>
      </c>
      <c r="AG139">
        <v>0</v>
      </c>
      <c r="AH139">
        <f t="shared" si="39"/>
        <v>1</v>
      </c>
      <c r="AI139">
        <v>0</v>
      </c>
      <c r="AJ139">
        <f t="shared" si="40"/>
        <v>0</v>
      </c>
      <c r="AK139">
        <v>0</v>
      </c>
      <c r="AL139">
        <f t="shared" si="41"/>
        <v>0</v>
      </c>
      <c r="AM139">
        <v>0</v>
      </c>
      <c r="AN139">
        <f t="shared" si="42"/>
        <v>1</v>
      </c>
      <c r="AO139">
        <f t="shared" si="43"/>
        <v>0</v>
      </c>
      <c r="AP139">
        <f t="shared" si="45"/>
        <v>1</v>
      </c>
    </row>
    <row r="140" spans="1:42" x14ac:dyDescent="0.35">
      <c r="A140" s="5" t="s">
        <v>100</v>
      </c>
      <c r="B140" s="6">
        <v>94082901146</v>
      </c>
      <c r="C140" s="6" t="s">
        <v>23</v>
      </c>
      <c r="D140" s="6" t="s">
        <v>23</v>
      </c>
      <c r="E140" s="6" t="s">
        <v>23</v>
      </c>
      <c r="F140" s="6">
        <v>75</v>
      </c>
      <c r="G140" s="6" t="s">
        <v>23</v>
      </c>
      <c r="H140" s="6" t="s">
        <v>23</v>
      </c>
      <c r="I140" s="6">
        <v>99</v>
      </c>
      <c r="J140" s="6">
        <v>83</v>
      </c>
      <c r="K140" s="6" t="s">
        <v>23</v>
      </c>
      <c r="L140" s="6" t="s">
        <v>23</v>
      </c>
      <c r="M140" s="6">
        <v>100</v>
      </c>
      <c r="N140" s="6" t="s">
        <v>23</v>
      </c>
      <c r="O140" s="6" t="s">
        <v>23</v>
      </c>
      <c r="P140" s="6" t="s">
        <v>23</v>
      </c>
      <c r="Q140" s="6">
        <v>78</v>
      </c>
      <c r="R140" s="6">
        <v>30</v>
      </c>
      <c r="S140" s="6">
        <v>79</v>
      </c>
      <c r="T140" s="6">
        <v>80</v>
      </c>
      <c r="U140" s="7" t="s">
        <v>23</v>
      </c>
      <c r="V140">
        <f t="shared" si="44"/>
        <v>1</v>
      </c>
      <c r="W140">
        <f t="shared" si="31"/>
        <v>0</v>
      </c>
      <c r="X140">
        <f t="shared" si="32"/>
        <v>0</v>
      </c>
      <c r="Y140">
        <f t="shared" si="33"/>
        <v>0</v>
      </c>
      <c r="Z140">
        <f t="shared" si="34"/>
        <v>1</v>
      </c>
      <c r="AA140">
        <f t="shared" si="35"/>
        <v>0</v>
      </c>
      <c r="AB140">
        <f t="shared" si="36"/>
        <v>0</v>
      </c>
      <c r="AC140">
        <v>0</v>
      </c>
      <c r="AD140">
        <f t="shared" si="37"/>
        <v>1</v>
      </c>
      <c r="AE140">
        <v>0</v>
      </c>
      <c r="AF140">
        <f t="shared" si="38"/>
        <v>0</v>
      </c>
      <c r="AG140">
        <v>0</v>
      </c>
      <c r="AH140">
        <f t="shared" si="39"/>
        <v>0</v>
      </c>
      <c r="AI140">
        <v>0</v>
      </c>
      <c r="AJ140">
        <f t="shared" si="40"/>
        <v>0</v>
      </c>
      <c r="AK140">
        <v>0</v>
      </c>
      <c r="AL140">
        <f t="shared" si="41"/>
        <v>1</v>
      </c>
      <c r="AM140">
        <v>0</v>
      </c>
      <c r="AN140">
        <f t="shared" si="42"/>
        <v>1</v>
      </c>
      <c r="AO140">
        <f t="shared" si="43"/>
        <v>0</v>
      </c>
      <c r="AP140">
        <f t="shared" si="45"/>
        <v>1</v>
      </c>
    </row>
    <row r="141" spans="1:42" x14ac:dyDescent="0.35">
      <c r="A141" s="8" t="s">
        <v>100</v>
      </c>
      <c r="B141" s="9">
        <v>94082905447</v>
      </c>
      <c r="C141" s="9" t="s">
        <v>23</v>
      </c>
      <c r="D141" s="9" t="s">
        <v>23</v>
      </c>
      <c r="E141" s="9" t="s">
        <v>23</v>
      </c>
      <c r="F141" s="9" t="s">
        <v>23</v>
      </c>
      <c r="G141" s="9" t="s">
        <v>23</v>
      </c>
      <c r="H141" s="9" t="s">
        <v>23</v>
      </c>
      <c r="I141" s="9">
        <v>96</v>
      </c>
      <c r="J141" s="9" t="s">
        <v>23</v>
      </c>
      <c r="K141" s="9" t="s">
        <v>23</v>
      </c>
      <c r="L141" s="9" t="s">
        <v>23</v>
      </c>
      <c r="M141" s="9">
        <v>98</v>
      </c>
      <c r="N141" s="9">
        <v>96</v>
      </c>
      <c r="O141" s="9" t="s">
        <v>23</v>
      </c>
      <c r="P141" s="9" t="s">
        <v>23</v>
      </c>
      <c r="Q141" s="9">
        <v>44</v>
      </c>
      <c r="R141" s="9" t="s">
        <v>23</v>
      </c>
      <c r="S141" s="9">
        <v>69</v>
      </c>
      <c r="T141" s="9" t="s">
        <v>23</v>
      </c>
      <c r="U141" s="10" t="s">
        <v>23</v>
      </c>
      <c r="V141">
        <f t="shared" si="44"/>
        <v>1</v>
      </c>
      <c r="W141">
        <f t="shared" si="31"/>
        <v>0</v>
      </c>
      <c r="X141">
        <f t="shared" si="32"/>
        <v>0</v>
      </c>
      <c r="Y141">
        <f t="shared" si="33"/>
        <v>0</v>
      </c>
      <c r="Z141">
        <f t="shared" si="34"/>
        <v>0</v>
      </c>
      <c r="AA141">
        <f t="shared" si="35"/>
        <v>0</v>
      </c>
      <c r="AB141">
        <f t="shared" si="36"/>
        <v>0</v>
      </c>
      <c r="AC141">
        <v>0</v>
      </c>
      <c r="AD141">
        <f t="shared" si="37"/>
        <v>0</v>
      </c>
      <c r="AE141">
        <v>0</v>
      </c>
      <c r="AF141">
        <f t="shared" si="38"/>
        <v>0</v>
      </c>
      <c r="AG141">
        <v>0</v>
      </c>
      <c r="AH141">
        <f t="shared" si="39"/>
        <v>1</v>
      </c>
      <c r="AI141">
        <v>0</v>
      </c>
      <c r="AJ141">
        <f t="shared" si="40"/>
        <v>0</v>
      </c>
      <c r="AK141">
        <v>0</v>
      </c>
      <c r="AL141">
        <f t="shared" si="41"/>
        <v>0</v>
      </c>
      <c r="AM141">
        <v>0</v>
      </c>
      <c r="AN141">
        <f t="shared" si="42"/>
        <v>0</v>
      </c>
      <c r="AO141">
        <f t="shared" si="43"/>
        <v>0</v>
      </c>
      <c r="AP141">
        <f t="shared" si="45"/>
        <v>0</v>
      </c>
    </row>
    <row r="142" spans="1:42" x14ac:dyDescent="0.35">
      <c r="A142" s="5" t="s">
        <v>100</v>
      </c>
      <c r="B142" s="6">
        <v>94083000868</v>
      </c>
      <c r="C142" s="6" t="s">
        <v>23</v>
      </c>
      <c r="D142" s="6" t="s">
        <v>23</v>
      </c>
      <c r="E142" s="6" t="s">
        <v>23</v>
      </c>
      <c r="F142" s="6" t="s">
        <v>23</v>
      </c>
      <c r="G142" s="6">
        <v>24</v>
      </c>
      <c r="H142" s="6" t="s">
        <v>23</v>
      </c>
      <c r="I142" s="6">
        <v>100</v>
      </c>
      <c r="J142" s="6">
        <v>63</v>
      </c>
      <c r="K142" s="6" t="s">
        <v>23</v>
      </c>
      <c r="L142" s="6" t="s">
        <v>23</v>
      </c>
      <c r="M142" s="6" t="s">
        <v>23</v>
      </c>
      <c r="N142" s="6">
        <v>61</v>
      </c>
      <c r="O142" s="6" t="s">
        <v>23</v>
      </c>
      <c r="P142" s="6" t="s">
        <v>23</v>
      </c>
      <c r="Q142" s="6">
        <v>40</v>
      </c>
      <c r="R142" s="6" t="s">
        <v>23</v>
      </c>
      <c r="S142" s="6">
        <v>76</v>
      </c>
      <c r="T142" s="6">
        <v>58</v>
      </c>
      <c r="U142" s="7">
        <v>16</v>
      </c>
      <c r="V142">
        <f t="shared" si="44"/>
        <v>1</v>
      </c>
      <c r="W142">
        <f t="shared" si="31"/>
        <v>0</v>
      </c>
      <c r="X142">
        <f t="shared" si="32"/>
        <v>0</v>
      </c>
      <c r="Y142">
        <f t="shared" si="33"/>
        <v>0</v>
      </c>
      <c r="Z142">
        <f t="shared" si="34"/>
        <v>0</v>
      </c>
      <c r="AA142">
        <f t="shared" si="35"/>
        <v>1</v>
      </c>
      <c r="AB142">
        <f t="shared" si="36"/>
        <v>0</v>
      </c>
      <c r="AC142">
        <v>0</v>
      </c>
      <c r="AD142">
        <f t="shared" si="37"/>
        <v>1</v>
      </c>
      <c r="AE142">
        <v>0</v>
      </c>
      <c r="AF142">
        <f t="shared" si="38"/>
        <v>0</v>
      </c>
      <c r="AG142">
        <v>0</v>
      </c>
      <c r="AH142">
        <f t="shared" si="39"/>
        <v>1</v>
      </c>
      <c r="AI142">
        <v>0</v>
      </c>
      <c r="AJ142">
        <f t="shared" si="40"/>
        <v>0</v>
      </c>
      <c r="AK142">
        <v>0</v>
      </c>
      <c r="AL142">
        <f t="shared" si="41"/>
        <v>0</v>
      </c>
      <c r="AM142">
        <v>0</v>
      </c>
      <c r="AN142">
        <f t="shared" si="42"/>
        <v>1</v>
      </c>
      <c r="AO142">
        <f t="shared" si="43"/>
        <v>1</v>
      </c>
      <c r="AP142">
        <f t="shared" si="45"/>
        <v>1</v>
      </c>
    </row>
    <row r="143" spans="1:42" x14ac:dyDescent="0.35">
      <c r="A143" s="8" t="s">
        <v>100</v>
      </c>
      <c r="B143" s="9">
        <v>94090909307</v>
      </c>
      <c r="C143" s="9" t="s">
        <v>23</v>
      </c>
      <c r="D143" s="9" t="s">
        <v>23</v>
      </c>
      <c r="E143" s="9" t="s">
        <v>23</v>
      </c>
      <c r="F143" s="9" t="s">
        <v>23</v>
      </c>
      <c r="G143" s="9">
        <v>72</v>
      </c>
      <c r="H143" s="9" t="s">
        <v>23</v>
      </c>
      <c r="I143" s="9">
        <v>98</v>
      </c>
      <c r="J143" s="9">
        <v>76</v>
      </c>
      <c r="K143" s="9" t="s">
        <v>23</v>
      </c>
      <c r="L143" s="9" t="s">
        <v>23</v>
      </c>
      <c r="M143" s="9" t="s">
        <v>23</v>
      </c>
      <c r="N143" s="9">
        <v>77</v>
      </c>
      <c r="O143" s="9" t="s">
        <v>23</v>
      </c>
      <c r="P143" s="9" t="s">
        <v>23</v>
      </c>
      <c r="Q143" s="9">
        <v>64</v>
      </c>
      <c r="R143" s="9" t="s">
        <v>23</v>
      </c>
      <c r="S143" s="9">
        <v>79</v>
      </c>
      <c r="T143" s="9">
        <v>75</v>
      </c>
      <c r="U143" s="10">
        <v>46</v>
      </c>
      <c r="V143">
        <f t="shared" si="44"/>
        <v>1</v>
      </c>
      <c r="W143">
        <f t="shared" si="31"/>
        <v>0</v>
      </c>
      <c r="X143">
        <f t="shared" si="32"/>
        <v>0</v>
      </c>
      <c r="Y143">
        <f t="shared" si="33"/>
        <v>0</v>
      </c>
      <c r="Z143">
        <f t="shared" si="34"/>
        <v>0</v>
      </c>
      <c r="AA143">
        <f t="shared" si="35"/>
        <v>1</v>
      </c>
      <c r="AB143">
        <f t="shared" si="36"/>
        <v>0</v>
      </c>
      <c r="AC143">
        <v>0</v>
      </c>
      <c r="AD143">
        <f t="shared" si="37"/>
        <v>1</v>
      </c>
      <c r="AE143">
        <v>0</v>
      </c>
      <c r="AF143">
        <f t="shared" si="38"/>
        <v>0</v>
      </c>
      <c r="AG143">
        <v>0</v>
      </c>
      <c r="AH143">
        <f t="shared" si="39"/>
        <v>1</v>
      </c>
      <c r="AI143">
        <v>0</v>
      </c>
      <c r="AJ143">
        <f t="shared" si="40"/>
        <v>0</v>
      </c>
      <c r="AK143">
        <v>0</v>
      </c>
      <c r="AL143">
        <f t="shared" si="41"/>
        <v>0</v>
      </c>
      <c r="AM143">
        <v>0</v>
      </c>
      <c r="AN143">
        <f t="shared" si="42"/>
        <v>1</v>
      </c>
      <c r="AO143">
        <f t="shared" si="43"/>
        <v>1</v>
      </c>
      <c r="AP143">
        <f t="shared" si="45"/>
        <v>1</v>
      </c>
    </row>
    <row r="144" spans="1:42" x14ac:dyDescent="0.35">
      <c r="A144" s="5" t="s">
        <v>100</v>
      </c>
      <c r="B144" s="6">
        <v>94091301085</v>
      </c>
      <c r="C144" s="6" t="s">
        <v>23</v>
      </c>
      <c r="D144" s="6" t="s">
        <v>23</v>
      </c>
      <c r="E144" s="6" t="s">
        <v>23</v>
      </c>
      <c r="F144" s="6" t="s">
        <v>23</v>
      </c>
      <c r="G144" s="6" t="s">
        <v>23</v>
      </c>
      <c r="H144" s="6" t="s">
        <v>23</v>
      </c>
      <c r="I144" s="6">
        <v>96</v>
      </c>
      <c r="J144" s="6">
        <v>71</v>
      </c>
      <c r="K144" s="6" t="s">
        <v>23</v>
      </c>
      <c r="L144" s="6" t="s">
        <v>23</v>
      </c>
      <c r="M144" s="6" t="s">
        <v>23</v>
      </c>
      <c r="N144" s="6">
        <v>70</v>
      </c>
      <c r="O144" s="6" t="s">
        <v>23</v>
      </c>
      <c r="P144" s="6" t="s">
        <v>23</v>
      </c>
      <c r="Q144" s="6">
        <v>40</v>
      </c>
      <c r="R144" s="6" t="s">
        <v>23</v>
      </c>
      <c r="S144" s="6">
        <v>37</v>
      </c>
      <c r="T144" s="6">
        <v>55</v>
      </c>
      <c r="U144" s="7" t="s">
        <v>23</v>
      </c>
      <c r="V144">
        <f t="shared" si="44"/>
        <v>1</v>
      </c>
      <c r="W144">
        <f t="shared" si="31"/>
        <v>0</v>
      </c>
      <c r="X144">
        <f t="shared" si="32"/>
        <v>0</v>
      </c>
      <c r="Y144">
        <f t="shared" si="33"/>
        <v>0</v>
      </c>
      <c r="Z144">
        <f t="shared" si="34"/>
        <v>0</v>
      </c>
      <c r="AA144">
        <f t="shared" si="35"/>
        <v>0</v>
      </c>
      <c r="AB144">
        <f t="shared" si="36"/>
        <v>0</v>
      </c>
      <c r="AC144">
        <v>0</v>
      </c>
      <c r="AD144">
        <f t="shared" si="37"/>
        <v>1</v>
      </c>
      <c r="AE144">
        <v>0</v>
      </c>
      <c r="AF144">
        <f t="shared" si="38"/>
        <v>0</v>
      </c>
      <c r="AG144">
        <v>0</v>
      </c>
      <c r="AH144">
        <f t="shared" si="39"/>
        <v>1</v>
      </c>
      <c r="AI144">
        <v>0</v>
      </c>
      <c r="AJ144">
        <f t="shared" si="40"/>
        <v>0</v>
      </c>
      <c r="AK144">
        <v>0</v>
      </c>
      <c r="AL144">
        <f t="shared" si="41"/>
        <v>0</v>
      </c>
      <c r="AM144">
        <v>0</v>
      </c>
      <c r="AN144">
        <f t="shared" si="42"/>
        <v>1</v>
      </c>
      <c r="AO144">
        <f t="shared" si="43"/>
        <v>0</v>
      </c>
      <c r="AP144">
        <f t="shared" si="45"/>
        <v>1</v>
      </c>
    </row>
    <row r="145" spans="1:42" x14ac:dyDescent="0.35">
      <c r="A145" s="8" t="s">
        <v>100</v>
      </c>
      <c r="B145" s="9">
        <v>94092207960</v>
      </c>
      <c r="C145" s="9" t="s">
        <v>23</v>
      </c>
      <c r="D145" s="9" t="s">
        <v>23</v>
      </c>
      <c r="E145" s="9" t="s">
        <v>23</v>
      </c>
      <c r="F145" s="9" t="s">
        <v>23</v>
      </c>
      <c r="G145" s="9" t="s">
        <v>23</v>
      </c>
      <c r="H145" s="9" t="s">
        <v>23</v>
      </c>
      <c r="I145" s="9" t="s">
        <v>23</v>
      </c>
      <c r="J145" s="9">
        <v>89</v>
      </c>
      <c r="K145" s="9" t="s">
        <v>23</v>
      </c>
      <c r="L145" s="9" t="s">
        <v>23</v>
      </c>
      <c r="M145" s="9">
        <v>96</v>
      </c>
      <c r="N145" s="9" t="s">
        <v>23</v>
      </c>
      <c r="O145" s="9" t="s">
        <v>23</v>
      </c>
      <c r="P145" s="9" t="s">
        <v>23</v>
      </c>
      <c r="Q145" s="9">
        <v>56</v>
      </c>
      <c r="R145" s="9" t="s">
        <v>23</v>
      </c>
      <c r="S145" s="9">
        <v>57</v>
      </c>
      <c r="T145" s="9">
        <v>63</v>
      </c>
      <c r="U145" s="10" t="s">
        <v>23</v>
      </c>
      <c r="V145">
        <f t="shared" si="44"/>
        <v>1</v>
      </c>
      <c r="W145">
        <f t="shared" si="31"/>
        <v>0</v>
      </c>
      <c r="X145">
        <f t="shared" si="32"/>
        <v>0</v>
      </c>
      <c r="Y145">
        <f t="shared" si="33"/>
        <v>0</v>
      </c>
      <c r="Z145">
        <f t="shared" si="34"/>
        <v>0</v>
      </c>
      <c r="AA145">
        <f t="shared" si="35"/>
        <v>0</v>
      </c>
      <c r="AB145">
        <f t="shared" si="36"/>
        <v>0</v>
      </c>
      <c r="AC145">
        <v>0</v>
      </c>
      <c r="AD145">
        <f t="shared" si="37"/>
        <v>1</v>
      </c>
      <c r="AE145">
        <v>0</v>
      </c>
      <c r="AF145">
        <f t="shared" si="38"/>
        <v>0</v>
      </c>
      <c r="AG145">
        <v>0</v>
      </c>
      <c r="AH145">
        <f t="shared" si="39"/>
        <v>0</v>
      </c>
      <c r="AI145">
        <v>0</v>
      </c>
      <c r="AJ145">
        <f t="shared" si="40"/>
        <v>0</v>
      </c>
      <c r="AK145">
        <v>0</v>
      </c>
      <c r="AL145">
        <f t="shared" si="41"/>
        <v>0</v>
      </c>
      <c r="AM145">
        <v>0</v>
      </c>
      <c r="AN145">
        <f t="shared" si="42"/>
        <v>1</v>
      </c>
      <c r="AO145">
        <f t="shared" si="43"/>
        <v>0</v>
      </c>
      <c r="AP145">
        <f t="shared" si="45"/>
        <v>0</v>
      </c>
    </row>
    <row r="146" spans="1:42" x14ac:dyDescent="0.35">
      <c r="A146" s="5" t="s">
        <v>100</v>
      </c>
      <c r="B146" s="6">
        <v>94100706007</v>
      </c>
      <c r="C146" s="6" t="s">
        <v>23</v>
      </c>
      <c r="D146" s="6" t="s">
        <v>23</v>
      </c>
      <c r="E146" s="6" t="s">
        <v>23</v>
      </c>
      <c r="F146" s="6" t="s">
        <v>23</v>
      </c>
      <c r="G146" s="6" t="s">
        <v>23</v>
      </c>
      <c r="H146" s="6" t="s">
        <v>23</v>
      </c>
      <c r="I146" s="6" t="s">
        <v>23</v>
      </c>
      <c r="J146" s="6">
        <v>74</v>
      </c>
      <c r="K146" s="6" t="s">
        <v>23</v>
      </c>
      <c r="L146" s="6" t="s">
        <v>23</v>
      </c>
      <c r="M146" s="6">
        <v>98</v>
      </c>
      <c r="N146" s="6" t="s">
        <v>23</v>
      </c>
      <c r="O146" s="6" t="s">
        <v>23</v>
      </c>
      <c r="P146" s="6" t="s">
        <v>23</v>
      </c>
      <c r="Q146" s="6">
        <v>66</v>
      </c>
      <c r="R146" s="6" t="s">
        <v>23</v>
      </c>
      <c r="S146" s="6">
        <v>56</v>
      </c>
      <c r="T146" s="6" t="s">
        <v>23</v>
      </c>
      <c r="U146" s="7" t="s">
        <v>23</v>
      </c>
      <c r="V146">
        <f t="shared" si="44"/>
        <v>1</v>
      </c>
      <c r="W146">
        <f t="shared" si="31"/>
        <v>0</v>
      </c>
      <c r="X146">
        <f t="shared" si="32"/>
        <v>0</v>
      </c>
      <c r="Y146">
        <f t="shared" si="33"/>
        <v>0</v>
      </c>
      <c r="Z146">
        <f t="shared" si="34"/>
        <v>0</v>
      </c>
      <c r="AA146">
        <f t="shared" si="35"/>
        <v>0</v>
      </c>
      <c r="AB146">
        <f t="shared" si="36"/>
        <v>0</v>
      </c>
      <c r="AC146">
        <v>0</v>
      </c>
      <c r="AD146">
        <f t="shared" si="37"/>
        <v>1</v>
      </c>
      <c r="AE146">
        <v>0</v>
      </c>
      <c r="AF146">
        <f t="shared" si="38"/>
        <v>0</v>
      </c>
      <c r="AG146">
        <v>0</v>
      </c>
      <c r="AH146">
        <f t="shared" si="39"/>
        <v>0</v>
      </c>
      <c r="AI146">
        <v>0</v>
      </c>
      <c r="AJ146">
        <f t="shared" si="40"/>
        <v>0</v>
      </c>
      <c r="AK146">
        <v>0</v>
      </c>
      <c r="AL146">
        <f t="shared" si="41"/>
        <v>0</v>
      </c>
      <c r="AM146">
        <v>0</v>
      </c>
      <c r="AN146">
        <f t="shared" si="42"/>
        <v>0</v>
      </c>
      <c r="AO146">
        <f t="shared" si="43"/>
        <v>0</v>
      </c>
      <c r="AP146">
        <f t="shared" si="45"/>
        <v>0</v>
      </c>
    </row>
    <row r="147" spans="1:42" x14ac:dyDescent="0.35">
      <c r="A147" s="8" t="s">
        <v>100</v>
      </c>
      <c r="B147" s="9">
        <v>94102604723</v>
      </c>
      <c r="C147" s="9" t="s">
        <v>23</v>
      </c>
      <c r="D147" s="9" t="s">
        <v>23</v>
      </c>
      <c r="E147" s="9" t="s">
        <v>23</v>
      </c>
      <c r="F147" s="9" t="s">
        <v>23</v>
      </c>
      <c r="G147" s="9" t="s">
        <v>23</v>
      </c>
      <c r="H147" s="9" t="s">
        <v>23</v>
      </c>
      <c r="I147" s="9" t="s">
        <v>23</v>
      </c>
      <c r="J147" s="9" t="s">
        <v>23</v>
      </c>
      <c r="K147" s="9" t="s">
        <v>23</v>
      </c>
      <c r="L147" s="9">
        <v>73</v>
      </c>
      <c r="M147" s="9">
        <v>98</v>
      </c>
      <c r="N147" s="9">
        <v>82</v>
      </c>
      <c r="O147" s="9" t="s">
        <v>23</v>
      </c>
      <c r="P147" s="9" t="s">
        <v>23</v>
      </c>
      <c r="Q147" s="9">
        <v>68</v>
      </c>
      <c r="R147" s="9" t="s">
        <v>23</v>
      </c>
      <c r="S147" s="9">
        <v>50</v>
      </c>
      <c r="T147" s="9">
        <v>70</v>
      </c>
      <c r="U147" s="10" t="s">
        <v>23</v>
      </c>
      <c r="V147">
        <f t="shared" si="44"/>
        <v>1</v>
      </c>
      <c r="W147">
        <f t="shared" si="31"/>
        <v>0</v>
      </c>
      <c r="X147">
        <f t="shared" si="32"/>
        <v>0</v>
      </c>
      <c r="Y147">
        <f t="shared" si="33"/>
        <v>0</v>
      </c>
      <c r="Z147">
        <f t="shared" si="34"/>
        <v>0</v>
      </c>
      <c r="AA147">
        <f t="shared" si="35"/>
        <v>0</v>
      </c>
      <c r="AB147">
        <f t="shared" si="36"/>
        <v>0</v>
      </c>
      <c r="AC147">
        <v>0</v>
      </c>
      <c r="AD147">
        <f t="shared" si="37"/>
        <v>0</v>
      </c>
      <c r="AE147">
        <v>0</v>
      </c>
      <c r="AF147">
        <f t="shared" si="38"/>
        <v>1</v>
      </c>
      <c r="AG147">
        <v>0</v>
      </c>
      <c r="AH147">
        <f t="shared" si="39"/>
        <v>1</v>
      </c>
      <c r="AI147">
        <v>0</v>
      </c>
      <c r="AJ147">
        <f t="shared" si="40"/>
        <v>0</v>
      </c>
      <c r="AK147">
        <v>0</v>
      </c>
      <c r="AL147">
        <f t="shared" si="41"/>
        <v>0</v>
      </c>
      <c r="AM147">
        <v>0</v>
      </c>
      <c r="AN147">
        <f t="shared" si="42"/>
        <v>1</v>
      </c>
      <c r="AO147">
        <f t="shared" si="43"/>
        <v>0</v>
      </c>
      <c r="AP147">
        <f t="shared" si="45"/>
        <v>1</v>
      </c>
    </row>
    <row r="148" spans="1:42" x14ac:dyDescent="0.35">
      <c r="A148" s="5" t="s">
        <v>100</v>
      </c>
      <c r="B148" s="6">
        <v>94103100907</v>
      </c>
      <c r="C148" s="6">
        <v>18</v>
      </c>
      <c r="D148" s="6">
        <v>12</v>
      </c>
      <c r="E148" s="6" t="s">
        <v>23</v>
      </c>
      <c r="F148" s="6" t="s">
        <v>23</v>
      </c>
      <c r="G148" s="6" t="s">
        <v>23</v>
      </c>
      <c r="H148" s="6" t="s">
        <v>23</v>
      </c>
      <c r="I148" s="6">
        <v>70</v>
      </c>
      <c r="J148" s="6" t="s">
        <v>23</v>
      </c>
      <c r="K148" s="6" t="s">
        <v>23</v>
      </c>
      <c r="L148" s="6" t="s">
        <v>23</v>
      </c>
      <c r="M148" s="6">
        <v>58</v>
      </c>
      <c r="N148" s="6" t="s">
        <v>23</v>
      </c>
      <c r="O148" s="6" t="s">
        <v>23</v>
      </c>
      <c r="P148" s="6" t="s">
        <v>23</v>
      </c>
      <c r="Q148" s="6">
        <v>58</v>
      </c>
      <c r="R148" s="6" t="s">
        <v>23</v>
      </c>
      <c r="S148" s="6">
        <v>43</v>
      </c>
      <c r="T148" s="6" t="s">
        <v>23</v>
      </c>
      <c r="U148" s="7" t="s">
        <v>23</v>
      </c>
      <c r="V148">
        <f t="shared" si="44"/>
        <v>1</v>
      </c>
      <c r="W148">
        <f t="shared" si="31"/>
        <v>1</v>
      </c>
      <c r="X148">
        <f t="shared" si="32"/>
        <v>1</v>
      </c>
      <c r="Y148">
        <f t="shared" si="33"/>
        <v>0</v>
      </c>
      <c r="Z148">
        <f t="shared" si="34"/>
        <v>0</v>
      </c>
      <c r="AA148">
        <f t="shared" si="35"/>
        <v>0</v>
      </c>
      <c r="AB148">
        <f t="shared" si="36"/>
        <v>0</v>
      </c>
      <c r="AC148">
        <v>0</v>
      </c>
      <c r="AD148">
        <f t="shared" si="37"/>
        <v>0</v>
      </c>
      <c r="AE148">
        <v>0</v>
      </c>
      <c r="AF148">
        <f t="shared" si="38"/>
        <v>0</v>
      </c>
      <c r="AG148">
        <v>0</v>
      </c>
      <c r="AH148">
        <f t="shared" si="39"/>
        <v>0</v>
      </c>
      <c r="AI148">
        <v>0</v>
      </c>
      <c r="AJ148">
        <f t="shared" si="40"/>
        <v>0</v>
      </c>
      <c r="AK148">
        <v>0</v>
      </c>
      <c r="AL148">
        <f t="shared" si="41"/>
        <v>0</v>
      </c>
      <c r="AM148">
        <v>0</v>
      </c>
      <c r="AN148">
        <f t="shared" si="42"/>
        <v>0</v>
      </c>
      <c r="AO148">
        <f t="shared" si="43"/>
        <v>0</v>
      </c>
      <c r="AP148">
        <f t="shared" si="45"/>
        <v>0</v>
      </c>
    </row>
    <row r="149" spans="1:42" x14ac:dyDescent="0.35">
      <c r="A149" s="8" t="s">
        <v>100</v>
      </c>
      <c r="B149" s="9">
        <v>94110205866</v>
      </c>
      <c r="C149" s="9" t="s">
        <v>23</v>
      </c>
      <c r="D149" s="9" t="s">
        <v>23</v>
      </c>
      <c r="E149" s="9" t="s">
        <v>23</v>
      </c>
      <c r="F149" s="9" t="s">
        <v>23</v>
      </c>
      <c r="G149" s="9" t="s">
        <v>23</v>
      </c>
      <c r="H149" s="9" t="s">
        <v>23</v>
      </c>
      <c r="I149" s="9" t="s">
        <v>23</v>
      </c>
      <c r="J149" s="9">
        <v>78</v>
      </c>
      <c r="K149" s="9" t="s">
        <v>23</v>
      </c>
      <c r="L149" s="9" t="s">
        <v>23</v>
      </c>
      <c r="M149" s="9">
        <v>100</v>
      </c>
      <c r="N149" s="9" t="s">
        <v>23</v>
      </c>
      <c r="O149" s="9" t="s">
        <v>23</v>
      </c>
      <c r="P149" s="9" t="s">
        <v>23</v>
      </c>
      <c r="Q149" s="9">
        <v>96</v>
      </c>
      <c r="R149" s="9">
        <v>40</v>
      </c>
      <c r="S149" s="9">
        <v>80</v>
      </c>
      <c r="T149" s="9" t="s">
        <v>23</v>
      </c>
      <c r="U149" s="10" t="s">
        <v>23</v>
      </c>
      <c r="V149">
        <f t="shared" si="44"/>
        <v>1</v>
      </c>
      <c r="W149">
        <f t="shared" si="31"/>
        <v>0</v>
      </c>
      <c r="X149">
        <f t="shared" si="32"/>
        <v>0</v>
      </c>
      <c r="Y149">
        <f t="shared" si="33"/>
        <v>0</v>
      </c>
      <c r="Z149">
        <f t="shared" si="34"/>
        <v>0</v>
      </c>
      <c r="AA149">
        <f t="shared" si="35"/>
        <v>0</v>
      </c>
      <c r="AB149">
        <f t="shared" si="36"/>
        <v>0</v>
      </c>
      <c r="AC149">
        <v>0</v>
      </c>
      <c r="AD149">
        <f t="shared" si="37"/>
        <v>1</v>
      </c>
      <c r="AE149">
        <v>0</v>
      </c>
      <c r="AF149">
        <f t="shared" si="38"/>
        <v>0</v>
      </c>
      <c r="AG149">
        <v>0</v>
      </c>
      <c r="AH149">
        <f t="shared" si="39"/>
        <v>0</v>
      </c>
      <c r="AI149">
        <v>0</v>
      </c>
      <c r="AJ149">
        <f t="shared" si="40"/>
        <v>0</v>
      </c>
      <c r="AK149">
        <v>0</v>
      </c>
      <c r="AL149">
        <f t="shared" si="41"/>
        <v>1</v>
      </c>
      <c r="AM149">
        <v>0</v>
      </c>
      <c r="AN149">
        <f t="shared" si="42"/>
        <v>0</v>
      </c>
      <c r="AO149">
        <f t="shared" si="43"/>
        <v>0</v>
      </c>
      <c r="AP149">
        <f t="shared" si="45"/>
        <v>0</v>
      </c>
    </row>
    <row r="150" spans="1:42" x14ac:dyDescent="0.35">
      <c r="A150" s="5" t="s">
        <v>100</v>
      </c>
      <c r="B150" s="6">
        <v>94121203482</v>
      </c>
      <c r="C150" s="6" t="s">
        <v>23</v>
      </c>
      <c r="D150" s="6" t="s">
        <v>23</v>
      </c>
      <c r="E150" s="6" t="s">
        <v>23</v>
      </c>
      <c r="F150" s="6" t="s">
        <v>23</v>
      </c>
      <c r="G150" s="6" t="s">
        <v>23</v>
      </c>
      <c r="H150" s="6" t="s">
        <v>23</v>
      </c>
      <c r="I150" s="6">
        <v>90</v>
      </c>
      <c r="J150" s="6" t="s">
        <v>23</v>
      </c>
      <c r="K150" s="6" t="s">
        <v>23</v>
      </c>
      <c r="L150" s="6" t="s">
        <v>23</v>
      </c>
      <c r="M150" s="6">
        <v>92</v>
      </c>
      <c r="N150" s="6">
        <v>71</v>
      </c>
      <c r="O150" s="6" t="s">
        <v>23</v>
      </c>
      <c r="P150" s="6" t="s">
        <v>23</v>
      </c>
      <c r="Q150" s="6">
        <v>38</v>
      </c>
      <c r="R150" s="6" t="s">
        <v>23</v>
      </c>
      <c r="S150" s="6">
        <v>47</v>
      </c>
      <c r="T150" s="6">
        <v>58</v>
      </c>
      <c r="U150" s="7" t="s">
        <v>23</v>
      </c>
      <c r="V150">
        <f t="shared" si="44"/>
        <v>1</v>
      </c>
      <c r="W150">
        <f t="shared" si="31"/>
        <v>0</v>
      </c>
      <c r="X150">
        <f t="shared" si="32"/>
        <v>0</v>
      </c>
      <c r="Y150">
        <f t="shared" si="33"/>
        <v>0</v>
      </c>
      <c r="Z150">
        <f t="shared" si="34"/>
        <v>0</v>
      </c>
      <c r="AA150">
        <f t="shared" si="35"/>
        <v>0</v>
      </c>
      <c r="AB150">
        <f t="shared" si="36"/>
        <v>0</v>
      </c>
      <c r="AC150">
        <v>0</v>
      </c>
      <c r="AD150">
        <f t="shared" si="37"/>
        <v>0</v>
      </c>
      <c r="AE150">
        <v>0</v>
      </c>
      <c r="AF150">
        <f t="shared" si="38"/>
        <v>0</v>
      </c>
      <c r="AG150">
        <v>0</v>
      </c>
      <c r="AH150">
        <f t="shared" si="39"/>
        <v>1</v>
      </c>
      <c r="AI150">
        <v>0</v>
      </c>
      <c r="AJ150">
        <f t="shared" si="40"/>
        <v>0</v>
      </c>
      <c r="AK150">
        <v>0</v>
      </c>
      <c r="AL150">
        <f t="shared" si="41"/>
        <v>0</v>
      </c>
      <c r="AM150">
        <v>0</v>
      </c>
      <c r="AN150">
        <f t="shared" si="42"/>
        <v>1</v>
      </c>
      <c r="AO150">
        <f t="shared" si="43"/>
        <v>0</v>
      </c>
      <c r="AP150">
        <f t="shared" si="45"/>
        <v>0</v>
      </c>
    </row>
    <row r="151" spans="1:42" x14ac:dyDescent="0.35">
      <c r="A151" s="8" t="s">
        <v>100</v>
      </c>
      <c r="B151" s="9">
        <v>94121709025</v>
      </c>
      <c r="C151" s="9" t="s">
        <v>23</v>
      </c>
      <c r="D151" s="9" t="s">
        <v>23</v>
      </c>
      <c r="E151" s="9" t="s">
        <v>23</v>
      </c>
      <c r="F151" s="9">
        <v>53</v>
      </c>
      <c r="G151" s="9" t="s">
        <v>23</v>
      </c>
      <c r="H151" s="9" t="s">
        <v>23</v>
      </c>
      <c r="I151" s="9">
        <v>98</v>
      </c>
      <c r="J151" s="9">
        <v>66</v>
      </c>
      <c r="K151" s="9" t="s">
        <v>23</v>
      </c>
      <c r="L151" s="9" t="s">
        <v>23</v>
      </c>
      <c r="M151" s="9" t="s">
        <v>23</v>
      </c>
      <c r="N151" s="9">
        <v>67</v>
      </c>
      <c r="O151" s="9" t="s">
        <v>23</v>
      </c>
      <c r="P151" s="9" t="s">
        <v>23</v>
      </c>
      <c r="Q151" s="9">
        <v>62</v>
      </c>
      <c r="R151" s="9" t="s">
        <v>23</v>
      </c>
      <c r="S151" s="9">
        <v>71</v>
      </c>
      <c r="T151" s="9">
        <v>63</v>
      </c>
      <c r="U151" s="10" t="s">
        <v>23</v>
      </c>
      <c r="V151">
        <f t="shared" si="44"/>
        <v>1</v>
      </c>
      <c r="W151">
        <f t="shared" si="31"/>
        <v>0</v>
      </c>
      <c r="X151">
        <f t="shared" si="32"/>
        <v>0</v>
      </c>
      <c r="Y151">
        <f t="shared" si="33"/>
        <v>0</v>
      </c>
      <c r="Z151">
        <f t="shared" si="34"/>
        <v>1</v>
      </c>
      <c r="AA151">
        <f t="shared" si="35"/>
        <v>0</v>
      </c>
      <c r="AB151">
        <f t="shared" si="36"/>
        <v>0</v>
      </c>
      <c r="AC151">
        <v>0</v>
      </c>
      <c r="AD151">
        <f t="shared" si="37"/>
        <v>1</v>
      </c>
      <c r="AE151">
        <v>0</v>
      </c>
      <c r="AF151">
        <f t="shared" si="38"/>
        <v>0</v>
      </c>
      <c r="AG151">
        <v>0</v>
      </c>
      <c r="AH151">
        <f t="shared" si="39"/>
        <v>1</v>
      </c>
      <c r="AI151">
        <v>0</v>
      </c>
      <c r="AJ151">
        <f t="shared" si="40"/>
        <v>0</v>
      </c>
      <c r="AK151">
        <v>0</v>
      </c>
      <c r="AL151">
        <f t="shared" si="41"/>
        <v>0</v>
      </c>
      <c r="AM151">
        <v>0</v>
      </c>
      <c r="AN151">
        <f t="shared" si="42"/>
        <v>1</v>
      </c>
      <c r="AO151">
        <f t="shared" si="43"/>
        <v>0</v>
      </c>
      <c r="AP151">
        <f t="shared" si="45"/>
        <v>1</v>
      </c>
    </row>
    <row r="152" spans="1:42" x14ac:dyDescent="0.35">
      <c r="A152" s="5" t="s">
        <v>100</v>
      </c>
      <c r="B152" s="6">
        <v>95011300625</v>
      </c>
      <c r="C152" s="6" t="s">
        <v>23</v>
      </c>
      <c r="D152" s="6" t="s">
        <v>23</v>
      </c>
      <c r="E152" s="6" t="s">
        <v>23</v>
      </c>
      <c r="F152" s="6">
        <v>52</v>
      </c>
      <c r="G152" s="6" t="s">
        <v>23</v>
      </c>
      <c r="H152" s="6" t="s">
        <v>23</v>
      </c>
      <c r="I152" s="6">
        <v>98</v>
      </c>
      <c r="J152" s="6" t="s">
        <v>23</v>
      </c>
      <c r="K152" s="6" t="s">
        <v>23</v>
      </c>
      <c r="L152" s="6" t="s">
        <v>23</v>
      </c>
      <c r="M152" s="6">
        <v>93</v>
      </c>
      <c r="N152" s="6">
        <v>70</v>
      </c>
      <c r="O152" s="6" t="s">
        <v>23</v>
      </c>
      <c r="P152" s="6" t="s">
        <v>23</v>
      </c>
      <c r="Q152" s="6">
        <v>58</v>
      </c>
      <c r="R152" s="6">
        <v>36</v>
      </c>
      <c r="S152" s="6">
        <v>41</v>
      </c>
      <c r="T152" s="6" t="s">
        <v>23</v>
      </c>
      <c r="U152" s="7" t="s">
        <v>23</v>
      </c>
      <c r="V152">
        <f t="shared" si="44"/>
        <v>1</v>
      </c>
      <c r="W152">
        <f t="shared" si="31"/>
        <v>0</v>
      </c>
      <c r="X152">
        <f t="shared" si="32"/>
        <v>0</v>
      </c>
      <c r="Y152">
        <f t="shared" si="33"/>
        <v>0</v>
      </c>
      <c r="Z152">
        <f t="shared" si="34"/>
        <v>1</v>
      </c>
      <c r="AA152">
        <f t="shared" si="35"/>
        <v>0</v>
      </c>
      <c r="AB152">
        <f t="shared" si="36"/>
        <v>0</v>
      </c>
      <c r="AC152">
        <v>0</v>
      </c>
      <c r="AD152">
        <f t="shared" si="37"/>
        <v>0</v>
      </c>
      <c r="AE152">
        <v>0</v>
      </c>
      <c r="AF152">
        <f t="shared" si="38"/>
        <v>0</v>
      </c>
      <c r="AG152">
        <v>0</v>
      </c>
      <c r="AH152">
        <f t="shared" si="39"/>
        <v>1</v>
      </c>
      <c r="AI152">
        <v>0</v>
      </c>
      <c r="AJ152">
        <f t="shared" si="40"/>
        <v>0</v>
      </c>
      <c r="AK152">
        <v>0</v>
      </c>
      <c r="AL152">
        <f t="shared" si="41"/>
        <v>1</v>
      </c>
      <c r="AM152">
        <v>0</v>
      </c>
      <c r="AN152">
        <f t="shared" si="42"/>
        <v>0</v>
      </c>
      <c r="AO152">
        <f t="shared" si="43"/>
        <v>0</v>
      </c>
      <c r="AP152">
        <f t="shared" si="45"/>
        <v>1</v>
      </c>
    </row>
    <row r="153" spans="1:42" x14ac:dyDescent="0.35">
      <c r="A153" s="11" t="s">
        <v>100</v>
      </c>
      <c r="B153" s="1">
        <v>95032804489</v>
      </c>
      <c r="C153" s="1">
        <v>43</v>
      </c>
      <c r="D153" s="1">
        <v>43</v>
      </c>
      <c r="E153" s="1" t="s">
        <v>23</v>
      </c>
      <c r="F153" s="1" t="s">
        <v>23</v>
      </c>
      <c r="G153" s="1" t="s">
        <v>23</v>
      </c>
      <c r="H153" s="1" t="s">
        <v>23</v>
      </c>
      <c r="I153" s="1">
        <v>95</v>
      </c>
      <c r="J153" s="1" t="s">
        <v>23</v>
      </c>
      <c r="K153" s="1" t="s">
        <v>23</v>
      </c>
      <c r="L153" s="1" t="s">
        <v>23</v>
      </c>
      <c r="M153" s="1" t="s">
        <v>23</v>
      </c>
      <c r="N153" s="1">
        <v>70</v>
      </c>
      <c r="O153" s="1" t="s">
        <v>23</v>
      </c>
      <c r="P153" s="1" t="s">
        <v>23</v>
      </c>
      <c r="Q153" s="1">
        <v>62</v>
      </c>
      <c r="R153" s="1" t="s">
        <v>23</v>
      </c>
      <c r="S153" s="1">
        <v>59</v>
      </c>
      <c r="T153" s="1" t="s">
        <v>23</v>
      </c>
      <c r="U153" s="12" t="s">
        <v>23</v>
      </c>
      <c r="V153">
        <f t="shared" si="44"/>
        <v>1</v>
      </c>
      <c r="W153">
        <f t="shared" si="31"/>
        <v>1</v>
      </c>
      <c r="X153">
        <f t="shared" si="32"/>
        <v>1</v>
      </c>
      <c r="Y153">
        <f t="shared" si="33"/>
        <v>0</v>
      </c>
      <c r="Z153">
        <f t="shared" si="34"/>
        <v>0</v>
      </c>
      <c r="AA153">
        <f t="shared" si="35"/>
        <v>0</v>
      </c>
      <c r="AB153">
        <f t="shared" si="36"/>
        <v>0</v>
      </c>
      <c r="AC153">
        <v>0</v>
      </c>
      <c r="AD153">
        <f t="shared" si="37"/>
        <v>0</v>
      </c>
      <c r="AE153">
        <v>0</v>
      </c>
      <c r="AF153">
        <f t="shared" si="38"/>
        <v>0</v>
      </c>
      <c r="AG153">
        <v>0</v>
      </c>
      <c r="AH153">
        <f t="shared" si="39"/>
        <v>1</v>
      </c>
      <c r="AI153">
        <v>0</v>
      </c>
      <c r="AJ153">
        <f t="shared" si="40"/>
        <v>0</v>
      </c>
      <c r="AK153">
        <v>0</v>
      </c>
      <c r="AL153">
        <f t="shared" si="41"/>
        <v>0</v>
      </c>
      <c r="AM153">
        <v>0</v>
      </c>
      <c r="AN153">
        <f t="shared" si="42"/>
        <v>0</v>
      </c>
      <c r="AO153">
        <f t="shared" si="43"/>
        <v>0</v>
      </c>
      <c r="AP153">
        <f t="shared" si="45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3B111-43C0-47C7-ADFE-8AB8E3B97A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matura</vt:lpstr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2024-10-24T15:32:32Z</dcterms:created>
  <dcterms:modified xsi:type="dcterms:W3CDTF">2024-10-26T15:37:56Z</dcterms:modified>
</cp:coreProperties>
</file>