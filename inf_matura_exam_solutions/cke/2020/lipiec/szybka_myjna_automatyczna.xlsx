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cke\2020\lipiec\"/>
    </mc:Choice>
  </mc:AlternateContent>
  <xr:revisionPtr revIDLastSave="0" documentId="13_ncr:1_{E95BFA77-D303-49B8-9B86-B999D5A87E24}" xr6:coauthVersionLast="47" xr6:coauthVersionMax="47" xr10:uidLastSave="{00000000-0000-0000-0000-000000000000}"/>
  <bookViews>
    <workbookView xWindow="-110" yWindow="-110" windowWidth="19420" windowHeight="10300" activeTab="5" xr2:uid="{2619E594-DA0D-4390-836C-FCF618E85107}"/>
  </bookViews>
  <sheets>
    <sheet name="myjnia" sheetId="2" r:id="rId1"/>
    <sheet name="5.1" sheetId="3" r:id="rId2"/>
    <sheet name="5.2" sheetId="4" r:id="rId3"/>
    <sheet name="5.3" sheetId="5" r:id="rId4"/>
    <sheet name="5.4" sheetId="6" r:id="rId5"/>
    <sheet name="5.5" sheetId="7" r:id="rId6"/>
  </sheet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7" l="1"/>
  <c r="H7" i="7"/>
  <c r="H8" i="7" s="1"/>
  <c r="H9" i="7" s="1"/>
  <c r="H10" i="7"/>
  <c r="H11" i="7"/>
  <c r="H12" i="7"/>
  <c r="H13" i="7"/>
  <c r="H14" i="7"/>
  <c r="H15" i="7"/>
  <c r="H16" i="7"/>
  <c r="H17" i="7"/>
  <c r="H18" i="7"/>
  <c r="H19" i="7"/>
  <c r="H20" i="7" s="1"/>
  <c r="H21" i="7"/>
  <c r="H22" i="7"/>
  <c r="H23" i="7"/>
  <c r="H24" i="7"/>
  <c r="H25" i="7"/>
  <c r="H26" i="7"/>
  <c r="H27" i="7"/>
  <c r="H28" i="7"/>
  <c r="H29" i="7" s="1"/>
  <c r="H30" i="7"/>
  <c r="H31" i="7"/>
  <c r="H32" i="7"/>
  <c r="H33" i="7"/>
  <c r="H34" i="7" s="1"/>
  <c r="H35" i="7"/>
  <c r="H36" i="7"/>
  <c r="H37" i="7"/>
  <c r="H38" i="7"/>
  <c r="H39" i="7"/>
  <c r="H40" i="7"/>
  <c r="H41" i="7"/>
  <c r="H42" i="7"/>
  <c r="H43" i="7" s="1"/>
  <c r="H44" i="7"/>
  <c r="H45" i="7"/>
  <c r="H46" i="7"/>
  <c r="H47" i="7"/>
  <c r="H48" i="7"/>
  <c r="H49" i="7" s="1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 s="1"/>
  <c r="H77" i="7"/>
  <c r="H78" i="7"/>
  <c r="H79" i="7"/>
  <c r="H80" i="7"/>
  <c r="H81" i="7"/>
  <c r="H82" i="7"/>
  <c r="H83" i="7"/>
  <c r="H84" i="7"/>
  <c r="H85" i="7"/>
  <c r="H86" i="7" s="1"/>
  <c r="H87" i="7"/>
  <c r="H88" i="7"/>
  <c r="H89" i="7" s="1"/>
  <c r="H90" i="7"/>
  <c r="H91" i="7"/>
  <c r="H92" i="7" s="1"/>
  <c r="H93" i="7"/>
  <c r="H94" i="7"/>
  <c r="H95" i="7"/>
  <c r="H96" i="7"/>
  <c r="H97" i="7" s="1"/>
  <c r="H98" i="7"/>
  <c r="H99" i="7"/>
  <c r="H100" i="7"/>
  <c r="H101" i="7"/>
  <c r="H102" i="7" s="1"/>
  <c r="H103" i="7"/>
  <c r="H104" i="7"/>
  <c r="H105" i="7"/>
  <c r="H106" i="7"/>
  <c r="H107" i="7"/>
  <c r="H108" i="7"/>
  <c r="H109" i="7"/>
  <c r="H110" i="7"/>
  <c r="H111" i="7" s="1"/>
  <c r="H112" i="7" s="1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 s="1"/>
  <c r="H135" i="7"/>
  <c r="H136" i="7"/>
  <c r="H137" i="7" s="1"/>
  <c r="H138" i="7"/>
  <c r="H139" i="7"/>
  <c r="H140" i="7"/>
  <c r="H141" i="7"/>
  <c r="H142" i="7"/>
  <c r="H143" i="7"/>
  <c r="H144" i="7"/>
  <c r="H145" i="7" s="1"/>
  <c r="H5" i="7"/>
  <c r="H3" i="7"/>
  <c r="E5" i="7"/>
  <c r="E6" i="7"/>
  <c r="E7" i="7" s="1"/>
  <c r="E8" i="7" s="1"/>
  <c r="E9" i="7" s="1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E22" i="7" s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E77" i="7" s="1"/>
  <c r="E78" i="7" s="1"/>
  <c r="E79" i="7" s="1"/>
  <c r="E80" i="7" s="1"/>
  <c r="E81" i="7" s="1"/>
  <c r="E82" i="7" s="1"/>
  <c r="E83" i="7" s="1"/>
  <c r="E84" i="7" s="1"/>
  <c r="E85" i="7" s="1"/>
  <c r="E86" i="7" s="1"/>
  <c r="E87" i="7" s="1"/>
  <c r="E88" i="7" s="1"/>
  <c r="E89" i="7" s="1"/>
  <c r="E90" i="7" s="1"/>
  <c r="E91" i="7" s="1"/>
  <c r="E92" i="7" s="1"/>
  <c r="E93" i="7" s="1"/>
  <c r="E94" i="7" s="1"/>
  <c r="E95" i="7" s="1"/>
  <c r="E96" i="7" s="1"/>
  <c r="E97" i="7" s="1"/>
  <c r="E98" i="7" s="1"/>
  <c r="E99" i="7" s="1"/>
  <c r="E100" i="7" s="1"/>
  <c r="E101" i="7" s="1"/>
  <c r="E102" i="7" s="1"/>
  <c r="E103" i="7" s="1"/>
  <c r="E104" i="7" s="1"/>
  <c r="E105" i="7" s="1"/>
  <c r="E106" i="7" s="1"/>
  <c r="E107" i="7" s="1"/>
  <c r="E108" i="7" s="1"/>
  <c r="E109" i="7" s="1"/>
  <c r="E110" i="7" s="1"/>
  <c r="E111" i="7" s="1"/>
  <c r="E112" i="7" s="1"/>
  <c r="E113" i="7" s="1"/>
  <c r="E114" i="7" s="1"/>
  <c r="E115" i="7" s="1"/>
  <c r="E116" i="7" s="1"/>
  <c r="E117" i="7" s="1"/>
  <c r="E118" i="7" s="1"/>
  <c r="E119" i="7" s="1"/>
  <c r="E120" i="7" s="1"/>
  <c r="E121" i="7" s="1"/>
  <c r="E122" i="7" s="1"/>
  <c r="E123" i="7" s="1"/>
  <c r="E124" i="7" s="1"/>
  <c r="E125" i="7" s="1"/>
  <c r="E126" i="7" s="1"/>
  <c r="E127" i="7" s="1"/>
  <c r="E128" i="7" s="1"/>
  <c r="E129" i="7" s="1"/>
  <c r="E130" i="7" s="1"/>
  <c r="E131" i="7" s="1"/>
  <c r="E132" i="7" s="1"/>
  <c r="E133" i="7" s="1"/>
  <c r="E134" i="7" s="1"/>
  <c r="E135" i="7" s="1"/>
  <c r="E136" i="7" s="1"/>
  <c r="E137" i="7" s="1"/>
  <c r="E138" i="7" s="1"/>
  <c r="E139" i="7" s="1"/>
  <c r="E140" i="7" s="1"/>
  <c r="E141" i="7" s="1"/>
  <c r="E142" i="7" s="1"/>
  <c r="E143" i="7" s="1"/>
  <c r="E144" i="7" s="1"/>
  <c r="E145" i="7" s="1"/>
  <c r="E4" i="7"/>
  <c r="F3" i="7"/>
  <c r="F2" i="7"/>
  <c r="D3" i="7"/>
  <c r="D4" i="7" s="1"/>
  <c r="D2" i="7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2" i="6"/>
  <c r="D2" i="6"/>
  <c r="D3" i="6"/>
  <c r="D4" i="6" s="1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F2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3" i="5"/>
  <c r="J5" i="4"/>
  <c r="I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2" i="4"/>
  <c r="D5" i="7" l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F4" i="7" l="1"/>
  <c r="G4" i="7" s="1"/>
  <c r="F5" i="7" l="1"/>
  <c r="G5" i="7" s="1"/>
  <c r="F6" i="7" l="1"/>
  <c r="G6" i="7" s="1"/>
  <c r="F7" i="7" l="1"/>
  <c r="G7" i="7" s="1"/>
  <c r="F8" i="7"/>
  <c r="G8" i="7" l="1"/>
  <c r="F9" i="7"/>
  <c r="G9" i="7" s="1"/>
  <c r="F10" i="7" l="1"/>
  <c r="G10" i="7" s="1"/>
  <c r="F11" i="7" l="1"/>
  <c r="F12" i="7" s="1"/>
  <c r="G11" i="7" l="1"/>
  <c r="G12" i="7" s="1"/>
  <c r="F13" i="7"/>
  <c r="G13" i="7" l="1"/>
  <c r="F14" i="7"/>
  <c r="G14" i="7" l="1"/>
  <c r="F15" i="7"/>
  <c r="G15" i="7" s="1"/>
  <c r="F16" i="7" l="1"/>
  <c r="G16" i="7" s="1"/>
  <c r="F17" i="7" l="1"/>
  <c r="G17" i="7" s="1"/>
  <c r="F18" i="7" l="1"/>
  <c r="G18" i="7" s="1"/>
  <c r="F19" i="7" l="1"/>
  <c r="G19" i="7" s="1"/>
  <c r="F20" i="7" l="1"/>
  <c r="G20" i="7" s="1"/>
  <c r="F21" i="7" l="1"/>
  <c r="G21" i="7" s="1"/>
  <c r="F22" i="7" l="1"/>
  <c r="G22" i="7" s="1"/>
  <c r="F23" i="7" l="1"/>
  <c r="G23" i="7" s="1"/>
  <c r="F24" i="7" l="1"/>
  <c r="G24" i="7" s="1"/>
  <c r="F25" i="7" l="1"/>
  <c r="G25" i="7" s="1"/>
  <c r="F26" i="7" l="1"/>
  <c r="G26" i="7" s="1"/>
  <c r="F27" i="7" l="1"/>
  <c r="G27" i="7" s="1"/>
  <c r="F28" i="7" l="1"/>
  <c r="G28" i="7" s="1"/>
  <c r="F29" i="7" l="1"/>
  <c r="G29" i="7" s="1"/>
  <c r="F30" i="7" l="1"/>
  <c r="G30" i="7" s="1"/>
  <c r="F31" i="7" l="1"/>
  <c r="G31" i="7" s="1"/>
  <c r="F32" i="7" l="1"/>
  <c r="G32" i="7" s="1"/>
  <c r="F33" i="7" l="1"/>
  <c r="G33" i="7" s="1"/>
  <c r="F34" i="7" l="1"/>
  <c r="G34" i="7" s="1"/>
  <c r="F35" i="7" l="1"/>
  <c r="G35" i="7" s="1"/>
  <c r="F36" i="7" l="1"/>
  <c r="G36" i="7" s="1"/>
  <c r="F37" i="7" l="1"/>
  <c r="G37" i="7" s="1"/>
  <c r="F38" i="7" l="1"/>
  <c r="G38" i="7" s="1"/>
  <c r="F39" i="7" l="1"/>
  <c r="G39" i="7" s="1"/>
  <c r="F40" i="7" l="1"/>
  <c r="G40" i="7" s="1"/>
  <c r="F41" i="7" l="1"/>
  <c r="G41" i="7" s="1"/>
  <c r="F42" i="7" l="1"/>
  <c r="G42" i="7" s="1"/>
  <c r="F43" i="7" l="1"/>
  <c r="G43" i="7" s="1"/>
  <c r="F44" i="7" l="1"/>
  <c r="G44" i="7" s="1"/>
  <c r="F45" i="7" l="1"/>
  <c r="G45" i="7" s="1"/>
  <c r="F46" i="7" l="1"/>
  <c r="G46" i="7" s="1"/>
  <c r="F47" i="7" l="1"/>
  <c r="G47" i="7" s="1"/>
  <c r="F48" i="7" l="1"/>
  <c r="G48" i="7" s="1"/>
  <c r="F49" i="7" l="1"/>
  <c r="G49" i="7" s="1"/>
  <c r="F50" i="7" l="1"/>
  <c r="G50" i="7" s="1"/>
  <c r="F51" i="7" l="1"/>
  <c r="G51" i="7" s="1"/>
  <c r="F52" i="7" l="1"/>
  <c r="G52" i="7" s="1"/>
  <c r="F53" i="7" l="1"/>
  <c r="G53" i="7" s="1"/>
  <c r="F54" i="7" l="1"/>
  <c r="G54" i="7" s="1"/>
  <c r="F55" i="7" l="1"/>
  <c r="G55" i="7" s="1"/>
  <c r="F56" i="7" l="1"/>
  <c r="G56" i="7" s="1"/>
  <c r="F57" i="7" l="1"/>
  <c r="G57" i="7" s="1"/>
  <c r="F58" i="7" l="1"/>
  <c r="G58" i="7" s="1"/>
  <c r="F59" i="7" l="1"/>
  <c r="G59" i="7" s="1"/>
  <c r="F60" i="7" l="1"/>
  <c r="G60" i="7" s="1"/>
  <c r="F61" i="7" l="1"/>
  <c r="G61" i="7" s="1"/>
  <c r="F62" i="7" l="1"/>
  <c r="G62" i="7" s="1"/>
  <c r="F63" i="7" l="1"/>
  <c r="G63" i="7" s="1"/>
  <c r="F64" i="7" l="1"/>
  <c r="G64" i="7" s="1"/>
  <c r="F65" i="7" l="1"/>
  <c r="G65" i="7" s="1"/>
  <c r="F66" i="7" l="1"/>
  <c r="G66" i="7" s="1"/>
  <c r="F67" i="7" l="1"/>
  <c r="G67" i="7" s="1"/>
  <c r="F68" i="7" l="1"/>
  <c r="G68" i="7" s="1"/>
  <c r="F69" i="7" l="1"/>
  <c r="G69" i="7" s="1"/>
  <c r="F70" i="7" l="1"/>
  <c r="G70" i="7" s="1"/>
  <c r="F71" i="7" l="1"/>
  <c r="G71" i="7" s="1"/>
  <c r="F72" i="7" l="1"/>
  <c r="G72" i="7" s="1"/>
  <c r="F73" i="7" l="1"/>
  <c r="G73" i="7" s="1"/>
  <c r="F74" i="7" l="1"/>
  <c r="G74" i="7" s="1"/>
  <c r="F75" i="7" l="1"/>
  <c r="G75" i="7" s="1"/>
  <c r="F76" i="7" l="1"/>
  <c r="G76" i="7" s="1"/>
  <c r="F77" i="7" l="1"/>
  <c r="G77" i="7" s="1"/>
  <c r="F78" i="7" l="1"/>
  <c r="G78" i="7" s="1"/>
  <c r="F79" i="7" l="1"/>
  <c r="G79" i="7" s="1"/>
  <c r="F80" i="7" l="1"/>
  <c r="G80" i="7" s="1"/>
  <c r="F81" i="7" l="1"/>
  <c r="G81" i="7" s="1"/>
  <c r="F82" i="7" l="1"/>
  <c r="G82" i="7" s="1"/>
  <c r="F83" i="7" l="1"/>
  <c r="G83" i="7" s="1"/>
  <c r="F84" i="7" l="1"/>
  <c r="G84" i="7" s="1"/>
  <c r="F85" i="7" l="1"/>
  <c r="G85" i="7" s="1"/>
  <c r="F86" i="7" l="1"/>
  <c r="G86" i="7" s="1"/>
  <c r="F87" i="7" l="1"/>
  <c r="G87" i="7" s="1"/>
  <c r="F88" i="7" l="1"/>
  <c r="G88" i="7" s="1"/>
  <c r="F89" i="7" l="1"/>
  <c r="G89" i="7" s="1"/>
  <c r="F90" i="7" l="1"/>
  <c r="G90" i="7" s="1"/>
  <c r="F91" i="7" l="1"/>
  <c r="G91" i="7" s="1"/>
  <c r="F92" i="7" l="1"/>
  <c r="G92" i="7" s="1"/>
  <c r="F93" i="7" l="1"/>
  <c r="G93" i="7" s="1"/>
  <c r="F94" i="7" l="1"/>
  <c r="G94" i="7" s="1"/>
  <c r="F95" i="7" l="1"/>
  <c r="G95" i="7" s="1"/>
  <c r="F96" i="7" l="1"/>
  <c r="G96" i="7" s="1"/>
  <c r="F97" i="7" l="1"/>
  <c r="G97" i="7" s="1"/>
  <c r="F98" i="7" l="1"/>
  <c r="G98" i="7" s="1"/>
  <c r="F99" i="7" l="1"/>
  <c r="G99" i="7" s="1"/>
  <c r="F100" i="7" l="1"/>
  <c r="G100" i="7" s="1"/>
  <c r="F101" i="7" l="1"/>
  <c r="G101" i="7" s="1"/>
  <c r="F102" i="7" l="1"/>
  <c r="G102" i="7" s="1"/>
  <c r="F103" i="7" l="1"/>
  <c r="G103" i="7" s="1"/>
  <c r="F104" i="7" l="1"/>
  <c r="G104" i="7" s="1"/>
  <c r="F105" i="7" l="1"/>
  <c r="G105" i="7" s="1"/>
  <c r="F106" i="7" l="1"/>
  <c r="G106" i="7" s="1"/>
  <c r="F107" i="7" l="1"/>
  <c r="G107" i="7" s="1"/>
  <c r="F108" i="7" l="1"/>
  <c r="G108" i="7" s="1"/>
  <c r="F109" i="7" l="1"/>
  <c r="G109" i="7" s="1"/>
  <c r="F110" i="7" l="1"/>
  <c r="G110" i="7" s="1"/>
  <c r="F111" i="7" l="1"/>
  <c r="G111" i="7" s="1"/>
  <c r="F112" i="7" l="1"/>
  <c r="G112" i="7" s="1"/>
  <c r="F113" i="7" l="1"/>
  <c r="G113" i="7" s="1"/>
  <c r="F114" i="7" l="1"/>
  <c r="G114" i="7" s="1"/>
  <c r="F115" i="7" l="1"/>
  <c r="G115" i="7" s="1"/>
  <c r="F116" i="7" l="1"/>
  <c r="G116" i="7" s="1"/>
  <c r="F117" i="7" l="1"/>
  <c r="G117" i="7" s="1"/>
  <c r="F118" i="7" l="1"/>
  <c r="G118" i="7" s="1"/>
  <c r="F119" i="7" l="1"/>
  <c r="G119" i="7" s="1"/>
  <c r="F120" i="7" l="1"/>
  <c r="G120" i="7" s="1"/>
  <c r="F121" i="7" l="1"/>
  <c r="G121" i="7" s="1"/>
  <c r="F122" i="7" l="1"/>
  <c r="G122" i="7" s="1"/>
  <c r="F123" i="7" l="1"/>
  <c r="G123" i="7" s="1"/>
  <c r="F124" i="7" l="1"/>
  <c r="G124" i="7" s="1"/>
  <c r="F125" i="7" l="1"/>
  <c r="G125" i="7" s="1"/>
  <c r="F126" i="7" l="1"/>
  <c r="G126" i="7" s="1"/>
  <c r="F127" i="7" l="1"/>
  <c r="G127" i="7" s="1"/>
  <c r="F128" i="7" l="1"/>
  <c r="G128" i="7" s="1"/>
  <c r="F129" i="7" l="1"/>
  <c r="G129" i="7" s="1"/>
  <c r="F130" i="7" l="1"/>
  <c r="G130" i="7" s="1"/>
  <c r="F131" i="7" l="1"/>
  <c r="G131" i="7" s="1"/>
  <c r="F132" i="7" l="1"/>
  <c r="G132" i="7" s="1"/>
  <c r="F133" i="7" l="1"/>
  <c r="G133" i="7" s="1"/>
  <c r="F134" i="7" l="1"/>
  <c r="G134" i="7" s="1"/>
  <c r="F135" i="7" l="1"/>
  <c r="G135" i="7" s="1"/>
  <c r="F136" i="7" l="1"/>
  <c r="G136" i="7" s="1"/>
  <c r="F137" i="7" l="1"/>
  <c r="G137" i="7" s="1"/>
  <c r="F138" i="7" l="1"/>
  <c r="G138" i="7" s="1"/>
  <c r="F139" i="7" l="1"/>
  <c r="G139" i="7" s="1"/>
  <c r="F140" i="7" l="1"/>
  <c r="G140" i="7" s="1"/>
  <c r="F141" i="7" l="1"/>
  <c r="G141" i="7" s="1"/>
  <c r="F142" i="7" l="1"/>
  <c r="G142" i="7" s="1"/>
  <c r="F143" i="7" l="1"/>
  <c r="G143" i="7" s="1"/>
  <c r="F145" i="7" l="1"/>
  <c r="F144" i="7"/>
  <c r="G144" i="7" s="1"/>
  <c r="G145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1C4B38-100B-461C-9C3A-EE266C3CCE5F}" keepAlive="1" name="Zapytanie — myjnia" description="Połączenie z zapytaniem „myjnia” w skoroszycie." type="5" refreshedVersion="0" background="1">
    <dbPr connection="Provider=Microsoft.Mashup.OleDb.1;Data Source=$Workbook$;Location=myjnia;Extended Properties=&quot;&quot;" command="SELECT * FROM [myjnia]"/>
  </connection>
</connections>
</file>

<file path=xl/sharedStrings.xml><?xml version="1.0" encoding="utf-8"?>
<sst xmlns="http://schemas.openxmlformats.org/spreadsheetml/2006/main" count="1013" uniqueCount="272">
  <si>
    <t>NN792</t>
  </si>
  <si>
    <t>FO434</t>
  </si>
  <si>
    <t>GN103</t>
  </si>
  <si>
    <t>EA828</t>
  </si>
  <si>
    <t>FN819</t>
  </si>
  <si>
    <t>CI708</t>
  </si>
  <si>
    <t>KP566</t>
  </si>
  <si>
    <t>DB255</t>
  </si>
  <si>
    <t>DE239</t>
  </si>
  <si>
    <t>HL821</t>
  </si>
  <si>
    <t>CG489</t>
  </si>
  <si>
    <t>BD204</t>
  </si>
  <si>
    <t>KJ360</t>
  </si>
  <si>
    <t>BH265</t>
  </si>
  <si>
    <t>KI293</t>
  </si>
  <si>
    <t>EH963</t>
  </si>
  <si>
    <t>DP909</t>
  </si>
  <si>
    <t>MD193</t>
  </si>
  <si>
    <t>CC204</t>
  </si>
  <si>
    <t>IB453</t>
  </si>
  <si>
    <t>NE867</t>
  </si>
  <si>
    <t>HP605</t>
  </si>
  <si>
    <t>BM696</t>
  </si>
  <si>
    <t>NH320</t>
  </si>
  <si>
    <t>LJ560</t>
  </si>
  <si>
    <t>KE961</t>
  </si>
  <si>
    <t>DA206</t>
  </si>
  <si>
    <t>BF559</t>
  </si>
  <si>
    <t>AE964</t>
  </si>
  <si>
    <t>AK592</t>
  </si>
  <si>
    <t>GH547</t>
  </si>
  <si>
    <t>HE739</t>
  </si>
  <si>
    <t>JP960</t>
  </si>
  <si>
    <t>EL406</t>
  </si>
  <si>
    <t>NO341</t>
  </si>
  <si>
    <t>HA988</t>
  </si>
  <si>
    <t>BD855</t>
  </si>
  <si>
    <t>AC254</t>
  </si>
  <si>
    <t>EB508</t>
  </si>
  <si>
    <t>CJ207</t>
  </si>
  <si>
    <t>MI932</t>
  </si>
  <si>
    <t>KK643</t>
  </si>
  <si>
    <t>MN131</t>
  </si>
  <si>
    <t>GL291</t>
  </si>
  <si>
    <t>DA512</t>
  </si>
  <si>
    <t>MK572</t>
  </si>
  <si>
    <t>NM404</t>
  </si>
  <si>
    <t>JM414</t>
  </si>
  <si>
    <t>BA749</t>
  </si>
  <si>
    <t>DE678</t>
  </si>
  <si>
    <t>AG504</t>
  </si>
  <si>
    <t>FC803</t>
  </si>
  <si>
    <t>DE822</t>
  </si>
  <si>
    <t>PJ152</t>
  </si>
  <si>
    <t>GK857</t>
  </si>
  <si>
    <t>BO596</t>
  </si>
  <si>
    <t>KK488</t>
  </si>
  <si>
    <t>AI420</t>
  </si>
  <si>
    <t>KJ759</t>
  </si>
  <si>
    <t>DL542</t>
  </si>
  <si>
    <t>JI840</t>
  </si>
  <si>
    <t>KK476</t>
  </si>
  <si>
    <t>HP302</t>
  </si>
  <si>
    <t>FI172</t>
  </si>
  <si>
    <t>NM428</t>
  </si>
  <si>
    <t>PM455</t>
  </si>
  <si>
    <t>JM637</t>
  </si>
  <si>
    <t>PK319</t>
  </si>
  <si>
    <t>PM491</t>
  </si>
  <si>
    <t>BC831</t>
  </si>
  <si>
    <t>OJ247</t>
  </si>
  <si>
    <t>EH892</t>
  </si>
  <si>
    <t>JN904</t>
  </si>
  <si>
    <t>KI291</t>
  </si>
  <si>
    <t>MF590</t>
  </si>
  <si>
    <t>LN225</t>
  </si>
  <si>
    <t>CN589</t>
  </si>
  <si>
    <t>JM352</t>
  </si>
  <si>
    <t>AA425</t>
  </si>
  <si>
    <t>OI629</t>
  </si>
  <si>
    <t>HA731</t>
  </si>
  <si>
    <t>GA781</t>
  </si>
  <si>
    <t>LM755</t>
  </si>
  <si>
    <t>AE347</t>
  </si>
  <si>
    <t>GF313</t>
  </si>
  <si>
    <t>EF961</t>
  </si>
  <si>
    <t>PO926</t>
  </si>
  <si>
    <t>NH234</t>
  </si>
  <si>
    <t>AG864</t>
  </si>
  <si>
    <t>DM336</t>
  </si>
  <si>
    <t>LM392</t>
  </si>
  <si>
    <t>EH559</t>
  </si>
  <si>
    <t>HC465</t>
  </si>
  <si>
    <t>BL246</t>
  </si>
  <si>
    <t>FG771</t>
  </si>
  <si>
    <t>IC327</t>
  </si>
  <si>
    <t>JK843</t>
  </si>
  <si>
    <t>CL393</t>
  </si>
  <si>
    <t>NP226</t>
  </si>
  <si>
    <t>PI710</t>
  </si>
  <si>
    <t>GA435</t>
  </si>
  <si>
    <t>AH451</t>
  </si>
  <si>
    <t>IJ379</t>
  </si>
  <si>
    <t>CC791</t>
  </si>
  <si>
    <t>AF135</t>
  </si>
  <si>
    <t>MN872</t>
  </si>
  <si>
    <t>LP599</t>
  </si>
  <si>
    <t>OD829</t>
  </si>
  <si>
    <t>KN305</t>
  </si>
  <si>
    <t>AH528</t>
  </si>
  <si>
    <t>CA524</t>
  </si>
  <si>
    <t>EP925</t>
  </si>
  <si>
    <t>EF263</t>
  </si>
  <si>
    <t>AN413</t>
  </si>
  <si>
    <t>LE288</t>
  </si>
  <si>
    <t>LM661</t>
  </si>
  <si>
    <t>CO649</t>
  </si>
  <si>
    <t>GB981</t>
  </si>
  <si>
    <t>HF358</t>
  </si>
  <si>
    <t>LA734</t>
  </si>
  <si>
    <t>LL684</t>
  </si>
  <si>
    <t>EG251</t>
  </si>
  <si>
    <t>NH488</t>
  </si>
  <si>
    <t>LF545</t>
  </si>
  <si>
    <t>GB137</t>
  </si>
  <si>
    <t>PB847</t>
  </si>
  <si>
    <t>GH559</t>
  </si>
  <si>
    <t>FP317</t>
  </si>
  <si>
    <t>BM762</t>
  </si>
  <si>
    <t>FJ667</t>
  </si>
  <si>
    <t>FA471</t>
  </si>
  <si>
    <t>OO730</t>
  </si>
  <si>
    <t>NM466</t>
  </si>
  <si>
    <t>LN234</t>
  </si>
  <si>
    <t>NK798</t>
  </si>
  <si>
    <t>DH531</t>
  </si>
  <si>
    <t>IC460</t>
  </si>
  <si>
    <t>BA678</t>
  </si>
  <si>
    <t>GE131</t>
  </si>
  <si>
    <t>PA306</t>
  </si>
  <si>
    <t>EL879</t>
  </si>
  <si>
    <t>EL963</t>
  </si>
  <si>
    <t>NK460</t>
  </si>
  <si>
    <t>GM330</t>
  </si>
  <si>
    <t>nr. Rejestracyjny</t>
  </si>
  <si>
    <t>czas mycia</t>
  </si>
  <si>
    <t>ile minut od przyjazdu ostatniego klienta</t>
  </si>
  <si>
    <t>Etykiety wierszy</t>
  </si>
  <si>
    <t>Suma końcowa</t>
  </si>
  <si>
    <t>l.klientow</t>
  </si>
  <si>
    <t>Suma z l.klientow</t>
  </si>
  <si>
    <t>miasto</t>
  </si>
  <si>
    <t>AA</t>
  </si>
  <si>
    <t>AC</t>
  </si>
  <si>
    <t>AE</t>
  </si>
  <si>
    <t>AF</t>
  </si>
  <si>
    <t>AG</t>
  </si>
  <si>
    <t>AH</t>
  </si>
  <si>
    <t>AI</t>
  </si>
  <si>
    <t>AK</t>
  </si>
  <si>
    <t>AN</t>
  </si>
  <si>
    <t>BA</t>
  </si>
  <si>
    <t>BC</t>
  </si>
  <si>
    <t>BD</t>
  </si>
  <si>
    <t>BF</t>
  </si>
  <si>
    <t>BH</t>
  </si>
  <si>
    <t>BL</t>
  </si>
  <si>
    <t>BM</t>
  </si>
  <si>
    <t>BO</t>
  </si>
  <si>
    <t>CA</t>
  </si>
  <si>
    <t>CC</t>
  </si>
  <si>
    <t>CG</t>
  </si>
  <si>
    <t>CI</t>
  </si>
  <si>
    <t>CJ</t>
  </si>
  <si>
    <t>CL</t>
  </si>
  <si>
    <t>CN</t>
  </si>
  <si>
    <t>CO</t>
  </si>
  <si>
    <t>DA</t>
  </si>
  <si>
    <t>DB</t>
  </si>
  <si>
    <t>DE</t>
  </si>
  <si>
    <t>DH</t>
  </si>
  <si>
    <t>DL</t>
  </si>
  <si>
    <t>DM</t>
  </si>
  <si>
    <t>DP</t>
  </si>
  <si>
    <t>EA</t>
  </si>
  <si>
    <t>EB</t>
  </si>
  <si>
    <t>EF</t>
  </si>
  <si>
    <t>EG</t>
  </si>
  <si>
    <t>EH</t>
  </si>
  <si>
    <t>EL</t>
  </si>
  <si>
    <t>EP</t>
  </si>
  <si>
    <t>FA</t>
  </si>
  <si>
    <t>FC</t>
  </si>
  <si>
    <t>FG</t>
  </si>
  <si>
    <t>FI</t>
  </si>
  <si>
    <t>FJ</t>
  </si>
  <si>
    <t>FN</t>
  </si>
  <si>
    <t>FO</t>
  </si>
  <si>
    <t>FP</t>
  </si>
  <si>
    <t>GA</t>
  </si>
  <si>
    <t>GB</t>
  </si>
  <si>
    <t>GE</t>
  </si>
  <si>
    <t>GF</t>
  </si>
  <si>
    <t>GH</t>
  </si>
  <si>
    <t>GK</t>
  </si>
  <si>
    <t>GL</t>
  </si>
  <si>
    <t>GM</t>
  </si>
  <si>
    <t>GN</t>
  </si>
  <si>
    <t>HA</t>
  </si>
  <si>
    <t>HC</t>
  </si>
  <si>
    <t>HE</t>
  </si>
  <si>
    <t>HF</t>
  </si>
  <si>
    <t>HL</t>
  </si>
  <si>
    <t>HP</t>
  </si>
  <si>
    <t>IB</t>
  </si>
  <si>
    <t>IC</t>
  </si>
  <si>
    <t>IJ</t>
  </si>
  <si>
    <t>JI</t>
  </si>
  <si>
    <t>JK</t>
  </si>
  <si>
    <t>JM</t>
  </si>
  <si>
    <t>JN</t>
  </si>
  <si>
    <t>JP</t>
  </si>
  <si>
    <t>KE</t>
  </si>
  <si>
    <t>KI</t>
  </si>
  <si>
    <t>KJ</t>
  </si>
  <si>
    <t>KK</t>
  </si>
  <si>
    <t>KN</t>
  </si>
  <si>
    <t>KP</t>
  </si>
  <si>
    <t>LA</t>
  </si>
  <si>
    <t>LE</t>
  </si>
  <si>
    <t>LF</t>
  </si>
  <si>
    <t>LJ</t>
  </si>
  <si>
    <t>LL</t>
  </si>
  <si>
    <t>LM</t>
  </si>
  <si>
    <t>LN</t>
  </si>
  <si>
    <t>LP</t>
  </si>
  <si>
    <t>MD</t>
  </si>
  <si>
    <t>MF</t>
  </si>
  <si>
    <t>MI</t>
  </si>
  <si>
    <t>MK</t>
  </si>
  <si>
    <t>MN</t>
  </si>
  <si>
    <t>NE</t>
  </si>
  <si>
    <t>NH</t>
  </si>
  <si>
    <t>NK</t>
  </si>
  <si>
    <t>NM</t>
  </si>
  <si>
    <t>NN</t>
  </si>
  <si>
    <t>NO</t>
  </si>
  <si>
    <t>NP</t>
  </si>
  <si>
    <t>OD</t>
  </si>
  <si>
    <t>OI</t>
  </si>
  <si>
    <t>OJ</t>
  </si>
  <si>
    <t>OO</t>
  </si>
  <si>
    <t>PA</t>
  </si>
  <si>
    <t>PB</t>
  </si>
  <si>
    <t>PI</t>
  </si>
  <si>
    <t>PJ</t>
  </si>
  <si>
    <t>PK</t>
  </si>
  <si>
    <t>PM</t>
  </si>
  <si>
    <t>PO</t>
  </si>
  <si>
    <t>Liczba z miasto</t>
  </si>
  <si>
    <t>godzina</t>
  </si>
  <si>
    <t>l. klientow</t>
  </si>
  <si>
    <t>l.klient przed 20</t>
  </si>
  <si>
    <t>która godzina pracy</t>
  </si>
  <si>
    <t>Suma z l. klientow</t>
  </si>
  <si>
    <t>godzina analizowanego czasu pracy</t>
  </si>
  <si>
    <t>liczba klientów</t>
  </si>
  <si>
    <t>ile jest minut po otwarciu myjni</t>
  </si>
  <si>
    <t>ile minut po otwarciu zakonczyl mycie</t>
  </si>
  <si>
    <t>czy zakonczyl mycie</t>
  </si>
  <si>
    <t>lacznie</t>
  </si>
  <si>
    <t>ile pod rzad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</si>
</sst>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21" fontId="0" fillId="0" borderId="0" xfId="0" applyNumberFormat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'5.4'!$L$7</c:f>
              <c:strCache>
                <c:ptCount val="1"/>
                <c:pt idx="0">
                  <c:v>liczba klientów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'5.4'!$K$8:$K$13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'5.4'!$L$8:$L$13</c:f>
              <c:numCache>
                <c:formatCode>General</c:formatCode>
                <c:ptCount val="6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5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6-421A-AAF2-50699F8D3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899304"/>
        <c:axId val="1014895704"/>
      </c:barChart>
      <c:catAx>
        <c:axId val="1014899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godzina</a:t>
                </a:r>
                <a:r>
                  <a:rPr lang="pl-PL" baseline="0"/>
                  <a:t> analizowanego czasu pracy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4895704"/>
        <c:crosses val="autoZero"/>
        <c:auto val="1"/>
        <c:lblAlgn val="ctr"/>
        <c:lblOffset val="100"/>
        <c:noMultiLvlLbl val="0"/>
      </c:catAx>
      <c:valAx>
        <c:axId val="101489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klientów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4899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282222</xdr:colOff>
      <xdr:row>6</xdr:row>
      <xdr:rowOff>67733</xdr:rowOff>
    </xdr:from>
    <xdr:to>
      <xdr:col>10</xdr:col>
      <xdr:colOff>740833</xdr:colOff>
      <xdr:row>21</xdr:row>
      <xdr:rowOff>59267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0DF1C34-58EA-17CF-4C26-D60973DD1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76.761697800925" createdVersion="8" refreshedVersion="8" minRefreshableVersion="3" recordCount="144" xr:uid="{11EF6466-3781-4AAA-A171-D8ED9431FD36}">
  <cacheSource type="worksheet">
    <worksheetSource ref="A1:D145" sheet="myjnia"/>
  </cacheSource>
  <cacheFields count="4">
    <cacheField name="ile minut od przyjazdu ostatniego klienta" numFmtId="0">
      <sharedItems containsSemiMixedTypes="0" containsString="0" containsNumber="1" containsInteger="1" minValue="1" maxValue="15"/>
    </cacheField>
    <cacheField name="czas mycia" numFmtId="0">
      <sharedItems containsSemiMixedTypes="0" containsString="0" containsNumber="1" containsInteger="1" minValue="1" maxValue="15" count="15">
        <n v="5"/>
        <n v="13"/>
        <n v="10"/>
        <n v="2"/>
        <n v="7"/>
        <n v="14"/>
        <n v="12"/>
        <n v="9"/>
        <n v="6"/>
        <n v="15"/>
        <n v="1"/>
        <n v="11"/>
        <n v="3"/>
        <n v="4"/>
        <n v="8"/>
      </sharedItems>
    </cacheField>
    <cacheField name="nr. Rejestracyjny" numFmtId="0">
      <sharedItems/>
    </cacheField>
    <cacheField name="l.klientow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76.767469907405" createdVersion="8" refreshedVersion="8" minRefreshableVersion="3" recordCount="144" xr:uid="{37C31660-4971-474A-9437-5BE797536070}">
  <cacheSource type="worksheet">
    <worksheetSource ref="A1:D145" sheet="5.2"/>
  </cacheSource>
  <cacheFields count="4">
    <cacheField name="ile minut od przyjazdu ostatniego klienta" numFmtId="0">
      <sharedItems containsSemiMixedTypes="0" containsString="0" containsNumber="1" containsInteger="1" minValue="1" maxValue="15"/>
    </cacheField>
    <cacheField name="czas mycia" numFmtId="0">
      <sharedItems containsSemiMixedTypes="0" containsString="0" containsNumber="1" containsInteger="1" minValue="1" maxValue="15"/>
    </cacheField>
    <cacheField name="nr. Rejestracyjny" numFmtId="0">
      <sharedItems/>
    </cacheField>
    <cacheField name="miasto" numFmtId="0">
      <sharedItems count="107">
        <s v="NN"/>
        <s v="FO"/>
        <s v="GN"/>
        <s v="EA"/>
        <s v="FN"/>
        <s v="CI"/>
        <s v="KP"/>
        <s v="DB"/>
        <s v="DE"/>
        <s v="HL"/>
        <s v="CG"/>
        <s v="BD"/>
        <s v="KJ"/>
        <s v="BH"/>
        <s v="KI"/>
        <s v="EH"/>
        <s v="DP"/>
        <s v="MD"/>
        <s v="CC"/>
        <s v="IB"/>
        <s v="NE"/>
        <s v="HP"/>
        <s v="BM"/>
        <s v="NH"/>
        <s v="LJ"/>
        <s v="KE"/>
        <s v="DA"/>
        <s v="BF"/>
        <s v="AE"/>
        <s v="AK"/>
        <s v="GH"/>
        <s v="HE"/>
        <s v="JP"/>
        <s v="EL"/>
        <s v="NO"/>
        <s v="HA"/>
        <s v="AC"/>
        <s v="EB"/>
        <s v="CJ"/>
        <s v="MI"/>
        <s v="KK"/>
        <s v="MN"/>
        <s v="GL"/>
        <s v="MK"/>
        <s v="NM"/>
        <s v="JM"/>
        <s v="BA"/>
        <s v="AG"/>
        <s v="FC"/>
        <s v="PJ"/>
        <s v="GK"/>
        <s v="BO"/>
        <s v="AI"/>
        <s v="DL"/>
        <s v="JI"/>
        <s v="FI"/>
        <s v="PM"/>
        <s v="PK"/>
        <s v="BC"/>
        <s v="OJ"/>
        <s v="JN"/>
        <s v="MF"/>
        <s v="LN"/>
        <s v="CN"/>
        <s v="AA"/>
        <s v="OI"/>
        <s v="GA"/>
        <s v="LM"/>
        <s v="GF"/>
        <s v="EF"/>
        <s v="PO"/>
        <s v="DM"/>
        <s v="HC"/>
        <s v="BL"/>
        <s v="FG"/>
        <s v="IC"/>
        <s v="JK"/>
        <s v="CL"/>
        <s v="NP"/>
        <s v="PI"/>
        <s v="AH"/>
        <s v="IJ"/>
        <s v="AF"/>
        <s v="LP"/>
        <s v="OD"/>
        <s v="KN"/>
        <s v="CA"/>
        <s v="EP"/>
        <s v="AN"/>
        <s v="LE"/>
        <s v="CO"/>
        <s v="GB"/>
        <s v="HF"/>
        <s v="LA"/>
        <s v="LL"/>
        <s v="EG"/>
        <s v="LF"/>
        <s v="PB"/>
        <s v="FP"/>
        <s v="FJ"/>
        <s v="FA"/>
        <s v="OO"/>
        <s v="NK"/>
        <s v="DH"/>
        <s v="GE"/>
        <s v="PA"/>
        <s v="G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576.780281712963" createdVersion="8" refreshedVersion="8" minRefreshableVersion="3" recordCount="144" xr:uid="{5E47672F-1E77-47BD-84C6-3DA338488B9F}">
  <cacheSource type="worksheet">
    <worksheetSource ref="A1:F145" sheet="5.4"/>
  </cacheSource>
  <cacheFields count="6">
    <cacheField name="ile minut od przyjazdu ostatniego klienta" numFmtId="0">
      <sharedItems containsSemiMixedTypes="0" containsString="0" containsNumber="1" containsInteger="1" minValue="1" maxValue="15"/>
    </cacheField>
    <cacheField name="czas mycia" numFmtId="0">
      <sharedItems containsSemiMixedTypes="0" containsString="0" containsNumber="1" containsInteger="1" minValue="1" maxValue="15"/>
    </cacheField>
    <cacheField name="nr. Rejestracyjny" numFmtId="0">
      <sharedItems/>
    </cacheField>
    <cacheField name="godzina" numFmtId="21">
      <sharedItems containsSemiMixedTypes="0" containsNonDate="0" containsDate="1" containsString="0" minDate="1899-12-30T06:03:00" maxDate="1899-12-30T23:59:00"/>
    </cacheField>
    <cacheField name="która godzina pracy" numFmtId="0">
      <sharedItems containsSemiMixedTypes="0" containsString="0" containsNumber="1" containsInteger="1" minValue="1" maxValue="18" count="1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</sharedItems>
    </cacheField>
    <cacheField name="l. klientow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x v="0"/>
    <s v="NN792"/>
    <n v="1"/>
  </r>
  <r>
    <n v="12"/>
    <x v="1"/>
    <s v="FO434"/>
    <n v="1"/>
  </r>
  <r>
    <n v="1"/>
    <x v="2"/>
    <s v="GN103"/>
    <n v="1"/>
  </r>
  <r>
    <n v="7"/>
    <x v="3"/>
    <s v="EA828"/>
    <n v="1"/>
  </r>
  <r>
    <n v="10"/>
    <x v="4"/>
    <s v="FN819"/>
    <n v="1"/>
  </r>
  <r>
    <n v="9"/>
    <x v="5"/>
    <s v="CI708"/>
    <n v="1"/>
  </r>
  <r>
    <n v="4"/>
    <x v="2"/>
    <s v="KP566"/>
    <n v="1"/>
  </r>
  <r>
    <n v="4"/>
    <x v="4"/>
    <s v="DB255"/>
    <n v="1"/>
  </r>
  <r>
    <n v="3"/>
    <x v="3"/>
    <s v="DE239"/>
    <n v="1"/>
  </r>
  <r>
    <n v="7"/>
    <x v="6"/>
    <s v="HL821"/>
    <n v="1"/>
  </r>
  <r>
    <n v="11"/>
    <x v="6"/>
    <s v="CG489"/>
    <n v="1"/>
  </r>
  <r>
    <n v="15"/>
    <x v="5"/>
    <s v="BD204"/>
    <n v="1"/>
  </r>
  <r>
    <n v="11"/>
    <x v="7"/>
    <s v="KJ360"/>
    <n v="1"/>
  </r>
  <r>
    <n v="3"/>
    <x v="8"/>
    <s v="BH265"/>
    <n v="1"/>
  </r>
  <r>
    <n v="1"/>
    <x v="4"/>
    <s v="KI293"/>
    <n v="1"/>
  </r>
  <r>
    <n v="11"/>
    <x v="4"/>
    <s v="EH963"/>
    <n v="1"/>
  </r>
  <r>
    <n v="2"/>
    <x v="3"/>
    <s v="DP909"/>
    <n v="1"/>
  </r>
  <r>
    <n v="9"/>
    <x v="2"/>
    <s v="MD193"/>
    <n v="1"/>
  </r>
  <r>
    <n v="2"/>
    <x v="1"/>
    <s v="CC204"/>
    <n v="1"/>
  </r>
  <r>
    <n v="13"/>
    <x v="5"/>
    <s v="IB453"/>
    <n v="1"/>
  </r>
  <r>
    <n v="10"/>
    <x v="9"/>
    <s v="NE867"/>
    <n v="1"/>
  </r>
  <r>
    <n v="6"/>
    <x v="7"/>
    <s v="HP605"/>
    <n v="1"/>
  </r>
  <r>
    <n v="5"/>
    <x v="8"/>
    <s v="BM696"/>
    <n v="1"/>
  </r>
  <r>
    <n v="13"/>
    <x v="1"/>
    <s v="NH320"/>
    <n v="1"/>
  </r>
  <r>
    <n v="11"/>
    <x v="10"/>
    <s v="LJ560"/>
    <n v="1"/>
  </r>
  <r>
    <n v="10"/>
    <x v="8"/>
    <s v="KE961"/>
    <n v="1"/>
  </r>
  <r>
    <n v="11"/>
    <x v="6"/>
    <s v="DA206"/>
    <n v="1"/>
  </r>
  <r>
    <n v="4"/>
    <x v="7"/>
    <s v="BF559"/>
    <n v="1"/>
  </r>
  <r>
    <n v="4"/>
    <x v="10"/>
    <s v="AE964"/>
    <n v="1"/>
  </r>
  <r>
    <n v="2"/>
    <x v="11"/>
    <s v="AK592"/>
    <n v="1"/>
  </r>
  <r>
    <n v="7"/>
    <x v="3"/>
    <s v="GH547"/>
    <n v="1"/>
  </r>
  <r>
    <n v="11"/>
    <x v="5"/>
    <s v="HE739"/>
    <n v="1"/>
  </r>
  <r>
    <n v="6"/>
    <x v="12"/>
    <s v="JP960"/>
    <n v="1"/>
  </r>
  <r>
    <n v="11"/>
    <x v="0"/>
    <s v="EL406"/>
    <n v="1"/>
  </r>
  <r>
    <n v="5"/>
    <x v="7"/>
    <s v="NO341"/>
    <n v="1"/>
  </r>
  <r>
    <n v="9"/>
    <x v="0"/>
    <s v="HA988"/>
    <n v="1"/>
  </r>
  <r>
    <n v="11"/>
    <x v="13"/>
    <s v="BD855"/>
    <n v="1"/>
  </r>
  <r>
    <n v="15"/>
    <x v="0"/>
    <s v="AC254"/>
    <n v="1"/>
  </r>
  <r>
    <n v="12"/>
    <x v="10"/>
    <s v="EB508"/>
    <n v="1"/>
  </r>
  <r>
    <n v="2"/>
    <x v="0"/>
    <s v="CJ207"/>
    <n v="1"/>
  </r>
  <r>
    <n v="11"/>
    <x v="11"/>
    <s v="MI932"/>
    <n v="1"/>
  </r>
  <r>
    <n v="2"/>
    <x v="12"/>
    <s v="KK643"/>
    <n v="1"/>
  </r>
  <r>
    <n v="6"/>
    <x v="1"/>
    <s v="MN131"/>
    <n v="1"/>
  </r>
  <r>
    <n v="4"/>
    <x v="11"/>
    <s v="GL291"/>
    <n v="1"/>
  </r>
  <r>
    <n v="7"/>
    <x v="2"/>
    <s v="DA512"/>
    <n v="1"/>
  </r>
  <r>
    <n v="8"/>
    <x v="8"/>
    <s v="MK572"/>
    <n v="1"/>
  </r>
  <r>
    <n v="3"/>
    <x v="5"/>
    <s v="NM404"/>
    <n v="1"/>
  </r>
  <r>
    <n v="7"/>
    <x v="1"/>
    <s v="JM414"/>
    <n v="1"/>
  </r>
  <r>
    <n v="15"/>
    <x v="11"/>
    <s v="BA749"/>
    <n v="1"/>
  </r>
  <r>
    <n v="11"/>
    <x v="14"/>
    <s v="DE678"/>
    <n v="1"/>
  </r>
  <r>
    <n v="6"/>
    <x v="2"/>
    <s v="AG504"/>
    <n v="1"/>
  </r>
  <r>
    <n v="3"/>
    <x v="6"/>
    <s v="FC803"/>
    <n v="1"/>
  </r>
  <r>
    <n v="13"/>
    <x v="11"/>
    <s v="DE822"/>
    <n v="1"/>
  </r>
  <r>
    <n v="15"/>
    <x v="6"/>
    <s v="PJ152"/>
    <n v="1"/>
  </r>
  <r>
    <n v="1"/>
    <x v="1"/>
    <s v="GK857"/>
    <n v="1"/>
  </r>
  <r>
    <n v="15"/>
    <x v="4"/>
    <s v="BO596"/>
    <n v="1"/>
  </r>
  <r>
    <n v="14"/>
    <x v="2"/>
    <s v="KK488"/>
    <n v="1"/>
  </r>
  <r>
    <n v="7"/>
    <x v="10"/>
    <s v="AI420"/>
    <n v="1"/>
  </r>
  <r>
    <n v="7"/>
    <x v="0"/>
    <s v="KJ759"/>
    <n v="1"/>
  </r>
  <r>
    <n v="6"/>
    <x v="10"/>
    <s v="DL542"/>
    <n v="1"/>
  </r>
  <r>
    <n v="3"/>
    <x v="6"/>
    <s v="JI840"/>
    <n v="1"/>
  </r>
  <r>
    <n v="15"/>
    <x v="5"/>
    <s v="KK476"/>
    <n v="1"/>
  </r>
  <r>
    <n v="3"/>
    <x v="7"/>
    <s v="HP302"/>
    <n v="1"/>
  </r>
  <r>
    <n v="8"/>
    <x v="11"/>
    <s v="FI172"/>
    <n v="1"/>
  </r>
  <r>
    <n v="5"/>
    <x v="9"/>
    <s v="NM428"/>
    <n v="1"/>
  </r>
  <r>
    <n v="2"/>
    <x v="13"/>
    <s v="PM455"/>
    <n v="1"/>
  </r>
  <r>
    <n v="14"/>
    <x v="7"/>
    <s v="JM637"/>
    <n v="1"/>
  </r>
  <r>
    <n v="7"/>
    <x v="4"/>
    <s v="PK319"/>
    <n v="1"/>
  </r>
  <r>
    <n v="14"/>
    <x v="8"/>
    <s v="PM491"/>
    <n v="1"/>
  </r>
  <r>
    <n v="11"/>
    <x v="6"/>
    <s v="BC831"/>
    <n v="1"/>
  </r>
  <r>
    <n v="2"/>
    <x v="13"/>
    <s v="OJ247"/>
    <n v="1"/>
  </r>
  <r>
    <n v="11"/>
    <x v="9"/>
    <s v="EH892"/>
    <n v="1"/>
  </r>
  <r>
    <n v="4"/>
    <x v="12"/>
    <s v="JN904"/>
    <n v="1"/>
  </r>
  <r>
    <n v="3"/>
    <x v="6"/>
    <s v="KI291"/>
    <n v="1"/>
  </r>
  <r>
    <n v="2"/>
    <x v="4"/>
    <s v="MF590"/>
    <n v="1"/>
  </r>
  <r>
    <n v="13"/>
    <x v="4"/>
    <s v="LN225"/>
    <n v="1"/>
  </r>
  <r>
    <n v="3"/>
    <x v="6"/>
    <s v="CN589"/>
    <n v="1"/>
  </r>
  <r>
    <n v="9"/>
    <x v="7"/>
    <s v="JM352"/>
    <n v="1"/>
  </r>
  <r>
    <n v="13"/>
    <x v="12"/>
    <s v="AA425"/>
    <n v="1"/>
  </r>
  <r>
    <n v="7"/>
    <x v="3"/>
    <s v="OI629"/>
    <n v="1"/>
  </r>
  <r>
    <n v="13"/>
    <x v="13"/>
    <s v="HA731"/>
    <n v="1"/>
  </r>
  <r>
    <n v="4"/>
    <x v="6"/>
    <s v="GA781"/>
    <n v="1"/>
  </r>
  <r>
    <n v="7"/>
    <x v="14"/>
    <s v="LM755"/>
    <n v="1"/>
  </r>
  <r>
    <n v="3"/>
    <x v="6"/>
    <s v="AE347"/>
    <n v="1"/>
  </r>
  <r>
    <n v="4"/>
    <x v="11"/>
    <s v="GF313"/>
    <n v="1"/>
  </r>
  <r>
    <n v="7"/>
    <x v="10"/>
    <s v="EF961"/>
    <n v="1"/>
  </r>
  <r>
    <n v="3"/>
    <x v="7"/>
    <s v="PO926"/>
    <n v="1"/>
  </r>
  <r>
    <n v="1"/>
    <x v="13"/>
    <s v="NH234"/>
    <n v="1"/>
  </r>
  <r>
    <n v="14"/>
    <x v="12"/>
    <s v="AG864"/>
    <n v="1"/>
  </r>
  <r>
    <n v="5"/>
    <x v="6"/>
    <s v="DM336"/>
    <n v="1"/>
  </r>
  <r>
    <n v="4"/>
    <x v="7"/>
    <s v="LM392"/>
    <n v="1"/>
  </r>
  <r>
    <n v="5"/>
    <x v="13"/>
    <s v="EH559"/>
    <n v="1"/>
  </r>
  <r>
    <n v="6"/>
    <x v="14"/>
    <s v="HC465"/>
    <n v="1"/>
  </r>
  <r>
    <n v="8"/>
    <x v="5"/>
    <s v="BL246"/>
    <n v="1"/>
  </r>
  <r>
    <n v="15"/>
    <x v="11"/>
    <s v="FG771"/>
    <n v="1"/>
  </r>
  <r>
    <n v="1"/>
    <x v="10"/>
    <s v="IC327"/>
    <n v="1"/>
  </r>
  <r>
    <n v="14"/>
    <x v="9"/>
    <s v="JK843"/>
    <n v="1"/>
  </r>
  <r>
    <n v="6"/>
    <x v="4"/>
    <s v="CL393"/>
    <n v="1"/>
  </r>
  <r>
    <n v="7"/>
    <x v="11"/>
    <s v="NP226"/>
    <n v="1"/>
  </r>
  <r>
    <n v="10"/>
    <x v="11"/>
    <s v="PI710"/>
    <n v="1"/>
  </r>
  <r>
    <n v="5"/>
    <x v="8"/>
    <s v="GA435"/>
    <n v="1"/>
  </r>
  <r>
    <n v="13"/>
    <x v="4"/>
    <s v="AH451"/>
    <n v="1"/>
  </r>
  <r>
    <n v="2"/>
    <x v="7"/>
    <s v="IJ379"/>
    <n v="1"/>
  </r>
  <r>
    <n v="9"/>
    <x v="11"/>
    <s v="CC791"/>
    <n v="1"/>
  </r>
  <r>
    <n v="8"/>
    <x v="12"/>
    <s v="AF135"/>
    <n v="1"/>
  </r>
  <r>
    <n v="1"/>
    <x v="8"/>
    <s v="MN872"/>
    <n v="1"/>
  </r>
  <r>
    <n v="10"/>
    <x v="7"/>
    <s v="LP599"/>
    <n v="1"/>
  </r>
  <r>
    <n v="2"/>
    <x v="11"/>
    <s v="OD829"/>
    <n v="1"/>
  </r>
  <r>
    <n v="6"/>
    <x v="6"/>
    <s v="KN305"/>
    <n v="1"/>
  </r>
  <r>
    <n v="2"/>
    <x v="5"/>
    <s v="AH528"/>
    <n v="1"/>
  </r>
  <r>
    <n v="4"/>
    <x v="3"/>
    <s v="CA524"/>
    <n v="1"/>
  </r>
  <r>
    <n v="9"/>
    <x v="14"/>
    <s v="EP925"/>
    <n v="1"/>
  </r>
  <r>
    <n v="2"/>
    <x v="13"/>
    <s v="EF263"/>
    <n v="1"/>
  </r>
  <r>
    <n v="11"/>
    <x v="11"/>
    <s v="AN413"/>
    <n v="1"/>
  </r>
  <r>
    <n v="8"/>
    <x v="10"/>
    <s v="LE288"/>
    <n v="1"/>
  </r>
  <r>
    <n v="13"/>
    <x v="7"/>
    <s v="LM661"/>
    <n v="1"/>
  </r>
  <r>
    <n v="7"/>
    <x v="1"/>
    <s v="CO649"/>
    <n v="1"/>
  </r>
  <r>
    <n v="7"/>
    <x v="11"/>
    <s v="GB981"/>
    <n v="1"/>
  </r>
  <r>
    <n v="9"/>
    <x v="11"/>
    <s v="HF358"/>
    <n v="1"/>
  </r>
  <r>
    <n v="6"/>
    <x v="10"/>
    <s v="LA734"/>
    <n v="1"/>
  </r>
  <r>
    <n v="14"/>
    <x v="8"/>
    <s v="LL684"/>
    <n v="1"/>
  </r>
  <r>
    <n v="14"/>
    <x v="2"/>
    <s v="EG251"/>
    <n v="1"/>
  </r>
  <r>
    <n v="7"/>
    <x v="4"/>
    <s v="NH488"/>
    <n v="1"/>
  </r>
  <r>
    <n v="11"/>
    <x v="10"/>
    <s v="LF545"/>
    <n v="1"/>
  </r>
  <r>
    <n v="11"/>
    <x v="12"/>
    <s v="GB137"/>
    <n v="1"/>
  </r>
  <r>
    <n v="11"/>
    <x v="3"/>
    <s v="PB847"/>
    <n v="1"/>
  </r>
  <r>
    <n v="12"/>
    <x v="3"/>
    <s v="GH559"/>
    <n v="1"/>
  </r>
  <r>
    <n v="3"/>
    <x v="5"/>
    <s v="FP317"/>
    <n v="1"/>
  </r>
  <r>
    <n v="3"/>
    <x v="8"/>
    <s v="BM762"/>
    <n v="1"/>
  </r>
  <r>
    <n v="12"/>
    <x v="3"/>
    <s v="FJ667"/>
    <n v="1"/>
  </r>
  <r>
    <n v="7"/>
    <x v="14"/>
    <s v="FA471"/>
    <n v="1"/>
  </r>
  <r>
    <n v="10"/>
    <x v="6"/>
    <s v="OO730"/>
    <n v="1"/>
  </r>
  <r>
    <n v="2"/>
    <x v="5"/>
    <s v="NM466"/>
    <n v="1"/>
  </r>
  <r>
    <n v="14"/>
    <x v="11"/>
    <s v="LN234"/>
    <n v="1"/>
  </r>
  <r>
    <n v="9"/>
    <x v="2"/>
    <s v="NK798"/>
    <n v="1"/>
  </r>
  <r>
    <n v="2"/>
    <x v="5"/>
    <s v="DH531"/>
    <n v="1"/>
  </r>
  <r>
    <n v="11"/>
    <x v="12"/>
    <s v="IC460"/>
    <n v="1"/>
  </r>
  <r>
    <n v="2"/>
    <x v="10"/>
    <s v="BA678"/>
    <n v="1"/>
  </r>
  <r>
    <n v="14"/>
    <x v="12"/>
    <s v="GE131"/>
    <n v="1"/>
  </r>
  <r>
    <n v="6"/>
    <x v="8"/>
    <s v="PA306"/>
    <n v="1"/>
  </r>
  <r>
    <n v="5"/>
    <x v="5"/>
    <s v="EL879"/>
    <n v="1"/>
  </r>
  <r>
    <n v="2"/>
    <x v="14"/>
    <s v="EL963"/>
    <n v="1"/>
  </r>
  <r>
    <n v="10"/>
    <x v="9"/>
    <s v="NK460"/>
    <n v="1"/>
  </r>
  <r>
    <n v="3"/>
    <x v="9"/>
    <s v="GM33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n v="5"/>
    <s v="NN792"/>
    <x v="0"/>
  </r>
  <r>
    <n v="12"/>
    <n v="13"/>
    <s v="FO434"/>
    <x v="1"/>
  </r>
  <r>
    <n v="1"/>
    <n v="10"/>
    <s v="GN103"/>
    <x v="2"/>
  </r>
  <r>
    <n v="7"/>
    <n v="2"/>
    <s v="EA828"/>
    <x v="3"/>
  </r>
  <r>
    <n v="10"/>
    <n v="7"/>
    <s v="FN819"/>
    <x v="4"/>
  </r>
  <r>
    <n v="9"/>
    <n v="14"/>
    <s v="CI708"/>
    <x v="5"/>
  </r>
  <r>
    <n v="4"/>
    <n v="10"/>
    <s v="KP566"/>
    <x v="6"/>
  </r>
  <r>
    <n v="4"/>
    <n v="7"/>
    <s v="DB255"/>
    <x v="7"/>
  </r>
  <r>
    <n v="3"/>
    <n v="2"/>
    <s v="DE239"/>
    <x v="8"/>
  </r>
  <r>
    <n v="7"/>
    <n v="12"/>
    <s v="HL821"/>
    <x v="9"/>
  </r>
  <r>
    <n v="11"/>
    <n v="12"/>
    <s v="CG489"/>
    <x v="10"/>
  </r>
  <r>
    <n v="15"/>
    <n v="14"/>
    <s v="BD204"/>
    <x v="11"/>
  </r>
  <r>
    <n v="11"/>
    <n v="9"/>
    <s v="KJ360"/>
    <x v="12"/>
  </r>
  <r>
    <n v="3"/>
    <n v="6"/>
    <s v="BH265"/>
    <x v="13"/>
  </r>
  <r>
    <n v="1"/>
    <n v="7"/>
    <s v="KI293"/>
    <x v="14"/>
  </r>
  <r>
    <n v="11"/>
    <n v="7"/>
    <s v="EH963"/>
    <x v="15"/>
  </r>
  <r>
    <n v="2"/>
    <n v="2"/>
    <s v="DP909"/>
    <x v="16"/>
  </r>
  <r>
    <n v="9"/>
    <n v="10"/>
    <s v="MD193"/>
    <x v="17"/>
  </r>
  <r>
    <n v="2"/>
    <n v="13"/>
    <s v="CC204"/>
    <x v="18"/>
  </r>
  <r>
    <n v="13"/>
    <n v="14"/>
    <s v="IB453"/>
    <x v="19"/>
  </r>
  <r>
    <n v="10"/>
    <n v="15"/>
    <s v="NE867"/>
    <x v="20"/>
  </r>
  <r>
    <n v="6"/>
    <n v="9"/>
    <s v="HP605"/>
    <x v="21"/>
  </r>
  <r>
    <n v="5"/>
    <n v="6"/>
    <s v="BM696"/>
    <x v="22"/>
  </r>
  <r>
    <n v="13"/>
    <n v="13"/>
    <s v="NH320"/>
    <x v="23"/>
  </r>
  <r>
    <n v="11"/>
    <n v="1"/>
    <s v="LJ560"/>
    <x v="24"/>
  </r>
  <r>
    <n v="10"/>
    <n v="6"/>
    <s v="KE961"/>
    <x v="25"/>
  </r>
  <r>
    <n v="11"/>
    <n v="12"/>
    <s v="DA206"/>
    <x v="26"/>
  </r>
  <r>
    <n v="4"/>
    <n v="9"/>
    <s v="BF559"/>
    <x v="27"/>
  </r>
  <r>
    <n v="4"/>
    <n v="1"/>
    <s v="AE964"/>
    <x v="28"/>
  </r>
  <r>
    <n v="2"/>
    <n v="11"/>
    <s v="AK592"/>
    <x v="29"/>
  </r>
  <r>
    <n v="7"/>
    <n v="2"/>
    <s v="GH547"/>
    <x v="30"/>
  </r>
  <r>
    <n v="11"/>
    <n v="14"/>
    <s v="HE739"/>
    <x v="31"/>
  </r>
  <r>
    <n v="6"/>
    <n v="3"/>
    <s v="JP960"/>
    <x v="32"/>
  </r>
  <r>
    <n v="11"/>
    <n v="5"/>
    <s v="EL406"/>
    <x v="33"/>
  </r>
  <r>
    <n v="5"/>
    <n v="9"/>
    <s v="NO341"/>
    <x v="34"/>
  </r>
  <r>
    <n v="9"/>
    <n v="5"/>
    <s v="HA988"/>
    <x v="35"/>
  </r>
  <r>
    <n v="11"/>
    <n v="4"/>
    <s v="BD855"/>
    <x v="11"/>
  </r>
  <r>
    <n v="15"/>
    <n v="5"/>
    <s v="AC254"/>
    <x v="36"/>
  </r>
  <r>
    <n v="12"/>
    <n v="1"/>
    <s v="EB508"/>
    <x v="37"/>
  </r>
  <r>
    <n v="2"/>
    <n v="5"/>
    <s v="CJ207"/>
    <x v="38"/>
  </r>
  <r>
    <n v="11"/>
    <n v="11"/>
    <s v="MI932"/>
    <x v="39"/>
  </r>
  <r>
    <n v="2"/>
    <n v="3"/>
    <s v="KK643"/>
    <x v="40"/>
  </r>
  <r>
    <n v="6"/>
    <n v="13"/>
    <s v="MN131"/>
    <x v="41"/>
  </r>
  <r>
    <n v="4"/>
    <n v="11"/>
    <s v="GL291"/>
    <x v="42"/>
  </r>
  <r>
    <n v="7"/>
    <n v="10"/>
    <s v="DA512"/>
    <x v="26"/>
  </r>
  <r>
    <n v="8"/>
    <n v="6"/>
    <s v="MK572"/>
    <x v="43"/>
  </r>
  <r>
    <n v="3"/>
    <n v="14"/>
    <s v="NM404"/>
    <x v="44"/>
  </r>
  <r>
    <n v="7"/>
    <n v="13"/>
    <s v="JM414"/>
    <x v="45"/>
  </r>
  <r>
    <n v="15"/>
    <n v="11"/>
    <s v="BA749"/>
    <x v="46"/>
  </r>
  <r>
    <n v="11"/>
    <n v="8"/>
    <s v="DE678"/>
    <x v="8"/>
  </r>
  <r>
    <n v="6"/>
    <n v="10"/>
    <s v="AG504"/>
    <x v="47"/>
  </r>
  <r>
    <n v="3"/>
    <n v="12"/>
    <s v="FC803"/>
    <x v="48"/>
  </r>
  <r>
    <n v="13"/>
    <n v="11"/>
    <s v="DE822"/>
    <x v="8"/>
  </r>
  <r>
    <n v="15"/>
    <n v="12"/>
    <s v="PJ152"/>
    <x v="49"/>
  </r>
  <r>
    <n v="1"/>
    <n v="13"/>
    <s v="GK857"/>
    <x v="50"/>
  </r>
  <r>
    <n v="15"/>
    <n v="7"/>
    <s v="BO596"/>
    <x v="51"/>
  </r>
  <r>
    <n v="14"/>
    <n v="10"/>
    <s v="KK488"/>
    <x v="40"/>
  </r>
  <r>
    <n v="7"/>
    <n v="1"/>
    <s v="AI420"/>
    <x v="52"/>
  </r>
  <r>
    <n v="7"/>
    <n v="5"/>
    <s v="KJ759"/>
    <x v="12"/>
  </r>
  <r>
    <n v="6"/>
    <n v="1"/>
    <s v="DL542"/>
    <x v="53"/>
  </r>
  <r>
    <n v="3"/>
    <n v="12"/>
    <s v="JI840"/>
    <x v="54"/>
  </r>
  <r>
    <n v="15"/>
    <n v="14"/>
    <s v="KK476"/>
    <x v="40"/>
  </r>
  <r>
    <n v="3"/>
    <n v="9"/>
    <s v="HP302"/>
    <x v="21"/>
  </r>
  <r>
    <n v="8"/>
    <n v="11"/>
    <s v="FI172"/>
    <x v="55"/>
  </r>
  <r>
    <n v="5"/>
    <n v="15"/>
    <s v="NM428"/>
    <x v="44"/>
  </r>
  <r>
    <n v="2"/>
    <n v="4"/>
    <s v="PM455"/>
    <x v="56"/>
  </r>
  <r>
    <n v="14"/>
    <n v="9"/>
    <s v="JM637"/>
    <x v="45"/>
  </r>
  <r>
    <n v="7"/>
    <n v="7"/>
    <s v="PK319"/>
    <x v="57"/>
  </r>
  <r>
    <n v="14"/>
    <n v="6"/>
    <s v="PM491"/>
    <x v="56"/>
  </r>
  <r>
    <n v="11"/>
    <n v="12"/>
    <s v="BC831"/>
    <x v="58"/>
  </r>
  <r>
    <n v="2"/>
    <n v="4"/>
    <s v="OJ247"/>
    <x v="59"/>
  </r>
  <r>
    <n v="11"/>
    <n v="15"/>
    <s v="EH892"/>
    <x v="15"/>
  </r>
  <r>
    <n v="4"/>
    <n v="3"/>
    <s v="JN904"/>
    <x v="60"/>
  </r>
  <r>
    <n v="3"/>
    <n v="12"/>
    <s v="KI291"/>
    <x v="14"/>
  </r>
  <r>
    <n v="2"/>
    <n v="7"/>
    <s v="MF590"/>
    <x v="61"/>
  </r>
  <r>
    <n v="13"/>
    <n v="7"/>
    <s v="LN225"/>
    <x v="62"/>
  </r>
  <r>
    <n v="3"/>
    <n v="12"/>
    <s v="CN589"/>
    <x v="63"/>
  </r>
  <r>
    <n v="9"/>
    <n v="9"/>
    <s v="JM352"/>
    <x v="45"/>
  </r>
  <r>
    <n v="13"/>
    <n v="3"/>
    <s v="AA425"/>
    <x v="64"/>
  </r>
  <r>
    <n v="7"/>
    <n v="2"/>
    <s v="OI629"/>
    <x v="65"/>
  </r>
  <r>
    <n v="13"/>
    <n v="4"/>
    <s v="HA731"/>
    <x v="35"/>
  </r>
  <r>
    <n v="4"/>
    <n v="12"/>
    <s v="GA781"/>
    <x v="66"/>
  </r>
  <r>
    <n v="7"/>
    <n v="8"/>
    <s v="LM755"/>
    <x v="67"/>
  </r>
  <r>
    <n v="3"/>
    <n v="12"/>
    <s v="AE347"/>
    <x v="28"/>
  </r>
  <r>
    <n v="4"/>
    <n v="11"/>
    <s v="GF313"/>
    <x v="68"/>
  </r>
  <r>
    <n v="7"/>
    <n v="1"/>
    <s v="EF961"/>
    <x v="69"/>
  </r>
  <r>
    <n v="3"/>
    <n v="9"/>
    <s v="PO926"/>
    <x v="70"/>
  </r>
  <r>
    <n v="1"/>
    <n v="4"/>
    <s v="NH234"/>
    <x v="23"/>
  </r>
  <r>
    <n v="14"/>
    <n v="3"/>
    <s v="AG864"/>
    <x v="47"/>
  </r>
  <r>
    <n v="5"/>
    <n v="12"/>
    <s v="DM336"/>
    <x v="71"/>
  </r>
  <r>
    <n v="4"/>
    <n v="9"/>
    <s v="LM392"/>
    <x v="67"/>
  </r>
  <r>
    <n v="5"/>
    <n v="4"/>
    <s v="EH559"/>
    <x v="15"/>
  </r>
  <r>
    <n v="6"/>
    <n v="8"/>
    <s v="HC465"/>
    <x v="72"/>
  </r>
  <r>
    <n v="8"/>
    <n v="14"/>
    <s v="BL246"/>
    <x v="73"/>
  </r>
  <r>
    <n v="15"/>
    <n v="11"/>
    <s v="FG771"/>
    <x v="74"/>
  </r>
  <r>
    <n v="1"/>
    <n v="1"/>
    <s v="IC327"/>
    <x v="75"/>
  </r>
  <r>
    <n v="14"/>
    <n v="15"/>
    <s v="JK843"/>
    <x v="76"/>
  </r>
  <r>
    <n v="6"/>
    <n v="7"/>
    <s v="CL393"/>
    <x v="77"/>
  </r>
  <r>
    <n v="7"/>
    <n v="11"/>
    <s v="NP226"/>
    <x v="78"/>
  </r>
  <r>
    <n v="10"/>
    <n v="11"/>
    <s v="PI710"/>
    <x v="79"/>
  </r>
  <r>
    <n v="5"/>
    <n v="6"/>
    <s v="GA435"/>
    <x v="66"/>
  </r>
  <r>
    <n v="13"/>
    <n v="7"/>
    <s v="AH451"/>
    <x v="80"/>
  </r>
  <r>
    <n v="2"/>
    <n v="9"/>
    <s v="IJ379"/>
    <x v="81"/>
  </r>
  <r>
    <n v="9"/>
    <n v="11"/>
    <s v="CC791"/>
    <x v="18"/>
  </r>
  <r>
    <n v="8"/>
    <n v="3"/>
    <s v="AF135"/>
    <x v="82"/>
  </r>
  <r>
    <n v="1"/>
    <n v="6"/>
    <s v="MN872"/>
    <x v="41"/>
  </r>
  <r>
    <n v="10"/>
    <n v="9"/>
    <s v="LP599"/>
    <x v="83"/>
  </r>
  <r>
    <n v="2"/>
    <n v="11"/>
    <s v="OD829"/>
    <x v="84"/>
  </r>
  <r>
    <n v="6"/>
    <n v="12"/>
    <s v="KN305"/>
    <x v="85"/>
  </r>
  <r>
    <n v="2"/>
    <n v="14"/>
    <s v="AH528"/>
    <x v="80"/>
  </r>
  <r>
    <n v="4"/>
    <n v="2"/>
    <s v="CA524"/>
    <x v="86"/>
  </r>
  <r>
    <n v="9"/>
    <n v="8"/>
    <s v="EP925"/>
    <x v="87"/>
  </r>
  <r>
    <n v="2"/>
    <n v="4"/>
    <s v="EF263"/>
    <x v="69"/>
  </r>
  <r>
    <n v="11"/>
    <n v="11"/>
    <s v="AN413"/>
    <x v="88"/>
  </r>
  <r>
    <n v="8"/>
    <n v="1"/>
    <s v="LE288"/>
    <x v="89"/>
  </r>
  <r>
    <n v="13"/>
    <n v="9"/>
    <s v="LM661"/>
    <x v="67"/>
  </r>
  <r>
    <n v="7"/>
    <n v="13"/>
    <s v="CO649"/>
    <x v="90"/>
  </r>
  <r>
    <n v="7"/>
    <n v="11"/>
    <s v="GB981"/>
    <x v="91"/>
  </r>
  <r>
    <n v="9"/>
    <n v="11"/>
    <s v="HF358"/>
    <x v="92"/>
  </r>
  <r>
    <n v="6"/>
    <n v="1"/>
    <s v="LA734"/>
    <x v="93"/>
  </r>
  <r>
    <n v="14"/>
    <n v="6"/>
    <s v="LL684"/>
    <x v="94"/>
  </r>
  <r>
    <n v="14"/>
    <n v="10"/>
    <s v="EG251"/>
    <x v="95"/>
  </r>
  <r>
    <n v="7"/>
    <n v="7"/>
    <s v="NH488"/>
    <x v="23"/>
  </r>
  <r>
    <n v="11"/>
    <n v="1"/>
    <s v="LF545"/>
    <x v="96"/>
  </r>
  <r>
    <n v="11"/>
    <n v="3"/>
    <s v="GB137"/>
    <x v="91"/>
  </r>
  <r>
    <n v="11"/>
    <n v="2"/>
    <s v="PB847"/>
    <x v="97"/>
  </r>
  <r>
    <n v="12"/>
    <n v="2"/>
    <s v="GH559"/>
    <x v="30"/>
  </r>
  <r>
    <n v="3"/>
    <n v="14"/>
    <s v="FP317"/>
    <x v="98"/>
  </r>
  <r>
    <n v="3"/>
    <n v="6"/>
    <s v="BM762"/>
    <x v="22"/>
  </r>
  <r>
    <n v="12"/>
    <n v="2"/>
    <s v="FJ667"/>
    <x v="99"/>
  </r>
  <r>
    <n v="7"/>
    <n v="8"/>
    <s v="FA471"/>
    <x v="100"/>
  </r>
  <r>
    <n v="10"/>
    <n v="12"/>
    <s v="OO730"/>
    <x v="101"/>
  </r>
  <r>
    <n v="2"/>
    <n v="14"/>
    <s v="NM466"/>
    <x v="44"/>
  </r>
  <r>
    <n v="14"/>
    <n v="11"/>
    <s v="LN234"/>
    <x v="62"/>
  </r>
  <r>
    <n v="9"/>
    <n v="10"/>
    <s v="NK798"/>
    <x v="102"/>
  </r>
  <r>
    <n v="2"/>
    <n v="14"/>
    <s v="DH531"/>
    <x v="103"/>
  </r>
  <r>
    <n v="11"/>
    <n v="3"/>
    <s v="IC460"/>
    <x v="75"/>
  </r>
  <r>
    <n v="2"/>
    <n v="1"/>
    <s v="BA678"/>
    <x v="46"/>
  </r>
  <r>
    <n v="14"/>
    <n v="3"/>
    <s v="GE131"/>
    <x v="104"/>
  </r>
  <r>
    <n v="6"/>
    <n v="6"/>
    <s v="PA306"/>
    <x v="105"/>
  </r>
  <r>
    <n v="5"/>
    <n v="14"/>
    <s v="EL879"/>
    <x v="33"/>
  </r>
  <r>
    <n v="2"/>
    <n v="8"/>
    <s v="EL963"/>
    <x v="33"/>
  </r>
  <r>
    <n v="10"/>
    <n v="15"/>
    <s v="NK460"/>
    <x v="102"/>
  </r>
  <r>
    <n v="3"/>
    <n v="15"/>
    <s v="GM330"/>
    <x v="10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n v="3"/>
    <n v="5"/>
    <s v="NN792"/>
    <d v="1899-12-30T06:03:00"/>
    <x v="0"/>
    <n v="1"/>
  </r>
  <r>
    <n v="12"/>
    <n v="13"/>
    <s v="FO434"/>
    <d v="1899-12-30T06:15:00"/>
    <x v="0"/>
    <n v="1"/>
  </r>
  <r>
    <n v="1"/>
    <n v="10"/>
    <s v="GN103"/>
    <d v="1899-12-30T06:16:00"/>
    <x v="0"/>
    <n v="1"/>
  </r>
  <r>
    <n v="7"/>
    <n v="2"/>
    <s v="EA828"/>
    <d v="1899-12-30T06:23:00"/>
    <x v="0"/>
    <n v="1"/>
  </r>
  <r>
    <n v="10"/>
    <n v="7"/>
    <s v="FN819"/>
    <d v="1899-12-30T06:33:00"/>
    <x v="0"/>
    <n v="1"/>
  </r>
  <r>
    <n v="9"/>
    <n v="14"/>
    <s v="CI708"/>
    <d v="1899-12-30T06:42:00"/>
    <x v="0"/>
    <n v="1"/>
  </r>
  <r>
    <n v="4"/>
    <n v="10"/>
    <s v="KP566"/>
    <d v="1899-12-30T06:46:00"/>
    <x v="0"/>
    <n v="1"/>
  </r>
  <r>
    <n v="4"/>
    <n v="7"/>
    <s v="DB255"/>
    <d v="1899-12-30T06:50:00"/>
    <x v="0"/>
    <n v="1"/>
  </r>
  <r>
    <n v="3"/>
    <n v="2"/>
    <s v="DE239"/>
    <d v="1899-12-30T06:53:00"/>
    <x v="0"/>
    <n v="1"/>
  </r>
  <r>
    <n v="7"/>
    <n v="12"/>
    <s v="HL821"/>
    <d v="1899-12-30T07:00:00"/>
    <x v="1"/>
    <n v="1"/>
  </r>
  <r>
    <n v="11"/>
    <n v="12"/>
    <s v="CG489"/>
    <d v="1899-12-30T07:11:00"/>
    <x v="1"/>
    <n v="1"/>
  </r>
  <r>
    <n v="15"/>
    <n v="14"/>
    <s v="BD204"/>
    <d v="1899-12-30T07:26:00"/>
    <x v="1"/>
    <n v="1"/>
  </r>
  <r>
    <n v="11"/>
    <n v="9"/>
    <s v="KJ360"/>
    <d v="1899-12-30T07:37:00"/>
    <x v="1"/>
    <n v="1"/>
  </r>
  <r>
    <n v="3"/>
    <n v="6"/>
    <s v="BH265"/>
    <d v="1899-12-30T07:40:00"/>
    <x v="1"/>
    <n v="1"/>
  </r>
  <r>
    <n v="1"/>
    <n v="7"/>
    <s v="KI293"/>
    <d v="1899-12-30T07:41:00"/>
    <x v="1"/>
    <n v="1"/>
  </r>
  <r>
    <n v="11"/>
    <n v="7"/>
    <s v="EH963"/>
    <d v="1899-12-30T07:52:00"/>
    <x v="1"/>
    <n v="1"/>
  </r>
  <r>
    <n v="2"/>
    <n v="2"/>
    <s v="DP909"/>
    <d v="1899-12-30T07:54:00"/>
    <x v="1"/>
    <n v="1"/>
  </r>
  <r>
    <n v="9"/>
    <n v="10"/>
    <s v="MD193"/>
    <d v="1899-12-30T08:03:00"/>
    <x v="2"/>
    <n v="1"/>
  </r>
  <r>
    <n v="2"/>
    <n v="13"/>
    <s v="CC204"/>
    <d v="1899-12-30T08:05:00"/>
    <x v="2"/>
    <n v="1"/>
  </r>
  <r>
    <n v="13"/>
    <n v="14"/>
    <s v="IB453"/>
    <d v="1899-12-30T08:18:00"/>
    <x v="2"/>
    <n v="1"/>
  </r>
  <r>
    <n v="10"/>
    <n v="15"/>
    <s v="NE867"/>
    <d v="1899-12-30T08:28:00"/>
    <x v="2"/>
    <n v="1"/>
  </r>
  <r>
    <n v="6"/>
    <n v="9"/>
    <s v="HP605"/>
    <d v="1899-12-30T08:34:00"/>
    <x v="2"/>
    <n v="1"/>
  </r>
  <r>
    <n v="5"/>
    <n v="6"/>
    <s v="BM696"/>
    <d v="1899-12-30T08:39:00"/>
    <x v="2"/>
    <n v="1"/>
  </r>
  <r>
    <n v="13"/>
    <n v="13"/>
    <s v="NH320"/>
    <d v="1899-12-30T08:52:00"/>
    <x v="2"/>
    <n v="1"/>
  </r>
  <r>
    <n v="11"/>
    <n v="1"/>
    <s v="LJ560"/>
    <d v="1899-12-30T09:03:00"/>
    <x v="3"/>
    <n v="1"/>
  </r>
  <r>
    <n v="10"/>
    <n v="6"/>
    <s v="KE961"/>
    <d v="1899-12-30T09:13:00"/>
    <x v="3"/>
    <n v="1"/>
  </r>
  <r>
    <n v="11"/>
    <n v="12"/>
    <s v="DA206"/>
    <d v="1899-12-30T09:24:00"/>
    <x v="3"/>
    <n v="1"/>
  </r>
  <r>
    <n v="4"/>
    <n v="9"/>
    <s v="BF559"/>
    <d v="1899-12-30T09:28:00"/>
    <x v="3"/>
    <n v="1"/>
  </r>
  <r>
    <n v="4"/>
    <n v="1"/>
    <s v="AE964"/>
    <d v="1899-12-30T09:32:00"/>
    <x v="3"/>
    <n v="1"/>
  </r>
  <r>
    <n v="2"/>
    <n v="11"/>
    <s v="AK592"/>
    <d v="1899-12-30T09:34:00"/>
    <x v="3"/>
    <n v="1"/>
  </r>
  <r>
    <n v="7"/>
    <n v="2"/>
    <s v="GH547"/>
    <d v="1899-12-30T09:41:00"/>
    <x v="3"/>
    <n v="1"/>
  </r>
  <r>
    <n v="11"/>
    <n v="14"/>
    <s v="HE739"/>
    <d v="1899-12-30T09:52:00"/>
    <x v="3"/>
    <n v="1"/>
  </r>
  <r>
    <n v="6"/>
    <n v="3"/>
    <s v="JP960"/>
    <d v="1899-12-30T09:58:00"/>
    <x v="3"/>
    <n v="1"/>
  </r>
  <r>
    <n v="11"/>
    <n v="5"/>
    <s v="EL406"/>
    <d v="1899-12-30T10:09:00"/>
    <x v="4"/>
    <n v="1"/>
  </r>
  <r>
    <n v="5"/>
    <n v="9"/>
    <s v="NO341"/>
    <d v="1899-12-30T10:14:00"/>
    <x v="4"/>
    <n v="1"/>
  </r>
  <r>
    <n v="9"/>
    <n v="5"/>
    <s v="HA988"/>
    <d v="1899-12-30T10:23:00"/>
    <x v="4"/>
    <n v="1"/>
  </r>
  <r>
    <n v="11"/>
    <n v="4"/>
    <s v="BD855"/>
    <d v="1899-12-30T10:34:00"/>
    <x v="4"/>
    <n v="1"/>
  </r>
  <r>
    <n v="15"/>
    <n v="5"/>
    <s v="AC254"/>
    <d v="1899-12-30T10:49:00"/>
    <x v="4"/>
    <n v="1"/>
  </r>
  <r>
    <n v="12"/>
    <n v="1"/>
    <s v="EB508"/>
    <d v="1899-12-30T11:01:00"/>
    <x v="5"/>
    <n v="1"/>
  </r>
  <r>
    <n v="2"/>
    <n v="5"/>
    <s v="CJ207"/>
    <d v="1899-12-30T11:03:00"/>
    <x v="5"/>
    <n v="1"/>
  </r>
  <r>
    <n v="11"/>
    <n v="11"/>
    <s v="MI932"/>
    <d v="1899-12-30T11:14:00"/>
    <x v="5"/>
    <n v="1"/>
  </r>
  <r>
    <n v="2"/>
    <n v="3"/>
    <s v="KK643"/>
    <d v="1899-12-30T11:16:00"/>
    <x v="5"/>
    <n v="1"/>
  </r>
  <r>
    <n v="6"/>
    <n v="13"/>
    <s v="MN131"/>
    <d v="1899-12-30T11:22:00"/>
    <x v="5"/>
    <n v="1"/>
  </r>
  <r>
    <n v="4"/>
    <n v="11"/>
    <s v="GL291"/>
    <d v="1899-12-30T11:26:00"/>
    <x v="5"/>
    <n v="1"/>
  </r>
  <r>
    <n v="7"/>
    <n v="10"/>
    <s v="DA512"/>
    <d v="1899-12-30T11:33:00"/>
    <x v="5"/>
    <n v="1"/>
  </r>
  <r>
    <n v="8"/>
    <n v="6"/>
    <s v="MK572"/>
    <d v="1899-12-30T11:41:00"/>
    <x v="5"/>
    <n v="1"/>
  </r>
  <r>
    <n v="3"/>
    <n v="14"/>
    <s v="NM404"/>
    <d v="1899-12-30T11:44:00"/>
    <x v="5"/>
    <n v="1"/>
  </r>
  <r>
    <n v="7"/>
    <n v="13"/>
    <s v="JM414"/>
    <d v="1899-12-30T11:51:00"/>
    <x v="5"/>
    <n v="1"/>
  </r>
  <r>
    <n v="15"/>
    <n v="11"/>
    <s v="BA749"/>
    <d v="1899-12-30T12:06:00"/>
    <x v="6"/>
    <n v="1"/>
  </r>
  <r>
    <n v="11"/>
    <n v="8"/>
    <s v="DE678"/>
    <d v="1899-12-30T12:17:00"/>
    <x v="6"/>
    <n v="1"/>
  </r>
  <r>
    <n v="6"/>
    <n v="10"/>
    <s v="AG504"/>
    <d v="1899-12-30T12:23:00"/>
    <x v="6"/>
    <n v="1"/>
  </r>
  <r>
    <n v="3"/>
    <n v="12"/>
    <s v="FC803"/>
    <d v="1899-12-30T12:26:00"/>
    <x v="6"/>
    <n v="1"/>
  </r>
  <r>
    <n v="13"/>
    <n v="11"/>
    <s v="DE822"/>
    <d v="1899-12-30T12:39:00"/>
    <x v="6"/>
    <n v="1"/>
  </r>
  <r>
    <n v="15"/>
    <n v="12"/>
    <s v="PJ152"/>
    <d v="1899-12-30T12:54:00"/>
    <x v="6"/>
    <n v="1"/>
  </r>
  <r>
    <n v="1"/>
    <n v="13"/>
    <s v="GK857"/>
    <d v="1899-12-30T12:55:00"/>
    <x v="6"/>
    <n v="1"/>
  </r>
  <r>
    <n v="15"/>
    <n v="7"/>
    <s v="BO596"/>
    <d v="1899-12-30T13:10:00"/>
    <x v="7"/>
    <n v="1"/>
  </r>
  <r>
    <n v="14"/>
    <n v="10"/>
    <s v="KK488"/>
    <d v="1899-12-30T13:24:00"/>
    <x v="7"/>
    <n v="1"/>
  </r>
  <r>
    <n v="7"/>
    <n v="1"/>
    <s v="AI420"/>
    <d v="1899-12-30T13:31:00"/>
    <x v="7"/>
    <n v="1"/>
  </r>
  <r>
    <n v="7"/>
    <n v="5"/>
    <s v="KJ759"/>
    <d v="1899-12-30T13:38:00"/>
    <x v="7"/>
    <n v="1"/>
  </r>
  <r>
    <n v="6"/>
    <n v="1"/>
    <s v="DL542"/>
    <d v="1899-12-30T13:44:00"/>
    <x v="7"/>
    <n v="1"/>
  </r>
  <r>
    <n v="3"/>
    <n v="12"/>
    <s v="JI840"/>
    <d v="1899-12-30T13:47:00"/>
    <x v="7"/>
    <n v="1"/>
  </r>
  <r>
    <n v="15"/>
    <n v="14"/>
    <s v="KK476"/>
    <d v="1899-12-30T14:02:00"/>
    <x v="8"/>
    <n v="1"/>
  </r>
  <r>
    <n v="3"/>
    <n v="9"/>
    <s v="HP302"/>
    <d v="1899-12-30T14:05:00"/>
    <x v="8"/>
    <n v="1"/>
  </r>
  <r>
    <n v="8"/>
    <n v="11"/>
    <s v="FI172"/>
    <d v="1899-12-30T14:13:00"/>
    <x v="8"/>
    <n v="1"/>
  </r>
  <r>
    <n v="5"/>
    <n v="15"/>
    <s v="NM428"/>
    <d v="1899-12-30T14:18:00"/>
    <x v="8"/>
    <n v="1"/>
  </r>
  <r>
    <n v="2"/>
    <n v="4"/>
    <s v="PM455"/>
    <d v="1899-12-30T14:20:00"/>
    <x v="8"/>
    <n v="1"/>
  </r>
  <r>
    <n v="14"/>
    <n v="9"/>
    <s v="JM637"/>
    <d v="1899-12-30T14:34:00"/>
    <x v="8"/>
    <n v="1"/>
  </r>
  <r>
    <n v="7"/>
    <n v="7"/>
    <s v="PK319"/>
    <d v="1899-12-30T14:41:00"/>
    <x v="8"/>
    <n v="1"/>
  </r>
  <r>
    <n v="14"/>
    <n v="6"/>
    <s v="PM491"/>
    <d v="1899-12-30T14:55:00"/>
    <x v="8"/>
    <n v="1"/>
  </r>
  <r>
    <n v="11"/>
    <n v="12"/>
    <s v="BC831"/>
    <d v="1899-12-30T15:06:00"/>
    <x v="9"/>
    <n v="1"/>
  </r>
  <r>
    <n v="2"/>
    <n v="4"/>
    <s v="OJ247"/>
    <d v="1899-12-30T15:08:00"/>
    <x v="9"/>
    <n v="1"/>
  </r>
  <r>
    <n v="11"/>
    <n v="15"/>
    <s v="EH892"/>
    <d v="1899-12-30T15:19:00"/>
    <x v="9"/>
    <n v="1"/>
  </r>
  <r>
    <n v="4"/>
    <n v="3"/>
    <s v="JN904"/>
    <d v="1899-12-30T15:23:00"/>
    <x v="9"/>
    <n v="1"/>
  </r>
  <r>
    <n v="3"/>
    <n v="12"/>
    <s v="KI291"/>
    <d v="1899-12-30T15:26:00"/>
    <x v="9"/>
    <n v="1"/>
  </r>
  <r>
    <n v="2"/>
    <n v="7"/>
    <s v="MF590"/>
    <d v="1899-12-30T15:28:00"/>
    <x v="9"/>
    <n v="1"/>
  </r>
  <r>
    <n v="13"/>
    <n v="7"/>
    <s v="LN225"/>
    <d v="1899-12-30T15:41:00"/>
    <x v="9"/>
    <n v="1"/>
  </r>
  <r>
    <n v="3"/>
    <n v="12"/>
    <s v="CN589"/>
    <d v="1899-12-30T15:44:00"/>
    <x v="9"/>
    <n v="1"/>
  </r>
  <r>
    <n v="9"/>
    <n v="9"/>
    <s v="JM352"/>
    <d v="1899-12-30T15:53:00"/>
    <x v="9"/>
    <n v="1"/>
  </r>
  <r>
    <n v="13"/>
    <n v="3"/>
    <s v="AA425"/>
    <d v="1899-12-30T16:06:00"/>
    <x v="10"/>
    <n v="1"/>
  </r>
  <r>
    <n v="7"/>
    <n v="2"/>
    <s v="OI629"/>
    <d v="1899-12-30T16:13:00"/>
    <x v="10"/>
    <n v="1"/>
  </r>
  <r>
    <n v="13"/>
    <n v="4"/>
    <s v="HA731"/>
    <d v="1899-12-30T16:26:00"/>
    <x v="10"/>
    <n v="1"/>
  </r>
  <r>
    <n v="4"/>
    <n v="12"/>
    <s v="GA781"/>
    <d v="1899-12-30T16:30:00"/>
    <x v="10"/>
    <n v="1"/>
  </r>
  <r>
    <n v="7"/>
    <n v="8"/>
    <s v="LM755"/>
    <d v="1899-12-30T16:37:00"/>
    <x v="10"/>
    <n v="1"/>
  </r>
  <r>
    <n v="3"/>
    <n v="12"/>
    <s v="AE347"/>
    <d v="1899-12-30T16:40:00"/>
    <x v="10"/>
    <n v="1"/>
  </r>
  <r>
    <n v="4"/>
    <n v="11"/>
    <s v="GF313"/>
    <d v="1899-12-30T16:44:00"/>
    <x v="10"/>
    <n v="1"/>
  </r>
  <r>
    <n v="7"/>
    <n v="1"/>
    <s v="EF961"/>
    <d v="1899-12-30T16:51:00"/>
    <x v="10"/>
    <n v="1"/>
  </r>
  <r>
    <n v="3"/>
    <n v="9"/>
    <s v="PO926"/>
    <d v="1899-12-30T16:54:00"/>
    <x v="10"/>
    <n v="1"/>
  </r>
  <r>
    <n v="1"/>
    <n v="4"/>
    <s v="NH234"/>
    <d v="1899-12-30T16:55:00"/>
    <x v="10"/>
    <n v="1"/>
  </r>
  <r>
    <n v="14"/>
    <n v="3"/>
    <s v="AG864"/>
    <d v="1899-12-30T17:09:00"/>
    <x v="11"/>
    <n v="1"/>
  </r>
  <r>
    <n v="5"/>
    <n v="12"/>
    <s v="DM336"/>
    <d v="1899-12-30T17:14:00"/>
    <x v="11"/>
    <n v="1"/>
  </r>
  <r>
    <n v="4"/>
    <n v="9"/>
    <s v="LM392"/>
    <d v="1899-12-30T17:18:00"/>
    <x v="11"/>
    <n v="1"/>
  </r>
  <r>
    <n v="5"/>
    <n v="4"/>
    <s v="EH559"/>
    <d v="1899-12-30T17:23:00"/>
    <x v="11"/>
    <n v="1"/>
  </r>
  <r>
    <n v="6"/>
    <n v="8"/>
    <s v="HC465"/>
    <d v="1899-12-30T17:29:00"/>
    <x v="11"/>
    <n v="1"/>
  </r>
  <r>
    <n v="8"/>
    <n v="14"/>
    <s v="BL246"/>
    <d v="1899-12-30T17:37:00"/>
    <x v="11"/>
    <n v="1"/>
  </r>
  <r>
    <n v="15"/>
    <n v="11"/>
    <s v="FG771"/>
    <d v="1899-12-30T17:52:00"/>
    <x v="11"/>
    <n v="1"/>
  </r>
  <r>
    <n v="1"/>
    <n v="1"/>
    <s v="IC327"/>
    <d v="1899-12-30T17:53:00"/>
    <x v="11"/>
    <n v="1"/>
  </r>
  <r>
    <n v="14"/>
    <n v="15"/>
    <s v="JK843"/>
    <d v="1899-12-30T18:07:00"/>
    <x v="12"/>
    <n v="1"/>
  </r>
  <r>
    <n v="6"/>
    <n v="7"/>
    <s v="CL393"/>
    <d v="1899-12-30T18:13:00"/>
    <x v="12"/>
    <n v="1"/>
  </r>
  <r>
    <n v="7"/>
    <n v="11"/>
    <s v="NP226"/>
    <d v="1899-12-30T18:20:00"/>
    <x v="12"/>
    <n v="1"/>
  </r>
  <r>
    <n v="10"/>
    <n v="11"/>
    <s v="PI710"/>
    <d v="1899-12-30T18:30:00"/>
    <x v="12"/>
    <n v="1"/>
  </r>
  <r>
    <n v="5"/>
    <n v="6"/>
    <s v="GA435"/>
    <d v="1899-12-30T18:35:00"/>
    <x v="12"/>
    <n v="1"/>
  </r>
  <r>
    <n v="13"/>
    <n v="7"/>
    <s v="AH451"/>
    <d v="1899-12-30T18:48:00"/>
    <x v="12"/>
    <n v="1"/>
  </r>
  <r>
    <n v="2"/>
    <n v="9"/>
    <s v="IJ379"/>
    <d v="1899-12-30T18:50:00"/>
    <x v="12"/>
    <n v="1"/>
  </r>
  <r>
    <n v="9"/>
    <n v="11"/>
    <s v="CC791"/>
    <d v="1899-12-30T18:59:00"/>
    <x v="12"/>
    <n v="1"/>
  </r>
  <r>
    <n v="8"/>
    <n v="3"/>
    <s v="AF135"/>
    <d v="1899-12-30T19:07:00"/>
    <x v="13"/>
    <n v="1"/>
  </r>
  <r>
    <n v="1"/>
    <n v="6"/>
    <s v="MN872"/>
    <d v="1899-12-30T19:08:00"/>
    <x v="13"/>
    <n v="1"/>
  </r>
  <r>
    <n v="10"/>
    <n v="9"/>
    <s v="LP599"/>
    <d v="1899-12-30T19:18:00"/>
    <x v="13"/>
    <n v="1"/>
  </r>
  <r>
    <n v="2"/>
    <n v="11"/>
    <s v="OD829"/>
    <d v="1899-12-30T19:20:00"/>
    <x v="13"/>
    <n v="1"/>
  </r>
  <r>
    <n v="6"/>
    <n v="12"/>
    <s v="KN305"/>
    <d v="1899-12-30T19:26:00"/>
    <x v="13"/>
    <n v="1"/>
  </r>
  <r>
    <n v="2"/>
    <n v="14"/>
    <s v="AH528"/>
    <d v="1899-12-30T19:28:00"/>
    <x v="13"/>
    <n v="1"/>
  </r>
  <r>
    <n v="4"/>
    <n v="2"/>
    <s v="CA524"/>
    <d v="1899-12-30T19:32:00"/>
    <x v="13"/>
    <n v="1"/>
  </r>
  <r>
    <n v="9"/>
    <n v="8"/>
    <s v="EP925"/>
    <d v="1899-12-30T19:41:00"/>
    <x v="13"/>
    <n v="1"/>
  </r>
  <r>
    <n v="2"/>
    <n v="4"/>
    <s v="EF263"/>
    <d v="1899-12-30T19:43:00"/>
    <x v="13"/>
    <n v="1"/>
  </r>
  <r>
    <n v="11"/>
    <n v="11"/>
    <s v="AN413"/>
    <d v="1899-12-30T19:54:00"/>
    <x v="13"/>
    <n v="1"/>
  </r>
  <r>
    <n v="8"/>
    <n v="1"/>
    <s v="LE288"/>
    <d v="1899-12-30T20:02:00"/>
    <x v="14"/>
    <n v="1"/>
  </r>
  <r>
    <n v="13"/>
    <n v="9"/>
    <s v="LM661"/>
    <d v="1899-12-30T20:15:00"/>
    <x v="14"/>
    <n v="1"/>
  </r>
  <r>
    <n v="7"/>
    <n v="13"/>
    <s v="CO649"/>
    <d v="1899-12-30T20:22:00"/>
    <x v="14"/>
    <n v="1"/>
  </r>
  <r>
    <n v="7"/>
    <n v="11"/>
    <s v="GB981"/>
    <d v="1899-12-30T20:29:00"/>
    <x v="14"/>
    <n v="1"/>
  </r>
  <r>
    <n v="9"/>
    <n v="11"/>
    <s v="HF358"/>
    <d v="1899-12-30T20:38:00"/>
    <x v="14"/>
    <n v="1"/>
  </r>
  <r>
    <n v="6"/>
    <n v="1"/>
    <s v="LA734"/>
    <d v="1899-12-30T20:44:00"/>
    <x v="14"/>
    <n v="1"/>
  </r>
  <r>
    <n v="14"/>
    <n v="6"/>
    <s v="LL684"/>
    <d v="1899-12-30T20:58:00"/>
    <x v="14"/>
    <n v="1"/>
  </r>
  <r>
    <n v="14"/>
    <n v="10"/>
    <s v="EG251"/>
    <d v="1899-12-30T21:12:00"/>
    <x v="15"/>
    <n v="1"/>
  </r>
  <r>
    <n v="7"/>
    <n v="7"/>
    <s v="NH488"/>
    <d v="1899-12-30T21:19:00"/>
    <x v="15"/>
    <n v="1"/>
  </r>
  <r>
    <n v="11"/>
    <n v="1"/>
    <s v="LF545"/>
    <d v="1899-12-30T21:30:00"/>
    <x v="15"/>
    <n v="1"/>
  </r>
  <r>
    <n v="11"/>
    <n v="3"/>
    <s v="GB137"/>
    <d v="1899-12-30T21:41:00"/>
    <x v="15"/>
    <n v="1"/>
  </r>
  <r>
    <n v="11"/>
    <n v="2"/>
    <s v="PB847"/>
    <d v="1899-12-30T21:52:00"/>
    <x v="15"/>
    <n v="1"/>
  </r>
  <r>
    <n v="12"/>
    <n v="2"/>
    <s v="GH559"/>
    <d v="1899-12-30T22:04:00"/>
    <x v="16"/>
    <n v="1"/>
  </r>
  <r>
    <n v="3"/>
    <n v="14"/>
    <s v="FP317"/>
    <d v="1899-12-30T22:07:00"/>
    <x v="16"/>
    <n v="1"/>
  </r>
  <r>
    <n v="3"/>
    <n v="6"/>
    <s v="BM762"/>
    <d v="1899-12-30T22:10:00"/>
    <x v="16"/>
    <n v="1"/>
  </r>
  <r>
    <n v="12"/>
    <n v="2"/>
    <s v="FJ667"/>
    <d v="1899-12-30T22:22:00"/>
    <x v="16"/>
    <n v="1"/>
  </r>
  <r>
    <n v="7"/>
    <n v="8"/>
    <s v="FA471"/>
    <d v="1899-12-30T22:29:00"/>
    <x v="16"/>
    <n v="1"/>
  </r>
  <r>
    <n v="10"/>
    <n v="12"/>
    <s v="OO730"/>
    <d v="1899-12-30T22:39:00"/>
    <x v="16"/>
    <n v="1"/>
  </r>
  <r>
    <n v="2"/>
    <n v="14"/>
    <s v="NM466"/>
    <d v="1899-12-30T22:41:00"/>
    <x v="16"/>
    <n v="1"/>
  </r>
  <r>
    <n v="14"/>
    <n v="11"/>
    <s v="LN234"/>
    <d v="1899-12-30T22:55:00"/>
    <x v="16"/>
    <n v="1"/>
  </r>
  <r>
    <n v="9"/>
    <n v="10"/>
    <s v="NK798"/>
    <d v="1899-12-30T23:04:00"/>
    <x v="17"/>
    <n v="1"/>
  </r>
  <r>
    <n v="2"/>
    <n v="14"/>
    <s v="DH531"/>
    <d v="1899-12-30T23:06:00"/>
    <x v="17"/>
    <n v="1"/>
  </r>
  <r>
    <n v="11"/>
    <n v="3"/>
    <s v="IC460"/>
    <d v="1899-12-30T23:17:00"/>
    <x v="17"/>
    <n v="1"/>
  </r>
  <r>
    <n v="2"/>
    <n v="1"/>
    <s v="BA678"/>
    <d v="1899-12-30T23:19:00"/>
    <x v="17"/>
    <n v="1"/>
  </r>
  <r>
    <n v="14"/>
    <n v="3"/>
    <s v="GE131"/>
    <d v="1899-12-30T23:33:00"/>
    <x v="17"/>
    <n v="1"/>
  </r>
  <r>
    <n v="6"/>
    <n v="6"/>
    <s v="PA306"/>
    <d v="1899-12-30T23:39:00"/>
    <x v="17"/>
    <n v="1"/>
  </r>
  <r>
    <n v="5"/>
    <n v="14"/>
    <s v="EL879"/>
    <d v="1899-12-30T23:44:00"/>
    <x v="17"/>
    <n v="1"/>
  </r>
  <r>
    <n v="2"/>
    <n v="8"/>
    <s v="EL963"/>
    <d v="1899-12-30T23:46:00"/>
    <x v="17"/>
    <n v="1"/>
  </r>
  <r>
    <n v="10"/>
    <n v="15"/>
    <s v="NK460"/>
    <d v="1899-12-30T23:56:00"/>
    <x v="17"/>
    <n v="1"/>
  </r>
  <r>
    <n v="3"/>
    <n v="15"/>
    <s v="GM330"/>
    <d v="1899-12-30T23:59:00"/>
    <x v="17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2F919-EF33-48D9-9203-53581E22F8D7}" name="Tabela przestawna2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6:G22" firstHeaderRow="1" firstDataRow="1" firstDataCol="1"/>
  <pivotFields count="4">
    <pivotField showAll="0"/>
    <pivotField axis="axisRow" showAll="0">
      <items count="16">
        <item x="10"/>
        <item x="3"/>
        <item x="12"/>
        <item x="13"/>
        <item x="0"/>
        <item x="8"/>
        <item x="4"/>
        <item x="14"/>
        <item x="7"/>
        <item x="2"/>
        <item x="11"/>
        <item x="6"/>
        <item x="1"/>
        <item x="5"/>
        <item x="9"/>
        <item t="default"/>
      </items>
    </pivotField>
    <pivotField showAll="0"/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z l.kliento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7FD10-2971-40C8-90C5-4C24906FFE4D}" name="Tabela przestawna3" cacheId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5:G113" firstHeaderRow="1" firstDataRow="1" firstDataCol="1"/>
  <pivotFields count="4">
    <pivotField showAll="0"/>
    <pivotField showAll="0"/>
    <pivotField showAll="0"/>
    <pivotField axis="axisRow" dataField="1" showAll="0">
      <items count="108">
        <item x="64"/>
        <item x="36"/>
        <item x="28"/>
        <item x="82"/>
        <item x="47"/>
        <item x="80"/>
        <item x="52"/>
        <item x="29"/>
        <item x="88"/>
        <item x="46"/>
        <item x="58"/>
        <item x="11"/>
        <item x="27"/>
        <item x="13"/>
        <item x="73"/>
        <item x="22"/>
        <item x="51"/>
        <item x="86"/>
        <item x="18"/>
        <item x="10"/>
        <item x="5"/>
        <item x="38"/>
        <item x="77"/>
        <item x="63"/>
        <item x="90"/>
        <item x="26"/>
        <item x="7"/>
        <item x="8"/>
        <item x="103"/>
        <item x="53"/>
        <item x="71"/>
        <item x="16"/>
        <item x="3"/>
        <item x="37"/>
        <item x="69"/>
        <item x="95"/>
        <item x="15"/>
        <item x="33"/>
        <item x="87"/>
        <item x="100"/>
        <item x="48"/>
        <item x="74"/>
        <item x="55"/>
        <item x="99"/>
        <item x="4"/>
        <item x="1"/>
        <item x="98"/>
        <item x="66"/>
        <item x="91"/>
        <item x="104"/>
        <item x="68"/>
        <item x="30"/>
        <item x="50"/>
        <item x="42"/>
        <item x="106"/>
        <item x="2"/>
        <item x="35"/>
        <item x="72"/>
        <item x="31"/>
        <item x="92"/>
        <item x="9"/>
        <item x="21"/>
        <item x="19"/>
        <item x="75"/>
        <item x="81"/>
        <item x="54"/>
        <item x="76"/>
        <item x="45"/>
        <item x="60"/>
        <item x="32"/>
        <item x="25"/>
        <item x="14"/>
        <item x="12"/>
        <item x="40"/>
        <item x="85"/>
        <item x="6"/>
        <item x="93"/>
        <item x="89"/>
        <item x="96"/>
        <item x="24"/>
        <item x="94"/>
        <item x="67"/>
        <item x="62"/>
        <item x="83"/>
        <item x="17"/>
        <item x="61"/>
        <item x="39"/>
        <item x="43"/>
        <item x="41"/>
        <item x="20"/>
        <item x="23"/>
        <item x="102"/>
        <item x="44"/>
        <item x="0"/>
        <item x="34"/>
        <item x="78"/>
        <item x="84"/>
        <item x="65"/>
        <item x="59"/>
        <item x="101"/>
        <item x="105"/>
        <item x="97"/>
        <item x="79"/>
        <item x="49"/>
        <item x="57"/>
        <item x="56"/>
        <item x="70"/>
        <item t="default"/>
      </items>
    </pivotField>
  </pivotFields>
  <rowFields count="1">
    <field x="3"/>
  </rowFields>
  <rowItems count="1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Liczba z miasto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26078-093A-4A9F-9941-F49D5E1C8DEF}" name="Tabela przestawna6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">
  <location ref="H7:I26" firstHeaderRow="1" firstDataRow="1" firstDataCol="1"/>
  <pivotFields count="6">
    <pivotField showAll="0"/>
    <pivotField showAll="0"/>
    <pivotField showAll="0"/>
    <pivotField numFmtId="21"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a z l. klientow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40733-016B-4273-9142-6FA3C2BF571C}">
  <dimension ref="A1:D145"/>
  <sheetViews>
    <sheetView workbookViewId="0">
      <selection activeCell="D1" sqref="D1:D145"/>
    </sheetView>
  </sheetViews>
  <sheetFormatPr defaultRowHeight="14.5" x14ac:dyDescent="0.35"/>
  <cols>
    <col min="1" max="1" width="35.453125" bestFit="1" customWidth="1"/>
    <col min="2" max="2" width="10.54296875" bestFit="1" customWidth="1"/>
    <col min="3" max="3" width="14.90625" bestFit="1" customWidth="1"/>
    <col min="5" max="6" width="16.54296875" bestFit="1" customWidth="1"/>
    <col min="7" max="7" width="15.54296875" bestFit="1" customWidth="1"/>
  </cols>
  <sheetData>
    <row r="1" spans="1:4" x14ac:dyDescent="0.35">
      <c r="A1" s="3" t="s">
        <v>146</v>
      </c>
      <c r="B1" s="4" t="s">
        <v>145</v>
      </c>
      <c r="C1" s="5" t="s">
        <v>144</v>
      </c>
      <c r="D1" s="15"/>
    </row>
    <row r="2" spans="1:4" x14ac:dyDescent="0.35">
      <c r="A2" s="6">
        <v>3</v>
      </c>
      <c r="B2" s="7">
        <v>5</v>
      </c>
      <c r="C2" s="8" t="s">
        <v>0</v>
      </c>
    </row>
    <row r="3" spans="1:4" x14ac:dyDescent="0.35">
      <c r="A3" s="9">
        <v>12</v>
      </c>
      <c r="B3" s="10">
        <v>13</v>
      </c>
      <c r="C3" s="11" t="s">
        <v>1</v>
      </c>
    </row>
    <row r="4" spans="1:4" x14ac:dyDescent="0.35">
      <c r="A4" s="6">
        <v>1</v>
      </c>
      <c r="B4" s="7">
        <v>10</v>
      </c>
      <c r="C4" s="8" t="s">
        <v>2</v>
      </c>
    </row>
    <row r="5" spans="1:4" x14ac:dyDescent="0.35">
      <c r="A5" s="9">
        <v>7</v>
      </c>
      <c r="B5" s="10">
        <v>2</v>
      </c>
      <c r="C5" s="11" t="s">
        <v>3</v>
      </c>
    </row>
    <row r="6" spans="1:4" x14ac:dyDescent="0.35">
      <c r="A6" s="6">
        <v>10</v>
      </c>
      <c r="B6" s="7">
        <v>7</v>
      </c>
      <c r="C6" s="8" t="s">
        <v>4</v>
      </c>
    </row>
    <row r="7" spans="1:4" x14ac:dyDescent="0.35">
      <c r="A7" s="9">
        <v>9</v>
      </c>
      <c r="B7" s="10">
        <v>14</v>
      </c>
      <c r="C7" s="11" t="s">
        <v>5</v>
      </c>
    </row>
    <row r="8" spans="1:4" x14ac:dyDescent="0.35">
      <c r="A8" s="6">
        <v>4</v>
      </c>
      <c r="B8" s="7">
        <v>10</v>
      </c>
      <c r="C8" s="8" t="s">
        <v>6</v>
      </c>
    </row>
    <row r="9" spans="1:4" x14ac:dyDescent="0.35">
      <c r="A9" s="9">
        <v>4</v>
      </c>
      <c r="B9" s="10">
        <v>7</v>
      </c>
      <c r="C9" s="11" t="s">
        <v>7</v>
      </c>
    </row>
    <row r="10" spans="1:4" x14ac:dyDescent="0.35">
      <c r="A10" s="6">
        <v>3</v>
      </c>
      <c r="B10" s="7">
        <v>2</v>
      </c>
      <c r="C10" s="8" t="s">
        <v>8</v>
      </c>
    </row>
    <row r="11" spans="1:4" x14ac:dyDescent="0.35">
      <c r="A11" s="9">
        <v>7</v>
      </c>
      <c r="B11" s="10">
        <v>12</v>
      </c>
      <c r="C11" s="11" t="s">
        <v>9</v>
      </c>
    </row>
    <row r="12" spans="1:4" x14ac:dyDescent="0.35">
      <c r="A12" s="6">
        <v>11</v>
      </c>
      <c r="B12" s="7">
        <v>12</v>
      </c>
      <c r="C12" s="8" t="s">
        <v>10</v>
      </c>
    </row>
    <row r="13" spans="1:4" x14ac:dyDescent="0.35">
      <c r="A13" s="9">
        <v>15</v>
      </c>
      <c r="B13" s="10">
        <v>14</v>
      </c>
      <c r="C13" s="11" t="s">
        <v>11</v>
      </c>
    </row>
    <row r="14" spans="1:4" x14ac:dyDescent="0.35">
      <c r="A14" s="6">
        <v>11</v>
      </c>
      <c r="B14" s="7">
        <v>9</v>
      </c>
      <c r="C14" s="8" t="s">
        <v>12</v>
      </c>
    </row>
    <row r="15" spans="1:4" x14ac:dyDescent="0.35">
      <c r="A15" s="9">
        <v>3</v>
      </c>
      <c r="B15" s="10">
        <v>6</v>
      </c>
      <c r="C15" s="11" t="s">
        <v>13</v>
      </c>
    </row>
    <row r="16" spans="1:4" x14ac:dyDescent="0.35">
      <c r="A16" s="6">
        <v>1</v>
      </c>
      <c r="B16" s="7">
        <v>7</v>
      </c>
      <c r="C16" s="8" t="s">
        <v>14</v>
      </c>
    </row>
    <row r="17" spans="1:3" x14ac:dyDescent="0.35">
      <c r="A17" s="9">
        <v>11</v>
      </c>
      <c r="B17" s="10">
        <v>7</v>
      </c>
      <c r="C17" s="11" t="s">
        <v>15</v>
      </c>
    </row>
    <row r="18" spans="1:3" x14ac:dyDescent="0.35">
      <c r="A18" s="6">
        <v>2</v>
      </c>
      <c r="B18" s="7">
        <v>2</v>
      </c>
      <c r="C18" s="8" t="s">
        <v>16</v>
      </c>
    </row>
    <row r="19" spans="1:3" x14ac:dyDescent="0.35">
      <c r="A19" s="9">
        <v>9</v>
      </c>
      <c r="B19" s="10">
        <v>10</v>
      </c>
      <c r="C19" s="11" t="s">
        <v>17</v>
      </c>
    </row>
    <row r="20" spans="1:3" x14ac:dyDescent="0.35">
      <c r="A20" s="6">
        <v>2</v>
      </c>
      <c r="B20" s="7">
        <v>13</v>
      </c>
      <c r="C20" s="8" t="s">
        <v>18</v>
      </c>
    </row>
    <row r="21" spans="1:3" x14ac:dyDescent="0.35">
      <c r="A21" s="9">
        <v>13</v>
      </c>
      <c r="B21" s="10">
        <v>14</v>
      </c>
      <c r="C21" s="11" t="s">
        <v>19</v>
      </c>
    </row>
    <row r="22" spans="1:3" x14ac:dyDescent="0.35">
      <c r="A22" s="6">
        <v>10</v>
      </c>
      <c r="B22" s="7">
        <v>15</v>
      </c>
      <c r="C22" s="8" t="s">
        <v>20</v>
      </c>
    </row>
    <row r="23" spans="1:3" x14ac:dyDescent="0.35">
      <c r="A23" s="9">
        <v>6</v>
      </c>
      <c r="B23" s="10">
        <v>9</v>
      </c>
      <c r="C23" s="11" t="s">
        <v>21</v>
      </c>
    </row>
    <row r="24" spans="1:3" x14ac:dyDescent="0.35">
      <c r="A24" s="6">
        <v>5</v>
      </c>
      <c r="B24" s="7">
        <v>6</v>
      </c>
      <c r="C24" s="8" t="s">
        <v>22</v>
      </c>
    </row>
    <row r="25" spans="1:3" x14ac:dyDescent="0.35">
      <c r="A25" s="9">
        <v>13</v>
      </c>
      <c r="B25" s="10">
        <v>13</v>
      </c>
      <c r="C25" s="11" t="s">
        <v>23</v>
      </c>
    </row>
    <row r="26" spans="1:3" x14ac:dyDescent="0.35">
      <c r="A26" s="6">
        <v>11</v>
      </c>
      <c r="B26" s="7">
        <v>1</v>
      </c>
      <c r="C26" s="8" t="s">
        <v>24</v>
      </c>
    </row>
    <row r="27" spans="1:3" x14ac:dyDescent="0.35">
      <c r="A27" s="9">
        <v>10</v>
      </c>
      <c r="B27" s="10">
        <v>6</v>
      </c>
      <c r="C27" s="11" t="s">
        <v>25</v>
      </c>
    </row>
    <row r="28" spans="1:3" x14ac:dyDescent="0.35">
      <c r="A28" s="6">
        <v>11</v>
      </c>
      <c r="B28" s="7">
        <v>12</v>
      </c>
      <c r="C28" s="8" t="s">
        <v>26</v>
      </c>
    </row>
    <row r="29" spans="1:3" x14ac:dyDescent="0.35">
      <c r="A29" s="9">
        <v>4</v>
      </c>
      <c r="B29" s="10">
        <v>9</v>
      </c>
      <c r="C29" s="11" t="s">
        <v>27</v>
      </c>
    </row>
    <row r="30" spans="1:3" x14ac:dyDescent="0.35">
      <c r="A30" s="6">
        <v>4</v>
      </c>
      <c r="B30" s="7">
        <v>1</v>
      </c>
      <c r="C30" s="8" t="s">
        <v>28</v>
      </c>
    </row>
    <row r="31" spans="1:3" x14ac:dyDescent="0.35">
      <c r="A31" s="9">
        <v>2</v>
      </c>
      <c r="B31" s="10">
        <v>11</v>
      </c>
      <c r="C31" s="11" t="s">
        <v>29</v>
      </c>
    </row>
    <row r="32" spans="1:3" x14ac:dyDescent="0.35">
      <c r="A32" s="6">
        <v>7</v>
      </c>
      <c r="B32" s="7">
        <v>2</v>
      </c>
      <c r="C32" s="8" t="s">
        <v>30</v>
      </c>
    </row>
    <row r="33" spans="1:3" x14ac:dyDescent="0.35">
      <c r="A33" s="9">
        <v>11</v>
      </c>
      <c r="B33" s="10">
        <v>14</v>
      </c>
      <c r="C33" s="11" t="s">
        <v>31</v>
      </c>
    </row>
    <row r="34" spans="1:3" x14ac:dyDescent="0.35">
      <c r="A34" s="6">
        <v>6</v>
      </c>
      <c r="B34" s="7">
        <v>3</v>
      </c>
      <c r="C34" s="8" t="s">
        <v>32</v>
      </c>
    </row>
    <row r="35" spans="1:3" x14ac:dyDescent="0.35">
      <c r="A35" s="9">
        <v>11</v>
      </c>
      <c r="B35" s="10">
        <v>5</v>
      </c>
      <c r="C35" s="11" t="s">
        <v>33</v>
      </c>
    </row>
    <row r="36" spans="1:3" x14ac:dyDescent="0.35">
      <c r="A36" s="6">
        <v>5</v>
      </c>
      <c r="B36" s="7">
        <v>9</v>
      </c>
      <c r="C36" s="8" t="s">
        <v>34</v>
      </c>
    </row>
    <row r="37" spans="1:3" x14ac:dyDescent="0.35">
      <c r="A37" s="9">
        <v>9</v>
      </c>
      <c r="B37" s="10">
        <v>5</v>
      </c>
      <c r="C37" s="11" t="s">
        <v>35</v>
      </c>
    </row>
    <row r="38" spans="1:3" x14ac:dyDescent="0.35">
      <c r="A38" s="6">
        <v>11</v>
      </c>
      <c r="B38" s="7">
        <v>4</v>
      </c>
      <c r="C38" s="8" t="s">
        <v>36</v>
      </c>
    </row>
    <row r="39" spans="1:3" x14ac:dyDescent="0.35">
      <c r="A39" s="9">
        <v>15</v>
      </c>
      <c r="B39" s="10">
        <v>5</v>
      </c>
      <c r="C39" s="11" t="s">
        <v>37</v>
      </c>
    </row>
    <row r="40" spans="1:3" x14ac:dyDescent="0.35">
      <c r="A40" s="6">
        <v>12</v>
      </c>
      <c r="B40" s="7">
        <v>1</v>
      </c>
      <c r="C40" s="8" t="s">
        <v>38</v>
      </c>
    </row>
    <row r="41" spans="1:3" x14ac:dyDescent="0.35">
      <c r="A41" s="9">
        <v>2</v>
      </c>
      <c r="B41" s="10">
        <v>5</v>
      </c>
      <c r="C41" s="11" t="s">
        <v>39</v>
      </c>
    </row>
    <row r="42" spans="1:3" x14ac:dyDescent="0.35">
      <c r="A42" s="6">
        <v>11</v>
      </c>
      <c r="B42" s="7">
        <v>11</v>
      </c>
      <c r="C42" s="8" t="s">
        <v>40</v>
      </c>
    </row>
    <row r="43" spans="1:3" x14ac:dyDescent="0.35">
      <c r="A43" s="9">
        <v>2</v>
      </c>
      <c r="B43" s="10">
        <v>3</v>
      </c>
      <c r="C43" s="11" t="s">
        <v>41</v>
      </c>
    </row>
    <row r="44" spans="1:3" x14ac:dyDescent="0.35">
      <c r="A44" s="6">
        <v>6</v>
      </c>
      <c r="B44" s="7">
        <v>13</v>
      </c>
      <c r="C44" s="8" t="s">
        <v>42</v>
      </c>
    </row>
    <row r="45" spans="1:3" x14ac:dyDescent="0.35">
      <c r="A45" s="9">
        <v>4</v>
      </c>
      <c r="B45" s="10">
        <v>11</v>
      </c>
      <c r="C45" s="11" t="s">
        <v>43</v>
      </c>
    </row>
    <row r="46" spans="1:3" x14ac:dyDescent="0.35">
      <c r="A46" s="6">
        <v>7</v>
      </c>
      <c r="B46" s="7">
        <v>10</v>
      </c>
      <c r="C46" s="8" t="s">
        <v>44</v>
      </c>
    </row>
    <row r="47" spans="1:3" x14ac:dyDescent="0.35">
      <c r="A47" s="9">
        <v>8</v>
      </c>
      <c r="B47" s="10">
        <v>6</v>
      </c>
      <c r="C47" s="11" t="s">
        <v>45</v>
      </c>
    </row>
    <row r="48" spans="1:3" x14ac:dyDescent="0.35">
      <c r="A48" s="6">
        <v>3</v>
      </c>
      <c r="B48" s="7">
        <v>14</v>
      </c>
      <c r="C48" s="8" t="s">
        <v>46</v>
      </c>
    </row>
    <row r="49" spans="1:3" x14ac:dyDescent="0.35">
      <c r="A49" s="9">
        <v>7</v>
      </c>
      <c r="B49" s="10">
        <v>13</v>
      </c>
      <c r="C49" s="11" t="s">
        <v>47</v>
      </c>
    </row>
    <row r="50" spans="1:3" x14ac:dyDescent="0.35">
      <c r="A50" s="6">
        <v>15</v>
      </c>
      <c r="B50" s="7">
        <v>11</v>
      </c>
      <c r="C50" s="8" t="s">
        <v>48</v>
      </c>
    </row>
    <row r="51" spans="1:3" x14ac:dyDescent="0.35">
      <c r="A51" s="9">
        <v>11</v>
      </c>
      <c r="B51" s="10">
        <v>8</v>
      </c>
      <c r="C51" s="11" t="s">
        <v>49</v>
      </c>
    </row>
    <row r="52" spans="1:3" x14ac:dyDescent="0.35">
      <c r="A52" s="6">
        <v>6</v>
      </c>
      <c r="B52" s="7">
        <v>10</v>
      </c>
      <c r="C52" s="8" t="s">
        <v>50</v>
      </c>
    </row>
    <row r="53" spans="1:3" x14ac:dyDescent="0.35">
      <c r="A53" s="9">
        <v>3</v>
      </c>
      <c r="B53" s="10">
        <v>12</v>
      </c>
      <c r="C53" s="11" t="s">
        <v>51</v>
      </c>
    </row>
    <row r="54" spans="1:3" x14ac:dyDescent="0.35">
      <c r="A54" s="6">
        <v>13</v>
      </c>
      <c r="B54" s="7">
        <v>11</v>
      </c>
      <c r="C54" s="8" t="s">
        <v>52</v>
      </c>
    </row>
    <row r="55" spans="1:3" x14ac:dyDescent="0.35">
      <c r="A55" s="9">
        <v>15</v>
      </c>
      <c r="B55" s="10">
        <v>12</v>
      </c>
      <c r="C55" s="11" t="s">
        <v>53</v>
      </c>
    </row>
    <row r="56" spans="1:3" x14ac:dyDescent="0.35">
      <c r="A56" s="6">
        <v>1</v>
      </c>
      <c r="B56" s="7">
        <v>13</v>
      </c>
      <c r="C56" s="8" t="s">
        <v>54</v>
      </c>
    </row>
    <row r="57" spans="1:3" x14ac:dyDescent="0.35">
      <c r="A57" s="9">
        <v>15</v>
      </c>
      <c r="B57" s="10">
        <v>7</v>
      </c>
      <c r="C57" s="11" t="s">
        <v>55</v>
      </c>
    </row>
    <row r="58" spans="1:3" x14ac:dyDescent="0.35">
      <c r="A58" s="6">
        <v>14</v>
      </c>
      <c r="B58" s="7">
        <v>10</v>
      </c>
      <c r="C58" s="8" t="s">
        <v>56</v>
      </c>
    </row>
    <row r="59" spans="1:3" x14ac:dyDescent="0.35">
      <c r="A59" s="9">
        <v>7</v>
      </c>
      <c r="B59" s="10">
        <v>1</v>
      </c>
      <c r="C59" s="11" t="s">
        <v>57</v>
      </c>
    </row>
    <row r="60" spans="1:3" x14ac:dyDescent="0.35">
      <c r="A60" s="6">
        <v>7</v>
      </c>
      <c r="B60" s="7">
        <v>5</v>
      </c>
      <c r="C60" s="8" t="s">
        <v>58</v>
      </c>
    </row>
    <row r="61" spans="1:3" x14ac:dyDescent="0.35">
      <c r="A61" s="9">
        <v>6</v>
      </c>
      <c r="B61" s="10">
        <v>1</v>
      </c>
      <c r="C61" s="11" t="s">
        <v>59</v>
      </c>
    </row>
    <row r="62" spans="1:3" x14ac:dyDescent="0.35">
      <c r="A62" s="6">
        <v>3</v>
      </c>
      <c r="B62" s="7">
        <v>12</v>
      </c>
      <c r="C62" s="8" t="s">
        <v>60</v>
      </c>
    </row>
    <row r="63" spans="1:3" x14ac:dyDescent="0.35">
      <c r="A63" s="9">
        <v>15</v>
      </c>
      <c r="B63" s="10">
        <v>14</v>
      </c>
      <c r="C63" s="11" t="s">
        <v>61</v>
      </c>
    </row>
    <row r="64" spans="1:3" x14ac:dyDescent="0.35">
      <c r="A64" s="6">
        <v>3</v>
      </c>
      <c r="B64" s="7">
        <v>9</v>
      </c>
      <c r="C64" s="8" t="s">
        <v>62</v>
      </c>
    </row>
    <row r="65" spans="1:3" x14ac:dyDescent="0.35">
      <c r="A65" s="9">
        <v>8</v>
      </c>
      <c r="B65" s="10">
        <v>11</v>
      </c>
      <c r="C65" s="11" t="s">
        <v>63</v>
      </c>
    </row>
    <row r="66" spans="1:3" x14ac:dyDescent="0.35">
      <c r="A66" s="6">
        <v>5</v>
      </c>
      <c r="B66" s="7">
        <v>15</v>
      </c>
      <c r="C66" s="8" t="s">
        <v>64</v>
      </c>
    </row>
    <row r="67" spans="1:3" x14ac:dyDescent="0.35">
      <c r="A67" s="9">
        <v>2</v>
      </c>
      <c r="B67" s="10">
        <v>4</v>
      </c>
      <c r="C67" s="11" t="s">
        <v>65</v>
      </c>
    </row>
    <row r="68" spans="1:3" x14ac:dyDescent="0.35">
      <c r="A68" s="6">
        <v>14</v>
      </c>
      <c r="B68" s="7">
        <v>9</v>
      </c>
      <c r="C68" s="8" t="s">
        <v>66</v>
      </c>
    </row>
    <row r="69" spans="1:3" x14ac:dyDescent="0.35">
      <c r="A69" s="9">
        <v>7</v>
      </c>
      <c r="B69" s="10">
        <v>7</v>
      </c>
      <c r="C69" s="11" t="s">
        <v>67</v>
      </c>
    </row>
    <row r="70" spans="1:3" x14ac:dyDescent="0.35">
      <c r="A70" s="6">
        <v>14</v>
      </c>
      <c r="B70" s="7">
        <v>6</v>
      </c>
      <c r="C70" s="8" t="s">
        <v>68</v>
      </c>
    </row>
    <row r="71" spans="1:3" x14ac:dyDescent="0.35">
      <c r="A71" s="9">
        <v>11</v>
      </c>
      <c r="B71" s="10">
        <v>12</v>
      </c>
      <c r="C71" s="11" t="s">
        <v>69</v>
      </c>
    </row>
    <row r="72" spans="1:3" x14ac:dyDescent="0.35">
      <c r="A72" s="6">
        <v>2</v>
      </c>
      <c r="B72" s="7">
        <v>4</v>
      </c>
      <c r="C72" s="8" t="s">
        <v>70</v>
      </c>
    </row>
    <row r="73" spans="1:3" x14ac:dyDescent="0.35">
      <c r="A73" s="9">
        <v>11</v>
      </c>
      <c r="B73" s="10">
        <v>15</v>
      </c>
      <c r="C73" s="11" t="s">
        <v>71</v>
      </c>
    </row>
    <row r="74" spans="1:3" x14ac:dyDescent="0.35">
      <c r="A74" s="6">
        <v>4</v>
      </c>
      <c r="B74" s="7">
        <v>3</v>
      </c>
      <c r="C74" s="8" t="s">
        <v>72</v>
      </c>
    </row>
    <row r="75" spans="1:3" x14ac:dyDescent="0.35">
      <c r="A75" s="9">
        <v>3</v>
      </c>
      <c r="B75" s="10">
        <v>12</v>
      </c>
      <c r="C75" s="11" t="s">
        <v>73</v>
      </c>
    </row>
    <row r="76" spans="1:3" x14ac:dyDescent="0.35">
      <c r="A76" s="6">
        <v>2</v>
      </c>
      <c r="B76" s="7">
        <v>7</v>
      </c>
      <c r="C76" s="8" t="s">
        <v>74</v>
      </c>
    </row>
    <row r="77" spans="1:3" x14ac:dyDescent="0.35">
      <c r="A77" s="9">
        <v>13</v>
      </c>
      <c r="B77" s="10">
        <v>7</v>
      </c>
      <c r="C77" s="11" t="s">
        <v>75</v>
      </c>
    </row>
    <row r="78" spans="1:3" x14ac:dyDescent="0.35">
      <c r="A78" s="6">
        <v>3</v>
      </c>
      <c r="B78" s="7">
        <v>12</v>
      </c>
      <c r="C78" s="8" t="s">
        <v>76</v>
      </c>
    </row>
    <row r="79" spans="1:3" x14ac:dyDescent="0.35">
      <c r="A79" s="9">
        <v>9</v>
      </c>
      <c r="B79" s="10">
        <v>9</v>
      </c>
      <c r="C79" s="11" t="s">
        <v>77</v>
      </c>
    </row>
    <row r="80" spans="1:3" x14ac:dyDescent="0.35">
      <c r="A80" s="6">
        <v>13</v>
      </c>
      <c r="B80" s="7">
        <v>3</v>
      </c>
      <c r="C80" s="8" t="s">
        <v>78</v>
      </c>
    </row>
    <row r="81" spans="1:3" x14ac:dyDescent="0.35">
      <c r="A81" s="9">
        <v>7</v>
      </c>
      <c r="B81" s="10">
        <v>2</v>
      </c>
      <c r="C81" s="11" t="s">
        <v>79</v>
      </c>
    </row>
    <row r="82" spans="1:3" x14ac:dyDescent="0.35">
      <c r="A82" s="6">
        <v>13</v>
      </c>
      <c r="B82" s="7">
        <v>4</v>
      </c>
      <c r="C82" s="8" t="s">
        <v>80</v>
      </c>
    </row>
    <row r="83" spans="1:3" x14ac:dyDescent="0.35">
      <c r="A83" s="9">
        <v>4</v>
      </c>
      <c r="B83" s="10">
        <v>12</v>
      </c>
      <c r="C83" s="11" t="s">
        <v>81</v>
      </c>
    </row>
    <row r="84" spans="1:3" x14ac:dyDescent="0.35">
      <c r="A84" s="6">
        <v>7</v>
      </c>
      <c r="B84" s="7">
        <v>8</v>
      </c>
      <c r="C84" s="8" t="s">
        <v>82</v>
      </c>
    </row>
    <row r="85" spans="1:3" x14ac:dyDescent="0.35">
      <c r="A85" s="9">
        <v>3</v>
      </c>
      <c r="B85" s="10">
        <v>12</v>
      </c>
      <c r="C85" s="11" t="s">
        <v>83</v>
      </c>
    </row>
    <row r="86" spans="1:3" x14ac:dyDescent="0.35">
      <c r="A86" s="6">
        <v>4</v>
      </c>
      <c r="B86" s="7">
        <v>11</v>
      </c>
      <c r="C86" s="8" t="s">
        <v>84</v>
      </c>
    </row>
    <row r="87" spans="1:3" x14ac:dyDescent="0.35">
      <c r="A87" s="9">
        <v>7</v>
      </c>
      <c r="B87" s="10">
        <v>1</v>
      </c>
      <c r="C87" s="11" t="s">
        <v>85</v>
      </c>
    </row>
    <row r="88" spans="1:3" x14ac:dyDescent="0.35">
      <c r="A88" s="6">
        <v>3</v>
      </c>
      <c r="B88" s="7">
        <v>9</v>
      </c>
      <c r="C88" s="8" t="s">
        <v>86</v>
      </c>
    </row>
    <row r="89" spans="1:3" x14ac:dyDescent="0.35">
      <c r="A89" s="9">
        <v>1</v>
      </c>
      <c r="B89" s="10">
        <v>4</v>
      </c>
      <c r="C89" s="11" t="s">
        <v>87</v>
      </c>
    </row>
    <row r="90" spans="1:3" x14ac:dyDescent="0.35">
      <c r="A90" s="6">
        <v>14</v>
      </c>
      <c r="B90" s="7">
        <v>3</v>
      </c>
      <c r="C90" s="8" t="s">
        <v>88</v>
      </c>
    </row>
    <row r="91" spans="1:3" x14ac:dyDescent="0.35">
      <c r="A91" s="9">
        <v>5</v>
      </c>
      <c r="B91" s="10">
        <v>12</v>
      </c>
      <c r="C91" s="11" t="s">
        <v>89</v>
      </c>
    </row>
    <row r="92" spans="1:3" x14ac:dyDescent="0.35">
      <c r="A92" s="6">
        <v>4</v>
      </c>
      <c r="B92" s="7">
        <v>9</v>
      </c>
      <c r="C92" s="8" t="s">
        <v>90</v>
      </c>
    </row>
    <row r="93" spans="1:3" x14ac:dyDescent="0.35">
      <c r="A93" s="9">
        <v>5</v>
      </c>
      <c r="B93" s="10">
        <v>4</v>
      </c>
      <c r="C93" s="11" t="s">
        <v>91</v>
      </c>
    </row>
    <row r="94" spans="1:3" x14ac:dyDescent="0.35">
      <c r="A94" s="6">
        <v>6</v>
      </c>
      <c r="B94" s="7">
        <v>8</v>
      </c>
      <c r="C94" s="8" t="s">
        <v>92</v>
      </c>
    </row>
    <row r="95" spans="1:3" x14ac:dyDescent="0.35">
      <c r="A95" s="9">
        <v>8</v>
      </c>
      <c r="B95" s="10">
        <v>14</v>
      </c>
      <c r="C95" s="11" t="s">
        <v>93</v>
      </c>
    </row>
    <row r="96" spans="1:3" x14ac:dyDescent="0.35">
      <c r="A96" s="6">
        <v>15</v>
      </c>
      <c r="B96" s="7">
        <v>11</v>
      </c>
      <c r="C96" s="8" t="s">
        <v>94</v>
      </c>
    </row>
    <row r="97" spans="1:3" x14ac:dyDescent="0.35">
      <c r="A97" s="9">
        <v>1</v>
      </c>
      <c r="B97" s="10">
        <v>1</v>
      </c>
      <c r="C97" s="11" t="s">
        <v>95</v>
      </c>
    </row>
    <row r="98" spans="1:3" x14ac:dyDescent="0.35">
      <c r="A98" s="6">
        <v>14</v>
      </c>
      <c r="B98" s="7">
        <v>15</v>
      </c>
      <c r="C98" s="8" t="s">
        <v>96</v>
      </c>
    </row>
    <row r="99" spans="1:3" x14ac:dyDescent="0.35">
      <c r="A99" s="9">
        <v>6</v>
      </c>
      <c r="B99" s="10">
        <v>7</v>
      </c>
      <c r="C99" s="11" t="s">
        <v>97</v>
      </c>
    </row>
    <row r="100" spans="1:3" x14ac:dyDescent="0.35">
      <c r="A100" s="6">
        <v>7</v>
      </c>
      <c r="B100" s="7">
        <v>11</v>
      </c>
      <c r="C100" s="8" t="s">
        <v>98</v>
      </c>
    </row>
    <row r="101" spans="1:3" x14ac:dyDescent="0.35">
      <c r="A101" s="9">
        <v>10</v>
      </c>
      <c r="B101" s="10">
        <v>11</v>
      </c>
      <c r="C101" s="11" t="s">
        <v>99</v>
      </c>
    </row>
    <row r="102" spans="1:3" x14ac:dyDescent="0.35">
      <c r="A102" s="6">
        <v>5</v>
      </c>
      <c r="B102" s="7">
        <v>6</v>
      </c>
      <c r="C102" s="8" t="s">
        <v>100</v>
      </c>
    </row>
    <row r="103" spans="1:3" x14ac:dyDescent="0.35">
      <c r="A103" s="9">
        <v>13</v>
      </c>
      <c r="B103" s="10">
        <v>7</v>
      </c>
      <c r="C103" s="11" t="s">
        <v>101</v>
      </c>
    </row>
    <row r="104" spans="1:3" x14ac:dyDescent="0.35">
      <c r="A104" s="6">
        <v>2</v>
      </c>
      <c r="B104" s="7">
        <v>9</v>
      </c>
      <c r="C104" s="8" t="s">
        <v>102</v>
      </c>
    </row>
    <row r="105" spans="1:3" x14ac:dyDescent="0.35">
      <c r="A105" s="9">
        <v>9</v>
      </c>
      <c r="B105" s="10">
        <v>11</v>
      </c>
      <c r="C105" s="11" t="s">
        <v>103</v>
      </c>
    </row>
    <row r="106" spans="1:3" x14ac:dyDescent="0.35">
      <c r="A106" s="6">
        <v>8</v>
      </c>
      <c r="B106" s="7">
        <v>3</v>
      </c>
      <c r="C106" s="8" t="s">
        <v>104</v>
      </c>
    </row>
    <row r="107" spans="1:3" x14ac:dyDescent="0.35">
      <c r="A107" s="9">
        <v>1</v>
      </c>
      <c r="B107" s="10">
        <v>6</v>
      </c>
      <c r="C107" s="11" t="s">
        <v>105</v>
      </c>
    </row>
    <row r="108" spans="1:3" x14ac:dyDescent="0.35">
      <c r="A108" s="6">
        <v>10</v>
      </c>
      <c r="B108" s="7">
        <v>9</v>
      </c>
      <c r="C108" s="8" t="s">
        <v>106</v>
      </c>
    </row>
    <row r="109" spans="1:3" x14ac:dyDescent="0.35">
      <c r="A109" s="9">
        <v>2</v>
      </c>
      <c r="B109" s="10">
        <v>11</v>
      </c>
      <c r="C109" s="11" t="s">
        <v>107</v>
      </c>
    </row>
    <row r="110" spans="1:3" x14ac:dyDescent="0.35">
      <c r="A110" s="6">
        <v>6</v>
      </c>
      <c r="B110" s="7">
        <v>12</v>
      </c>
      <c r="C110" s="8" t="s">
        <v>108</v>
      </c>
    </row>
    <row r="111" spans="1:3" x14ac:dyDescent="0.35">
      <c r="A111" s="9">
        <v>2</v>
      </c>
      <c r="B111" s="10">
        <v>14</v>
      </c>
      <c r="C111" s="11" t="s">
        <v>109</v>
      </c>
    </row>
    <row r="112" spans="1:3" x14ac:dyDescent="0.35">
      <c r="A112" s="6">
        <v>4</v>
      </c>
      <c r="B112" s="7">
        <v>2</v>
      </c>
      <c r="C112" s="8" t="s">
        <v>110</v>
      </c>
    </row>
    <row r="113" spans="1:3" x14ac:dyDescent="0.35">
      <c r="A113" s="9">
        <v>9</v>
      </c>
      <c r="B113" s="10">
        <v>8</v>
      </c>
      <c r="C113" s="11" t="s">
        <v>111</v>
      </c>
    </row>
    <row r="114" spans="1:3" x14ac:dyDescent="0.35">
      <c r="A114" s="6">
        <v>2</v>
      </c>
      <c r="B114" s="7">
        <v>4</v>
      </c>
      <c r="C114" s="8" t="s">
        <v>112</v>
      </c>
    </row>
    <row r="115" spans="1:3" x14ac:dyDescent="0.35">
      <c r="A115" s="9">
        <v>11</v>
      </c>
      <c r="B115" s="10">
        <v>11</v>
      </c>
      <c r="C115" s="11" t="s">
        <v>113</v>
      </c>
    </row>
    <row r="116" spans="1:3" x14ac:dyDescent="0.35">
      <c r="A116" s="6">
        <v>8</v>
      </c>
      <c r="B116" s="7">
        <v>1</v>
      </c>
      <c r="C116" s="8" t="s">
        <v>114</v>
      </c>
    </row>
    <row r="117" spans="1:3" x14ac:dyDescent="0.35">
      <c r="A117" s="9">
        <v>13</v>
      </c>
      <c r="B117" s="10">
        <v>9</v>
      </c>
      <c r="C117" s="11" t="s">
        <v>115</v>
      </c>
    </row>
    <row r="118" spans="1:3" x14ac:dyDescent="0.35">
      <c r="A118" s="6">
        <v>7</v>
      </c>
      <c r="B118" s="7">
        <v>13</v>
      </c>
      <c r="C118" s="8" t="s">
        <v>116</v>
      </c>
    </row>
    <row r="119" spans="1:3" x14ac:dyDescent="0.35">
      <c r="A119" s="9">
        <v>7</v>
      </c>
      <c r="B119" s="10">
        <v>11</v>
      </c>
      <c r="C119" s="11" t="s">
        <v>117</v>
      </c>
    </row>
    <row r="120" spans="1:3" x14ac:dyDescent="0.35">
      <c r="A120" s="6">
        <v>9</v>
      </c>
      <c r="B120" s="7">
        <v>11</v>
      </c>
      <c r="C120" s="8" t="s">
        <v>118</v>
      </c>
    </row>
    <row r="121" spans="1:3" x14ac:dyDescent="0.35">
      <c r="A121" s="9">
        <v>6</v>
      </c>
      <c r="B121" s="10">
        <v>1</v>
      </c>
      <c r="C121" s="11" t="s">
        <v>119</v>
      </c>
    </row>
    <row r="122" spans="1:3" x14ac:dyDescent="0.35">
      <c r="A122" s="6">
        <v>14</v>
      </c>
      <c r="B122" s="7">
        <v>6</v>
      </c>
      <c r="C122" s="8" t="s">
        <v>120</v>
      </c>
    </row>
    <row r="123" spans="1:3" x14ac:dyDescent="0.35">
      <c r="A123" s="9">
        <v>14</v>
      </c>
      <c r="B123" s="10">
        <v>10</v>
      </c>
      <c r="C123" s="11" t="s">
        <v>121</v>
      </c>
    </row>
    <row r="124" spans="1:3" x14ac:dyDescent="0.35">
      <c r="A124" s="6">
        <v>7</v>
      </c>
      <c r="B124" s="7">
        <v>7</v>
      </c>
      <c r="C124" s="8" t="s">
        <v>122</v>
      </c>
    </row>
    <row r="125" spans="1:3" x14ac:dyDescent="0.35">
      <c r="A125" s="9">
        <v>11</v>
      </c>
      <c r="B125" s="10">
        <v>1</v>
      </c>
      <c r="C125" s="11" t="s">
        <v>123</v>
      </c>
    </row>
    <row r="126" spans="1:3" x14ac:dyDescent="0.35">
      <c r="A126" s="6">
        <v>11</v>
      </c>
      <c r="B126" s="7">
        <v>3</v>
      </c>
      <c r="C126" s="8" t="s">
        <v>124</v>
      </c>
    </row>
    <row r="127" spans="1:3" x14ac:dyDescent="0.35">
      <c r="A127" s="9">
        <v>11</v>
      </c>
      <c r="B127" s="10">
        <v>2</v>
      </c>
      <c r="C127" s="11" t="s">
        <v>125</v>
      </c>
    </row>
    <row r="128" spans="1:3" x14ac:dyDescent="0.35">
      <c r="A128" s="6">
        <v>12</v>
      </c>
      <c r="B128" s="7">
        <v>2</v>
      </c>
      <c r="C128" s="8" t="s">
        <v>126</v>
      </c>
    </row>
    <row r="129" spans="1:3" x14ac:dyDescent="0.35">
      <c r="A129" s="9">
        <v>3</v>
      </c>
      <c r="B129" s="10">
        <v>14</v>
      </c>
      <c r="C129" s="11" t="s">
        <v>127</v>
      </c>
    </row>
    <row r="130" spans="1:3" x14ac:dyDescent="0.35">
      <c r="A130" s="6">
        <v>3</v>
      </c>
      <c r="B130" s="7">
        <v>6</v>
      </c>
      <c r="C130" s="8" t="s">
        <v>128</v>
      </c>
    </row>
    <row r="131" spans="1:3" x14ac:dyDescent="0.35">
      <c r="A131" s="9">
        <v>12</v>
      </c>
      <c r="B131" s="10">
        <v>2</v>
      </c>
      <c r="C131" s="11" t="s">
        <v>129</v>
      </c>
    </row>
    <row r="132" spans="1:3" x14ac:dyDescent="0.35">
      <c r="A132" s="6">
        <v>7</v>
      </c>
      <c r="B132" s="7">
        <v>8</v>
      </c>
      <c r="C132" s="8" t="s">
        <v>130</v>
      </c>
    </row>
    <row r="133" spans="1:3" x14ac:dyDescent="0.35">
      <c r="A133" s="9">
        <v>10</v>
      </c>
      <c r="B133" s="10">
        <v>12</v>
      </c>
      <c r="C133" s="11" t="s">
        <v>131</v>
      </c>
    </row>
    <row r="134" spans="1:3" x14ac:dyDescent="0.35">
      <c r="A134" s="6">
        <v>2</v>
      </c>
      <c r="B134" s="7">
        <v>14</v>
      </c>
      <c r="C134" s="8" t="s">
        <v>132</v>
      </c>
    </row>
    <row r="135" spans="1:3" x14ac:dyDescent="0.35">
      <c r="A135" s="9">
        <v>14</v>
      </c>
      <c r="B135" s="10">
        <v>11</v>
      </c>
      <c r="C135" s="11" t="s">
        <v>133</v>
      </c>
    </row>
    <row r="136" spans="1:3" x14ac:dyDescent="0.35">
      <c r="A136" s="6">
        <v>9</v>
      </c>
      <c r="B136" s="7">
        <v>10</v>
      </c>
      <c r="C136" s="8" t="s">
        <v>134</v>
      </c>
    </row>
    <row r="137" spans="1:3" x14ac:dyDescent="0.35">
      <c r="A137" s="9">
        <v>2</v>
      </c>
      <c r="B137" s="10">
        <v>14</v>
      </c>
      <c r="C137" s="11" t="s">
        <v>135</v>
      </c>
    </row>
    <row r="138" spans="1:3" x14ac:dyDescent="0.35">
      <c r="A138" s="6">
        <v>11</v>
      </c>
      <c r="B138" s="7">
        <v>3</v>
      </c>
      <c r="C138" s="8" t="s">
        <v>136</v>
      </c>
    </row>
    <row r="139" spans="1:3" x14ac:dyDescent="0.35">
      <c r="A139" s="9">
        <v>2</v>
      </c>
      <c r="B139" s="10">
        <v>1</v>
      </c>
      <c r="C139" s="11" t="s">
        <v>137</v>
      </c>
    </row>
    <row r="140" spans="1:3" x14ac:dyDescent="0.35">
      <c r="A140" s="6">
        <v>14</v>
      </c>
      <c r="B140" s="7">
        <v>3</v>
      </c>
      <c r="C140" s="8" t="s">
        <v>138</v>
      </c>
    </row>
    <row r="141" spans="1:3" x14ac:dyDescent="0.35">
      <c r="A141" s="9">
        <v>6</v>
      </c>
      <c r="B141" s="10">
        <v>6</v>
      </c>
      <c r="C141" s="11" t="s">
        <v>139</v>
      </c>
    </row>
    <row r="142" spans="1:3" x14ac:dyDescent="0.35">
      <c r="A142" s="6">
        <v>5</v>
      </c>
      <c r="B142" s="7">
        <v>14</v>
      </c>
      <c r="C142" s="8" t="s">
        <v>140</v>
      </c>
    </row>
    <row r="143" spans="1:3" x14ac:dyDescent="0.35">
      <c r="A143" s="9">
        <v>2</v>
      </c>
      <c r="B143" s="10">
        <v>8</v>
      </c>
      <c r="C143" s="11" t="s">
        <v>141</v>
      </c>
    </row>
    <row r="144" spans="1:3" x14ac:dyDescent="0.35">
      <c r="A144" s="6">
        <v>10</v>
      </c>
      <c r="B144" s="7">
        <v>15</v>
      </c>
      <c r="C144" s="8" t="s">
        <v>142</v>
      </c>
    </row>
    <row r="145" spans="1:3" x14ac:dyDescent="0.35">
      <c r="A145" s="1">
        <v>3</v>
      </c>
      <c r="B145" s="2">
        <v>15</v>
      </c>
      <c r="C145" s="12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E881-299D-4D4D-961B-642902035CD3}">
  <dimension ref="A1:G145"/>
  <sheetViews>
    <sheetView topLeftCell="A4" workbookViewId="0">
      <selection activeCell="F7" sqref="F7:G21"/>
    </sheetView>
  </sheetViews>
  <sheetFormatPr defaultRowHeight="14.5" x14ac:dyDescent="0.35"/>
  <cols>
    <col min="1" max="1" width="35.453125" bestFit="1" customWidth="1"/>
    <col min="2" max="2" width="10.54296875" bestFit="1" customWidth="1"/>
    <col min="3" max="3" width="14.90625" bestFit="1" customWidth="1"/>
    <col min="5" max="6" width="16.54296875" bestFit="1" customWidth="1"/>
    <col min="7" max="7" width="15.54296875" bestFit="1" customWidth="1"/>
  </cols>
  <sheetData>
    <row r="1" spans="1:7" x14ac:dyDescent="0.35">
      <c r="A1" s="3" t="s">
        <v>146</v>
      </c>
      <c r="B1" s="4" t="s">
        <v>145</v>
      </c>
      <c r="C1" s="5" t="s">
        <v>144</v>
      </c>
      <c r="D1" s="15" t="s">
        <v>149</v>
      </c>
    </row>
    <row r="2" spans="1:7" x14ac:dyDescent="0.35">
      <c r="A2" s="6">
        <v>3</v>
      </c>
      <c r="B2" s="7">
        <v>5</v>
      </c>
      <c r="C2" s="8" t="s">
        <v>0</v>
      </c>
      <c r="D2">
        <v>1</v>
      </c>
    </row>
    <row r="3" spans="1:7" x14ac:dyDescent="0.35">
      <c r="A3" s="9">
        <v>12</v>
      </c>
      <c r="B3" s="10">
        <v>13</v>
      </c>
      <c r="C3" s="11" t="s">
        <v>1</v>
      </c>
      <c r="D3">
        <v>1</v>
      </c>
    </row>
    <row r="4" spans="1:7" x14ac:dyDescent="0.35">
      <c r="A4" s="6">
        <v>1</v>
      </c>
      <c r="B4" s="7">
        <v>10</v>
      </c>
      <c r="C4" s="8" t="s">
        <v>2</v>
      </c>
      <c r="D4">
        <v>1</v>
      </c>
    </row>
    <row r="5" spans="1:7" x14ac:dyDescent="0.35">
      <c r="A5" s="9">
        <v>7</v>
      </c>
      <c r="B5" s="10">
        <v>2</v>
      </c>
      <c r="C5" s="11" t="s">
        <v>3</v>
      </c>
      <c r="D5">
        <v>1</v>
      </c>
    </row>
    <row r="6" spans="1:7" x14ac:dyDescent="0.35">
      <c r="A6" s="6">
        <v>10</v>
      </c>
      <c r="B6" s="7">
        <v>7</v>
      </c>
      <c r="C6" s="8" t="s">
        <v>4</v>
      </c>
      <c r="D6">
        <v>1</v>
      </c>
      <c r="F6" t="s">
        <v>147</v>
      </c>
      <c r="G6" t="s">
        <v>150</v>
      </c>
    </row>
    <row r="7" spans="1:7" x14ac:dyDescent="0.35">
      <c r="A7" s="9">
        <v>9</v>
      </c>
      <c r="B7" s="10">
        <v>14</v>
      </c>
      <c r="C7" s="11" t="s">
        <v>5</v>
      </c>
      <c r="D7">
        <v>1</v>
      </c>
      <c r="F7" s="14">
        <v>1</v>
      </c>
      <c r="G7">
        <v>11</v>
      </c>
    </row>
    <row r="8" spans="1:7" x14ac:dyDescent="0.35">
      <c r="A8" s="6">
        <v>4</v>
      </c>
      <c r="B8" s="7">
        <v>10</v>
      </c>
      <c r="C8" s="8" t="s">
        <v>6</v>
      </c>
      <c r="D8">
        <v>1</v>
      </c>
      <c r="F8" s="14">
        <v>2</v>
      </c>
      <c r="G8">
        <v>9</v>
      </c>
    </row>
    <row r="9" spans="1:7" x14ac:dyDescent="0.35">
      <c r="A9" s="9">
        <v>4</v>
      </c>
      <c r="B9" s="10">
        <v>7</v>
      </c>
      <c r="C9" s="11" t="s">
        <v>7</v>
      </c>
      <c r="D9">
        <v>1</v>
      </c>
      <c r="F9" s="14">
        <v>3</v>
      </c>
      <c r="G9">
        <v>9</v>
      </c>
    </row>
    <row r="10" spans="1:7" x14ac:dyDescent="0.35">
      <c r="A10" s="6">
        <v>3</v>
      </c>
      <c r="B10" s="7">
        <v>2</v>
      </c>
      <c r="C10" s="8" t="s">
        <v>8</v>
      </c>
      <c r="D10">
        <v>1</v>
      </c>
      <c r="F10" s="14">
        <v>4</v>
      </c>
      <c r="G10">
        <v>7</v>
      </c>
    </row>
    <row r="11" spans="1:7" x14ac:dyDescent="0.35">
      <c r="A11" s="9">
        <v>7</v>
      </c>
      <c r="B11" s="10">
        <v>12</v>
      </c>
      <c r="C11" s="11" t="s">
        <v>9</v>
      </c>
      <c r="D11">
        <v>1</v>
      </c>
      <c r="F11" s="14">
        <v>5</v>
      </c>
      <c r="G11">
        <v>6</v>
      </c>
    </row>
    <row r="12" spans="1:7" x14ac:dyDescent="0.35">
      <c r="A12" s="6">
        <v>11</v>
      </c>
      <c r="B12" s="7">
        <v>12</v>
      </c>
      <c r="C12" s="8" t="s">
        <v>10</v>
      </c>
      <c r="D12">
        <v>1</v>
      </c>
      <c r="F12" s="14">
        <v>6</v>
      </c>
      <c r="G12">
        <v>10</v>
      </c>
    </row>
    <row r="13" spans="1:7" x14ac:dyDescent="0.35">
      <c r="A13" s="9">
        <v>15</v>
      </c>
      <c r="B13" s="10">
        <v>14</v>
      </c>
      <c r="C13" s="11" t="s">
        <v>11</v>
      </c>
      <c r="D13">
        <v>1</v>
      </c>
      <c r="F13" s="14">
        <v>7</v>
      </c>
      <c r="G13">
        <v>11</v>
      </c>
    </row>
    <row r="14" spans="1:7" x14ac:dyDescent="0.35">
      <c r="A14" s="6">
        <v>11</v>
      </c>
      <c r="B14" s="7">
        <v>9</v>
      </c>
      <c r="C14" s="8" t="s">
        <v>12</v>
      </c>
      <c r="D14">
        <v>1</v>
      </c>
      <c r="F14" s="14">
        <v>8</v>
      </c>
      <c r="G14">
        <v>6</v>
      </c>
    </row>
    <row r="15" spans="1:7" x14ac:dyDescent="0.35">
      <c r="A15" s="9">
        <v>3</v>
      </c>
      <c r="B15" s="10">
        <v>6</v>
      </c>
      <c r="C15" s="11" t="s">
        <v>13</v>
      </c>
      <c r="D15">
        <v>1</v>
      </c>
      <c r="F15" s="14">
        <v>9</v>
      </c>
      <c r="G15">
        <v>12</v>
      </c>
    </row>
    <row r="16" spans="1:7" x14ac:dyDescent="0.35">
      <c r="A16" s="6">
        <v>1</v>
      </c>
      <c r="B16" s="7">
        <v>7</v>
      </c>
      <c r="C16" s="8" t="s">
        <v>14</v>
      </c>
      <c r="D16">
        <v>1</v>
      </c>
      <c r="F16" s="14">
        <v>10</v>
      </c>
      <c r="G16">
        <v>8</v>
      </c>
    </row>
    <row r="17" spans="1:7" x14ac:dyDescent="0.35">
      <c r="A17" s="9">
        <v>11</v>
      </c>
      <c r="B17" s="10">
        <v>7</v>
      </c>
      <c r="C17" s="11" t="s">
        <v>15</v>
      </c>
      <c r="D17">
        <v>1</v>
      </c>
      <c r="F17" s="14">
        <v>11</v>
      </c>
      <c r="G17">
        <v>16</v>
      </c>
    </row>
    <row r="18" spans="1:7" x14ac:dyDescent="0.35">
      <c r="A18" s="6">
        <v>2</v>
      </c>
      <c r="B18" s="7">
        <v>2</v>
      </c>
      <c r="C18" s="8" t="s">
        <v>16</v>
      </c>
      <c r="D18">
        <v>1</v>
      </c>
      <c r="F18" s="14">
        <v>12</v>
      </c>
      <c r="G18">
        <v>14</v>
      </c>
    </row>
    <row r="19" spans="1:7" x14ac:dyDescent="0.35">
      <c r="A19" s="9">
        <v>9</v>
      </c>
      <c r="B19" s="10">
        <v>10</v>
      </c>
      <c r="C19" s="11" t="s">
        <v>17</v>
      </c>
      <c r="D19">
        <v>1</v>
      </c>
      <c r="F19" s="14">
        <v>13</v>
      </c>
      <c r="G19">
        <v>7</v>
      </c>
    </row>
    <row r="20" spans="1:7" x14ac:dyDescent="0.35">
      <c r="A20" s="6">
        <v>2</v>
      </c>
      <c r="B20" s="7">
        <v>13</v>
      </c>
      <c r="C20" s="8" t="s">
        <v>18</v>
      </c>
      <c r="D20">
        <v>1</v>
      </c>
      <c r="F20" s="14">
        <v>14</v>
      </c>
      <c r="G20">
        <v>12</v>
      </c>
    </row>
    <row r="21" spans="1:7" x14ac:dyDescent="0.35">
      <c r="A21" s="9">
        <v>13</v>
      </c>
      <c r="B21" s="10">
        <v>14</v>
      </c>
      <c r="C21" s="11" t="s">
        <v>19</v>
      </c>
      <c r="D21">
        <v>1</v>
      </c>
      <c r="F21" s="14">
        <v>15</v>
      </c>
      <c r="G21">
        <v>6</v>
      </c>
    </row>
    <row r="22" spans="1:7" x14ac:dyDescent="0.35">
      <c r="A22" s="6">
        <v>10</v>
      </c>
      <c r="B22" s="7">
        <v>15</v>
      </c>
      <c r="C22" s="8" t="s">
        <v>20</v>
      </c>
      <c r="D22">
        <v>1</v>
      </c>
      <c r="F22" s="14" t="s">
        <v>148</v>
      </c>
      <c r="G22">
        <v>144</v>
      </c>
    </row>
    <row r="23" spans="1:7" x14ac:dyDescent="0.35">
      <c r="A23" s="9">
        <v>6</v>
      </c>
      <c r="B23" s="10">
        <v>9</v>
      </c>
      <c r="C23" s="11" t="s">
        <v>21</v>
      </c>
      <c r="D23">
        <v>1</v>
      </c>
    </row>
    <row r="24" spans="1:7" x14ac:dyDescent="0.35">
      <c r="A24" s="6">
        <v>5</v>
      </c>
      <c r="B24" s="7">
        <v>6</v>
      </c>
      <c r="C24" s="8" t="s">
        <v>22</v>
      </c>
      <c r="D24">
        <v>1</v>
      </c>
    </row>
    <row r="25" spans="1:7" x14ac:dyDescent="0.35">
      <c r="A25" s="9">
        <v>13</v>
      </c>
      <c r="B25" s="10">
        <v>13</v>
      </c>
      <c r="C25" s="11" t="s">
        <v>23</v>
      </c>
      <c r="D25">
        <v>1</v>
      </c>
    </row>
    <row r="26" spans="1:7" x14ac:dyDescent="0.35">
      <c r="A26" s="6">
        <v>11</v>
      </c>
      <c r="B26" s="7">
        <v>1</v>
      </c>
      <c r="C26" s="8" t="s">
        <v>24</v>
      </c>
      <c r="D26">
        <v>1</v>
      </c>
    </row>
    <row r="27" spans="1:7" x14ac:dyDescent="0.35">
      <c r="A27" s="9">
        <v>10</v>
      </c>
      <c r="B27" s="10">
        <v>6</v>
      </c>
      <c r="C27" s="11" t="s">
        <v>25</v>
      </c>
      <c r="D27">
        <v>1</v>
      </c>
    </row>
    <row r="28" spans="1:7" x14ac:dyDescent="0.35">
      <c r="A28" s="6">
        <v>11</v>
      </c>
      <c r="B28" s="7">
        <v>12</v>
      </c>
      <c r="C28" s="8" t="s">
        <v>26</v>
      </c>
      <c r="D28">
        <v>1</v>
      </c>
    </row>
    <row r="29" spans="1:7" x14ac:dyDescent="0.35">
      <c r="A29" s="9">
        <v>4</v>
      </c>
      <c r="B29" s="10">
        <v>9</v>
      </c>
      <c r="C29" s="11" t="s">
        <v>27</v>
      </c>
      <c r="D29">
        <v>1</v>
      </c>
    </row>
    <row r="30" spans="1:7" x14ac:dyDescent="0.35">
      <c r="A30" s="6">
        <v>4</v>
      </c>
      <c r="B30" s="7">
        <v>1</v>
      </c>
      <c r="C30" s="8" t="s">
        <v>28</v>
      </c>
      <c r="D30">
        <v>1</v>
      </c>
    </row>
    <row r="31" spans="1:7" x14ac:dyDescent="0.35">
      <c r="A31" s="9">
        <v>2</v>
      </c>
      <c r="B31" s="10">
        <v>11</v>
      </c>
      <c r="C31" s="11" t="s">
        <v>29</v>
      </c>
      <c r="D31">
        <v>1</v>
      </c>
    </row>
    <row r="32" spans="1:7" x14ac:dyDescent="0.35">
      <c r="A32" s="6">
        <v>7</v>
      </c>
      <c r="B32" s="7">
        <v>2</v>
      </c>
      <c r="C32" s="8" t="s">
        <v>30</v>
      </c>
      <c r="D32">
        <v>1</v>
      </c>
    </row>
    <row r="33" spans="1:4" x14ac:dyDescent="0.35">
      <c r="A33" s="9">
        <v>11</v>
      </c>
      <c r="B33" s="10">
        <v>14</v>
      </c>
      <c r="C33" s="11" t="s">
        <v>31</v>
      </c>
      <c r="D33">
        <v>1</v>
      </c>
    </row>
    <row r="34" spans="1:4" x14ac:dyDescent="0.35">
      <c r="A34" s="6">
        <v>6</v>
      </c>
      <c r="B34" s="7">
        <v>3</v>
      </c>
      <c r="C34" s="8" t="s">
        <v>32</v>
      </c>
      <c r="D34">
        <v>1</v>
      </c>
    </row>
    <row r="35" spans="1:4" x14ac:dyDescent="0.35">
      <c r="A35" s="9">
        <v>11</v>
      </c>
      <c r="B35" s="10">
        <v>5</v>
      </c>
      <c r="C35" s="11" t="s">
        <v>33</v>
      </c>
      <c r="D35">
        <v>1</v>
      </c>
    </row>
    <row r="36" spans="1:4" x14ac:dyDescent="0.35">
      <c r="A36" s="6">
        <v>5</v>
      </c>
      <c r="B36" s="7">
        <v>9</v>
      </c>
      <c r="C36" s="8" t="s">
        <v>34</v>
      </c>
      <c r="D36">
        <v>1</v>
      </c>
    </row>
    <row r="37" spans="1:4" x14ac:dyDescent="0.35">
      <c r="A37" s="9">
        <v>9</v>
      </c>
      <c r="B37" s="10">
        <v>5</v>
      </c>
      <c r="C37" s="11" t="s">
        <v>35</v>
      </c>
      <c r="D37">
        <v>1</v>
      </c>
    </row>
    <row r="38" spans="1:4" x14ac:dyDescent="0.35">
      <c r="A38" s="6">
        <v>11</v>
      </c>
      <c r="B38" s="7">
        <v>4</v>
      </c>
      <c r="C38" s="8" t="s">
        <v>36</v>
      </c>
      <c r="D38">
        <v>1</v>
      </c>
    </row>
    <row r="39" spans="1:4" x14ac:dyDescent="0.35">
      <c r="A39" s="9">
        <v>15</v>
      </c>
      <c r="B39" s="10">
        <v>5</v>
      </c>
      <c r="C39" s="11" t="s">
        <v>37</v>
      </c>
      <c r="D39">
        <v>1</v>
      </c>
    </row>
    <row r="40" spans="1:4" x14ac:dyDescent="0.35">
      <c r="A40" s="6">
        <v>12</v>
      </c>
      <c r="B40" s="7">
        <v>1</v>
      </c>
      <c r="C40" s="8" t="s">
        <v>38</v>
      </c>
      <c r="D40">
        <v>1</v>
      </c>
    </row>
    <row r="41" spans="1:4" x14ac:dyDescent="0.35">
      <c r="A41" s="9">
        <v>2</v>
      </c>
      <c r="B41" s="10">
        <v>5</v>
      </c>
      <c r="C41" s="11" t="s">
        <v>39</v>
      </c>
      <c r="D41">
        <v>1</v>
      </c>
    </row>
    <row r="42" spans="1:4" x14ac:dyDescent="0.35">
      <c r="A42" s="6">
        <v>11</v>
      </c>
      <c r="B42" s="7">
        <v>11</v>
      </c>
      <c r="C42" s="8" t="s">
        <v>40</v>
      </c>
      <c r="D42">
        <v>1</v>
      </c>
    </row>
    <row r="43" spans="1:4" x14ac:dyDescent="0.35">
      <c r="A43" s="9">
        <v>2</v>
      </c>
      <c r="B43" s="10">
        <v>3</v>
      </c>
      <c r="C43" s="11" t="s">
        <v>41</v>
      </c>
      <c r="D43">
        <v>1</v>
      </c>
    </row>
    <row r="44" spans="1:4" x14ac:dyDescent="0.35">
      <c r="A44" s="6">
        <v>6</v>
      </c>
      <c r="B44" s="7">
        <v>13</v>
      </c>
      <c r="C44" s="8" t="s">
        <v>42</v>
      </c>
      <c r="D44">
        <v>1</v>
      </c>
    </row>
    <row r="45" spans="1:4" x14ac:dyDescent="0.35">
      <c r="A45" s="9">
        <v>4</v>
      </c>
      <c r="B45" s="10">
        <v>11</v>
      </c>
      <c r="C45" s="11" t="s">
        <v>43</v>
      </c>
      <c r="D45">
        <v>1</v>
      </c>
    </row>
    <row r="46" spans="1:4" x14ac:dyDescent="0.35">
      <c r="A46" s="6">
        <v>7</v>
      </c>
      <c r="B46" s="7">
        <v>10</v>
      </c>
      <c r="C46" s="8" t="s">
        <v>44</v>
      </c>
      <c r="D46">
        <v>1</v>
      </c>
    </row>
    <row r="47" spans="1:4" x14ac:dyDescent="0.35">
      <c r="A47" s="9">
        <v>8</v>
      </c>
      <c r="B47" s="10">
        <v>6</v>
      </c>
      <c r="C47" s="11" t="s">
        <v>45</v>
      </c>
      <c r="D47">
        <v>1</v>
      </c>
    </row>
    <row r="48" spans="1:4" x14ac:dyDescent="0.35">
      <c r="A48" s="6">
        <v>3</v>
      </c>
      <c r="B48" s="7">
        <v>14</v>
      </c>
      <c r="C48" s="8" t="s">
        <v>46</v>
      </c>
      <c r="D48">
        <v>1</v>
      </c>
    </row>
    <row r="49" spans="1:4" x14ac:dyDescent="0.35">
      <c r="A49" s="9">
        <v>7</v>
      </c>
      <c r="B49" s="10">
        <v>13</v>
      </c>
      <c r="C49" s="11" t="s">
        <v>47</v>
      </c>
      <c r="D49">
        <v>1</v>
      </c>
    </row>
    <row r="50" spans="1:4" x14ac:dyDescent="0.35">
      <c r="A50" s="6">
        <v>15</v>
      </c>
      <c r="B50" s="7">
        <v>11</v>
      </c>
      <c r="C50" s="8" t="s">
        <v>48</v>
      </c>
      <c r="D50">
        <v>1</v>
      </c>
    </row>
    <row r="51" spans="1:4" x14ac:dyDescent="0.35">
      <c r="A51" s="9">
        <v>11</v>
      </c>
      <c r="B51" s="10">
        <v>8</v>
      </c>
      <c r="C51" s="11" t="s">
        <v>49</v>
      </c>
      <c r="D51">
        <v>1</v>
      </c>
    </row>
    <row r="52" spans="1:4" x14ac:dyDescent="0.35">
      <c r="A52" s="6">
        <v>6</v>
      </c>
      <c r="B52" s="7">
        <v>10</v>
      </c>
      <c r="C52" s="8" t="s">
        <v>50</v>
      </c>
      <c r="D52">
        <v>1</v>
      </c>
    </row>
    <row r="53" spans="1:4" x14ac:dyDescent="0.35">
      <c r="A53" s="9">
        <v>3</v>
      </c>
      <c r="B53" s="10">
        <v>12</v>
      </c>
      <c r="C53" s="11" t="s">
        <v>51</v>
      </c>
      <c r="D53">
        <v>1</v>
      </c>
    </row>
    <row r="54" spans="1:4" x14ac:dyDescent="0.35">
      <c r="A54" s="6">
        <v>13</v>
      </c>
      <c r="B54" s="7">
        <v>11</v>
      </c>
      <c r="C54" s="8" t="s">
        <v>52</v>
      </c>
      <c r="D54">
        <v>1</v>
      </c>
    </row>
    <row r="55" spans="1:4" x14ac:dyDescent="0.35">
      <c r="A55" s="9">
        <v>15</v>
      </c>
      <c r="B55" s="10">
        <v>12</v>
      </c>
      <c r="C55" s="11" t="s">
        <v>53</v>
      </c>
      <c r="D55">
        <v>1</v>
      </c>
    </row>
    <row r="56" spans="1:4" x14ac:dyDescent="0.35">
      <c r="A56" s="6">
        <v>1</v>
      </c>
      <c r="B56" s="7">
        <v>13</v>
      </c>
      <c r="C56" s="8" t="s">
        <v>54</v>
      </c>
      <c r="D56">
        <v>1</v>
      </c>
    </row>
    <row r="57" spans="1:4" x14ac:dyDescent="0.35">
      <c r="A57" s="9">
        <v>15</v>
      </c>
      <c r="B57" s="10">
        <v>7</v>
      </c>
      <c r="C57" s="11" t="s">
        <v>55</v>
      </c>
      <c r="D57">
        <v>1</v>
      </c>
    </row>
    <row r="58" spans="1:4" x14ac:dyDescent="0.35">
      <c r="A58" s="6">
        <v>14</v>
      </c>
      <c r="B58" s="7">
        <v>10</v>
      </c>
      <c r="C58" s="8" t="s">
        <v>56</v>
      </c>
      <c r="D58">
        <v>1</v>
      </c>
    </row>
    <row r="59" spans="1:4" x14ac:dyDescent="0.35">
      <c r="A59" s="9">
        <v>7</v>
      </c>
      <c r="B59" s="10">
        <v>1</v>
      </c>
      <c r="C59" s="11" t="s">
        <v>57</v>
      </c>
      <c r="D59">
        <v>1</v>
      </c>
    </row>
    <row r="60" spans="1:4" x14ac:dyDescent="0.35">
      <c r="A60" s="6">
        <v>7</v>
      </c>
      <c r="B60" s="7">
        <v>5</v>
      </c>
      <c r="C60" s="8" t="s">
        <v>58</v>
      </c>
      <c r="D60">
        <v>1</v>
      </c>
    </row>
    <row r="61" spans="1:4" x14ac:dyDescent="0.35">
      <c r="A61" s="9">
        <v>6</v>
      </c>
      <c r="B61" s="10">
        <v>1</v>
      </c>
      <c r="C61" s="11" t="s">
        <v>59</v>
      </c>
      <c r="D61">
        <v>1</v>
      </c>
    </row>
    <row r="62" spans="1:4" x14ac:dyDescent="0.35">
      <c r="A62" s="6">
        <v>3</v>
      </c>
      <c r="B62" s="7">
        <v>12</v>
      </c>
      <c r="C62" s="8" t="s">
        <v>60</v>
      </c>
      <c r="D62">
        <v>1</v>
      </c>
    </row>
    <row r="63" spans="1:4" x14ac:dyDescent="0.35">
      <c r="A63" s="9">
        <v>15</v>
      </c>
      <c r="B63" s="10">
        <v>14</v>
      </c>
      <c r="C63" s="11" t="s">
        <v>61</v>
      </c>
      <c r="D63">
        <v>1</v>
      </c>
    </row>
    <row r="64" spans="1:4" x14ac:dyDescent="0.35">
      <c r="A64" s="6">
        <v>3</v>
      </c>
      <c r="B64" s="7">
        <v>9</v>
      </c>
      <c r="C64" s="8" t="s">
        <v>62</v>
      </c>
      <c r="D64">
        <v>1</v>
      </c>
    </row>
    <row r="65" spans="1:4" x14ac:dyDescent="0.35">
      <c r="A65" s="9">
        <v>8</v>
      </c>
      <c r="B65" s="10">
        <v>11</v>
      </c>
      <c r="C65" s="11" t="s">
        <v>63</v>
      </c>
      <c r="D65">
        <v>1</v>
      </c>
    </row>
    <row r="66" spans="1:4" x14ac:dyDescent="0.35">
      <c r="A66" s="6">
        <v>5</v>
      </c>
      <c r="B66" s="7">
        <v>15</v>
      </c>
      <c r="C66" s="8" t="s">
        <v>64</v>
      </c>
      <c r="D66">
        <v>1</v>
      </c>
    </row>
    <row r="67" spans="1:4" x14ac:dyDescent="0.35">
      <c r="A67" s="9">
        <v>2</v>
      </c>
      <c r="B67" s="10">
        <v>4</v>
      </c>
      <c r="C67" s="11" t="s">
        <v>65</v>
      </c>
      <c r="D67">
        <v>1</v>
      </c>
    </row>
    <row r="68" spans="1:4" x14ac:dyDescent="0.35">
      <c r="A68" s="6">
        <v>14</v>
      </c>
      <c r="B68" s="7">
        <v>9</v>
      </c>
      <c r="C68" s="8" t="s">
        <v>66</v>
      </c>
      <c r="D68">
        <v>1</v>
      </c>
    </row>
    <row r="69" spans="1:4" x14ac:dyDescent="0.35">
      <c r="A69" s="9">
        <v>7</v>
      </c>
      <c r="B69" s="10">
        <v>7</v>
      </c>
      <c r="C69" s="11" t="s">
        <v>67</v>
      </c>
      <c r="D69">
        <v>1</v>
      </c>
    </row>
    <row r="70" spans="1:4" x14ac:dyDescent="0.35">
      <c r="A70" s="6">
        <v>14</v>
      </c>
      <c r="B70" s="7">
        <v>6</v>
      </c>
      <c r="C70" s="8" t="s">
        <v>68</v>
      </c>
      <c r="D70">
        <v>1</v>
      </c>
    </row>
    <row r="71" spans="1:4" x14ac:dyDescent="0.35">
      <c r="A71" s="9">
        <v>11</v>
      </c>
      <c r="B71" s="10">
        <v>12</v>
      </c>
      <c r="C71" s="11" t="s">
        <v>69</v>
      </c>
      <c r="D71">
        <v>1</v>
      </c>
    </row>
    <row r="72" spans="1:4" x14ac:dyDescent="0.35">
      <c r="A72" s="6">
        <v>2</v>
      </c>
      <c r="B72" s="7">
        <v>4</v>
      </c>
      <c r="C72" s="8" t="s">
        <v>70</v>
      </c>
      <c r="D72">
        <v>1</v>
      </c>
    </row>
    <row r="73" spans="1:4" x14ac:dyDescent="0.35">
      <c r="A73" s="9">
        <v>11</v>
      </c>
      <c r="B73" s="10">
        <v>15</v>
      </c>
      <c r="C73" s="11" t="s">
        <v>71</v>
      </c>
      <c r="D73">
        <v>1</v>
      </c>
    </row>
    <row r="74" spans="1:4" x14ac:dyDescent="0.35">
      <c r="A74" s="6">
        <v>4</v>
      </c>
      <c r="B74" s="7">
        <v>3</v>
      </c>
      <c r="C74" s="8" t="s">
        <v>72</v>
      </c>
      <c r="D74">
        <v>1</v>
      </c>
    </row>
    <row r="75" spans="1:4" x14ac:dyDescent="0.35">
      <c r="A75" s="9">
        <v>3</v>
      </c>
      <c r="B75" s="10">
        <v>12</v>
      </c>
      <c r="C75" s="11" t="s">
        <v>73</v>
      </c>
      <c r="D75">
        <v>1</v>
      </c>
    </row>
    <row r="76" spans="1:4" x14ac:dyDescent="0.35">
      <c r="A76" s="6">
        <v>2</v>
      </c>
      <c r="B76" s="7">
        <v>7</v>
      </c>
      <c r="C76" s="8" t="s">
        <v>74</v>
      </c>
      <c r="D76">
        <v>1</v>
      </c>
    </row>
    <row r="77" spans="1:4" x14ac:dyDescent="0.35">
      <c r="A77" s="9">
        <v>13</v>
      </c>
      <c r="B77" s="10">
        <v>7</v>
      </c>
      <c r="C77" s="11" t="s">
        <v>75</v>
      </c>
      <c r="D77">
        <v>1</v>
      </c>
    </row>
    <row r="78" spans="1:4" x14ac:dyDescent="0.35">
      <c r="A78" s="6">
        <v>3</v>
      </c>
      <c r="B78" s="7">
        <v>12</v>
      </c>
      <c r="C78" s="8" t="s">
        <v>76</v>
      </c>
      <c r="D78">
        <v>1</v>
      </c>
    </row>
    <row r="79" spans="1:4" x14ac:dyDescent="0.35">
      <c r="A79" s="9">
        <v>9</v>
      </c>
      <c r="B79" s="10">
        <v>9</v>
      </c>
      <c r="C79" s="11" t="s">
        <v>77</v>
      </c>
      <c r="D79">
        <v>1</v>
      </c>
    </row>
    <row r="80" spans="1:4" x14ac:dyDescent="0.35">
      <c r="A80" s="6">
        <v>13</v>
      </c>
      <c r="B80" s="7">
        <v>3</v>
      </c>
      <c r="C80" s="8" t="s">
        <v>78</v>
      </c>
      <c r="D80">
        <v>1</v>
      </c>
    </row>
    <row r="81" spans="1:4" x14ac:dyDescent="0.35">
      <c r="A81" s="9">
        <v>7</v>
      </c>
      <c r="B81" s="10">
        <v>2</v>
      </c>
      <c r="C81" s="11" t="s">
        <v>79</v>
      </c>
      <c r="D81">
        <v>1</v>
      </c>
    </row>
    <row r="82" spans="1:4" x14ac:dyDescent="0.35">
      <c r="A82" s="6">
        <v>13</v>
      </c>
      <c r="B82" s="7">
        <v>4</v>
      </c>
      <c r="C82" s="8" t="s">
        <v>80</v>
      </c>
      <c r="D82">
        <v>1</v>
      </c>
    </row>
    <row r="83" spans="1:4" x14ac:dyDescent="0.35">
      <c r="A83" s="9">
        <v>4</v>
      </c>
      <c r="B83" s="10">
        <v>12</v>
      </c>
      <c r="C83" s="11" t="s">
        <v>81</v>
      </c>
      <c r="D83">
        <v>1</v>
      </c>
    </row>
    <row r="84" spans="1:4" x14ac:dyDescent="0.35">
      <c r="A84" s="6">
        <v>7</v>
      </c>
      <c r="B84" s="7">
        <v>8</v>
      </c>
      <c r="C84" s="8" t="s">
        <v>82</v>
      </c>
      <c r="D84">
        <v>1</v>
      </c>
    </row>
    <row r="85" spans="1:4" x14ac:dyDescent="0.35">
      <c r="A85" s="9">
        <v>3</v>
      </c>
      <c r="B85" s="10">
        <v>12</v>
      </c>
      <c r="C85" s="11" t="s">
        <v>83</v>
      </c>
      <c r="D85">
        <v>1</v>
      </c>
    </row>
    <row r="86" spans="1:4" x14ac:dyDescent="0.35">
      <c r="A86" s="6">
        <v>4</v>
      </c>
      <c r="B86" s="7">
        <v>11</v>
      </c>
      <c r="C86" s="8" t="s">
        <v>84</v>
      </c>
      <c r="D86">
        <v>1</v>
      </c>
    </row>
    <row r="87" spans="1:4" x14ac:dyDescent="0.35">
      <c r="A87" s="9">
        <v>7</v>
      </c>
      <c r="B87" s="10">
        <v>1</v>
      </c>
      <c r="C87" s="11" t="s">
        <v>85</v>
      </c>
      <c r="D87">
        <v>1</v>
      </c>
    </row>
    <row r="88" spans="1:4" x14ac:dyDescent="0.35">
      <c r="A88" s="6">
        <v>3</v>
      </c>
      <c r="B88" s="7">
        <v>9</v>
      </c>
      <c r="C88" s="8" t="s">
        <v>86</v>
      </c>
      <c r="D88">
        <v>1</v>
      </c>
    </row>
    <row r="89" spans="1:4" x14ac:dyDescent="0.35">
      <c r="A89" s="9">
        <v>1</v>
      </c>
      <c r="B89" s="10">
        <v>4</v>
      </c>
      <c r="C89" s="11" t="s">
        <v>87</v>
      </c>
      <c r="D89">
        <v>1</v>
      </c>
    </row>
    <row r="90" spans="1:4" x14ac:dyDescent="0.35">
      <c r="A90" s="6">
        <v>14</v>
      </c>
      <c r="B90" s="7">
        <v>3</v>
      </c>
      <c r="C90" s="8" t="s">
        <v>88</v>
      </c>
      <c r="D90">
        <v>1</v>
      </c>
    </row>
    <row r="91" spans="1:4" x14ac:dyDescent="0.35">
      <c r="A91" s="9">
        <v>5</v>
      </c>
      <c r="B91" s="10">
        <v>12</v>
      </c>
      <c r="C91" s="11" t="s">
        <v>89</v>
      </c>
      <c r="D91">
        <v>1</v>
      </c>
    </row>
    <row r="92" spans="1:4" x14ac:dyDescent="0.35">
      <c r="A92" s="6">
        <v>4</v>
      </c>
      <c r="B92" s="7">
        <v>9</v>
      </c>
      <c r="C92" s="8" t="s">
        <v>90</v>
      </c>
      <c r="D92">
        <v>1</v>
      </c>
    </row>
    <row r="93" spans="1:4" x14ac:dyDescent="0.35">
      <c r="A93" s="9">
        <v>5</v>
      </c>
      <c r="B93" s="10">
        <v>4</v>
      </c>
      <c r="C93" s="11" t="s">
        <v>91</v>
      </c>
      <c r="D93">
        <v>1</v>
      </c>
    </row>
    <row r="94" spans="1:4" x14ac:dyDescent="0.35">
      <c r="A94" s="6">
        <v>6</v>
      </c>
      <c r="B94" s="7">
        <v>8</v>
      </c>
      <c r="C94" s="8" t="s">
        <v>92</v>
      </c>
      <c r="D94">
        <v>1</v>
      </c>
    </row>
    <row r="95" spans="1:4" x14ac:dyDescent="0.35">
      <c r="A95" s="9">
        <v>8</v>
      </c>
      <c r="B95" s="10">
        <v>14</v>
      </c>
      <c r="C95" s="11" t="s">
        <v>93</v>
      </c>
      <c r="D95">
        <v>1</v>
      </c>
    </row>
    <row r="96" spans="1:4" x14ac:dyDescent="0.35">
      <c r="A96" s="6">
        <v>15</v>
      </c>
      <c r="B96" s="7">
        <v>11</v>
      </c>
      <c r="C96" s="8" t="s">
        <v>94</v>
      </c>
      <c r="D96">
        <v>1</v>
      </c>
    </row>
    <row r="97" spans="1:4" x14ac:dyDescent="0.35">
      <c r="A97" s="9">
        <v>1</v>
      </c>
      <c r="B97" s="10">
        <v>1</v>
      </c>
      <c r="C97" s="11" t="s">
        <v>95</v>
      </c>
      <c r="D97">
        <v>1</v>
      </c>
    </row>
    <row r="98" spans="1:4" x14ac:dyDescent="0.35">
      <c r="A98" s="6">
        <v>14</v>
      </c>
      <c r="B98" s="7">
        <v>15</v>
      </c>
      <c r="C98" s="8" t="s">
        <v>96</v>
      </c>
      <c r="D98">
        <v>1</v>
      </c>
    </row>
    <row r="99" spans="1:4" x14ac:dyDescent="0.35">
      <c r="A99" s="9">
        <v>6</v>
      </c>
      <c r="B99" s="10">
        <v>7</v>
      </c>
      <c r="C99" s="11" t="s">
        <v>97</v>
      </c>
      <c r="D99">
        <v>1</v>
      </c>
    </row>
    <row r="100" spans="1:4" x14ac:dyDescent="0.35">
      <c r="A100" s="6">
        <v>7</v>
      </c>
      <c r="B100" s="7">
        <v>11</v>
      </c>
      <c r="C100" s="8" t="s">
        <v>98</v>
      </c>
      <c r="D100">
        <v>1</v>
      </c>
    </row>
    <row r="101" spans="1:4" x14ac:dyDescent="0.35">
      <c r="A101" s="9">
        <v>10</v>
      </c>
      <c r="B101" s="10">
        <v>11</v>
      </c>
      <c r="C101" s="11" t="s">
        <v>99</v>
      </c>
      <c r="D101">
        <v>1</v>
      </c>
    </row>
    <row r="102" spans="1:4" x14ac:dyDescent="0.35">
      <c r="A102" s="6">
        <v>5</v>
      </c>
      <c r="B102" s="7">
        <v>6</v>
      </c>
      <c r="C102" s="8" t="s">
        <v>100</v>
      </c>
      <c r="D102">
        <v>1</v>
      </c>
    </row>
    <row r="103" spans="1:4" x14ac:dyDescent="0.35">
      <c r="A103" s="9">
        <v>13</v>
      </c>
      <c r="B103" s="10">
        <v>7</v>
      </c>
      <c r="C103" s="11" t="s">
        <v>101</v>
      </c>
      <c r="D103">
        <v>1</v>
      </c>
    </row>
    <row r="104" spans="1:4" x14ac:dyDescent="0.35">
      <c r="A104" s="6">
        <v>2</v>
      </c>
      <c r="B104" s="7">
        <v>9</v>
      </c>
      <c r="C104" s="8" t="s">
        <v>102</v>
      </c>
      <c r="D104">
        <v>1</v>
      </c>
    </row>
    <row r="105" spans="1:4" x14ac:dyDescent="0.35">
      <c r="A105" s="9">
        <v>9</v>
      </c>
      <c r="B105" s="10">
        <v>11</v>
      </c>
      <c r="C105" s="11" t="s">
        <v>103</v>
      </c>
      <c r="D105">
        <v>1</v>
      </c>
    </row>
    <row r="106" spans="1:4" x14ac:dyDescent="0.35">
      <c r="A106" s="6">
        <v>8</v>
      </c>
      <c r="B106" s="7">
        <v>3</v>
      </c>
      <c r="C106" s="8" t="s">
        <v>104</v>
      </c>
      <c r="D106">
        <v>1</v>
      </c>
    </row>
    <row r="107" spans="1:4" x14ac:dyDescent="0.35">
      <c r="A107" s="9">
        <v>1</v>
      </c>
      <c r="B107" s="10">
        <v>6</v>
      </c>
      <c r="C107" s="11" t="s">
        <v>105</v>
      </c>
      <c r="D107">
        <v>1</v>
      </c>
    </row>
    <row r="108" spans="1:4" x14ac:dyDescent="0.35">
      <c r="A108" s="6">
        <v>10</v>
      </c>
      <c r="B108" s="7">
        <v>9</v>
      </c>
      <c r="C108" s="8" t="s">
        <v>106</v>
      </c>
      <c r="D108">
        <v>1</v>
      </c>
    </row>
    <row r="109" spans="1:4" x14ac:dyDescent="0.35">
      <c r="A109" s="9">
        <v>2</v>
      </c>
      <c r="B109" s="10">
        <v>11</v>
      </c>
      <c r="C109" s="11" t="s">
        <v>107</v>
      </c>
      <c r="D109">
        <v>1</v>
      </c>
    </row>
    <row r="110" spans="1:4" x14ac:dyDescent="0.35">
      <c r="A110" s="6">
        <v>6</v>
      </c>
      <c r="B110" s="7">
        <v>12</v>
      </c>
      <c r="C110" s="8" t="s">
        <v>108</v>
      </c>
      <c r="D110">
        <v>1</v>
      </c>
    </row>
    <row r="111" spans="1:4" x14ac:dyDescent="0.35">
      <c r="A111" s="9">
        <v>2</v>
      </c>
      <c r="B111" s="10">
        <v>14</v>
      </c>
      <c r="C111" s="11" t="s">
        <v>109</v>
      </c>
      <c r="D111">
        <v>1</v>
      </c>
    </row>
    <row r="112" spans="1:4" x14ac:dyDescent="0.35">
      <c r="A112" s="6">
        <v>4</v>
      </c>
      <c r="B112" s="7">
        <v>2</v>
      </c>
      <c r="C112" s="8" t="s">
        <v>110</v>
      </c>
      <c r="D112">
        <v>1</v>
      </c>
    </row>
    <row r="113" spans="1:4" x14ac:dyDescent="0.35">
      <c r="A113" s="9">
        <v>9</v>
      </c>
      <c r="B113" s="10">
        <v>8</v>
      </c>
      <c r="C113" s="11" t="s">
        <v>111</v>
      </c>
      <c r="D113">
        <v>1</v>
      </c>
    </row>
    <row r="114" spans="1:4" x14ac:dyDescent="0.35">
      <c r="A114" s="6">
        <v>2</v>
      </c>
      <c r="B114" s="7">
        <v>4</v>
      </c>
      <c r="C114" s="8" t="s">
        <v>112</v>
      </c>
      <c r="D114">
        <v>1</v>
      </c>
    </row>
    <row r="115" spans="1:4" x14ac:dyDescent="0.35">
      <c r="A115" s="9">
        <v>11</v>
      </c>
      <c r="B115" s="10">
        <v>11</v>
      </c>
      <c r="C115" s="11" t="s">
        <v>113</v>
      </c>
      <c r="D115">
        <v>1</v>
      </c>
    </row>
    <row r="116" spans="1:4" x14ac:dyDescent="0.35">
      <c r="A116" s="6">
        <v>8</v>
      </c>
      <c r="B116" s="7">
        <v>1</v>
      </c>
      <c r="C116" s="8" t="s">
        <v>114</v>
      </c>
      <c r="D116">
        <v>1</v>
      </c>
    </row>
    <row r="117" spans="1:4" x14ac:dyDescent="0.35">
      <c r="A117" s="9">
        <v>13</v>
      </c>
      <c r="B117" s="10">
        <v>9</v>
      </c>
      <c r="C117" s="11" t="s">
        <v>115</v>
      </c>
      <c r="D117">
        <v>1</v>
      </c>
    </row>
    <row r="118" spans="1:4" x14ac:dyDescent="0.35">
      <c r="A118" s="6">
        <v>7</v>
      </c>
      <c r="B118" s="7">
        <v>13</v>
      </c>
      <c r="C118" s="8" t="s">
        <v>116</v>
      </c>
      <c r="D118">
        <v>1</v>
      </c>
    </row>
    <row r="119" spans="1:4" x14ac:dyDescent="0.35">
      <c r="A119" s="9">
        <v>7</v>
      </c>
      <c r="B119" s="10">
        <v>11</v>
      </c>
      <c r="C119" s="11" t="s">
        <v>117</v>
      </c>
      <c r="D119">
        <v>1</v>
      </c>
    </row>
    <row r="120" spans="1:4" x14ac:dyDescent="0.35">
      <c r="A120" s="6">
        <v>9</v>
      </c>
      <c r="B120" s="7">
        <v>11</v>
      </c>
      <c r="C120" s="8" t="s">
        <v>118</v>
      </c>
      <c r="D120">
        <v>1</v>
      </c>
    </row>
    <row r="121" spans="1:4" x14ac:dyDescent="0.35">
      <c r="A121" s="9">
        <v>6</v>
      </c>
      <c r="B121" s="10">
        <v>1</v>
      </c>
      <c r="C121" s="11" t="s">
        <v>119</v>
      </c>
      <c r="D121">
        <v>1</v>
      </c>
    </row>
    <row r="122" spans="1:4" x14ac:dyDescent="0.35">
      <c r="A122" s="6">
        <v>14</v>
      </c>
      <c r="B122" s="7">
        <v>6</v>
      </c>
      <c r="C122" s="8" t="s">
        <v>120</v>
      </c>
      <c r="D122">
        <v>1</v>
      </c>
    </row>
    <row r="123" spans="1:4" x14ac:dyDescent="0.35">
      <c r="A123" s="9">
        <v>14</v>
      </c>
      <c r="B123" s="10">
        <v>10</v>
      </c>
      <c r="C123" s="11" t="s">
        <v>121</v>
      </c>
      <c r="D123">
        <v>1</v>
      </c>
    </row>
    <row r="124" spans="1:4" x14ac:dyDescent="0.35">
      <c r="A124" s="6">
        <v>7</v>
      </c>
      <c r="B124" s="7">
        <v>7</v>
      </c>
      <c r="C124" s="8" t="s">
        <v>122</v>
      </c>
      <c r="D124">
        <v>1</v>
      </c>
    </row>
    <row r="125" spans="1:4" x14ac:dyDescent="0.35">
      <c r="A125" s="9">
        <v>11</v>
      </c>
      <c r="B125" s="10">
        <v>1</v>
      </c>
      <c r="C125" s="11" t="s">
        <v>123</v>
      </c>
      <c r="D125">
        <v>1</v>
      </c>
    </row>
    <row r="126" spans="1:4" x14ac:dyDescent="0.35">
      <c r="A126" s="6">
        <v>11</v>
      </c>
      <c r="B126" s="7">
        <v>3</v>
      </c>
      <c r="C126" s="8" t="s">
        <v>124</v>
      </c>
      <c r="D126">
        <v>1</v>
      </c>
    </row>
    <row r="127" spans="1:4" x14ac:dyDescent="0.35">
      <c r="A127" s="9">
        <v>11</v>
      </c>
      <c r="B127" s="10">
        <v>2</v>
      </c>
      <c r="C127" s="11" t="s">
        <v>125</v>
      </c>
      <c r="D127">
        <v>1</v>
      </c>
    </row>
    <row r="128" spans="1:4" x14ac:dyDescent="0.35">
      <c r="A128" s="6">
        <v>12</v>
      </c>
      <c r="B128" s="7">
        <v>2</v>
      </c>
      <c r="C128" s="8" t="s">
        <v>126</v>
      </c>
      <c r="D128">
        <v>1</v>
      </c>
    </row>
    <row r="129" spans="1:4" x14ac:dyDescent="0.35">
      <c r="A129" s="9">
        <v>3</v>
      </c>
      <c r="B129" s="10">
        <v>14</v>
      </c>
      <c r="C129" s="11" t="s">
        <v>127</v>
      </c>
      <c r="D129">
        <v>1</v>
      </c>
    </row>
    <row r="130" spans="1:4" x14ac:dyDescent="0.35">
      <c r="A130" s="6">
        <v>3</v>
      </c>
      <c r="B130" s="7">
        <v>6</v>
      </c>
      <c r="C130" s="8" t="s">
        <v>128</v>
      </c>
      <c r="D130">
        <v>1</v>
      </c>
    </row>
    <row r="131" spans="1:4" x14ac:dyDescent="0.35">
      <c r="A131" s="9">
        <v>12</v>
      </c>
      <c r="B131" s="10">
        <v>2</v>
      </c>
      <c r="C131" s="11" t="s">
        <v>129</v>
      </c>
      <c r="D131">
        <v>1</v>
      </c>
    </row>
    <row r="132" spans="1:4" x14ac:dyDescent="0.35">
      <c r="A132" s="6">
        <v>7</v>
      </c>
      <c r="B132" s="7">
        <v>8</v>
      </c>
      <c r="C132" s="8" t="s">
        <v>130</v>
      </c>
      <c r="D132">
        <v>1</v>
      </c>
    </row>
    <row r="133" spans="1:4" x14ac:dyDescent="0.35">
      <c r="A133" s="9">
        <v>10</v>
      </c>
      <c r="B133" s="10">
        <v>12</v>
      </c>
      <c r="C133" s="11" t="s">
        <v>131</v>
      </c>
      <c r="D133">
        <v>1</v>
      </c>
    </row>
    <row r="134" spans="1:4" x14ac:dyDescent="0.35">
      <c r="A134" s="6">
        <v>2</v>
      </c>
      <c r="B134" s="7">
        <v>14</v>
      </c>
      <c r="C134" s="8" t="s">
        <v>132</v>
      </c>
      <c r="D134">
        <v>1</v>
      </c>
    </row>
    <row r="135" spans="1:4" x14ac:dyDescent="0.35">
      <c r="A135" s="9">
        <v>14</v>
      </c>
      <c r="B135" s="10">
        <v>11</v>
      </c>
      <c r="C135" s="11" t="s">
        <v>133</v>
      </c>
      <c r="D135">
        <v>1</v>
      </c>
    </row>
    <row r="136" spans="1:4" x14ac:dyDescent="0.35">
      <c r="A136" s="6">
        <v>9</v>
      </c>
      <c r="B136" s="7">
        <v>10</v>
      </c>
      <c r="C136" s="8" t="s">
        <v>134</v>
      </c>
      <c r="D136">
        <v>1</v>
      </c>
    </row>
    <row r="137" spans="1:4" x14ac:dyDescent="0.35">
      <c r="A137" s="9">
        <v>2</v>
      </c>
      <c r="B137" s="10">
        <v>14</v>
      </c>
      <c r="C137" s="11" t="s">
        <v>135</v>
      </c>
      <c r="D137">
        <v>1</v>
      </c>
    </row>
    <row r="138" spans="1:4" x14ac:dyDescent="0.35">
      <c r="A138" s="6">
        <v>11</v>
      </c>
      <c r="B138" s="7">
        <v>3</v>
      </c>
      <c r="C138" s="8" t="s">
        <v>136</v>
      </c>
      <c r="D138">
        <v>1</v>
      </c>
    </row>
    <row r="139" spans="1:4" x14ac:dyDescent="0.35">
      <c r="A139" s="9">
        <v>2</v>
      </c>
      <c r="B139" s="10">
        <v>1</v>
      </c>
      <c r="C139" s="11" t="s">
        <v>137</v>
      </c>
      <c r="D139">
        <v>1</v>
      </c>
    </row>
    <row r="140" spans="1:4" x14ac:dyDescent="0.35">
      <c r="A140" s="6">
        <v>14</v>
      </c>
      <c r="B140" s="7">
        <v>3</v>
      </c>
      <c r="C140" s="8" t="s">
        <v>138</v>
      </c>
      <c r="D140">
        <v>1</v>
      </c>
    </row>
    <row r="141" spans="1:4" x14ac:dyDescent="0.35">
      <c r="A141" s="9">
        <v>6</v>
      </c>
      <c r="B141" s="10">
        <v>6</v>
      </c>
      <c r="C141" s="11" t="s">
        <v>139</v>
      </c>
      <c r="D141">
        <v>1</v>
      </c>
    </row>
    <row r="142" spans="1:4" x14ac:dyDescent="0.35">
      <c r="A142" s="6">
        <v>5</v>
      </c>
      <c r="B142" s="7">
        <v>14</v>
      </c>
      <c r="C142" s="8" t="s">
        <v>140</v>
      </c>
      <c r="D142">
        <v>1</v>
      </c>
    </row>
    <row r="143" spans="1:4" x14ac:dyDescent="0.35">
      <c r="A143" s="9">
        <v>2</v>
      </c>
      <c r="B143" s="10">
        <v>8</v>
      </c>
      <c r="C143" s="11" t="s">
        <v>141</v>
      </c>
      <c r="D143">
        <v>1</v>
      </c>
    </row>
    <row r="144" spans="1:4" x14ac:dyDescent="0.35">
      <c r="A144" s="6">
        <v>10</v>
      </c>
      <c r="B144" s="7">
        <v>15</v>
      </c>
      <c r="C144" s="8" t="s">
        <v>142</v>
      </c>
      <c r="D144">
        <v>1</v>
      </c>
    </row>
    <row r="145" spans="1:4" x14ac:dyDescent="0.35">
      <c r="A145" s="1">
        <v>3</v>
      </c>
      <c r="B145" s="2">
        <v>15</v>
      </c>
      <c r="C145" s="12" t="s">
        <v>143</v>
      </c>
      <c r="D1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8EC00-D116-4CD5-87EF-A602D85D313D}">
  <dimension ref="A1:J145"/>
  <sheetViews>
    <sheetView workbookViewId="0">
      <selection activeCell="I5" sqref="I5:J5"/>
    </sheetView>
  </sheetViews>
  <sheetFormatPr defaultRowHeight="14.5" x14ac:dyDescent="0.35"/>
  <cols>
    <col min="1" max="1" width="35.453125" bestFit="1" customWidth="1"/>
    <col min="2" max="2" width="10.54296875" bestFit="1" customWidth="1"/>
    <col min="3" max="3" width="14.90625" bestFit="1" customWidth="1"/>
    <col min="5" max="5" width="15.54296875" bestFit="1" customWidth="1"/>
    <col min="6" max="6" width="16.54296875" bestFit="1" customWidth="1"/>
    <col min="7" max="7" width="13.36328125" bestFit="1" customWidth="1"/>
  </cols>
  <sheetData>
    <row r="1" spans="1:10" x14ac:dyDescent="0.35">
      <c r="A1" s="3" t="s">
        <v>146</v>
      </c>
      <c r="B1" s="4" t="s">
        <v>145</v>
      </c>
      <c r="C1" s="5" t="s">
        <v>144</v>
      </c>
      <c r="D1" s="15" t="s">
        <v>151</v>
      </c>
    </row>
    <row r="2" spans="1:10" x14ac:dyDescent="0.35">
      <c r="A2" s="6">
        <v>3</v>
      </c>
      <c r="B2" s="7">
        <v>5</v>
      </c>
      <c r="C2" s="8" t="s">
        <v>0</v>
      </c>
      <c r="D2" t="str">
        <f>LEFT(C2,2)</f>
        <v>NN</v>
      </c>
    </row>
    <row r="3" spans="1:10" x14ac:dyDescent="0.35">
      <c r="A3" s="9">
        <v>12</v>
      </c>
      <c r="B3" s="10">
        <v>13</v>
      </c>
      <c r="C3" s="11" t="s">
        <v>1</v>
      </c>
      <c r="D3" t="str">
        <f t="shared" ref="D3:D66" si="0">LEFT(C3,2)</f>
        <v>FO</v>
      </c>
    </row>
    <row r="4" spans="1:10" x14ac:dyDescent="0.35">
      <c r="A4" s="6">
        <v>1</v>
      </c>
      <c r="B4" s="7">
        <v>10</v>
      </c>
      <c r="C4" s="8" t="s">
        <v>2</v>
      </c>
      <c r="D4" t="str">
        <f t="shared" si="0"/>
        <v>GN</v>
      </c>
    </row>
    <row r="5" spans="1:10" x14ac:dyDescent="0.35">
      <c r="A5" s="9">
        <v>7</v>
      </c>
      <c r="B5" s="10">
        <v>2</v>
      </c>
      <c r="C5" s="11" t="s">
        <v>3</v>
      </c>
      <c r="D5" t="str">
        <f t="shared" si="0"/>
        <v>EA</v>
      </c>
      <c r="F5" s="13" t="s">
        <v>147</v>
      </c>
      <c r="G5" t="s">
        <v>259</v>
      </c>
      <c r="I5">
        <f>COUNTIF(G6:G113,1)</f>
        <v>78</v>
      </c>
      <c r="J5">
        <f>COUNTIF(G6:G113,2)</f>
        <v>21</v>
      </c>
    </row>
    <row r="6" spans="1:10" x14ac:dyDescent="0.35">
      <c r="A6" s="6">
        <v>10</v>
      </c>
      <c r="B6" s="7">
        <v>7</v>
      </c>
      <c r="C6" s="8" t="s">
        <v>4</v>
      </c>
      <c r="D6" t="str">
        <f t="shared" si="0"/>
        <v>FN</v>
      </c>
      <c r="F6" s="14" t="s">
        <v>152</v>
      </c>
      <c r="G6">
        <v>1</v>
      </c>
    </row>
    <row r="7" spans="1:10" x14ac:dyDescent="0.35">
      <c r="A7" s="9">
        <v>9</v>
      </c>
      <c r="B7" s="10">
        <v>14</v>
      </c>
      <c r="C7" s="11" t="s">
        <v>5</v>
      </c>
      <c r="D7" t="str">
        <f t="shared" si="0"/>
        <v>CI</v>
      </c>
      <c r="F7" s="14" t="s">
        <v>153</v>
      </c>
      <c r="G7">
        <v>1</v>
      </c>
    </row>
    <row r="8" spans="1:10" x14ac:dyDescent="0.35">
      <c r="A8" s="6">
        <v>4</v>
      </c>
      <c r="B8" s="7">
        <v>10</v>
      </c>
      <c r="C8" s="8" t="s">
        <v>6</v>
      </c>
      <c r="D8" t="str">
        <f t="shared" si="0"/>
        <v>KP</v>
      </c>
      <c r="F8" s="14" t="s">
        <v>154</v>
      </c>
      <c r="G8">
        <v>2</v>
      </c>
    </row>
    <row r="9" spans="1:10" x14ac:dyDescent="0.35">
      <c r="A9" s="9">
        <v>4</v>
      </c>
      <c r="B9" s="10">
        <v>7</v>
      </c>
      <c r="C9" s="11" t="s">
        <v>7</v>
      </c>
      <c r="D9" t="str">
        <f t="shared" si="0"/>
        <v>DB</v>
      </c>
      <c r="F9" s="14" t="s">
        <v>155</v>
      </c>
      <c r="G9">
        <v>1</v>
      </c>
    </row>
    <row r="10" spans="1:10" x14ac:dyDescent="0.35">
      <c r="A10" s="6">
        <v>3</v>
      </c>
      <c r="B10" s="7">
        <v>2</v>
      </c>
      <c r="C10" s="8" t="s">
        <v>8</v>
      </c>
      <c r="D10" t="str">
        <f t="shared" si="0"/>
        <v>DE</v>
      </c>
      <c r="F10" s="14" t="s">
        <v>156</v>
      </c>
      <c r="G10">
        <v>2</v>
      </c>
    </row>
    <row r="11" spans="1:10" x14ac:dyDescent="0.35">
      <c r="A11" s="9">
        <v>7</v>
      </c>
      <c r="B11" s="10">
        <v>12</v>
      </c>
      <c r="C11" s="11" t="s">
        <v>9</v>
      </c>
      <c r="D11" t="str">
        <f t="shared" si="0"/>
        <v>HL</v>
      </c>
      <c r="F11" s="14" t="s">
        <v>157</v>
      </c>
      <c r="G11">
        <v>2</v>
      </c>
    </row>
    <row r="12" spans="1:10" x14ac:dyDescent="0.35">
      <c r="A12" s="6">
        <v>11</v>
      </c>
      <c r="B12" s="7">
        <v>12</v>
      </c>
      <c r="C12" s="8" t="s">
        <v>10</v>
      </c>
      <c r="D12" t="str">
        <f t="shared" si="0"/>
        <v>CG</v>
      </c>
      <c r="F12" s="14" t="s">
        <v>158</v>
      </c>
      <c r="G12">
        <v>1</v>
      </c>
    </row>
    <row r="13" spans="1:10" x14ac:dyDescent="0.35">
      <c r="A13" s="9">
        <v>15</v>
      </c>
      <c r="B13" s="10">
        <v>14</v>
      </c>
      <c r="C13" s="11" t="s">
        <v>11</v>
      </c>
      <c r="D13" t="str">
        <f t="shared" si="0"/>
        <v>BD</v>
      </c>
      <c r="F13" s="14" t="s">
        <v>159</v>
      </c>
      <c r="G13">
        <v>1</v>
      </c>
    </row>
    <row r="14" spans="1:10" x14ac:dyDescent="0.35">
      <c r="A14" s="6">
        <v>11</v>
      </c>
      <c r="B14" s="7">
        <v>9</v>
      </c>
      <c r="C14" s="8" t="s">
        <v>12</v>
      </c>
      <c r="D14" t="str">
        <f t="shared" si="0"/>
        <v>KJ</v>
      </c>
      <c r="F14" s="14" t="s">
        <v>160</v>
      </c>
      <c r="G14">
        <v>1</v>
      </c>
    </row>
    <row r="15" spans="1:10" x14ac:dyDescent="0.35">
      <c r="A15" s="9">
        <v>3</v>
      </c>
      <c r="B15" s="10">
        <v>6</v>
      </c>
      <c r="C15" s="11" t="s">
        <v>13</v>
      </c>
      <c r="D15" t="str">
        <f t="shared" si="0"/>
        <v>BH</v>
      </c>
      <c r="F15" s="14" t="s">
        <v>161</v>
      </c>
      <c r="G15">
        <v>2</v>
      </c>
    </row>
    <row r="16" spans="1:10" x14ac:dyDescent="0.35">
      <c r="A16" s="6">
        <v>1</v>
      </c>
      <c r="B16" s="7">
        <v>7</v>
      </c>
      <c r="C16" s="8" t="s">
        <v>14</v>
      </c>
      <c r="D16" t="str">
        <f t="shared" si="0"/>
        <v>KI</v>
      </c>
      <c r="F16" s="14" t="s">
        <v>162</v>
      </c>
      <c r="G16">
        <v>1</v>
      </c>
    </row>
    <row r="17" spans="1:7" x14ac:dyDescent="0.35">
      <c r="A17" s="9">
        <v>11</v>
      </c>
      <c r="B17" s="10">
        <v>7</v>
      </c>
      <c r="C17" s="11" t="s">
        <v>15</v>
      </c>
      <c r="D17" t="str">
        <f t="shared" si="0"/>
        <v>EH</v>
      </c>
      <c r="F17" s="14" t="s">
        <v>163</v>
      </c>
      <c r="G17">
        <v>2</v>
      </c>
    </row>
    <row r="18" spans="1:7" x14ac:dyDescent="0.35">
      <c r="A18" s="6">
        <v>2</v>
      </c>
      <c r="B18" s="7">
        <v>2</v>
      </c>
      <c r="C18" s="8" t="s">
        <v>16</v>
      </c>
      <c r="D18" t="str">
        <f t="shared" si="0"/>
        <v>DP</v>
      </c>
      <c r="F18" s="14" t="s">
        <v>164</v>
      </c>
      <c r="G18">
        <v>1</v>
      </c>
    </row>
    <row r="19" spans="1:7" x14ac:dyDescent="0.35">
      <c r="A19" s="9">
        <v>9</v>
      </c>
      <c r="B19" s="10">
        <v>10</v>
      </c>
      <c r="C19" s="11" t="s">
        <v>17</v>
      </c>
      <c r="D19" t="str">
        <f t="shared" si="0"/>
        <v>MD</v>
      </c>
      <c r="F19" s="14" t="s">
        <v>165</v>
      </c>
      <c r="G19">
        <v>1</v>
      </c>
    </row>
    <row r="20" spans="1:7" x14ac:dyDescent="0.35">
      <c r="A20" s="6">
        <v>2</v>
      </c>
      <c r="B20" s="7">
        <v>13</v>
      </c>
      <c r="C20" s="8" t="s">
        <v>18</v>
      </c>
      <c r="D20" t="str">
        <f t="shared" si="0"/>
        <v>CC</v>
      </c>
      <c r="F20" s="14" t="s">
        <v>166</v>
      </c>
      <c r="G20">
        <v>1</v>
      </c>
    </row>
    <row r="21" spans="1:7" x14ac:dyDescent="0.35">
      <c r="A21" s="9">
        <v>13</v>
      </c>
      <c r="B21" s="10">
        <v>14</v>
      </c>
      <c r="C21" s="11" t="s">
        <v>19</v>
      </c>
      <c r="D21" t="str">
        <f t="shared" si="0"/>
        <v>IB</v>
      </c>
      <c r="F21" s="14" t="s">
        <v>167</v>
      </c>
      <c r="G21">
        <v>2</v>
      </c>
    </row>
    <row r="22" spans="1:7" x14ac:dyDescent="0.35">
      <c r="A22" s="6">
        <v>10</v>
      </c>
      <c r="B22" s="7">
        <v>15</v>
      </c>
      <c r="C22" s="8" t="s">
        <v>20</v>
      </c>
      <c r="D22" t="str">
        <f t="shared" si="0"/>
        <v>NE</v>
      </c>
      <c r="F22" s="14" t="s">
        <v>168</v>
      </c>
      <c r="G22">
        <v>1</v>
      </c>
    </row>
    <row r="23" spans="1:7" x14ac:dyDescent="0.35">
      <c r="A23" s="9">
        <v>6</v>
      </c>
      <c r="B23" s="10">
        <v>9</v>
      </c>
      <c r="C23" s="11" t="s">
        <v>21</v>
      </c>
      <c r="D23" t="str">
        <f t="shared" si="0"/>
        <v>HP</v>
      </c>
      <c r="F23" s="14" t="s">
        <v>169</v>
      </c>
      <c r="G23">
        <v>1</v>
      </c>
    </row>
    <row r="24" spans="1:7" x14ac:dyDescent="0.35">
      <c r="A24" s="6">
        <v>5</v>
      </c>
      <c r="B24" s="7">
        <v>6</v>
      </c>
      <c r="C24" s="8" t="s">
        <v>22</v>
      </c>
      <c r="D24" t="str">
        <f t="shared" si="0"/>
        <v>BM</v>
      </c>
      <c r="F24" s="14" t="s">
        <v>170</v>
      </c>
      <c r="G24">
        <v>2</v>
      </c>
    </row>
    <row r="25" spans="1:7" x14ac:dyDescent="0.35">
      <c r="A25" s="9">
        <v>13</v>
      </c>
      <c r="B25" s="10">
        <v>13</v>
      </c>
      <c r="C25" s="11" t="s">
        <v>23</v>
      </c>
      <c r="D25" t="str">
        <f t="shared" si="0"/>
        <v>NH</v>
      </c>
      <c r="F25" s="14" t="s">
        <v>171</v>
      </c>
      <c r="G25">
        <v>1</v>
      </c>
    </row>
    <row r="26" spans="1:7" x14ac:dyDescent="0.35">
      <c r="A26" s="6">
        <v>11</v>
      </c>
      <c r="B26" s="7">
        <v>1</v>
      </c>
      <c r="C26" s="8" t="s">
        <v>24</v>
      </c>
      <c r="D26" t="str">
        <f t="shared" si="0"/>
        <v>LJ</v>
      </c>
      <c r="F26" s="14" t="s">
        <v>172</v>
      </c>
      <c r="G26">
        <v>1</v>
      </c>
    </row>
    <row r="27" spans="1:7" x14ac:dyDescent="0.35">
      <c r="A27" s="9">
        <v>10</v>
      </c>
      <c r="B27" s="10">
        <v>6</v>
      </c>
      <c r="C27" s="11" t="s">
        <v>25</v>
      </c>
      <c r="D27" t="str">
        <f t="shared" si="0"/>
        <v>KE</v>
      </c>
      <c r="F27" s="14" t="s">
        <v>173</v>
      </c>
      <c r="G27">
        <v>1</v>
      </c>
    </row>
    <row r="28" spans="1:7" x14ac:dyDescent="0.35">
      <c r="A28" s="6">
        <v>11</v>
      </c>
      <c r="B28" s="7">
        <v>12</v>
      </c>
      <c r="C28" s="8" t="s">
        <v>26</v>
      </c>
      <c r="D28" t="str">
        <f t="shared" si="0"/>
        <v>DA</v>
      </c>
      <c r="F28" s="14" t="s">
        <v>174</v>
      </c>
      <c r="G28">
        <v>1</v>
      </c>
    </row>
    <row r="29" spans="1:7" x14ac:dyDescent="0.35">
      <c r="A29" s="9">
        <v>4</v>
      </c>
      <c r="B29" s="10">
        <v>9</v>
      </c>
      <c r="C29" s="11" t="s">
        <v>27</v>
      </c>
      <c r="D29" t="str">
        <f t="shared" si="0"/>
        <v>BF</v>
      </c>
      <c r="F29" s="14" t="s">
        <v>175</v>
      </c>
      <c r="G29">
        <v>1</v>
      </c>
    </row>
    <row r="30" spans="1:7" x14ac:dyDescent="0.35">
      <c r="A30" s="6">
        <v>4</v>
      </c>
      <c r="B30" s="7">
        <v>1</v>
      </c>
      <c r="C30" s="8" t="s">
        <v>28</v>
      </c>
      <c r="D30" t="str">
        <f t="shared" si="0"/>
        <v>AE</v>
      </c>
      <c r="F30" s="14" t="s">
        <v>176</v>
      </c>
      <c r="G30">
        <v>1</v>
      </c>
    </row>
    <row r="31" spans="1:7" x14ac:dyDescent="0.35">
      <c r="A31" s="9">
        <v>2</v>
      </c>
      <c r="B31" s="10">
        <v>11</v>
      </c>
      <c r="C31" s="11" t="s">
        <v>29</v>
      </c>
      <c r="D31" t="str">
        <f t="shared" si="0"/>
        <v>AK</v>
      </c>
      <c r="F31" s="14" t="s">
        <v>177</v>
      </c>
      <c r="G31">
        <v>2</v>
      </c>
    </row>
    <row r="32" spans="1:7" x14ac:dyDescent="0.35">
      <c r="A32" s="6">
        <v>7</v>
      </c>
      <c r="B32" s="7">
        <v>2</v>
      </c>
      <c r="C32" s="8" t="s">
        <v>30</v>
      </c>
      <c r="D32" t="str">
        <f t="shared" si="0"/>
        <v>GH</v>
      </c>
      <c r="F32" s="14" t="s">
        <v>178</v>
      </c>
      <c r="G32">
        <v>1</v>
      </c>
    </row>
    <row r="33" spans="1:7" x14ac:dyDescent="0.35">
      <c r="A33" s="9">
        <v>11</v>
      </c>
      <c r="B33" s="10">
        <v>14</v>
      </c>
      <c r="C33" s="11" t="s">
        <v>31</v>
      </c>
      <c r="D33" t="str">
        <f t="shared" si="0"/>
        <v>HE</v>
      </c>
      <c r="F33" s="14" t="s">
        <v>179</v>
      </c>
      <c r="G33">
        <v>3</v>
      </c>
    </row>
    <row r="34" spans="1:7" x14ac:dyDescent="0.35">
      <c r="A34" s="6">
        <v>6</v>
      </c>
      <c r="B34" s="7">
        <v>3</v>
      </c>
      <c r="C34" s="8" t="s">
        <v>32</v>
      </c>
      <c r="D34" t="str">
        <f t="shared" si="0"/>
        <v>JP</v>
      </c>
      <c r="F34" s="14" t="s">
        <v>180</v>
      </c>
      <c r="G34">
        <v>1</v>
      </c>
    </row>
    <row r="35" spans="1:7" x14ac:dyDescent="0.35">
      <c r="A35" s="9">
        <v>11</v>
      </c>
      <c r="B35" s="10">
        <v>5</v>
      </c>
      <c r="C35" s="11" t="s">
        <v>33</v>
      </c>
      <c r="D35" t="str">
        <f t="shared" si="0"/>
        <v>EL</v>
      </c>
      <c r="F35" s="14" t="s">
        <v>181</v>
      </c>
      <c r="G35">
        <v>1</v>
      </c>
    </row>
    <row r="36" spans="1:7" x14ac:dyDescent="0.35">
      <c r="A36" s="6">
        <v>5</v>
      </c>
      <c r="B36" s="7">
        <v>9</v>
      </c>
      <c r="C36" s="8" t="s">
        <v>34</v>
      </c>
      <c r="D36" t="str">
        <f t="shared" si="0"/>
        <v>NO</v>
      </c>
      <c r="F36" s="14" t="s">
        <v>182</v>
      </c>
      <c r="G36">
        <v>1</v>
      </c>
    </row>
    <row r="37" spans="1:7" x14ac:dyDescent="0.35">
      <c r="A37" s="9">
        <v>9</v>
      </c>
      <c r="B37" s="10">
        <v>5</v>
      </c>
      <c r="C37" s="11" t="s">
        <v>35</v>
      </c>
      <c r="D37" t="str">
        <f t="shared" si="0"/>
        <v>HA</v>
      </c>
      <c r="F37" s="14" t="s">
        <v>183</v>
      </c>
      <c r="G37">
        <v>1</v>
      </c>
    </row>
    <row r="38" spans="1:7" x14ac:dyDescent="0.35">
      <c r="A38" s="6">
        <v>11</v>
      </c>
      <c r="B38" s="7">
        <v>4</v>
      </c>
      <c r="C38" s="8" t="s">
        <v>36</v>
      </c>
      <c r="D38" t="str">
        <f t="shared" si="0"/>
        <v>BD</v>
      </c>
      <c r="F38" s="14" t="s">
        <v>184</v>
      </c>
      <c r="G38">
        <v>1</v>
      </c>
    </row>
    <row r="39" spans="1:7" x14ac:dyDescent="0.35">
      <c r="A39" s="9">
        <v>15</v>
      </c>
      <c r="B39" s="10">
        <v>5</v>
      </c>
      <c r="C39" s="11" t="s">
        <v>37</v>
      </c>
      <c r="D39" t="str">
        <f t="shared" si="0"/>
        <v>AC</v>
      </c>
      <c r="F39" s="14" t="s">
        <v>185</v>
      </c>
      <c r="G39">
        <v>1</v>
      </c>
    </row>
    <row r="40" spans="1:7" x14ac:dyDescent="0.35">
      <c r="A40" s="6">
        <v>12</v>
      </c>
      <c r="B40" s="7">
        <v>1</v>
      </c>
      <c r="C40" s="8" t="s">
        <v>38</v>
      </c>
      <c r="D40" t="str">
        <f t="shared" si="0"/>
        <v>EB</v>
      </c>
      <c r="F40" s="14" t="s">
        <v>186</v>
      </c>
      <c r="G40">
        <v>2</v>
      </c>
    </row>
    <row r="41" spans="1:7" x14ac:dyDescent="0.35">
      <c r="A41" s="9">
        <v>2</v>
      </c>
      <c r="B41" s="10">
        <v>5</v>
      </c>
      <c r="C41" s="11" t="s">
        <v>39</v>
      </c>
      <c r="D41" t="str">
        <f t="shared" si="0"/>
        <v>CJ</v>
      </c>
      <c r="F41" s="14" t="s">
        <v>187</v>
      </c>
      <c r="G41">
        <v>1</v>
      </c>
    </row>
    <row r="42" spans="1:7" x14ac:dyDescent="0.35">
      <c r="A42" s="6">
        <v>11</v>
      </c>
      <c r="B42" s="7">
        <v>11</v>
      </c>
      <c r="C42" s="8" t="s">
        <v>40</v>
      </c>
      <c r="D42" t="str">
        <f t="shared" si="0"/>
        <v>MI</v>
      </c>
      <c r="F42" s="14" t="s">
        <v>188</v>
      </c>
      <c r="G42">
        <v>3</v>
      </c>
    </row>
    <row r="43" spans="1:7" x14ac:dyDescent="0.35">
      <c r="A43" s="9">
        <v>2</v>
      </c>
      <c r="B43" s="10">
        <v>3</v>
      </c>
      <c r="C43" s="11" t="s">
        <v>41</v>
      </c>
      <c r="D43" t="str">
        <f t="shared" si="0"/>
        <v>KK</v>
      </c>
      <c r="F43" s="14" t="s">
        <v>189</v>
      </c>
      <c r="G43">
        <v>3</v>
      </c>
    </row>
    <row r="44" spans="1:7" x14ac:dyDescent="0.35">
      <c r="A44" s="6">
        <v>6</v>
      </c>
      <c r="B44" s="7">
        <v>13</v>
      </c>
      <c r="C44" s="8" t="s">
        <v>42</v>
      </c>
      <c r="D44" t="str">
        <f t="shared" si="0"/>
        <v>MN</v>
      </c>
      <c r="F44" s="14" t="s">
        <v>190</v>
      </c>
      <c r="G44">
        <v>1</v>
      </c>
    </row>
    <row r="45" spans="1:7" x14ac:dyDescent="0.35">
      <c r="A45" s="9">
        <v>4</v>
      </c>
      <c r="B45" s="10">
        <v>11</v>
      </c>
      <c r="C45" s="11" t="s">
        <v>43</v>
      </c>
      <c r="D45" t="str">
        <f t="shared" si="0"/>
        <v>GL</v>
      </c>
      <c r="F45" s="14" t="s">
        <v>191</v>
      </c>
      <c r="G45">
        <v>1</v>
      </c>
    </row>
    <row r="46" spans="1:7" x14ac:dyDescent="0.35">
      <c r="A46" s="6">
        <v>7</v>
      </c>
      <c r="B46" s="7">
        <v>10</v>
      </c>
      <c r="C46" s="8" t="s">
        <v>44</v>
      </c>
      <c r="D46" t="str">
        <f t="shared" si="0"/>
        <v>DA</v>
      </c>
      <c r="F46" s="14" t="s">
        <v>192</v>
      </c>
      <c r="G46">
        <v>1</v>
      </c>
    </row>
    <row r="47" spans="1:7" x14ac:dyDescent="0.35">
      <c r="A47" s="9">
        <v>8</v>
      </c>
      <c r="B47" s="10">
        <v>6</v>
      </c>
      <c r="C47" s="11" t="s">
        <v>45</v>
      </c>
      <c r="D47" t="str">
        <f t="shared" si="0"/>
        <v>MK</v>
      </c>
      <c r="F47" s="14" t="s">
        <v>193</v>
      </c>
      <c r="G47">
        <v>1</v>
      </c>
    </row>
    <row r="48" spans="1:7" x14ac:dyDescent="0.35">
      <c r="A48" s="6">
        <v>3</v>
      </c>
      <c r="B48" s="7">
        <v>14</v>
      </c>
      <c r="C48" s="8" t="s">
        <v>46</v>
      </c>
      <c r="D48" t="str">
        <f t="shared" si="0"/>
        <v>NM</v>
      </c>
      <c r="F48" s="14" t="s">
        <v>194</v>
      </c>
      <c r="G48">
        <v>1</v>
      </c>
    </row>
    <row r="49" spans="1:7" x14ac:dyDescent="0.35">
      <c r="A49" s="9">
        <v>7</v>
      </c>
      <c r="B49" s="10">
        <v>13</v>
      </c>
      <c r="C49" s="11" t="s">
        <v>47</v>
      </c>
      <c r="D49" t="str">
        <f t="shared" si="0"/>
        <v>JM</v>
      </c>
      <c r="F49" s="14" t="s">
        <v>195</v>
      </c>
      <c r="G49">
        <v>1</v>
      </c>
    </row>
    <row r="50" spans="1:7" x14ac:dyDescent="0.35">
      <c r="A50" s="6">
        <v>15</v>
      </c>
      <c r="B50" s="7">
        <v>11</v>
      </c>
      <c r="C50" s="8" t="s">
        <v>48</v>
      </c>
      <c r="D50" t="str">
        <f t="shared" si="0"/>
        <v>BA</v>
      </c>
      <c r="F50" s="14" t="s">
        <v>196</v>
      </c>
      <c r="G50">
        <v>1</v>
      </c>
    </row>
    <row r="51" spans="1:7" x14ac:dyDescent="0.35">
      <c r="A51" s="9">
        <v>11</v>
      </c>
      <c r="B51" s="10">
        <v>8</v>
      </c>
      <c r="C51" s="11" t="s">
        <v>49</v>
      </c>
      <c r="D51" t="str">
        <f t="shared" si="0"/>
        <v>DE</v>
      </c>
      <c r="F51" s="14" t="s">
        <v>197</v>
      </c>
      <c r="G51">
        <v>1</v>
      </c>
    </row>
    <row r="52" spans="1:7" x14ac:dyDescent="0.35">
      <c r="A52" s="6">
        <v>6</v>
      </c>
      <c r="B52" s="7">
        <v>10</v>
      </c>
      <c r="C52" s="8" t="s">
        <v>50</v>
      </c>
      <c r="D52" t="str">
        <f t="shared" si="0"/>
        <v>AG</v>
      </c>
      <c r="F52" s="14" t="s">
        <v>198</v>
      </c>
      <c r="G52">
        <v>1</v>
      </c>
    </row>
    <row r="53" spans="1:7" x14ac:dyDescent="0.35">
      <c r="A53" s="9">
        <v>3</v>
      </c>
      <c r="B53" s="10">
        <v>12</v>
      </c>
      <c r="C53" s="11" t="s">
        <v>51</v>
      </c>
      <c r="D53" t="str">
        <f t="shared" si="0"/>
        <v>FC</v>
      </c>
      <c r="F53" s="14" t="s">
        <v>199</v>
      </c>
      <c r="G53">
        <v>2</v>
      </c>
    </row>
    <row r="54" spans="1:7" x14ac:dyDescent="0.35">
      <c r="A54" s="6">
        <v>13</v>
      </c>
      <c r="B54" s="7">
        <v>11</v>
      </c>
      <c r="C54" s="8" t="s">
        <v>52</v>
      </c>
      <c r="D54" t="str">
        <f t="shared" si="0"/>
        <v>DE</v>
      </c>
      <c r="F54" s="14" t="s">
        <v>200</v>
      </c>
      <c r="G54">
        <v>2</v>
      </c>
    </row>
    <row r="55" spans="1:7" x14ac:dyDescent="0.35">
      <c r="A55" s="9">
        <v>15</v>
      </c>
      <c r="B55" s="10">
        <v>12</v>
      </c>
      <c r="C55" s="11" t="s">
        <v>53</v>
      </c>
      <c r="D55" t="str">
        <f t="shared" si="0"/>
        <v>PJ</v>
      </c>
      <c r="F55" s="14" t="s">
        <v>201</v>
      </c>
      <c r="G55">
        <v>1</v>
      </c>
    </row>
    <row r="56" spans="1:7" x14ac:dyDescent="0.35">
      <c r="A56" s="6">
        <v>1</v>
      </c>
      <c r="B56" s="7">
        <v>13</v>
      </c>
      <c r="C56" s="8" t="s">
        <v>54</v>
      </c>
      <c r="D56" t="str">
        <f t="shared" si="0"/>
        <v>GK</v>
      </c>
      <c r="F56" s="14" t="s">
        <v>202</v>
      </c>
      <c r="G56">
        <v>1</v>
      </c>
    </row>
    <row r="57" spans="1:7" x14ac:dyDescent="0.35">
      <c r="A57" s="9">
        <v>15</v>
      </c>
      <c r="B57" s="10">
        <v>7</v>
      </c>
      <c r="C57" s="11" t="s">
        <v>55</v>
      </c>
      <c r="D57" t="str">
        <f t="shared" si="0"/>
        <v>BO</v>
      </c>
      <c r="F57" s="14" t="s">
        <v>203</v>
      </c>
      <c r="G57">
        <v>2</v>
      </c>
    </row>
    <row r="58" spans="1:7" x14ac:dyDescent="0.35">
      <c r="A58" s="6">
        <v>14</v>
      </c>
      <c r="B58" s="7">
        <v>10</v>
      </c>
      <c r="C58" s="8" t="s">
        <v>56</v>
      </c>
      <c r="D58" t="str">
        <f t="shared" si="0"/>
        <v>KK</v>
      </c>
      <c r="F58" s="14" t="s">
        <v>204</v>
      </c>
      <c r="G58">
        <v>1</v>
      </c>
    </row>
    <row r="59" spans="1:7" x14ac:dyDescent="0.35">
      <c r="A59" s="9">
        <v>7</v>
      </c>
      <c r="B59" s="10">
        <v>1</v>
      </c>
      <c r="C59" s="11" t="s">
        <v>57</v>
      </c>
      <c r="D59" t="str">
        <f t="shared" si="0"/>
        <v>AI</v>
      </c>
      <c r="F59" s="14" t="s">
        <v>205</v>
      </c>
      <c r="G59">
        <v>1</v>
      </c>
    </row>
    <row r="60" spans="1:7" x14ac:dyDescent="0.35">
      <c r="A60" s="6">
        <v>7</v>
      </c>
      <c r="B60" s="7">
        <v>5</v>
      </c>
      <c r="C60" s="8" t="s">
        <v>58</v>
      </c>
      <c r="D60" t="str">
        <f t="shared" si="0"/>
        <v>KJ</v>
      </c>
      <c r="F60" s="14" t="s">
        <v>206</v>
      </c>
      <c r="G60">
        <v>1</v>
      </c>
    </row>
    <row r="61" spans="1:7" x14ac:dyDescent="0.35">
      <c r="A61" s="9">
        <v>6</v>
      </c>
      <c r="B61" s="10">
        <v>1</v>
      </c>
      <c r="C61" s="11" t="s">
        <v>59</v>
      </c>
      <c r="D61" t="str">
        <f t="shared" si="0"/>
        <v>DL</v>
      </c>
      <c r="F61" s="14" t="s">
        <v>207</v>
      </c>
      <c r="G61">
        <v>1</v>
      </c>
    </row>
    <row r="62" spans="1:7" x14ac:dyDescent="0.35">
      <c r="A62" s="6">
        <v>3</v>
      </c>
      <c r="B62" s="7">
        <v>12</v>
      </c>
      <c r="C62" s="8" t="s">
        <v>60</v>
      </c>
      <c r="D62" t="str">
        <f t="shared" si="0"/>
        <v>JI</v>
      </c>
      <c r="F62" s="14" t="s">
        <v>208</v>
      </c>
      <c r="G62">
        <v>2</v>
      </c>
    </row>
    <row r="63" spans="1:7" x14ac:dyDescent="0.35">
      <c r="A63" s="9">
        <v>15</v>
      </c>
      <c r="B63" s="10">
        <v>14</v>
      </c>
      <c r="C63" s="11" t="s">
        <v>61</v>
      </c>
      <c r="D63" t="str">
        <f t="shared" si="0"/>
        <v>KK</v>
      </c>
      <c r="F63" s="14" t="s">
        <v>209</v>
      </c>
      <c r="G63">
        <v>1</v>
      </c>
    </row>
    <row r="64" spans="1:7" x14ac:dyDescent="0.35">
      <c r="A64" s="6">
        <v>3</v>
      </c>
      <c r="B64" s="7">
        <v>9</v>
      </c>
      <c r="C64" s="8" t="s">
        <v>62</v>
      </c>
      <c r="D64" t="str">
        <f t="shared" si="0"/>
        <v>HP</v>
      </c>
      <c r="F64" s="14" t="s">
        <v>210</v>
      </c>
      <c r="G64">
        <v>1</v>
      </c>
    </row>
    <row r="65" spans="1:7" x14ac:dyDescent="0.35">
      <c r="A65" s="9">
        <v>8</v>
      </c>
      <c r="B65" s="10">
        <v>11</v>
      </c>
      <c r="C65" s="11" t="s">
        <v>63</v>
      </c>
      <c r="D65" t="str">
        <f t="shared" si="0"/>
        <v>FI</v>
      </c>
      <c r="F65" s="14" t="s">
        <v>211</v>
      </c>
      <c r="G65">
        <v>1</v>
      </c>
    </row>
    <row r="66" spans="1:7" x14ac:dyDescent="0.35">
      <c r="A66" s="6">
        <v>5</v>
      </c>
      <c r="B66" s="7">
        <v>15</v>
      </c>
      <c r="C66" s="8" t="s">
        <v>64</v>
      </c>
      <c r="D66" t="str">
        <f t="shared" si="0"/>
        <v>NM</v>
      </c>
      <c r="F66" s="14" t="s">
        <v>212</v>
      </c>
      <c r="G66">
        <v>1</v>
      </c>
    </row>
    <row r="67" spans="1:7" x14ac:dyDescent="0.35">
      <c r="A67" s="9">
        <v>2</v>
      </c>
      <c r="B67" s="10">
        <v>4</v>
      </c>
      <c r="C67" s="11" t="s">
        <v>65</v>
      </c>
      <c r="D67" t="str">
        <f t="shared" ref="D67:D130" si="1">LEFT(C67,2)</f>
        <v>PM</v>
      </c>
      <c r="F67" s="14" t="s">
        <v>213</v>
      </c>
      <c r="G67">
        <v>2</v>
      </c>
    </row>
    <row r="68" spans="1:7" x14ac:dyDescent="0.35">
      <c r="A68" s="6">
        <v>14</v>
      </c>
      <c r="B68" s="7">
        <v>9</v>
      </c>
      <c r="C68" s="8" t="s">
        <v>66</v>
      </c>
      <c r="D68" t="str">
        <f t="shared" si="1"/>
        <v>JM</v>
      </c>
      <c r="F68" s="14" t="s">
        <v>214</v>
      </c>
      <c r="G68">
        <v>1</v>
      </c>
    </row>
    <row r="69" spans="1:7" x14ac:dyDescent="0.35">
      <c r="A69" s="9">
        <v>7</v>
      </c>
      <c r="B69" s="10">
        <v>7</v>
      </c>
      <c r="C69" s="11" t="s">
        <v>67</v>
      </c>
      <c r="D69" t="str">
        <f t="shared" si="1"/>
        <v>PK</v>
      </c>
      <c r="F69" s="14" t="s">
        <v>215</v>
      </c>
      <c r="G69">
        <v>2</v>
      </c>
    </row>
    <row r="70" spans="1:7" x14ac:dyDescent="0.35">
      <c r="A70" s="6">
        <v>14</v>
      </c>
      <c r="B70" s="7">
        <v>6</v>
      </c>
      <c r="C70" s="8" t="s">
        <v>68</v>
      </c>
      <c r="D70" t="str">
        <f t="shared" si="1"/>
        <v>PM</v>
      </c>
      <c r="F70" s="14" t="s">
        <v>216</v>
      </c>
      <c r="G70">
        <v>1</v>
      </c>
    </row>
    <row r="71" spans="1:7" x14ac:dyDescent="0.35">
      <c r="A71" s="9">
        <v>11</v>
      </c>
      <c r="B71" s="10">
        <v>12</v>
      </c>
      <c r="C71" s="11" t="s">
        <v>69</v>
      </c>
      <c r="D71" t="str">
        <f t="shared" si="1"/>
        <v>BC</v>
      </c>
      <c r="F71" s="14" t="s">
        <v>217</v>
      </c>
      <c r="G71">
        <v>1</v>
      </c>
    </row>
    <row r="72" spans="1:7" x14ac:dyDescent="0.35">
      <c r="A72" s="6">
        <v>2</v>
      </c>
      <c r="B72" s="7">
        <v>4</v>
      </c>
      <c r="C72" s="8" t="s">
        <v>70</v>
      </c>
      <c r="D72" t="str">
        <f t="shared" si="1"/>
        <v>OJ</v>
      </c>
      <c r="F72" s="14" t="s">
        <v>218</v>
      </c>
      <c r="G72">
        <v>1</v>
      </c>
    </row>
    <row r="73" spans="1:7" x14ac:dyDescent="0.35">
      <c r="A73" s="9">
        <v>11</v>
      </c>
      <c r="B73" s="10">
        <v>15</v>
      </c>
      <c r="C73" s="11" t="s">
        <v>71</v>
      </c>
      <c r="D73" t="str">
        <f t="shared" si="1"/>
        <v>EH</v>
      </c>
      <c r="F73" s="14" t="s">
        <v>219</v>
      </c>
      <c r="G73">
        <v>3</v>
      </c>
    </row>
    <row r="74" spans="1:7" x14ac:dyDescent="0.35">
      <c r="A74" s="6">
        <v>4</v>
      </c>
      <c r="B74" s="7">
        <v>3</v>
      </c>
      <c r="C74" s="8" t="s">
        <v>72</v>
      </c>
      <c r="D74" t="str">
        <f t="shared" si="1"/>
        <v>JN</v>
      </c>
      <c r="F74" s="14" t="s">
        <v>220</v>
      </c>
      <c r="G74">
        <v>1</v>
      </c>
    </row>
    <row r="75" spans="1:7" x14ac:dyDescent="0.35">
      <c r="A75" s="9">
        <v>3</v>
      </c>
      <c r="B75" s="10">
        <v>12</v>
      </c>
      <c r="C75" s="11" t="s">
        <v>73</v>
      </c>
      <c r="D75" t="str">
        <f t="shared" si="1"/>
        <v>KI</v>
      </c>
      <c r="F75" s="14" t="s">
        <v>221</v>
      </c>
      <c r="G75">
        <v>1</v>
      </c>
    </row>
    <row r="76" spans="1:7" x14ac:dyDescent="0.35">
      <c r="A76" s="6">
        <v>2</v>
      </c>
      <c r="B76" s="7">
        <v>7</v>
      </c>
      <c r="C76" s="8" t="s">
        <v>74</v>
      </c>
      <c r="D76" t="str">
        <f t="shared" si="1"/>
        <v>MF</v>
      </c>
      <c r="F76" s="14" t="s">
        <v>222</v>
      </c>
      <c r="G76">
        <v>1</v>
      </c>
    </row>
    <row r="77" spans="1:7" x14ac:dyDescent="0.35">
      <c r="A77" s="9">
        <v>13</v>
      </c>
      <c r="B77" s="10">
        <v>7</v>
      </c>
      <c r="C77" s="11" t="s">
        <v>75</v>
      </c>
      <c r="D77" t="str">
        <f t="shared" si="1"/>
        <v>LN</v>
      </c>
      <c r="F77" s="14" t="s">
        <v>223</v>
      </c>
      <c r="G77">
        <v>2</v>
      </c>
    </row>
    <row r="78" spans="1:7" x14ac:dyDescent="0.35">
      <c r="A78" s="6">
        <v>3</v>
      </c>
      <c r="B78" s="7">
        <v>12</v>
      </c>
      <c r="C78" s="8" t="s">
        <v>76</v>
      </c>
      <c r="D78" t="str">
        <f t="shared" si="1"/>
        <v>CN</v>
      </c>
      <c r="F78" s="14" t="s">
        <v>224</v>
      </c>
      <c r="G78">
        <v>2</v>
      </c>
    </row>
    <row r="79" spans="1:7" x14ac:dyDescent="0.35">
      <c r="A79" s="9">
        <v>9</v>
      </c>
      <c r="B79" s="10">
        <v>9</v>
      </c>
      <c r="C79" s="11" t="s">
        <v>77</v>
      </c>
      <c r="D79" t="str">
        <f t="shared" si="1"/>
        <v>JM</v>
      </c>
      <c r="F79" s="14" t="s">
        <v>225</v>
      </c>
      <c r="G79">
        <v>3</v>
      </c>
    </row>
    <row r="80" spans="1:7" x14ac:dyDescent="0.35">
      <c r="A80" s="6">
        <v>13</v>
      </c>
      <c r="B80" s="7">
        <v>3</v>
      </c>
      <c r="C80" s="8" t="s">
        <v>78</v>
      </c>
      <c r="D80" t="str">
        <f t="shared" si="1"/>
        <v>AA</v>
      </c>
      <c r="F80" s="14" t="s">
        <v>226</v>
      </c>
      <c r="G80">
        <v>1</v>
      </c>
    </row>
    <row r="81" spans="1:7" x14ac:dyDescent="0.35">
      <c r="A81" s="9">
        <v>7</v>
      </c>
      <c r="B81" s="10">
        <v>2</v>
      </c>
      <c r="C81" s="11" t="s">
        <v>79</v>
      </c>
      <c r="D81" t="str">
        <f t="shared" si="1"/>
        <v>OI</v>
      </c>
      <c r="F81" s="14" t="s">
        <v>227</v>
      </c>
      <c r="G81">
        <v>1</v>
      </c>
    </row>
    <row r="82" spans="1:7" x14ac:dyDescent="0.35">
      <c r="A82" s="6">
        <v>13</v>
      </c>
      <c r="B82" s="7">
        <v>4</v>
      </c>
      <c r="C82" s="8" t="s">
        <v>80</v>
      </c>
      <c r="D82" t="str">
        <f t="shared" si="1"/>
        <v>HA</v>
      </c>
      <c r="F82" s="14" t="s">
        <v>228</v>
      </c>
      <c r="G82">
        <v>1</v>
      </c>
    </row>
    <row r="83" spans="1:7" x14ac:dyDescent="0.35">
      <c r="A83" s="9">
        <v>4</v>
      </c>
      <c r="B83" s="10">
        <v>12</v>
      </c>
      <c r="C83" s="11" t="s">
        <v>81</v>
      </c>
      <c r="D83" t="str">
        <f t="shared" si="1"/>
        <v>GA</v>
      </c>
      <c r="F83" s="14" t="s">
        <v>229</v>
      </c>
      <c r="G83">
        <v>1</v>
      </c>
    </row>
    <row r="84" spans="1:7" x14ac:dyDescent="0.35">
      <c r="A84" s="6">
        <v>7</v>
      </c>
      <c r="B84" s="7">
        <v>8</v>
      </c>
      <c r="C84" s="8" t="s">
        <v>82</v>
      </c>
      <c r="D84" t="str">
        <f t="shared" si="1"/>
        <v>LM</v>
      </c>
      <c r="F84" s="14" t="s">
        <v>230</v>
      </c>
      <c r="G84">
        <v>1</v>
      </c>
    </row>
    <row r="85" spans="1:7" x14ac:dyDescent="0.35">
      <c r="A85" s="9">
        <v>3</v>
      </c>
      <c r="B85" s="10">
        <v>12</v>
      </c>
      <c r="C85" s="11" t="s">
        <v>83</v>
      </c>
      <c r="D85" t="str">
        <f t="shared" si="1"/>
        <v>AE</v>
      </c>
      <c r="F85" s="14" t="s">
        <v>231</v>
      </c>
      <c r="G85">
        <v>1</v>
      </c>
    </row>
    <row r="86" spans="1:7" x14ac:dyDescent="0.35">
      <c r="A86" s="6">
        <v>4</v>
      </c>
      <c r="B86" s="7">
        <v>11</v>
      </c>
      <c r="C86" s="8" t="s">
        <v>84</v>
      </c>
      <c r="D86" t="str">
        <f t="shared" si="1"/>
        <v>GF</v>
      </c>
      <c r="F86" s="14" t="s">
        <v>232</v>
      </c>
      <c r="G86">
        <v>1</v>
      </c>
    </row>
    <row r="87" spans="1:7" x14ac:dyDescent="0.35">
      <c r="A87" s="9">
        <v>7</v>
      </c>
      <c r="B87" s="10">
        <v>1</v>
      </c>
      <c r="C87" s="11" t="s">
        <v>85</v>
      </c>
      <c r="D87" t="str">
        <f t="shared" si="1"/>
        <v>EF</v>
      </c>
      <c r="F87" s="14" t="s">
        <v>233</v>
      </c>
      <c r="G87">
        <v>3</v>
      </c>
    </row>
    <row r="88" spans="1:7" x14ac:dyDescent="0.35">
      <c r="A88" s="6">
        <v>3</v>
      </c>
      <c r="B88" s="7">
        <v>9</v>
      </c>
      <c r="C88" s="8" t="s">
        <v>86</v>
      </c>
      <c r="D88" t="str">
        <f t="shared" si="1"/>
        <v>PO</v>
      </c>
      <c r="F88" s="14" t="s">
        <v>234</v>
      </c>
      <c r="G88">
        <v>2</v>
      </c>
    </row>
    <row r="89" spans="1:7" x14ac:dyDescent="0.35">
      <c r="A89" s="9">
        <v>1</v>
      </c>
      <c r="B89" s="10">
        <v>4</v>
      </c>
      <c r="C89" s="11" t="s">
        <v>87</v>
      </c>
      <c r="D89" t="str">
        <f t="shared" si="1"/>
        <v>NH</v>
      </c>
      <c r="F89" s="14" t="s">
        <v>235</v>
      </c>
      <c r="G89">
        <v>1</v>
      </c>
    </row>
    <row r="90" spans="1:7" x14ac:dyDescent="0.35">
      <c r="A90" s="6">
        <v>14</v>
      </c>
      <c r="B90" s="7">
        <v>3</v>
      </c>
      <c r="C90" s="8" t="s">
        <v>88</v>
      </c>
      <c r="D90" t="str">
        <f t="shared" si="1"/>
        <v>AG</v>
      </c>
      <c r="F90" s="14" t="s">
        <v>236</v>
      </c>
      <c r="G90">
        <v>1</v>
      </c>
    </row>
    <row r="91" spans="1:7" x14ac:dyDescent="0.35">
      <c r="A91" s="9">
        <v>5</v>
      </c>
      <c r="B91" s="10">
        <v>12</v>
      </c>
      <c r="C91" s="11" t="s">
        <v>89</v>
      </c>
      <c r="D91" t="str">
        <f t="shared" si="1"/>
        <v>DM</v>
      </c>
      <c r="F91" s="14" t="s">
        <v>237</v>
      </c>
      <c r="G91">
        <v>1</v>
      </c>
    </row>
    <row r="92" spans="1:7" x14ac:dyDescent="0.35">
      <c r="A92" s="6">
        <v>4</v>
      </c>
      <c r="B92" s="7">
        <v>9</v>
      </c>
      <c r="C92" s="8" t="s">
        <v>90</v>
      </c>
      <c r="D92" t="str">
        <f t="shared" si="1"/>
        <v>LM</v>
      </c>
      <c r="F92" s="14" t="s">
        <v>238</v>
      </c>
      <c r="G92">
        <v>1</v>
      </c>
    </row>
    <row r="93" spans="1:7" x14ac:dyDescent="0.35">
      <c r="A93" s="9">
        <v>5</v>
      </c>
      <c r="B93" s="10">
        <v>4</v>
      </c>
      <c r="C93" s="11" t="s">
        <v>91</v>
      </c>
      <c r="D93" t="str">
        <f t="shared" si="1"/>
        <v>EH</v>
      </c>
      <c r="F93" s="14" t="s">
        <v>239</v>
      </c>
      <c r="G93">
        <v>1</v>
      </c>
    </row>
    <row r="94" spans="1:7" x14ac:dyDescent="0.35">
      <c r="A94" s="6">
        <v>6</v>
      </c>
      <c r="B94" s="7">
        <v>8</v>
      </c>
      <c r="C94" s="8" t="s">
        <v>92</v>
      </c>
      <c r="D94" t="str">
        <f t="shared" si="1"/>
        <v>HC</v>
      </c>
      <c r="F94" s="14" t="s">
        <v>240</v>
      </c>
      <c r="G94">
        <v>2</v>
      </c>
    </row>
    <row r="95" spans="1:7" x14ac:dyDescent="0.35">
      <c r="A95" s="9">
        <v>8</v>
      </c>
      <c r="B95" s="10">
        <v>14</v>
      </c>
      <c r="C95" s="11" t="s">
        <v>93</v>
      </c>
      <c r="D95" t="str">
        <f t="shared" si="1"/>
        <v>BL</v>
      </c>
      <c r="F95" s="14" t="s">
        <v>241</v>
      </c>
      <c r="G95">
        <v>1</v>
      </c>
    </row>
    <row r="96" spans="1:7" x14ac:dyDescent="0.35">
      <c r="A96" s="6">
        <v>15</v>
      </c>
      <c r="B96" s="7">
        <v>11</v>
      </c>
      <c r="C96" s="8" t="s">
        <v>94</v>
      </c>
      <c r="D96" t="str">
        <f t="shared" si="1"/>
        <v>FG</v>
      </c>
      <c r="F96" s="14" t="s">
        <v>242</v>
      </c>
      <c r="G96">
        <v>3</v>
      </c>
    </row>
    <row r="97" spans="1:7" x14ac:dyDescent="0.35">
      <c r="A97" s="9">
        <v>1</v>
      </c>
      <c r="B97" s="10">
        <v>1</v>
      </c>
      <c r="C97" s="11" t="s">
        <v>95</v>
      </c>
      <c r="D97" t="str">
        <f t="shared" si="1"/>
        <v>IC</v>
      </c>
      <c r="F97" s="14" t="s">
        <v>243</v>
      </c>
      <c r="G97">
        <v>2</v>
      </c>
    </row>
    <row r="98" spans="1:7" x14ac:dyDescent="0.35">
      <c r="A98" s="6">
        <v>14</v>
      </c>
      <c r="B98" s="7">
        <v>15</v>
      </c>
      <c r="C98" s="8" t="s">
        <v>96</v>
      </c>
      <c r="D98" t="str">
        <f t="shared" si="1"/>
        <v>JK</v>
      </c>
      <c r="F98" s="14" t="s">
        <v>244</v>
      </c>
      <c r="G98">
        <v>3</v>
      </c>
    </row>
    <row r="99" spans="1:7" x14ac:dyDescent="0.35">
      <c r="A99" s="9">
        <v>6</v>
      </c>
      <c r="B99" s="10">
        <v>7</v>
      </c>
      <c r="C99" s="11" t="s">
        <v>97</v>
      </c>
      <c r="D99" t="str">
        <f t="shared" si="1"/>
        <v>CL</v>
      </c>
      <c r="F99" s="14" t="s">
        <v>245</v>
      </c>
      <c r="G99">
        <v>1</v>
      </c>
    </row>
    <row r="100" spans="1:7" x14ac:dyDescent="0.35">
      <c r="A100" s="6">
        <v>7</v>
      </c>
      <c r="B100" s="7">
        <v>11</v>
      </c>
      <c r="C100" s="8" t="s">
        <v>98</v>
      </c>
      <c r="D100" t="str">
        <f t="shared" si="1"/>
        <v>NP</v>
      </c>
      <c r="F100" s="14" t="s">
        <v>246</v>
      </c>
      <c r="G100">
        <v>1</v>
      </c>
    </row>
    <row r="101" spans="1:7" x14ac:dyDescent="0.35">
      <c r="A101" s="9">
        <v>10</v>
      </c>
      <c r="B101" s="10">
        <v>11</v>
      </c>
      <c r="C101" s="11" t="s">
        <v>99</v>
      </c>
      <c r="D101" t="str">
        <f t="shared" si="1"/>
        <v>PI</v>
      </c>
      <c r="F101" s="14" t="s">
        <v>247</v>
      </c>
      <c r="G101">
        <v>1</v>
      </c>
    </row>
    <row r="102" spans="1:7" x14ac:dyDescent="0.35">
      <c r="A102" s="6">
        <v>5</v>
      </c>
      <c r="B102" s="7">
        <v>6</v>
      </c>
      <c r="C102" s="8" t="s">
        <v>100</v>
      </c>
      <c r="D102" t="str">
        <f t="shared" si="1"/>
        <v>GA</v>
      </c>
      <c r="F102" s="14" t="s">
        <v>248</v>
      </c>
      <c r="G102">
        <v>1</v>
      </c>
    </row>
    <row r="103" spans="1:7" x14ac:dyDescent="0.35">
      <c r="A103" s="9">
        <v>13</v>
      </c>
      <c r="B103" s="10">
        <v>7</v>
      </c>
      <c r="C103" s="11" t="s">
        <v>101</v>
      </c>
      <c r="D103" t="str">
        <f t="shared" si="1"/>
        <v>AH</v>
      </c>
      <c r="F103" s="14" t="s">
        <v>249</v>
      </c>
      <c r="G103">
        <v>1</v>
      </c>
    </row>
    <row r="104" spans="1:7" x14ac:dyDescent="0.35">
      <c r="A104" s="6">
        <v>2</v>
      </c>
      <c r="B104" s="7">
        <v>9</v>
      </c>
      <c r="C104" s="8" t="s">
        <v>102</v>
      </c>
      <c r="D104" t="str">
        <f t="shared" si="1"/>
        <v>IJ</v>
      </c>
      <c r="F104" s="14" t="s">
        <v>250</v>
      </c>
      <c r="G104">
        <v>1</v>
      </c>
    </row>
    <row r="105" spans="1:7" x14ac:dyDescent="0.35">
      <c r="A105" s="9">
        <v>9</v>
      </c>
      <c r="B105" s="10">
        <v>11</v>
      </c>
      <c r="C105" s="11" t="s">
        <v>103</v>
      </c>
      <c r="D105" t="str">
        <f t="shared" si="1"/>
        <v>CC</v>
      </c>
      <c r="F105" s="14" t="s">
        <v>251</v>
      </c>
      <c r="G105">
        <v>1</v>
      </c>
    </row>
    <row r="106" spans="1:7" x14ac:dyDescent="0.35">
      <c r="A106" s="6">
        <v>8</v>
      </c>
      <c r="B106" s="7">
        <v>3</v>
      </c>
      <c r="C106" s="8" t="s">
        <v>104</v>
      </c>
      <c r="D106" t="str">
        <f t="shared" si="1"/>
        <v>AF</v>
      </c>
      <c r="F106" s="14" t="s">
        <v>252</v>
      </c>
      <c r="G106">
        <v>1</v>
      </c>
    </row>
    <row r="107" spans="1:7" x14ac:dyDescent="0.35">
      <c r="A107" s="9">
        <v>1</v>
      </c>
      <c r="B107" s="10">
        <v>6</v>
      </c>
      <c r="C107" s="11" t="s">
        <v>105</v>
      </c>
      <c r="D107" t="str">
        <f t="shared" si="1"/>
        <v>MN</v>
      </c>
      <c r="F107" s="14" t="s">
        <v>253</v>
      </c>
      <c r="G107">
        <v>1</v>
      </c>
    </row>
    <row r="108" spans="1:7" x14ac:dyDescent="0.35">
      <c r="A108" s="6">
        <v>10</v>
      </c>
      <c r="B108" s="7">
        <v>9</v>
      </c>
      <c r="C108" s="8" t="s">
        <v>106</v>
      </c>
      <c r="D108" t="str">
        <f t="shared" si="1"/>
        <v>LP</v>
      </c>
      <c r="F108" s="14" t="s">
        <v>254</v>
      </c>
      <c r="G108">
        <v>1</v>
      </c>
    </row>
    <row r="109" spans="1:7" x14ac:dyDescent="0.35">
      <c r="A109" s="9">
        <v>2</v>
      </c>
      <c r="B109" s="10">
        <v>11</v>
      </c>
      <c r="C109" s="11" t="s">
        <v>107</v>
      </c>
      <c r="D109" t="str">
        <f t="shared" si="1"/>
        <v>OD</v>
      </c>
      <c r="F109" s="14" t="s">
        <v>255</v>
      </c>
      <c r="G109">
        <v>1</v>
      </c>
    </row>
    <row r="110" spans="1:7" x14ac:dyDescent="0.35">
      <c r="A110" s="6">
        <v>6</v>
      </c>
      <c r="B110" s="7">
        <v>12</v>
      </c>
      <c r="C110" s="8" t="s">
        <v>108</v>
      </c>
      <c r="D110" t="str">
        <f t="shared" si="1"/>
        <v>KN</v>
      </c>
      <c r="F110" s="14" t="s">
        <v>256</v>
      </c>
      <c r="G110">
        <v>1</v>
      </c>
    </row>
    <row r="111" spans="1:7" x14ac:dyDescent="0.35">
      <c r="A111" s="9">
        <v>2</v>
      </c>
      <c r="B111" s="10">
        <v>14</v>
      </c>
      <c r="C111" s="11" t="s">
        <v>109</v>
      </c>
      <c r="D111" t="str">
        <f t="shared" si="1"/>
        <v>AH</v>
      </c>
      <c r="F111" s="14" t="s">
        <v>257</v>
      </c>
      <c r="G111">
        <v>2</v>
      </c>
    </row>
    <row r="112" spans="1:7" x14ac:dyDescent="0.35">
      <c r="A112" s="6">
        <v>4</v>
      </c>
      <c r="B112" s="7">
        <v>2</v>
      </c>
      <c r="C112" s="8" t="s">
        <v>110</v>
      </c>
      <c r="D112" t="str">
        <f t="shared" si="1"/>
        <v>CA</v>
      </c>
      <c r="F112" s="14" t="s">
        <v>258</v>
      </c>
      <c r="G112">
        <v>1</v>
      </c>
    </row>
    <row r="113" spans="1:7" x14ac:dyDescent="0.35">
      <c r="A113" s="9">
        <v>9</v>
      </c>
      <c r="B113" s="10">
        <v>8</v>
      </c>
      <c r="C113" s="11" t="s">
        <v>111</v>
      </c>
      <c r="D113" t="str">
        <f t="shared" si="1"/>
        <v>EP</v>
      </c>
      <c r="F113" s="14" t="s">
        <v>148</v>
      </c>
      <c r="G113">
        <v>144</v>
      </c>
    </row>
    <row r="114" spans="1:7" x14ac:dyDescent="0.35">
      <c r="A114" s="6">
        <v>2</v>
      </c>
      <c r="B114" s="7">
        <v>4</v>
      </c>
      <c r="C114" s="8" t="s">
        <v>112</v>
      </c>
      <c r="D114" t="str">
        <f t="shared" si="1"/>
        <v>EF</v>
      </c>
    </row>
    <row r="115" spans="1:7" x14ac:dyDescent="0.35">
      <c r="A115" s="9">
        <v>11</v>
      </c>
      <c r="B115" s="10">
        <v>11</v>
      </c>
      <c r="C115" s="11" t="s">
        <v>113</v>
      </c>
      <c r="D115" t="str">
        <f t="shared" si="1"/>
        <v>AN</v>
      </c>
    </row>
    <row r="116" spans="1:7" x14ac:dyDescent="0.35">
      <c r="A116" s="6">
        <v>8</v>
      </c>
      <c r="B116" s="7">
        <v>1</v>
      </c>
      <c r="C116" s="8" t="s">
        <v>114</v>
      </c>
      <c r="D116" t="str">
        <f t="shared" si="1"/>
        <v>LE</v>
      </c>
    </row>
    <row r="117" spans="1:7" x14ac:dyDescent="0.35">
      <c r="A117" s="9">
        <v>13</v>
      </c>
      <c r="B117" s="10">
        <v>9</v>
      </c>
      <c r="C117" s="11" t="s">
        <v>115</v>
      </c>
      <c r="D117" t="str">
        <f t="shared" si="1"/>
        <v>LM</v>
      </c>
    </row>
    <row r="118" spans="1:7" x14ac:dyDescent="0.35">
      <c r="A118" s="6">
        <v>7</v>
      </c>
      <c r="B118" s="7">
        <v>13</v>
      </c>
      <c r="C118" s="8" t="s">
        <v>116</v>
      </c>
      <c r="D118" t="str">
        <f t="shared" si="1"/>
        <v>CO</v>
      </c>
    </row>
    <row r="119" spans="1:7" x14ac:dyDescent="0.35">
      <c r="A119" s="9">
        <v>7</v>
      </c>
      <c r="B119" s="10">
        <v>11</v>
      </c>
      <c r="C119" s="11" t="s">
        <v>117</v>
      </c>
      <c r="D119" t="str">
        <f t="shared" si="1"/>
        <v>GB</v>
      </c>
    </row>
    <row r="120" spans="1:7" x14ac:dyDescent="0.35">
      <c r="A120" s="6">
        <v>9</v>
      </c>
      <c r="B120" s="7">
        <v>11</v>
      </c>
      <c r="C120" s="8" t="s">
        <v>118</v>
      </c>
      <c r="D120" t="str">
        <f t="shared" si="1"/>
        <v>HF</v>
      </c>
    </row>
    <row r="121" spans="1:7" x14ac:dyDescent="0.35">
      <c r="A121" s="9">
        <v>6</v>
      </c>
      <c r="B121" s="10">
        <v>1</v>
      </c>
      <c r="C121" s="11" t="s">
        <v>119</v>
      </c>
      <c r="D121" t="str">
        <f t="shared" si="1"/>
        <v>LA</v>
      </c>
    </row>
    <row r="122" spans="1:7" x14ac:dyDescent="0.35">
      <c r="A122" s="6">
        <v>14</v>
      </c>
      <c r="B122" s="7">
        <v>6</v>
      </c>
      <c r="C122" s="8" t="s">
        <v>120</v>
      </c>
      <c r="D122" t="str">
        <f t="shared" si="1"/>
        <v>LL</v>
      </c>
    </row>
    <row r="123" spans="1:7" x14ac:dyDescent="0.35">
      <c r="A123" s="9">
        <v>14</v>
      </c>
      <c r="B123" s="10">
        <v>10</v>
      </c>
      <c r="C123" s="11" t="s">
        <v>121</v>
      </c>
      <c r="D123" t="str">
        <f t="shared" si="1"/>
        <v>EG</v>
      </c>
    </row>
    <row r="124" spans="1:7" x14ac:dyDescent="0.35">
      <c r="A124" s="6">
        <v>7</v>
      </c>
      <c r="B124" s="7">
        <v>7</v>
      </c>
      <c r="C124" s="8" t="s">
        <v>122</v>
      </c>
      <c r="D124" t="str">
        <f t="shared" si="1"/>
        <v>NH</v>
      </c>
    </row>
    <row r="125" spans="1:7" x14ac:dyDescent="0.35">
      <c r="A125" s="9">
        <v>11</v>
      </c>
      <c r="B125" s="10">
        <v>1</v>
      </c>
      <c r="C125" s="11" t="s">
        <v>123</v>
      </c>
      <c r="D125" t="str">
        <f t="shared" si="1"/>
        <v>LF</v>
      </c>
    </row>
    <row r="126" spans="1:7" x14ac:dyDescent="0.35">
      <c r="A126" s="6">
        <v>11</v>
      </c>
      <c r="B126" s="7">
        <v>3</v>
      </c>
      <c r="C126" s="8" t="s">
        <v>124</v>
      </c>
      <c r="D126" t="str">
        <f t="shared" si="1"/>
        <v>GB</v>
      </c>
    </row>
    <row r="127" spans="1:7" x14ac:dyDescent="0.35">
      <c r="A127" s="9">
        <v>11</v>
      </c>
      <c r="B127" s="10">
        <v>2</v>
      </c>
      <c r="C127" s="11" t="s">
        <v>125</v>
      </c>
      <c r="D127" t="str">
        <f t="shared" si="1"/>
        <v>PB</v>
      </c>
    </row>
    <row r="128" spans="1:7" x14ac:dyDescent="0.35">
      <c r="A128" s="6">
        <v>12</v>
      </c>
      <c r="B128" s="7">
        <v>2</v>
      </c>
      <c r="C128" s="8" t="s">
        <v>126</v>
      </c>
      <c r="D128" t="str">
        <f t="shared" si="1"/>
        <v>GH</v>
      </c>
    </row>
    <row r="129" spans="1:4" x14ac:dyDescent="0.35">
      <c r="A129" s="9">
        <v>3</v>
      </c>
      <c r="B129" s="10">
        <v>14</v>
      </c>
      <c r="C129" s="11" t="s">
        <v>127</v>
      </c>
      <c r="D129" t="str">
        <f t="shared" si="1"/>
        <v>FP</v>
      </c>
    </row>
    <row r="130" spans="1:4" x14ac:dyDescent="0.35">
      <c r="A130" s="6">
        <v>3</v>
      </c>
      <c r="B130" s="7">
        <v>6</v>
      </c>
      <c r="C130" s="8" t="s">
        <v>128</v>
      </c>
      <c r="D130" t="str">
        <f t="shared" si="1"/>
        <v>BM</v>
      </c>
    </row>
    <row r="131" spans="1:4" x14ac:dyDescent="0.35">
      <c r="A131" s="9">
        <v>12</v>
      </c>
      <c r="B131" s="10">
        <v>2</v>
      </c>
      <c r="C131" s="11" t="s">
        <v>129</v>
      </c>
      <c r="D131" t="str">
        <f t="shared" ref="D131:D145" si="2">LEFT(C131,2)</f>
        <v>FJ</v>
      </c>
    </row>
    <row r="132" spans="1:4" x14ac:dyDescent="0.35">
      <c r="A132" s="6">
        <v>7</v>
      </c>
      <c r="B132" s="7">
        <v>8</v>
      </c>
      <c r="C132" s="8" t="s">
        <v>130</v>
      </c>
      <c r="D132" t="str">
        <f t="shared" si="2"/>
        <v>FA</v>
      </c>
    </row>
    <row r="133" spans="1:4" x14ac:dyDescent="0.35">
      <c r="A133" s="9">
        <v>10</v>
      </c>
      <c r="B133" s="10">
        <v>12</v>
      </c>
      <c r="C133" s="11" t="s">
        <v>131</v>
      </c>
      <c r="D133" t="str">
        <f t="shared" si="2"/>
        <v>OO</v>
      </c>
    </row>
    <row r="134" spans="1:4" x14ac:dyDescent="0.35">
      <c r="A134" s="6">
        <v>2</v>
      </c>
      <c r="B134" s="7">
        <v>14</v>
      </c>
      <c r="C134" s="8" t="s">
        <v>132</v>
      </c>
      <c r="D134" t="str">
        <f t="shared" si="2"/>
        <v>NM</v>
      </c>
    </row>
    <row r="135" spans="1:4" x14ac:dyDescent="0.35">
      <c r="A135" s="9">
        <v>14</v>
      </c>
      <c r="B135" s="10">
        <v>11</v>
      </c>
      <c r="C135" s="11" t="s">
        <v>133</v>
      </c>
      <c r="D135" t="str">
        <f t="shared" si="2"/>
        <v>LN</v>
      </c>
    </row>
    <row r="136" spans="1:4" x14ac:dyDescent="0.35">
      <c r="A136" s="6">
        <v>9</v>
      </c>
      <c r="B136" s="7">
        <v>10</v>
      </c>
      <c r="C136" s="8" t="s">
        <v>134</v>
      </c>
      <c r="D136" t="str">
        <f t="shared" si="2"/>
        <v>NK</v>
      </c>
    </row>
    <row r="137" spans="1:4" x14ac:dyDescent="0.35">
      <c r="A137" s="9">
        <v>2</v>
      </c>
      <c r="B137" s="10">
        <v>14</v>
      </c>
      <c r="C137" s="11" t="s">
        <v>135</v>
      </c>
      <c r="D137" t="str">
        <f t="shared" si="2"/>
        <v>DH</v>
      </c>
    </row>
    <row r="138" spans="1:4" x14ac:dyDescent="0.35">
      <c r="A138" s="6">
        <v>11</v>
      </c>
      <c r="B138" s="7">
        <v>3</v>
      </c>
      <c r="C138" s="8" t="s">
        <v>136</v>
      </c>
      <c r="D138" t="str">
        <f t="shared" si="2"/>
        <v>IC</v>
      </c>
    </row>
    <row r="139" spans="1:4" x14ac:dyDescent="0.35">
      <c r="A139" s="9">
        <v>2</v>
      </c>
      <c r="B139" s="10">
        <v>1</v>
      </c>
      <c r="C139" s="11" t="s">
        <v>137</v>
      </c>
      <c r="D139" t="str">
        <f t="shared" si="2"/>
        <v>BA</v>
      </c>
    </row>
    <row r="140" spans="1:4" x14ac:dyDescent="0.35">
      <c r="A140" s="6">
        <v>14</v>
      </c>
      <c r="B140" s="7">
        <v>3</v>
      </c>
      <c r="C140" s="8" t="s">
        <v>138</v>
      </c>
      <c r="D140" t="str">
        <f t="shared" si="2"/>
        <v>GE</v>
      </c>
    </row>
    <row r="141" spans="1:4" x14ac:dyDescent="0.35">
      <c r="A141" s="9">
        <v>6</v>
      </c>
      <c r="B141" s="10">
        <v>6</v>
      </c>
      <c r="C141" s="11" t="s">
        <v>139</v>
      </c>
      <c r="D141" t="str">
        <f t="shared" si="2"/>
        <v>PA</v>
      </c>
    </row>
    <row r="142" spans="1:4" x14ac:dyDescent="0.35">
      <c r="A142" s="6">
        <v>5</v>
      </c>
      <c r="B142" s="7">
        <v>14</v>
      </c>
      <c r="C142" s="8" t="s">
        <v>140</v>
      </c>
      <c r="D142" t="str">
        <f t="shared" si="2"/>
        <v>EL</v>
      </c>
    </row>
    <row r="143" spans="1:4" x14ac:dyDescent="0.35">
      <c r="A143" s="9">
        <v>2</v>
      </c>
      <c r="B143" s="10">
        <v>8</v>
      </c>
      <c r="C143" s="11" t="s">
        <v>141</v>
      </c>
      <c r="D143" t="str">
        <f t="shared" si="2"/>
        <v>EL</v>
      </c>
    </row>
    <row r="144" spans="1:4" x14ac:dyDescent="0.35">
      <c r="A144" s="6">
        <v>10</v>
      </c>
      <c r="B144" s="7">
        <v>15</v>
      </c>
      <c r="C144" s="8" t="s">
        <v>142</v>
      </c>
      <c r="D144" t="str">
        <f t="shared" si="2"/>
        <v>NK</v>
      </c>
    </row>
    <row r="145" spans="1:4" x14ac:dyDescent="0.35">
      <c r="A145" s="1">
        <v>3</v>
      </c>
      <c r="B145" s="2">
        <v>15</v>
      </c>
      <c r="C145" s="12" t="s">
        <v>143</v>
      </c>
      <c r="D145" t="str">
        <f t="shared" si="2"/>
        <v>GM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8ACA7-DA43-4601-8C53-801AD711742E}">
  <dimension ref="A1:F145"/>
  <sheetViews>
    <sheetView topLeftCell="A109" workbookViewId="0">
      <selection activeCell="D115" sqref="D115"/>
    </sheetView>
  </sheetViews>
  <sheetFormatPr defaultRowHeight="14.5" x14ac:dyDescent="0.35"/>
  <cols>
    <col min="1" max="1" width="35.453125" bestFit="1" customWidth="1"/>
    <col min="2" max="2" width="10.54296875" bestFit="1" customWidth="1"/>
    <col min="3" max="3" width="14.90625" bestFit="1" customWidth="1"/>
    <col min="5" max="6" width="16.54296875" bestFit="1" customWidth="1"/>
    <col min="7" max="7" width="15.54296875" bestFit="1" customWidth="1"/>
  </cols>
  <sheetData>
    <row r="1" spans="1:6" x14ac:dyDescent="0.35">
      <c r="A1" s="3" t="s">
        <v>146</v>
      </c>
      <c r="B1" s="4" t="s">
        <v>145</v>
      </c>
      <c r="C1" s="5" t="s">
        <v>144</v>
      </c>
      <c r="D1" s="15" t="s">
        <v>260</v>
      </c>
      <c r="E1" s="15" t="s">
        <v>261</v>
      </c>
      <c r="F1" s="15" t="s">
        <v>262</v>
      </c>
    </row>
    <row r="2" spans="1:6" x14ac:dyDescent="0.35">
      <c r="A2" s="6">
        <v>3</v>
      </c>
      <c r="B2" s="7">
        <v>5</v>
      </c>
      <c r="C2" s="8" t="s">
        <v>0</v>
      </c>
      <c r="D2" s="16">
        <v>0.25208333333333333</v>
      </c>
      <c r="E2" s="17">
        <v>1</v>
      </c>
      <c r="F2">
        <f>SUM(E2:E115)</f>
        <v>114</v>
      </c>
    </row>
    <row r="3" spans="1:6" x14ac:dyDescent="0.35">
      <c r="A3" s="9">
        <v>12</v>
      </c>
      <c r="B3" s="10">
        <v>13</v>
      </c>
      <c r="C3" s="11" t="s">
        <v>1</v>
      </c>
      <c r="D3" s="16">
        <f>D2+TIME(0,A3,0)</f>
        <v>0.26041666666666669</v>
      </c>
      <c r="E3" s="17">
        <v>1</v>
      </c>
    </row>
    <row r="4" spans="1:6" x14ac:dyDescent="0.35">
      <c r="A4" s="6">
        <v>1</v>
      </c>
      <c r="B4" s="7">
        <v>10</v>
      </c>
      <c r="C4" s="8" t="s">
        <v>2</v>
      </c>
      <c r="D4" s="16">
        <f t="shared" ref="D4:D67" si="0">D3+TIME(0,A4,0)</f>
        <v>0.26111111111111113</v>
      </c>
      <c r="E4" s="17">
        <v>1</v>
      </c>
    </row>
    <row r="5" spans="1:6" x14ac:dyDescent="0.35">
      <c r="A5" s="9">
        <v>7</v>
      </c>
      <c r="B5" s="10">
        <v>2</v>
      </c>
      <c r="C5" s="11" t="s">
        <v>3</v>
      </c>
      <c r="D5" s="16">
        <f t="shared" si="0"/>
        <v>0.26597222222222222</v>
      </c>
      <c r="E5" s="17">
        <v>1</v>
      </c>
    </row>
    <row r="6" spans="1:6" x14ac:dyDescent="0.35">
      <c r="A6" s="6">
        <v>10</v>
      </c>
      <c r="B6" s="7">
        <v>7</v>
      </c>
      <c r="C6" s="8" t="s">
        <v>4</v>
      </c>
      <c r="D6" s="16">
        <f t="shared" si="0"/>
        <v>0.27291666666666664</v>
      </c>
      <c r="E6" s="17">
        <v>1</v>
      </c>
    </row>
    <row r="7" spans="1:6" x14ac:dyDescent="0.35">
      <c r="A7" s="9">
        <v>9</v>
      </c>
      <c r="B7" s="10">
        <v>14</v>
      </c>
      <c r="C7" s="11" t="s">
        <v>5</v>
      </c>
      <c r="D7" s="16">
        <f t="shared" si="0"/>
        <v>0.27916666666666662</v>
      </c>
      <c r="E7" s="17">
        <v>1</v>
      </c>
    </row>
    <row r="8" spans="1:6" x14ac:dyDescent="0.35">
      <c r="A8" s="6">
        <v>4</v>
      </c>
      <c r="B8" s="7">
        <v>10</v>
      </c>
      <c r="C8" s="8" t="s">
        <v>6</v>
      </c>
      <c r="D8" s="16">
        <f t="shared" si="0"/>
        <v>0.28194444444444439</v>
      </c>
      <c r="E8" s="17">
        <v>1</v>
      </c>
    </row>
    <row r="9" spans="1:6" x14ac:dyDescent="0.35">
      <c r="A9" s="9">
        <v>4</v>
      </c>
      <c r="B9" s="10">
        <v>7</v>
      </c>
      <c r="C9" s="11" t="s">
        <v>7</v>
      </c>
      <c r="D9" s="16">
        <f t="shared" si="0"/>
        <v>0.28472222222222215</v>
      </c>
      <c r="E9" s="17">
        <v>1</v>
      </c>
    </row>
    <row r="10" spans="1:6" x14ac:dyDescent="0.35">
      <c r="A10" s="6">
        <v>3</v>
      </c>
      <c r="B10" s="7">
        <v>2</v>
      </c>
      <c r="C10" s="8" t="s">
        <v>8</v>
      </c>
      <c r="D10" s="16">
        <f t="shared" si="0"/>
        <v>0.28680555555555548</v>
      </c>
      <c r="E10" s="17">
        <v>1</v>
      </c>
    </row>
    <row r="11" spans="1:6" x14ac:dyDescent="0.35">
      <c r="A11" s="9">
        <v>7</v>
      </c>
      <c r="B11" s="10">
        <v>12</v>
      </c>
      <c r="C11" s="11" t="s">
        <v>9</v>
      </c>
      <c r="D11" s="16">
        <f t="shared" si="0"/>
        <v>0.29166666666666657</v>
      </c>
      <c r="E11" s="17">
        <v>1</v>
      </c>
    </row>
    <row r="12" spans="1:6" x14ac:dyDescent="0.35">
      <c r="A12" s="6">
        <v>11</v>
      </c>
      <c r="B12" s="7">
        <v>12</v>
      </c>
      <c r="C12" s="8" t="s">
        <v>10</v>
      </c>
      <c r="D12" s="16">
        <f t="shared" si="0"/>
        <v>0.29930555555555544</v>
      </c>
      <c r="E12" s="17">
        <v>1</v>
      </c>
    </row>
    <row r="13" spans="1:6" x14ac:dyDescent="0.35">
      <c r="A13" s="9">
        <v>15</v>
      </c>
      <c r="B13" s="10">
        <v>14</v>
      </c>
      <c r="C13" s="11" t="s">
        <v>11</v>
      </c>
      <c r="D13" s="16">
        <f t="shared" si="0"/>
        <v>0.30972222222222212</v>
      </c>
      <c r="E13" s="17">
        <v>1</v>
      </c>
    </row>
    <row r="14" spans="1:6" x14ac:dyDescent="0.35">
      <c r="A14" s="6">
        <v>11</v>
      </c>
      <c r="B14" s="7">
        <v>9</v>
      </c>
      <c r="C14" s="8" t="s">
        <v>12</v>
      </c>
      <c r="D14" s="16">
        <f t="shared" si="0"/>
        <v>0.31736111111111098</v>
      </c>
      <c r="E14" s="17">
        <v>1</v>
      </c>
    </row>
    <row r="15" spans="1:6" x14ac:dyDescent="0.35">
      <c r="A15" s="9">
        <v>3</v>
      </c>
      <c r="B15" s="10">
        <v>6</v>
      </c>
      <c r="C15" s="11" t="s">
        <v>13</v>
      </c>
      <c r="D15" s="16">
        <f t="shared" si="0"/>
        <v>0.31944444444444431</v>
      </c>
      <c r="E15" s="17">
        <v>1</v>
      </c>
    </row>
    <row r="16" spans="1:6" x14ac:dyDescent="0.35">
      <c r="A16" s="6">
        <v>1</v>
      </c>
      <c r="B16" s="7">
        <v>7</v>
      </c>
      <c r="C16" s="8" t="s">
        <v>14</v>
      </c>
      <c r="D16" s="16">
        <f t="shared" si="0"/>
        <v>0.32013888888888875</v>
      </c>
      <c r="E16" s="17">
        <v>1</v>
      </c>
    </row>
    <row r="17" spans="1:5" x14ac:dyDescent="0.35">
      <c r="A17" s="9">
        <v>11</v>
      </c>
      <c r="B17" s="10">
        <v>7</v>
      </c>
      <c r="C17" s="11" t="s">
        <v>15</v>
      </c>
      <c r="D17" s="16">
        <f t="shared" si="0"/>
        <v>0.32777777777777761</v>
      </c>
      <c r="E17" s="17">
        <v>1</v>
      </c>
    </row>
    <row r="18" spans="1:5" x14ac:dyDescent="0.35">
      <c r="A18" s="6">
        <v>2</v>
      </c>
      <c r="B18" s="7">
        <v>2</v>
      </c>
      <c r="C18" s="8" t="s">
        <v>16</v>
      </c>
      <c r="D18" s="16">
        <f t="shared" si="0"/>
        <v>0.3291666666666665</v>
      </c>
      <c r="E18" s="17">
        <v>1</v>
      </c>
    </row>
    <row r="19" spans="1:5" x14ac:dyDescent="0.35">
      <c r="A19" s="9">
        <v>9</v>
      </c>
      <c r="B19" s="10">
        <v>10</v>
      </c>
      <c r="C19" s="11" t="s">
        <v>17</v>
      </c>
      <c r="D19" s="16">
        <f t="shared" si="0"/>
        <v>0.33541666666666647</v>
      </c>
      <c r="E19" s="17">
        <v>1</v>
      </c>
    </row>
    <row r="20" spans="1:5" x14ac:dyDescent="0.35">
      <c r="A20" s="6">
        <v>2</v>
      </c>
      <c r="B20" s="7">
        <v>13</v>
      </c>
      <c r="C20" s="8" t="s">
        <v>18</v>
      </c>
      <c r="D20" s="16">
        <f t="shared" si="0"/>
        <v>0.33680555555555536</v>
      </c>
      <c r="E20" s="17">
        <v>1</v>
      </c>
    </row>
    <row r="21" spans="1:5" x14ac:dyDescent="0.35">
      <c r="A21" s="9">
        <v>13</v>
      </c>
      <c r="B21" s="10">
        <v>14</v>
      </c>
      <c r="C21" s="11" t="s">
        <v>19</v>
      </c>
      <c r="D21" s="16">
        <f t="shared" si="0"/>
        <v>0.34583333333333316</v>
      </c>
      <c r="E21" s="17">
        <v>1</v>
      </c>
    </row>
    <row r="22" spans="1:5" x14ac:dyDescent="0.35">
      <c r="A22" s="6">
        <v>10</v>
      </c>
      <c r="B22" s="7">
        <v>15</v>
      </c>
      <c r="C22" s="8" t="s">
        <v>20</v>
      </c>
      <c r="D22" s="16">
        <f t="shared" si="0"/>
        <v>0.35277777777777758</v>
      </c>
      <c r="E22" s="17">
        <v>1</v>
      </c>
    </row>
    <row r="23" spans="1:5" x14ac:dyDescent="0.35">
      <c r="A23" s="9">
        <v>6</v>
      </c>
      <c r="B23" s="10">
        <v>9</v>
      </c>
      <c r="C23" s="11" t="s">
        <v>21</v>
      </c>
      <c r="D23" s="16">
        <f t="shared" si="0"/>
        <v>0.35694444444444423</v>
      </c>
      <c r="E23" s="17">
        <v>1</v>
      </c>
    </row>
    <row r="24" spans="1:5" x14ac:dyDescent="0.35">
      <c r="A24" s="6">
        <v>5</v>
      </c>
      <c r="B24" s="7">
        <v>6</v>
      </c>
      <c r="C24" s="8" t="s">
        <v>22</v>
      </c>
      <c r="D24" s="16">
        <f t="shared" si="0"/>
        <v>0.36041666666666644</v>
      </c>
      <c r="E24" s="17">
        <v>1</v>
      </c>
    </row>
    <row r="25" spans="1:5" x14ac:dyDescent="0.35">
      <c r="A25" s="9">
        <v>13</v>
      </c>
      <c r="B25" s="10">
        <v>13</v>
      </c>
      <c r="C25" s="11" t="s">
        <v>23</v>
      </c>
      <c r="D25" s="16">
        <f t="shared" si="0"/>
        <v>0.36944444444444424</v>
      </c>
      <c r="E25" s="17">
        <v>1</v>
      </c>
    </row>
    <row r="26" spans="1:5" x14ac:dyDescent="0.35">
      <c r="A26" s="6">
        <v>11</v>
      </c>
      <c r="B26" s="7">
        <v>1</v>
      </c>
      <c r="C26" s="8" t="s">
        <v>24</v>
      </c>
      <c r="D26" s="16">
        <f t="shared" si="0"/>
        <v>0.3770833333333331</v>
      </c>
      <c r="E26" s="17">
        <v>1</v>
      </c>
    </row>
    <row r="27" spans="1:5" x14ac:dyDescent="0.35">
      <c r="A27" s="9">
        <v>10</v>
      </c>
      <c r="B27" s="10">
        <v>6</v>
      </c>
      <c r="C27" s="11" t="s">
        <v>25</v>
      </c>
      <c r="D27" s="16">
        <f t="shared" si="0"/>
        <v>0.38402777777777752</v>
      </c>
      <c r="E27" s="17">
        <v>1</v>
      </c>
    </row>
    <row r="28" spans="1:5" x14ac:dyDescent="0.35">
      <c r="A28" s="6">
        <v>11</v>
      </c>
      <c r="B28" s="7">
        <v>12</v>
      </c>
      <c r="C28" s="8" t="s">
        <v>26</v>
      </c>
      <c r="D28" s="16">
        <f t="shared" si="0"/>
        <v>0.39166666666666639</v>
      </c>
      <c r="E28" s="17">
        <v>1</v>
      </c>
    </row>
    <row r="29" spans="1:5" x14ac:dyDescent="0.35">
      <c r="A29" s="9">
        <v>4</v>
      </c>
      <c r="B29" s="10">
        <v>9</v>
      </c>
      <c r="C29" s="11" t="s">
        <v>27</v>
      </c>
      <c r="D29" s="16">
        <f t="shared" si="0"/>
        <v>0.39444444444444415</v>
      </c>
      <c r="E29" s="17">
        <v>1</v>
      </c>
    </row>
    <row r="30" spans="1:5" x14ac:dyDescent="0.35">
      <c r="A30" s="6">
        <v>4</v>
      </c>
      <c r="B30" s="7">
        <v>1</v>
      </c>
      <c r="C30" s="8" t="s">
        <v>28</v>
      </c>
      <c r="D30" s="16">
        <f t="shared" si="0"/>
        <v>0.39722222222222192</v>
      </c>
      <c r="E30" s="17">
        <v>1</v>
      </c>
    </row>
    <row r="31" spans="1:5" x14ac:dyDescent="0.35">
      <c r="A31" s="9">
        <v>2</v>
      </c>
      <c r="B31" s="10">
        <v>11</v>
      </c>
      <c r="C31" s="11" t="s">
        <v>29</v>
      </c>
      <c r="D31" s="16">
        <f t="shared" si="0"/>
        <v>0.39861111111111081</v>
      </c>
      <c r="E31" s="17">
        <v>1</v>
      </c>
    </row>
    <row r="32" spans="1:5" x14ac:dyDescent="0.35">
      <c r="A32" s="6">
        <v>7</v>
      </c>
      <c r="B32" s="7">
        <v>2</v>
      </c>
      <c r="C32" s="8" t="s">
        <v>30</v>
      </c>
      <c r="D32" s="16">
        <f t="shared" si="0"/>
        <v>0.4034722222222219</v>
      </c>
      <c r="E32" s="17">
        <v>1</v>
      </c>
    </row>
    <row r="33" spans="1:5" x14ac:dyDescent="0.35">
      <c r="A33" s="9">
        <v>11</v>
      </c>
      <c r="B33" s="10">
        <v>14</v>
      </c>
      <c r="C33" s="11" t="s">
        <v>31</v>
      </c>
      <c r="D33" s="16">
        <f t="shared" si="0"/>
        <v>0.41111111111111076</v>
      </c>
      <c r="E33" s="17">
        <v>1</v>
      </c>
    </row>
    <row r="34" spans="1:5" x14ac:dyDescent="0.35">
      <c r="A34" s="6">
        <v>6</v>
      </c>
      <c r="B34" s="7">
        <v>3</v>
      </c>
      <c r="C34" s="8" t="s">
        <v>32</v>
      </c>
      <c r="D34" s="16">
        <f t="shared" si="0"/>
        <v>0.41527777777777741</v>
      </c>
      <c r="E34" s="17">
        <v>1</v>
      </c>
    </row>
    <row r="35" spans="1:5" x14ac:dyDescent="0.35">
      <c r="A35" s="9">
        <v>11</v>
      </c>
      <c r="B35" s="10">
        <v>5</v>
      </c>
      <c r="C35" s="11" t="s">
        <v>33</v>
      </c>
      <c r="D35" s="16">
        <f t="shared" si="0"/>
        <v>0.42291666666666627</v>
      </c>
      <c r="E35" s="17">
        <v>1</v>
      </c>
    </row>
    <row r="36" spans="1:5" x14ac:dyDescent="0.35">
      <c r="A36" s="6">
        <v>5</v>
      </c>
      <c r="B36" s="7">
        <v>9</v>
      </c>
      <c r="C36" s="8" t="s">
        <v>34</v>
      </c>
      <c r="D36" s="16">
        <f t="shared" si="0"/>
        <v>0.42638888888888848</v>
      </c>
      <c r="E36" s="17">
        <v>1</v>
      </c>
    </row>
    <row r="37" spans="1:5" x14ac:dyDescent="0.35">
      <c r="A37" s="9">
        <v>9</v>
      </c>
      <c r="B37" s="10">
        <v>5</v>
      </c>
      <c r="C37" s="11" t="s">
        <v>35</v>
      </c>
      <c r="D37" s="16">
        <f t="shared" si="0"/>
        <v>0.43263888888888846</v>
      </c>
      <c r="E37" s="17">
        <v>1</v>
      </c>
    </row>
    <row r="38" spans="1:5" x14ac:dyDescent="0.35">
      <c r="A38" s="6">
        <v>11</v>
      </c>
      <c r="B38" s="7">
        <v>4</v>
      </c>
      <c r="C38" s="8" t="s">
        <v>36</v>
      </c>
      <c r="D38" s="16">
        <f t="shared" si="0"/>
        <v>0.44027777777777732</v>
      </c>
      <c r="E38" s="17">
        <v>1</v>
      </c>
    </row>
    <row r="39" spans="1:5" x14ac:dyDescent="0.35">
      <c r="A39" s="9">
        <v>15</v>
      </c>
      <c r="B39" s="10">
        <v>5</v>
      </c>
      <c r="C39" s="11" t="s">
        <v>37</v>
      </c>
      <c r="D39" s="16">
        <f t="shared" si="0"/>
        <v>0.45069444444444401</v>
      </c>
      <c r="E39" s="17">
        <v>1</v>
      </c>
    </row>
    <row r="40" spans="1:5" x14ac:dyDescent="0.35">
      <c r="A40" s="6">
        <v>12</v>
      </c>
      <c r="B40" s="7">
        <v>1</v>
      </c>
      <c r="C40" s="8" t="s">
        <v>38</v>
      </c>
      <c r="D40" s="16">
        <f t="shared" si="0"/>
        <v>0.45902777777777737</v>
      </c>
      <c r="E40" s="17">
        <v>1</v>
      </c>
    </row>
    <row r="41" spans="1:5" x14ac:dyDescent="0.35">
      <c r="A41" s="9">
        <v>2</v>
      </c>
      <c r="B41" s="10">
        <v>5</v>
      </c>
      <c r="C41" s="11" t="s">
        <v>39</v>
      </c>
      <c r="D41" s="16">
        <f t="shared" si="0"/>
        <v>0.46041666666666625</v>
      </c>
      <c r="E41" s="17">
        <v>1</v>
      </c>
    </row>
    <row r="42" spans="1:5" x14ac:dyDescent="0.35">
      <c r="A42" s="6">
        <v>11</v>
      </c>
      <c r="B42" s="7">
        <v>11</v>
      </c>
      <c r="C42" s="8" t="s">
        <v>40</v>
      </c>
      <c r="D42" s="16">
        <f t="shared" si="0"/>
        <v>0.46805555555555511</v>
      </c>
      <c r="E42" s="17">
        <v>1</v>
      </c>
    </row>
    <row r="43" spans="1:5" x14ac:dyDescent="0.35">
      <c r="A43" s="9">
        <v>2</v>
      </c>
      <c r="B43" s="10">
        <v>3</v>
      </c>
      <c r="C43" s="11" t="s">
        <v>41</v>
      </c>
      <c r="D43" s="16">
        <f t="shared" si="0"/>
        <v>0.469444444444444</v>
      </c>
      <c r="E43" s="17">
        <v>1</v>
      </c>
    </row>
    <row r="44" spans="1:5" x14ac:dyDescent="0.35">
      <c r="A44" s="6">
        <v>6</v>
      </c>
      <c r="B44" s="7">
        <v>13</v>
      </c>
      <c r="C44" s="8" t="s">
        <v>42</v>
      </c>
      <c r="D44" s="16">
        <f t="shared" si="0"/>
        <v>0.47361111111111065</v>
      </c>
      <c r="E44" s="17">
        <v>1</v>
      </c>
    </row>
    <row r="45" spans="1:5" x14ac:dyDescent="0.35">
      <c r="A45" s="9">
        <v>4</v>
      </c>
      <c r="B45" s="10">
        <v>11</v>
      </c>
      <c r="C45" s="11" t="s">
        <v>43</v>
      </c>
      <c r="D45" s="16">
        <f t="shared" si="0"/>
        <v>0.47638888888888842</v>
      </c>
      <c r="E45" s="17">
        <v>1</v>
      </c>
    </row>
    <row r="46" spans="1:5" x14ac:dyDescent="0.35">
      <c r="A46" s="6">
        <v>7</v>
      </c>
      <c r="B46" s="7">
        <v>10</v>
      </c>
      <c r="C46" s="8" t="s">
        <v>44</v>
      </c>
      <c r="D46" s="16">
        <f t="shared" si="0"/>
        <v>0.48124999999999951</v>
      </c>
      <c r="E46" s="17">
        <v>1</v>
      </c>
    </row>
    <row r="47" spans="1:5" x14ac:dyDescent="0.35">
      <c r="A47" s="9">
        <v>8</v>
      </c>
      <c r="B47" s="10">
        <v>6</v>
      </c>
      <c r="C47" s="11" t="s">
        <v>45</v>
      </c>
      <c r="D47" s="16">
        <f t="shared" si="0"/>
        <v>0.48680555555555505</v>
      </c>
      <c r="E47" s="17">
        <v>1</v>
      </c>
    </row>
    <row r="48" spans="1:5" x14ac:dyDescent="0.35">
      <c r="A48" s="6">
        <v>3</v>
      </c>
      <c r="B48" s="7">
        <v>14</v>
      </c>
      <c r="C48" s="8" t="s">
        <v>46</v>
      </c>
      <c r="D48" s="16">
        <f t="shared" si="0"/>
        <v>0.48888888888888837</v>
      </c>
      <c r="E48" s="17">
        <v>1</v>
      </c>
    </row>
    <row r="49" spans="1:5" x14ac:dyDescent="0.35">
      <c r="A49" s="9">
        <v>7</v>
      </c>
      <c r="B49" s="10">
        <v>13</v>
      </c>
      <c r="C49" s="11" t="s">
        <v>47</v>
      </c>
      <c r="D49" s="16">
        <f t="shared" si="0"/>
        <v>0.49374999999999947</v>
      </c>
      <c r="E49" s="17">
        <v>1</v>
      </c>
    </row>
    <row r="50" spans="1:5" x14ac:dyDescent="0.35">
      <c r="A50" s="6">
        <v>15</v>
      </c>
      <c r="B50" s="7">
        <v>11</v>
      </c>
      <c r="C50" s="8" t="s">
        <v>48</v>
      </c>
      <c r="D50" s="16">
        <f t="shared" si="0"/>
        <v>0.5041666666666661</v>
      </c>
      <c r="E50" s="17">
        <v>1</v>
      </c>
    </row>
    <row r="51" spans="1:5" x14ac:dyDescent="0.35">
      <c r="A51" s="9">
        <v>11</v>
      </c>
      <c r="B51" s="10">
        <v>8</v>
      </c>
      <c r="C51" s="11" t="s">
        <v>49</v>
      </c>
      <c r="D51" s="16">
        <f t="shared" si="0"/>
        <v>0.51180555555555496</v>
      </c>
      <c r="E51" s="17">
        <v>1</v>
      </c>
    </row>
    <row r="52" spans="1:5" x14ac:dyDescent="0.35">
      <c r="A52" s="6">
        <v>6</v>
      </c>
      <c r="B52" s="7">
        <v>10</v>
      </c>
      <c r="C52" s="8" t="s">
        <v>50</v>
      </c>
      <c r="D52" s="16">
        <f t="shared" si="0"/>
        <v>0.51597222222222161</v>
      </c>
      <c r="E52" s="17">
        <v>1</v>
      </c>
    </row>
    <row r="53" spans="1:5" x14ac:dyDescent="0.35">
      <c r="A53" s="9">
        <v>3</v>
      </c>
      <c r="B53" s="10">
        <v>12</v>
      </c>
      <c r="C53" s="11" t="s">
        <v>51</v>
      </c>
      <c r="D53" s="16">
        <f t="shared" si="0"/>
        <v>0.51805555555555494</v>
      </c>
      <c r="E53" s="17">
        <v>1</v>
      </c>
    </row>
    <row r="54" spans="1:5" x14ac:dyDescent="0.35">
      <c r="A54" s="6">
        <v>13</v>
      </c>
      <c r="B54" s="7">
        <v>11</v>
      </c>
      <c r="C54" s="8" t="s">
        <v>52</v>
      </c>
      <c r="D54" s="16">
        <f t="shared" si="0"/>
        <v>0.52708333333333268</v>
      </c>
      <c r="E54" s="17">
        <v>1</v>
      </c>
    </row>
    <row r="55" spans="1:5" x14ac:dyDescent="0.35">
      <c r="A55" s="9">
        <v>15</v>
      </c>
      <c r="B55" s="10">
        <v>12</v>
      </c>
      <c r="C55" s="11" t="s">
        <v>53</v>
      </c>
      <c r="D55" s="16">
        <f t="shared" si="0"/>
        <v>0.53749999999999931</v>
      </c>
      <c r="E55" s="17">
        <v>1</v>
      </c>
    </row>
    <row r="56" spans="1:5" x14ac:dyDescent="0.35">
      <c r="A56" s="6">
        <v>1</v>
      </c>
      <c r="B56" s="7">
        <v>13</v>
      </c>
      <c r="C56" s="8" t="s">
        <v>54</v>
      </c>
      <c r="D56" s="16">
        <f t="shared" si="0"/>
        <v>0.53819444444444375</v>
      </c>
      <c r="E56" s="17">
        <v>1</v>
      </c>
    </row>
    <row r="57" spans="1:5" x14ac:dyDescent="0.35">
      <c r="A57" s="9">
        <v>15</v>
      </c>
      <c r="B57" s="10">
        <v>7</v>
      </c>
      <c r="C57" s="11" t="s">
        <v>55</v>
      </c>
      <c r="D57" s="16">
        <f t="shared" si="0"/>
        <v>0.54861111111111038</v>
      </c>
      <c r="E57" s="17">
        <v>1</v>
      </c>
    </row>
    <row r="58" spans="1:5" x14ac:dyDescent="0.35">
      <c r="A58" s="6">
        <v>14</v>
      </c>
      <c r="B58" s="7">
        <v>10</v>
      </c>
      <c r="C58" s="8" t="s">
        <v>56</v>
      </c>
      <c r="D58" s="16">
        <f t="shared" si="0"/>
        <v>0.55833333333333257</v>
      </c>
      <c r="E58" s="17">
        <v>1</v>
      </c>
    </row>
    <row r="59" spans="1:5" x14ac:dyDescent="0.35">
      <c r="A59" s="9">
        <v>7</v>
      </c>
      <c r="B59" s="10">
        <v>1</v>
      </c>
      <c r="C59" s="11" t="s">
        <v>57</v>
      </c>
      <c r="D59" s="16">
        <f t="shared" si="0"/>
        <v>0.56319444444444366</v>
      </c>
      <c r="E59" s="17">
        <v>1</v>
      </c>
    </row>
    <row r="60" spans="1:5" x14ac:dyDescent="0.35">
      <c r="A60" s="6">
        <v>7</v>
      </c>
      <c r="B60" s="7">
        <v>5</v>
      </c>
      <c r="C60" s="8" t="s">
        <v>58</v>
      </c>
      <c r="D60" s="16">
        <f t="shared" si="0"/>
        <v>0.56805555555555476</v>
      </c>
      <c r="E60" s="17">
        <v>1</v>
      </c>
    </row>
    <row r="61" spans="1:5" x14ac:dyDescent="0.35">
      <c r="A61" s="9">
        <v>6</v>
      </c>
      <c r="B61" s="10">
        <v>1</v>
      </c>
      <c r="C61" s="11" t="s">
        <v>59</v>
      </c>
      <c r="D61" s="16">
        <f t="shared" si="0"/>
        <v>0.57222222222222141</v>
      </c>
      <c r="E61" s="17">
        <v>1</v>
      </c>
    </row>
    <row r="62" spans="1:5" x14ac:dyDescent="0.35">
      <c r="A62" s="6">
        <v>3</v>
      </c>
      <c r="B62" s="7">
        <v>12</v>
      </c>
      <c r="C62" s="8" t="s">
        <v>60</v>
      </c>
      <c r="D62" s="16">
        <f t="shared" si="0"/>
        <v>0.57430555555555474</v>
      </c>
      <c r="E62" s="17">
        <v>1</v>
      </c>
    </row>
    <row r="63" spans="1:5" x14ac:dyDescent="0.35">
      <c r="A63" s="9">
        <v>15</v>
      </c>
      <c r="B63" s="10">
        <v>14</v>
      </c>
      <c r="C63" s="11" t="s">
        <v>61</v>
      </c>
      <c r="D63" s="16">
        <f t="shared" si="0"/>
        <v>0.58472222222222137</v>
      </c>
      <c r="E63" s="17">
        <v>1</v>
      </c>
    </row>
    <row r="64" spans="1:5" x14ac:dyDescent="0.35">
      <c r="A64" s="6">
        <v>3</v>
      </c>
      <c r="B64" s="7">
        <v>9</v>
      </c>
      <c r="C64" s="8" t="s">
        <v>62</v>
      </c>
      <c r="D64" s="16">
        <f t="shared" si="0"/>
        <v>0.58680555555555469</v>
      </c>
      <c r="E64" s="17">
        <v>1</v>
      </c>
    </row>
    <row r="65" spans="1:5" x14ac:dyDescent="0.35">
      <c r="A65" s="9">
        <v>8</v>
      </c>
      <c r="B65" s="10">
        <v>11</v>
      </c>
      <c r="C65" s="11" t="s">
        <v>63</v>
      </c>
      <c r="D65" s="16">
        <f t="shared" si="0"/>
        <v>0.59236111111111023</v>
      </c>
      <c r="E65" s="17">
        <v>1</v>
      </c>
    </row>
    <row r="66" spans="1:5" x14ac:dyDescent="0.35">
      <c r="A66" s="6">
        <v>5</v>
      </c>
      <c r="B66" s="7">
        <v>15</v>
      </c>
      <c r="C66" s="8" t="s">
        <v>64</v>
      </c>
      <c r="D66" s="16">
        <f t="shared" si="0"/>
        <v>0.59583333333333244</v>
      </c>
      <c r="E66" s="17">
        <v>1</v>
      </c>
    </row>
    <row r="67" spans="1:5" x14ac:dyDescent="0.35">
      <c r="A67" s="9">
        <v>2</v>
      </c>
      <c r="B67" s="10">
        <v>4</v>
      </c>
      <c r="C67" s="11" t="s">
        <v>65</v>
      </c>
      <c r="D67" s="16">
        <f t="shared" si="0"/>
        <v>0.59722222222222132</v>
      </c>
      <c r="E67" s="17">
        <v>1</v>
      </c>
    </row>
    <row r="68" spans="1:5" x14ac:dyDescent="0.35">
      <c r="A68" s="6">
        <v>14</v>
      </c>
      <c r="B68" s="7">
        <v>9</v>
      </c>
      <c r="C68" s="8" t="s">
        <v>66</v>
      </c>
      <c r="D68" s="16">
        <f t="shared" ref="D68:D131" si="1">D67+TIME(0,A68,0)</f>
        <v>0.60694444444444351</v>
      </c>
      <c r="E68" s="17">
        <v>1</v>
      </c>
    </row>
    <row r="69" spans="1:5" x14ac:dyDescent="0.35">
      <c r="A69" s="9">
        <v>7</v>
      </c>
      <c r="B69" s="10">
        <v>7</v>
      </c>
      <c r="C69" s="11" t="s">
        <v>67</v>
      </c>
      <c r="D69" s="16">
        <f t="shared" si="1"/>
        <v>0.6118055555555546</v>
      </c>
      <c r="E69" s="17">
        <v>1</v>
      </c>
    </row>
    <row r="70" spans="1:5" x14ac:dyDescent="0.35">
      <c r="A70" s="6">
        <v>14</v>
      </c>
      <c r="B70" s="7">
        <v>6</v>
      </c>
      <c r="C70" s="8" t="s">
        <v>68</v>
      </c>
      <c r="D70" s="16">
        <f t="shared" si="1"/>
        <v>0.62152777777777679</v>
      </c>
      <c r="E70" s="17">
        <v>1</v>
      </c>
    </row>
    <row r="71" spans="1:5" x14ac:dyDescent="0.35">
      <c r="A71" s="9">
        <v>11</v>
      </c>
      <c r="B71" s="10">
        <v>12</v>
      </c>
      <c r="C71" s="11" t="s">
        <v>69</v>
      </c>
      <c r="D71" s="16">
        <f t="shared" si="1"/>
        <v>0.62916666666666565</v>
      </c>
      <c r="E71" s="17">
        <v>1</v>
      </c>
    </row>
    <row r="72" spans="1:5" x14ac:dyDescent="0.35">
      <c r="A72" s="6">
        <v>2</v>
      </c>
      <c r="B72" s="7">
        <v>4</v>
      </c>
      <c r="C72" s="8" t="s">
        <v>70</v>
      </c>
      <c r="D72" s="16">
        <f t="shared" si="1"/>
        <v>0.63055555555555454</v>
      </c>
      <c r="E72" s="17">
        <v>1</v>
      </c>
    </row>
    <row r="73" spans="1:5" x14ac:dyDescent="0.35">
      <c r="A73" s="9">
        <v>11</v>
      </c>
      <c r="B73" s="10">
        <v>15</v>
      </c>
      <c r="C73" s="11" t="s">
        <v>71</v>
      </c>
      <c r="D73" s="16">
        <f t="shared" si="1"/>
        <v>0.6381944444444434</v>
      </c>
      <c r="E73" s="17">
        <v>1</v>
      </c>
    </row>
    <row r="74" spans="1:5" x14ac:dyDescent="0.35">
      <c r="A74" s="6">
        <v>4</v>
      </c>
      <c r="B74" s="7">
        <v>3</v>
      </c>
      <c r="C74" s="8" t="s">
        <v>72</v>
      </c>
      <c r="D74" s="16">
        <f t="shared" si="1"/>
        <v>0.64097222222222117</v>
      </c>
      <c r="E74" s="17">
        <v>1</v>
      </c>
    </row>
    <row r="75" spans="1:5" x14ac:dyDescent="0.35">
      <c r="A75" s="9">
        <v>3</v>
      </c>
      <c r="B75" s="10">
        <v>12</v>
      </c>
      <c r="C75" s="11" t="s">
        <v>73</v>
      </c>
      <c r="D75" s="16">
        <f t="shared" si="1"/>
        <v>0.64305555555555449</v>
      </c>
      <c r="E75" s="17">
        <v>1</v>
      </c>
    </row>
    <row r="76" spans="1:5" x14ac:dyDescent="0.35">
      <c r="A76" s="6">
        <v>2</v>
      </c>
      <c r="B76" s="7">
        <v>7</v>
      </c>
      <c r="C76" s="8" t="s">
        <v>74</v>
      </c>
      <c r="D76" s="16">
        <f t="shared" si="1"/>
        <v>0.64444444444444338</v>
      </c>
      <c r="E76" s="17">
        <v>1</v>
      </c>
    </row>
    <row r="77" spans="1:5" x14ac:dyDescent="0.35">
      <c r="A77" s="9">
        <v>13</v>
      </c>
      <c r="B77" s="10">
        <v>7</v>
      </c>
      <c r="C77" s="11" t="s">
        <v>75</v>
      </c>
      <c r="D77" s="16">
        <f t="shared" si="1"/>
        <v>0.65347222222222112</v>
      </c>
      <c r="E77" s="17">
        <v>1</v>
      </c>
    </row>
    <row r="78" spans="1:5" x14ac:dyDescent="0.35">
      <c r="A78" s="6">
        <v>3</v>
      </c>
      <c r="B78" s="7">
        <v>12</v>
      </c>
      <c r="C78" s="8" t="s">
        <v>76</v>
      </c>
      <c r="D78" s="16">
        <f t="shared" si="1"/>
        <v>0.65555555555555445</v>
      </c>
      <c r="E78" s="17">
        <v>1</v>
      </c>
    </row>
    <row r="79" spans="1:5" x14ac:dyDescent="0.35">
      <c r="A79" s="9">
        <v>9</v>
      </c>
      <c r="B79" s="10">
        <v>9</v>
      </c>
      <c r="C79" s="11" t="s">
        <v>77</v>
      </c>
      <c r="D79" s="16">
        <f t="shared" si="1"/>
        <v>0.66180555555555443</v>
      </c>
      <c r="E79" s="17">
        <v>1</v>
      </c>
    </row>
    <row r="80" spans="1:5" x14ac:dyDescent="0.35">
      <c r="A80" s="6">
        <v>13</v>
      </c>
      <c r="B80" s="7">
        <v>3</v>
      </c>
      <c r="C80" s="8" t="s">
        <v>78</v>
      </c>
      <c r="D80" s="16">
        <f t="shared" si="1"/>
        <v>0.67083333333333217</v>
      </c>
      <c r="E80" s="17">
        <v>1</v>
      </c>
    </row>
    <row r="81" spans="1:5" x14ac:dyDescent="0.35">
      <c r="A81" s="9">
        <v>7</v>
      </c>
      <c r="B81" s="10">
        <v>2</v>
      </c>
      <c r="C81" s="11" t="s">
        <v>79</v>
      </c>
      <c r="D81" s="16">
        <f t="shared" si="1"/>
        <v>0.67569444444444327</v>
      </c>
      <c r="E81" s="17">
        <v>1</v>
      </c>
    </row>
    <row r="82" spans="1:5" x14ac:dyDescent="0.35">
      <c r="A82" s="6">
        <v>13</v>
      </c>
      <c r="B82" s="7">
        <v>4</v>
      </c>
      <c r="C82" s="8" t="s">
        <v>80</v>
      </c>
      <c r="D82" s="16">
        <f t="shared" si="1"/>
        <v>0.68472222222222101</v>
      </c>
      <c r="E82" s="17">
        <v>1</v>
      </c>
    </row>
    <row r="83" spans="1:5" x14ac:dyDescent="0.35">
      <c r="A83" s="9">
        <v>4</v>
      </c>
      <c r="B83" s="10">
        <v>12</v>
      </c>
      <c r="C83" s="11" t="s">
        <v>81</v>
      </c>
      <c r="D83" s="16">
        <f t="shared" si="1"/>
        <v>0.68749999999999878</v>
      </c>
      <c r="E83" s="17">
        <v>1</v>
      </c>
    </row>
    <row r="84" spans="1:5" x14ac:dyDescent="0.35">
      <c r="A84" s="6">
        <v>7</v>
      </c>
      <c r="B84" s="7">
        <v>8</v>
      </c>
      <c r="C84" s="8" t="s">
        <v>82</v>
      </c>
      <c r="D84" s="16">
        <f t="shared" si="1"/>
        <v>0.69236111111110987</v>
      </c>
      <c r="E84" s="17">
        <v>1</v>
      </c>
    </row>
    <row r="85" spans="1:5" x14ac:dyDescent="0.35">
      <c r="A85" s="9">
        <v>3</v>
      </c>
      <c r="B85" s="10">
        <v>12</v>
      </c>
      <c r="C85" s="11" t="s">
        <v>83</v>
      </c>
      <c r="D85" s="16">
        <f t="shared" si="1"/>
        <v>0.6944444444444432</v>
      </c>
      <c r="E85" s="17">
        <v>1</v>
      </c>
    </row>
    <row r="86" spans="1:5" x14ac:dyDescent="0.35">
      <c r="A86" s="6">
        <v>4</v>
      </c>
      <c r="B86" s="7">
        <v>11</v>
      </c>
      <c r="C86" s="8" t="s">
        <v>84</v>
      </c>
      <c r="D86" s="16">
        <f t="shared" si="1"/>
        <v>0.69722222222222097</v>
      </c>
      <c r="E86" s="17">
        <v>1</v>
      </c>
    </row>
    <row r="87" spans="1:5" x14ac:dyDescent="0.35">
      <c r="A87" s="9">
        <v>7</v>
      </c>
      <c r="B87" s="10">
        <v>1</v>
      </c>
      <c r="C87" s="11" t="s">
        <v>85</v>
      </c>
      <c r="D87" s="16">
        <f t="shared" si="1"/>
        <v>0.70208333333333206</v>
      </c>
      <c r="E87" s="17">
        <v>1</v>
      </c>
    </row>
    <row r="88" spans="1:5" x14ac:dyDescent="0.35">
      <c r="A88" s="6">
        <v>3</v>
      </c>
      <c r="B88" s="7">
        <v>9</v>
      </c>
      <c r="C88" s="8" t="s">
        <v>86</v>
      </c>
      <c r="D88" s="16">
        <f t="shared" si="1"/>
        <v>0.70416666666666539</v>
      </c>
      <c r="E88" s="17">
        <v>1</v>
      </c>
    </row>
    <row r="89" spans="1:5" x14ac:dyDescent="0.35">
      <c r="A89" s="9">
        <v>1</v>
      </c>
      <c r="B89" s="10">
        <v>4</v>
      </c>
      <c r="C89" s="11" t="s">
        <v>87</v>
      </c>
      <c r="D89" s="16">
        <f t="shared" si="1"/>
        <v>0.70486111111110983</v>
      </c>
      <c r="E89" s="17">
        <v>1</v>
      </c>
    </row>
    <row r="90" spans="1:5" x14ac:dyDescent="0.35">
      <c r="A90" s="6">
        <v>14</v>
      </c>
      <c r="B90" s="7">
        <v>3</v>
      </c>
      <c r="C90" s="8" t="s">
        <v>88</v>
      </c>
      <c r="D90" s="16">
        <f t="shared" si="1"/>
        <v>0.71458333333333202</v>
      </c>
      <c r="E90" s="17">
        <v>1</v>
      </c>
    </row>
    <row r="91" spans="1:5" x14ac:dyDescent="0.35">
      <c r="A91" s="9">
        <v>5</v>
      </c>
      <c r="B91" s="10">
        <v>12</v>
      </c>
      <c r="C91" s="11" t="s">
        <v>89</v>
      </c>
      <c r="D91" s="16">
        <f t="shared" si="1"/>
        <v>0.71805555555555423</v>
      </c>
      <c r="E91" s="17">
        <v>1</v>
      </c>
    </row>
    <row r="92" spans="1:5" x14ac:dyDescent="0.35">
      <c r="A92" s="6">
        <v>4</v>
      </c>
      <c r="B92" s="7">
        <v>9</v>
      </c>
      <c r="C92" s="8" t="s">
        <v>90</v>
      </c>
      <c r="D92" s="16">
        <f t="shared" si="1"/>
        <v>0.72083333333333199</v>
      </c>
      <c r="E92" s="17">
        <v>1</v>
      </c>
    </row>
    <row r="93" spans="1:5" x14ac:dyDescent="0.35">
      <c r="A93" s="9">
        <v>5</v>
      </c>
      <c r="B93" s="10">
        <v>4</v>
      </c>
      <c r="C93" s="11" t="s">
        <v>91</v>
      </c>
      <c r="D93" s="16">
        <f t="shared" si="1"/>
        <v>0.7243055555555542</v>
      </c>
      <c r="E93" s="17">
        <v>1</v>
      </c>
    </row>
    <row r="94" spans="1:5" x14ac:dyDescent="0.35">
      <c r="A94" s="6">
        <v>6</v>
      </c>
      <c r="B94" s="7">
        <v>8</v>
      </c>
      <c r="C94" s="8" t="s">
        <v>92</v>
      </c>
      <c r="D94" s="16">
        <f t="shared" si="1"/>
        <v>0.72847222222222086</v>
      </c>
      <c r="E94" s="17">
        <v>1</v>
      </c>
    </row>
    <row r="95" spans="1:5" x14ac:dyDescent="0.35">
      <c r="A95" s="9">
        <v>8</v>
      </c>
      <c r="B95" s="10">
        <v>14</v>
      </c>
      <c r="C95" s="11" t="s">
        <v>93</v>
      </c>
      <c r="D95" s="16">
        <f t="shared" si="1"/>
        <v>0.73402777777777639</v>
      </c>
      <c r="E95" s="17">
        <v>1</v>
      </c>
    </row>
    <row r="96" spans="1:5" x14ac:dyDescent="0.35">
      <c r="A96" s="6">
        <v>15</v>
      </c>
      <c r="B96" s="7">
        <v>11</v>
      </c>
      <c r="C96" s="8" t="s">
        <v>94</v>
      </c>
      <c r="D96" s="16">
        <f t="shared" si="1"/>
        <v>0.74444444444444302</v>
      </c>
      <c r="E96" s="17">
        <v>1</v>
      </c>
    </row>
    <row r="97" spans="1:5" x14ac:dyDescent="0.35">
      <c r="A97" s="9">
        <v>1</v>
      </c>
      <c r="B97" s="10">
        <v>1</v>
      </c>
      <c r="C97" s="11" t="s">
        <v>95</v>
      </c>
      <c r="D97" s="16">
        <f t="shared" si="1"/>
        <v>0.74513888888888746</v>
      </c>
      <c r="E97" s="17">
        <v>1</v>
      </c>
    </row>
    <row r="98" spans="1:5" x14ac:dyDescent="0.35">
      <c r="A98" s="6">
        <v>14</v>
      </c>
      <c r="B98" s="7">
        <v>15</v>
      </c>
      <c r="C98" s="8" t="s">
        <v>96</v>
      </c>
      <c r="D98" s="16">
        <f t="shared" si="1"/>
        <v>0.75486111111110965</v>
      </c>
      <c r="E98" s="17">
        <v>1</v>
      </c>
    </row>
    <row r="99" spans="1:5" x14ac:dyDescent="0.35">
      <c r="A99" s="9">
        <v>6</v>
      </c>
      <c r="B99" s="10">
        <v>7</v>
      </c>
      <c r="C99" s="11" t="s">
        <v>97</v>
      </c>
      <c r="D99" s="16">
        <f t="shared" si="1"/>
        <v>0.7590277777777763</v>
      </c>
      <c r="E99" s="17">
        <v>1</v>
      </c>
    </row>
    <row r="100" spans="1:5" x14ac:dyDescent="0.35">
      <c r="A100" s="6">
        <v>7</v>
      </c>
      <c r="B100" s="7">
        <v>11</v>
      </c>
      <c r="C100" s="8" t="s">
        <v>98</v>
      </c>
      <c r="D100" s="16">
        <f t="shared" si="1"/>
        <v>0.7638888888888874</v>
      </c>
      <c r="E100" s="17">
        <v>1</v>
      </c>
    </row>
    <row r="101" spans="1:5" x14ac:dyDescent="0.35">
      <c r="A101" s="9">
        <v>10</v>
      </c>
      <c r="B101" s="10">
        <v>11</v>
      </c>
      <c r="C101" s="11" t="s">
        <v>99</v>
      </c>
      <c r="D101" s="16">
        <f t="shared" si="1"/>
        <v>0.77083333333333182</v>
      </c>
      <c r="E101" s="17">
        <v>1</v>
      </c>
    </row>
    <row r="102" spans="1:5" x14ac:dyDescent="0.35">
      <c r="A102" s="6">
        <v>5</v>
      </c>
      <c r="B102" s="7">
        <v>6</v>
      </c>
      <c r="C102" s="8" t="s">
        <v>100</v>
      </c>
      <c r="D102" s="16">
        <f t="shared" si="1"/>
        <v>0.77430555555555403</v>
      </c>
      <c r="E102" s="17">
        <v>1</v>
      </c>
    </row>
    <row r="103" spans="1:5" x14ac:dyDescent="0.35">
      <c r="A103" s="9">
        <v>13</v>
      </c>
      <c r="B103" s="10">
        <v>7</v>
      </c>
      <c r="C103" s="11" t="s">
        <v>101</v>
      </c>
      <c r="D103" s="16">
        <f t="shared" si="1"/>
        <v>0.78333333333333177</v>
      </c>
      <c r="E103" s="17">
        <v>1</v>
      </c>
    </row>
    <row r="104" spans="1:5" x14ac:dyDescent="0.35">
      <c r="A104" s="6">
        <v>2</v>
      </c>
      <c r="B104" s="7">
        <v>9</v>
      </c>
      <c r="C104" s="8" t="s">
        <v>102</v>
      </c>
      <c r="D104" s="16">
        <f t="shared" si="1"/>
        <v>0.78472222222222066</v>
      </c>
      <c r="E104" s="17">
        <v>1</v>
      </c>
    </row>
    <row r="105" spans="1:5" x14ac:dyDescent="0.35">
      <c r="A105" s="9">
        <v>9</v>
      </c>
      <c r="B105" s="10">
        <v>11</v>
      </c>
      <c r="C105" s="11" t="s">
        <v>103</v>
      </c>
      <c r="D105" s="16">
        <f t="shared" si="1"/>
        <v>0.79097222222222063</v>
      </c>
      <c r="E105" s="17">
        <v>1</v>
      </c>
    </row>
    <row r="106" spans="1:5" x14ac:dyDescent="0.35">
      <c r="A106" s="6">
        <v>8</v>
      </c>
      <c r="B106" s="7">
        <v>3</v>
      </c>
      <c r="C106" s="8" t="s">
        <v>104</v>
      </c>
      <c r="D106" s="16">
        <f t="shared" si="1"/>
        <v>0.79652777777777617</v>
      </c>
      <c r="E106" s="17">
        <v>1</v>
      </c>
    </row>
    <row r="107" spans="1:5" x14ac:dyDescent="0.35">
      <c r="A107" s="9">
        <v>1</v>
      </c>
      <c r="B107" s="10">
        <v>6</v>
      </c>
      <c r="C107" s="11" t="s">
        <v>105</v>
      </c>
      <c r="D107" s="16">
        <f t="shared" si="1"/>
        <v>0.79722222222222061</v>
      </c>
      <c r="E107" s="17">
        <v>1</v>
      </c>
    </row>
    <row r="108" spans="1:5" x14ac:dyDescent="0.35">
      <c r="A108" s="6">
        <v>10</v>
      </c>
      <c r="B108" s="7">
        <v>9</v>
      </c>
      <c r="C108" s="8" t="s">
        <v>106</v>
      </c>
      <c r="D108" s="16">
        <f t="shared" si="1"/>
        <v>0.80416666666666503</v>
      </c>
      <c r="E108" s="17">
        <v>1</v>
      </c>
    </row>
    <row r="109" spans="1:5" x14ac:dyDescent="0.35">
      <c r="A109" s="9">
        <v>2</v>
      </c>
      <c r="B109" s="10">
        <v>11</v>
      </c>
      <c r="C109" s="11" t="s">
        <v>107</v>
      </c>
      <c r="D109" s="16">
        <f t="shared" si="1"/>
        <v>0.80555555555555391</v>
      </c>
      <c r="E109" s="17">
        <v>1</v>
      </c>
    </row>
    <row r="110" spans="1:5" x14ac:dyDescent="0.35">
      <c r="A110" s="6">
        <v>6</v>
      </c>
      <c r="B110" s="7">
        <v>12</v>
      </c>
      <c r="C110" s="8" t="s">
        <v>108</v>
      </c>
      <c r="D110" s="16">
        <f t="shared" si="1"/>
        <v>0.80972222222222057</v>
      </c>
      <c r="E110" s="17">
        <v>1</v>
      </c>
    </row>
    <row r="111" spans="1:5" x14ac:dyDescent="0.35">
      <c r="A111" s="9">
        <v>2</v>
      </c>
      <c r="B111" s="10">
        <v>14</v>
      </c>
      <c r="C111" s="11" t="s">
        <v>109</v>
      </c>
      <c r="D111" s="16">
        <f t="shared" si="1"/>
        <v>0.81111111111110945</v>
      </c>
      <c r="E111" s="17">
        <v>1</v>
      </c>
    </row>
    <row r="112" spans="1:5" x14ac:dyDescent="0.35">
      <c r="A112" s="6">
        <v>4</v>
      </c>
      <c r="B112" s="7">
        <v>2</v>
      </c>
      <c r="C112" s="8" t="s">
        <v>110</v>
      </c>
      <c r="D112" s="16">
        <f t="shared" si="1"/>
        <v>0.81388888888888722</v>
      </c>
      <c r="E112" s="17">
        <v>1</v>
      </c>
    </row>
    <row r="113" spans="1:5" x14ac:dyDescent="0.35">
      <c r="A113" s="9">
        <v>9</v>
      </c>
      <c r="B113" s="10">
        <v>8</v>
      </c>
      <c r="C113" s="11" t="s">
        <v>111</v>
      </c>
      <c r="D113" s="16">
        <f t="shared" si="1"/>
        <v>0.8201388888888872</v>
      </c>
      <c r="E113" s="17">
        <v>1</v>
      </c>
    </row>
    <row r="114" spans="1:5" x14ac:dyDescent="0.35">
      <c r="A114" s="6">
        <v>2</v>
      </c>
      <c r="B114" s="7">
        <v>4</v>
      </c>
      <c r="C114" s="8" t="s">
        <v>112</v>
      </c>
      <c r="D114" s="16">
        <f t="shared" si="1"/>
        <v>0.82152777777777608</v>
      </c>
      <c r="E114" s="17">
        <v>1</v>
      </c>
    </row>
    <row r="115" spans="1:5" x14ac:dyDescent="0.35">
      <c r="A115" s="9">
        <v>11</v>
      </c>
      <c r="B115" s="10">
        <v>11</v>
      </c>
      <c r="C115" s="11" t="s">
        <v>113</v>
      </c>
      <c r="D115" s="16">
        <f t="shared" si="1"/>
        <v>0.82916666666666494</v>
      </c>
      <c r="E115" s="17">
        <v>1</v>
      </c>
    </row>
    <row r="116" spans="1:5" x14ac:dyDescent="0.35">
      <c r="A116" s="6">
        <v>8</v>
      </c>
      <c r="B116" s="7">
        <v>1</v>
      </c>
      <c r="C116" s="8" t="s">
        <v>114</v>
      </c>
      <c r="D116" s="16">
        <f t="shared" si="1"/>
        <v>0.83472222222222048</v>
      </c>
    </row>
    <row r="117" spans="1:5" x14ac:dyDescent="0.35">
      <c r="A117" s="9">
        <v>13</v>
      </c>
      <c r="B117" s="10">
        <v>9</v>
      </c>
      <c r="C117" s="11" t="s">
        <v>115</v>
      </c>
      <c r="D117" s="16">
        <f t="shared" si="1"/>
        <v>0.84374999999999822</v>
      </c>
    </row>
    <row r="118" spans="1:5" x14ac:dyDescent="0.35">
      <c r="A118" s="6">
        <v>7</v>
      </c>
      <c r="B118" s="7">
        <v>13</v>
      </c>
      <c r="C118" s="8" t="s">
        <v>116</v>
      </c>
      <c r="D118" s="16">
        <f t="shared" si="1"/>
        <v>0.84861111111110932</v>
      </c>
    </row>
    <row r="119" spans="1:5" x14ac:dyDescent="0.35">
      <c r="A119" s="9">
        <v>7</v>
      </c>
      <c r="B119" s="10">
        <v>11</v>
      </c>
      <c r="C119" s="11" t="s">
        <v>117</v>
      </c>
      <c r="D119" s="16">
        <f t="shared" si="1"/>
        <v>0.85347222222222041</v>
      </c>
    </row>
    <row r="120" spans="1:5" x14ac:dyDescent="0.35">
      <c r="A120" s="6">
        <v>9</v>
      </c>
      <c r="B120" s="7">
        <v>11</v>
      </c>
      <c r="C120" s="8" t="s">
        <v>118</v>
      </c>
      <c r="D120" s="16">
        <f t="shared" si="1"/>
        <v>0.85972222222222039</v>
      </c>
    </row>
    <row r="121" spans="1:5" x14ac:dyDescent="0.35">
      <c r="A121" s="9">
        <v>6</v>
      </c>
      <c r="B121" s="10">
        <v>1</v>
      </c>
      <c r="C121" s="11" t="s">
        <v>119</v>
      </c>
      <c r="D121" s="16">
        <f t="shared" si="1"/>
        <v>0.86388888888888704</v>
      </c>
    </row>
    <row r="122" spans="1:5" x14ac:dyDescent="0.35">
      <c r="A122" s="6">
        <v>14</v>
      </c>
      <c r="B122" s="7">
        <v>6</v>
      </c>
      <c r="C122" s="8" t="s">
        <v>120</v>
      </c>
      <c r="D122" s="16">
        <f t="shared" si="1"/>
        <v>0.87361111111110923</v>
      </c>
    </row>
    <row r="123" spans="1:5" x14ac:dyDescent="0.35">
      <c r="A123" s="9">
        <v>14</v>
      </c>
      <c r="B123" s="10">
        <v>10</v>
      </c>
      <c r="C123" s="11" t="s">
        <v>121</v>
      </c>
      <c r="D123" s="16">
        <f t="shared" si="1"/>
        <v>0.88333333333333142</v>
      </c>
    </row>
    <row r="124" spans="1:5" x14ac:dyDescent="0.35">
      <c r="A124" s="6">
        <v>7</v>
      </c>
      <c r="B124" s="7">
        <v>7</v>
      </c>
      <c r="C124" s="8" t="s">
        <v>122</v>
      </c>
      <c r="D124" s="16">
        <f t="shared" si="1"/>
        <v>0.88819444444444251</v>
      </c>
    </row>
    <row r="125" spans="1:5" x14ac:dyDescent="0.35">
      <c r="A125" s="9">
        <v>11</v>
      </c>
      <c r="B125" s="10">
        <v>1</v>
      </c>
      <c r="C125" s="11" t="s">
        <v>123</v>
      </c>
      <c r="D125" s="16">
        <f t="shared" si="1"/>
        <v>0.89583333333333137</v>
      </c>
    </row>
    <row r="126" spans="1:5" x14ac:dyDescent="0.35">
      <c r="A126" s="6">
        <v>11</v>
      </c>
      <c r="B126" s="7">
        <v>3</v>
      </c>
      <c r="C126" s="8" t="s">
        <v>124</v>
      </c>
      <c r="D126" s="16">
        <f t="shared" si="1"/>
        <v>0.90347222222222023</v>
      </c>
    </row>
    <row r="127" spans="1:5" x14ac:dyDescent="0.35">
      <c r="A127" s="9">
        <v>11</v>
      </c>
      <c r="B127" s="10">
        <v>2</v>
      </c>
      <c r="C127" s="11" t="s">
        <v>125</v>
      </c>
      <c r="D127" s="16">
        <f t="shared" si="1"/>
        <v>0.9111111111111091</v>
      </c>
    </row>
    <row r="128" spans="1:5" x14ac:dyDescent="0.35">
      <c r="A128" s="6">
        <v>12</v>
      </c>
      <c r="B128" s="7">
        <v>2</v>
      </c>
      <c r="C128" s="8" t="s">
        <v>126</v>
      </c>
      <c r="D128" s="16">
        <f t="shared" si="1"/>
        <v>0.9194444444444424</v>
      </c>
    </row>
    <row r="129" spans="1:4" x14ac:dyDescent="0.35">
      <c r="A129" s="9">
        <v>3</v>
      </c>
      <c r="B129" s="10">
        <v>14</v>
      </c>
      <c r="C129" s="11" t="s">
        <v>127</v>
      </c>
      <c r="D129" s="16">
        <f t="shared" si="1"/>
        <v>0.92152777777777573</v>
      </c>
    </row>
    <row r="130" spans="1:4" x14ac:dyDescent="0.35">
      <c r="A130" s="6">
        <v>3</v>
      </c>
      <c r="B130" s="7">
        <v>6</v>
      </c>
      <c r="C130" s="8" t="s">
        <v>128</v>
      </c>
      <c r="D130" s="16">
        <f t="shared" si="1"/>
        <v>0.92361111111110905</v>
      </c>
    </row>
    <row r="131" spans="1:4" x14ac:dyDescent="0.35">
      <c r="A131" s="9">
        <v>12</v>
      </c>
      <c r="B131" s="10">
        <v>2</v>
      </c>
      <c r="C131" s="11" t="s">
        <v>129</v>
      </c>
      <c r="D131" s="16">
        <f t="shared" si="1"/>
        <v>0.93194444444444235</v>
      </c>
    </row>
    <row r="132" spans="1:4" x14ac:dyDescent="0.35">
      <c r="A132" s="6">
        <v>7</v>
      </c>
      <c r="B132" s="7">
        <v>8</v>
      </c>
      <c r="C132" s="8" t="s">
        <v>130</v>
      </c>
      <c r="D132" s="16">
        <f t="shared" ref="D132:D145" si="2">D131+TIME(0,A132,0)</f>
        <v>0.93680555555555345</v>
      </c>
    </row>
    <row r="133" spans="1:4" x14ac:dyDescent="0.35">
      <c r="A133" s="9">
        <v>10</v>
      </c>
      <c r="B133" s="10">
        <v>12</v>
      </c>
      <c r="C133" s="11" t="s">
        <v>131</v>
      </c>
      <c r="D133" s="16">
        <f t="shared" si="2"/>
        <v>0.94374999999999787</v>
      </c>
    </row>
    <row r="134" spans="1:4" x14ac:dyDescent="0.35">
      <c r="A134" s="6">
        <v>2</v>
      </c>
      <c r="B134" s="7">
        <v>14</v>
      </c>
      <c r="C134" s="8" t="s">
        <v>132</v>
      </c>
      <c r="D134" s="16">
        <f t="shared" si="2"/>
        <v>0.94513888888888675</v>
      </c>
    </row>
    <row r="135" spans="1:4" x14ac:dyDescent="0.35">
      <c r="A135" s="9">
        <v>14</v>
      </c>
      <c r="B135" s="10">
        <v>11</v>
      </c>
      <c r="C135" s="11" t="s">
        <v>133</v>
      </c>
      <c r="D135" s="16">
        <f t="shared" si="2"/>
        <v>0.95486111111110894</v>
      </c>
    </row>
    <row r="136" spans="1:4" x14ac:dyDescent="0.35">
      <c r="A136" s="6">
        <v>9</v>
      </c>
      <c r="B136" s="7">
        <v>10</v>
      </c>
      <c r="C136" s="8" t="s">
        <v>134</v>
      </c>
      <c r="D136" s="16">
        <f t="shared" si="2"/>
        <v>0.96111111111110892</v>
      </c>
    </row>
    <row r="137" spans="1:4" x14ac:dyDescent="0.35">
      <c r="A137" s="9">
        <v>2</v>
      </c>
      <c r="B137" s="10">
        <v>14</v>
      </c>
      <c r="C137" s="11" t="s">
        <v>135</v>
      </c>
      <c r="D137" s="16">
        <f t="shared" si="2"/>
        <v>0.9624999999999978</v>
      </c>
    </row>
    <row r="138" spans="1:4" x14ac:dyDescent="0.35">
      <c r="A138" s="6">
        <v>11</v>
      </c>
      <c r="B138" s="7">
        <v>3</v>
      </c>
      <c r="C138" s="8" t="s">
        <v>136</v>
      </c>
      <c r="D138" s="16">
        <f t="shared" si="2"/>
        <v>0.97013888888888666</v>
      </c>
    </row>
    <row r="139" spans="1:4" x14ac:dyDescent="0.35">
      <c r="A139" s="9">
        <v>2</v>
      </c>
      <c r="B139" s="10">
        <v>1</v>
      </c>
      <c r="C139" s="11" t="s">
        <v>137</v>
      </c>
      <c r="D139" s="16">
        <f t="shared" si="2"/>
        <v>0.97152777777777555</v>
      </c>
    </row>
    <row r="140" spans="1:4" x14ac:dyDescent="0.35">
      <c r="A140" s="6">
        <v>14</v>
      </c>
      <c r="B140" s="7">
        <v>3</v>
      </c>
      <c r="C140" s="8" t="s">
        <v>138</v>
      </c>
      <c r="D140" s="16">
        <f t="shared" si="2"/>
        <v>0.98124999999999774</v>
      </c>
    </row>
    <row r="141" spans="1:4" x14ac:dyDescent="0.35">
      <c r="A141" s="9">
        <v>6</v>
      </c>
      <c r="B141" s="10">
        <v>6</v>
      </c>
      <c r="C141" s="11" t="s">
        <v>139</v>
      </c>
      <c r="D141" s="16">
        <f t="shared" si="2"/>
        <v>0.98541666666666439</v>
      </c>
    </row>
    <row r="142" spans="1:4" x14ac:dyDescent="0.35">
      <c r="A142" s="6">
        <v>5</v>
      </c>
      <c r="B142" s="7">
        <v>14</v>
      </c>
      <c r="C142" s="8" t="s">
        <v>140</v>
      </c>
      <c r="D142" s="16">
        <f t="shared" si="2"/>
        <v>0.9888888888888866</v>
      </c>
    </row>
    <row r="143" spans="1:4" x14ac:dyDescent="0.35">
      <c r="A143" s="9">
        <v>2</v>
      </c>
      <c r="B143" s="10">
        <v>8</v>
      </c>
      <c r="C143" s="11" t="s">
        <v>141</v>
      </c>
      <c r="D143" s="16">
        <f t="shared" si="2"/>
        <v>0.99027777777777548</v>
      </c>
    </row>
    <row r="144" spans="1:4" x14ac:dyDescent="0.35">
      <c r="A144" s="6">
        <v>10</v>
      </c>
      <c r="B144" s="7">
        <v>15</v>
      </c>
      <c r="C144" s="8" t="s">
        <v>142</v>
      </c>
      <c r="D144" s="16">
        <f t="shared" si="2"/>
        <v>0.9972222222222199</v>
      </c>
    </row>
    <row r="145" spans="1:4" x14ac:dyDescent="0.35">
      <c r="A145" s="1">
        <v>3</v>
      </c>
      <c r="B145" s="2">
        <v>15</v>
      </c>
      <c r="C145" s="12" t="s">
        <v>143</v>
      </c>
      <c r="D145" s="16">
        <f t="shared" si="2"/>
        <v>0.99930555555555323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34104-1225-4D6B-A86D-193BFE13E242}">
  <dimension ref="A1:L145"/>
  <sheetViews>
    <sheetView topLeftCell="C4" zoomScale="90" zoomScaleNormal="100" workbookViewId="0">
      <selection activeCell="G23" sqref="G23"/>
    </sheetView>
  </sheetViews>
  <sheetFormatPr defaultRowHeight="14.5" x14ac:dyDescent="0.35"/>
  <cols>
    <col min="1" max="1" width="35.453125" bestFit="1" customWidth="1"/>
    <col min="2" max="2" width="10.54296875" bestFit="1" customWidth="1"/>
    <col min="3" max="3" width="14.90625" bestFit="1" customWidth="1"/>
    <col min="5" max="6" width="16.54296875" bestFit="1" customWidth="1"/>
    <col min="7" max="7" width="15.54296875" bestFit="1" customWidth="1"/>
    <col min="8" max="8" width="18" bestFit="1" customWidth="1"/>
    <col min="9" max="9" width="16.6328125" bestFit="1" customWidth="1"/>
    <col min="11" max="11" width="31.1796875" bestFit="1" customWidth="1"/>
    <col min="12" max="12" width="13.54296875" bestFit="1" customWidth="1"/>
  </cols>
  <sheetData>
    <row r="1" spans="1:12" x14ac:dyDescent="0.35">
      <c r="A1" s="3" t="s">
        <v>146</v>
      </c>
      <c r="B1" s="4" t="s">
        <v>145</v>
      </c>
      <c r="C1" s="5" t="s">
        <v>144</v>
      </c>
      <c r="D1" s="15" t="s">
        <v>260</v>
      </c>
      <c r="E1" s="15" t="s">
        <v>263</v>
      </c>
      <c r="F1" s="15" t="s">
        <v>261</v>
      </c>
    </row>
    <row r="2" spans="1:12" x14ac:dyDescent="0.35">
      <c r="A2" s="6">
        <v>3</v>
      </c>
      <c r="B2" s="7">
        <v>5</v>
      </c>
      <c r="C2" s="8" t="s">
        <v>0</v>
      </c>
      <c r="D2" s="16">
        <f>TIME(6,3,0)</f>
        <v>0.25208333333333333</v>
      </c>
      <c r="E2" s="17">
        <f>HOUR(D2)-5</f>
        <v>1</v>
      </c>
      <c r="F2">
        <v>1</v>
      </c>
    </row>
    <row r="3" spans="1:12" x14ac:dyDescent="0.35">
      <c r="A3" s="9">
        <v>12</v>
      </c>
      <c r="B3" s="10">
        <v>13</v>
      </c>
      <c r="C3" s="11" t="s">
        <v>1</v>
      </c>
      <c r="D3" s="16">
        <f>D2+TIME(0,A3,0)</f>
        <v>0.26041666666666669</v>
      </c>
      <c r="E3" s="17">
        <f t="shared" ref="E3:E66" si="0">HOUR(D3)-5</f>
        <v>1</v>
      </c>
      <c r="F3">
        <v>1</v>
      </c>
    </row>
    <row r="4" spans="1:12" x14ac:dyDescent="0.35">
      <c r="A4" s="6">
        <v>1</v>
      </c>
      <c r="B4" s="7">
        <v>10</v>
      </c>
      <c r="C4" s="8" t="s">
        <v>2</v>
      </c>
      <c r="D4" s="16">
        <f t="shared" ref="D4:D67" si="1">D3+TIME(0,A4,0)</f>
        <v>0.26111111111111113</v>
      </c>
      <c r="E4" s="17">
        <f t="shared" si="0"/>
        <v>1</v>
      </c>
      <c r="F4">
        <v>1</v>
      </c>
    </row>
    <row r="5" spans="1:12" x14ac:dyDescent="0.35">
      <c r="A5" s="9">
        <v>7</v>
      </c>
      <c r="B5" s="10">
        <v>2</v>
      </c>
      <c r="C5" s="11" t="s">
        <v>3</v>
      </c>
      <c r="D5" s="16">
        <f t="shared" si="1"/>
        <v>0.26597222222222222</v>
      </c>
      <c r="E5" s="17">
        <f t="shared" si="0"/>
        <v>1</v>
      </c>
      <c r="F5">
        <v>1</v>
      </c>
    </row>
    <row r="6" spans="1:12" x14ac:dyDescent="0.35">
      <c r="A6" s="6">
        <v>10</v>
      </c>
      <c r="B6" s="7">
        <v>7</v>
      </c>
      <c r="C6" s="8" t="s">
        <v>4</v>
      </c>
      <c r="D6" s="16">
        <f t="shared" si="1"/>
        <v>0.27291666666666664</v>
      </c>
      <c r="E6" s="17">
        <f t="shared" si="0"/>
        <v>1</v>
      </c>
      <c r="F6">
        <v>1</v>
      </c>
    </row>
    <row r="7" spans="1:12" x14ac:dyDescent="0.35">
      <c r="A7" s="9">
        <v>9</v>
      </c>
      <c r="B7" s="10">
        <v>14</v>
      </c>
      <c r="C7" s="11" t="s">
        <v>5</v>
      </c>
      <c r="D7" s="16">
        <f t="shared" si="1"/>
        <v>0.27916666666666662</v>
      </c>
      <c r="E7" s="17">
        <f t="shared" si="0"/>
        <v>1</v>
      </c>
      <c r="F7">
        <v>1</v>
      </c>
      <c r="H7" s="13" t="s">
        <v>147</v>
      </c>
      <c r="I7" t="s">
        <v>264</v>
      </c>
      <c r="K7" t="s">
        <v>265</v>
      </c>
      <c r="L7" t="s">
        <v>266</v>
      </c>
    </row>
    <row r="8" spans="1:12" x14ac:dyDescent="0.35">
      <c r="A8" s="6">
        <v>4</v>
      </c>
      <c r="B8" s="7">
        <v>10</v>
      </c>
      <c r="C8" s="8" t="s">
        <v>6</v>
      </c>
      <c r="D8" s="16">
        <f t="shared" si="1"/>
        <v>0.28194444444444439</v>
      </c>
      <c r="E8" s="17">
        <f t="shared" si="0"/>
        <v>1</v>
      </c>
      <c r="F8">
        <v>1</v>
      </c>
      <c r="H8" s="14">
        <v>1</v>
      </c>
      <c r="I8">
        <v>9</v>
      </c>
      <c r="K8" s="14">
        <v>1</v>
      </c>
      <c r="L8">
        <v>9</v>
      </c>
    </row>
    <row r="9" spans="1:12" x14ac:dyDescent="0.35">
      <c r="A9" s="9">
        <v>4</v>
      </c>
      <c r="B9" s="10">
        <v>7</v>
      </c>
      <c r="C9" s="11" t="s">
        <v>7</v>
      </c>
      <c r="D9" s="16">
        <f t="shared" si="1"/>
        <v>0.28472222222222215</v>
      </c>
      <c r="E9" s="17">
        <f t="shared" si="0"/>
        <v>1</v>
      </c>
      <c r="F9">
        <v>1</v>
      </c>
      <c r="H9" s="14">
        <v>2</v>
      </c>
      <c r="I9">
        <v>8</v>
      </c>
      <c r="K9" s="14">
        <v>2</v>
      </c>
      <c r="L9">
        <v>8</v>
      </c>
    </row>
    <row r="10" spans="1:12" x14ac:dyDescent="0.35">
      <c r="A10" s="6">
        <v>3</v>
      </c>
      <c r="B10" s="7">
        <v>2</v>
      </c>
      <c r="C10" s="8" t="s">
        <v>8</v>
      </c>
      <c r="D10" s="16">
        <f t="shared" si="1"/>
        <v>0.28680555555555548</v>
      </c>
      <c r="E10" s="17">
        <f t="shared" si="0"/>
        <v>1</v>
      </c>
      <c r="F10">
        <v>1</v>
      </c>
      <c r="H10" s="14">
        <v>3</v>
      </c>
      <c r="I10">
        <v>7</v>
      </c>
      <c r="K10" s="14">
        <v>3</v>
      </c>
      <c r="L10">
        <v>7</v>
      </c>
    </row>
    <row r="11" spans="1:12" x14ac:dyDescent="0.35">
      <c r="A11" s="9">
        <v>7</v>
      </c>
      <c r="B11" s="10">
        <v>12</v>
      </c>
      <c r="C11" s="11" t="s">
        <v>9</v>
      </c>
      <c r="D11" s="16">
        <f t="shared" si="1"/>
        <v>0.29166666666666657</v>
      </c>
      <c r="E11" s="17">
        <f t="shared" si="0"/>
        <v>2</v>
      </c>
      <c r="F11">
        <v>1</v>
      </c>
      <c r="H11" s="14">
        <v>4</v>
      </c>
      <c r="I11">
        <v>9</v>
      </c>
      <c r="K11" s="14">
        <v>4</v>
      </c>
      <c r="L11">
        <v>9</v>
      </c>
    </row>
    <row r="12" spans="1:12" x14ac:dyDescent="0.35">
      <c r="A12" s="6">
        <v>11</v>
      </c>
      <c r="B12" s="7">
        <v>12</v>
      </c>
      <c r="C12" s="8" t="s">
        <v>10</v>
      </c>
      <c r="D12" s="16">
        <f t="shared" si="1"/>
        <v>0.29930555555555544</v>
      </c>
      <c r="E12" s="17">
        <f t="shared" si="0"/>
        <v>2</v>
      </c>
      <c r="F12">
        <v>1</v>
      </c>
      <c r="H12" s="14">
        <v>5</v>
      </c>
      <c r="I12">
        <v>5</v>
      </c>
      <c r="K12" s="14">
        <v>5</v>
      </c>
      <c r="L12">
        <v>5</v>
      </c>
    </row>
    <row r="13" spans="1:12" x14ac:dyDescent="0.35">
      <c r="A13" s="9">
        <v>15</v>
      </c>
      <c r="B13" s="10">
        <v>14</v>
      </c>
      <c r="C13" s="11" t="s">
        <v>11</v>
      </c>
      <c r="D13" s="16">
        <f t="shared" si="1"/>
        <v>0.30972222222222212</v>
      </c>
      <c r="E13" s="17">
        <f t="shared" si="0"/>
        <v>2</v>
      </c>
      <c r="F13">
        <v>1</v>
      </c>
      <c r="H13" s="14">
        <v>6</v>
      </c>
      <c r="I13">
        <v>10</v>
      </c>
      <c r="K13" s="14">
        <v>6</v>
      </c>
      <c r="L13">
        <v>10</v>
      </c>
    </row>
    <row r="14" spans="1:12" x14ac:dyDescent="0.35">
      <c r="A14" s="6">
        <v>11</v>
      </c>
      <c r="B14" s="7">
        <v>9</v>
      </c>
      <c r="C14" s="8" t="s">
        <v>12</v>
      </c>
      <c r="D14" s="16">
        <f t="shared" si="1"/>
        <v>0.31736111111111098</v>
      </c>
      <c r="E14" s="17">
        <f t="shared" si="0"/>
        <v>2</v>
      </c>
      <c r="F14">
        <v>1</v>
      </c>
      <c r="H14" s="14">
        <v>7</v>
      </c>
      <c r="I14">
        <v>7</v>
      </c>
      <c r="K14" s="14">
        <v>7</v>
      </c>
      <c r="L14">
        <v>7</v>
      </c>
    </row>
    <row r="15" spans="1:12" x14ac:dyDescent="0.35">
      <c r="A15" s="9">
        <v>3</v>
      </c>
      <c r="B15" s="10">
        <v>6</v>
      </c>
      <c r="C15" s="11" t="s">
        <v>13</v>
      </c>
      <c r="D15" s="16">
        <f t="shared" si="1"/>
        <v>0.31944444444444431</v>
      </c>
      <c r="E15" s="17">
        <f t="shared" si="0"/>
        <v>2</v>
      </c>
      <c r="F15">
        <v>1</v>
      </c>
      <c r="H15" s="14">
        <v>8</v>
      </c>
      <c r="I15">
        <v>6</v>
      </c>
      <c r="K15" s="14">
        <v>8</v>
      </c>
      <c r="L15">
        <v>6</v>
      </c>
    </row>
    <row r="16" spans="1:12" x14ac:dyDescent="0.35">
      <c r="A16" s="6">
        <v>1</v>
      </c>
      <c r="B16" s="7">
        <v>7</v>
      </c>
      <c r="C16" s="8" t="s">
        <v>14</v>
      </c>
      <c r="D16" s="16">
        <f t="shared" si="1"/>
        <v>0.32013888888888875</v>
      </c>
      <c r="E16" s="17">
        <f t="shared" si="0"/>
        <v>2</v>
      </c>
      <c r="F16">
        <v>1</v>
      </c>
      <c r="H16" s="14">
        <v>9</v>
      </c>
      <c r="I16">
        <v>8</v>
      </c>
      <c r="K16" s="14">
        <v>9</v>
      </c>
      <c r="L16">
        <v>8</v>
      </c>
    </row>
    <row r="17" spans="1:12" x14ac:dyDescent="0.35">
      <c r="A17" s="9">
        <v>11</v>
      </c>
      <c r="B17" s="10">
        <v>7</v>
      </c>
      <c r="C17" s="11" t="s">
        <v>15</v>
      </c>
      <c r="D17" s="16">
        <f t="shared" si="1"/>
        <v>0.32777777777777761</v>
      </c>
      <c r="E17" s="17">
        <f t="shared" si="0"/>
        <v>2</v>
      </c>
      <c r="F17">
        <v>1</v>
      </c>
      <c r="H17" s="14">
        <v>10</v>
      </c>
      <c r="I17">
        <v>9</v>
      </c>
      <c r="K17" s="14">
        <v>10</v>
      </c>
      <c r="L17">
        <v>9</v>
      </c>
    </row>
    <row r="18" spans="1:12" x14ac:dyDescent="0.35">
      <c r="A18" s="6">
        <v>2</v>
      </c>
      <c r="B18" s="7">
        <v>2</v>
      </c>
      <c r="C18" s="8" t="s">
        <v>16</v>
      </c>
      <c r="D18" s="16">
        <f t="shared" si="1"/>
        <v>0.3291666666666665</v>
      </c>
      <c r="E18" s="17">
        <f t="shared" si="0"/>
        <v>2</v>
      </c>
      <c r="F18">
        <v>1</v>
      </c>
      <c r="H18" s="14">
        <v>11</v>
      </c>
      <c r="I18">
        <v>10</v>
      </c>
      <c r="K18" s="14">
        <v>11</v>
      </c>
      <c r="L18">
        <v>10</v>
      </c>
    </row>
    <row r="19" spans="1:12" x14ac:dyDescent="0.35">
      <c r="A19" s="9">
        <v>9</v>
      </c>
      <c r="B19" s="10">
        <v>10</v>
      </c>
      <c r="C19" s="11" t="s">
        <v>17</v>
      </c>
      <c r="D19" s="16">
        <f t="shared" si="1"/>
        <v>0.33541666666666647</v>
      </c>
      <c r="E19" s="17">
        <f t="shared" si="0"/>
        <v>3</v>
      </c>
      <c r="F19">
        <v>1</v>
      </c>
      <c r="H19" s="14">
        <v>12</v>
      </c>
      <c r="I19">
        <v>8</v>
      </c>
      <c r="K19" s="14">
        <v>12</v>
      </c>
      <c r="L19">
        <v>8</v>
      </c>
    </row>
    <row r="20" spans="1:12" x14ac:dyDescent="0.35">
      <c r="A20" s="6">
        <v>2</v>
      </c>
      <c r="B20" s="7">
        <v>13</v>
      </c>
      <c r="C20" s="8" t="s">
        <v>18</v>
      </c>
      <c r="D20" s="16">
        <f t="shared" si="1"/>
        <v>0.33680555555555536</v>
      </c>
      <c r="E20" s="17">
        <f t="shared" si="0"/>
        <v>3</v>
      </c>
      <c r="F20">
        <v>1</v>
      </c>
      <c r="H20" s="14">
        <v>13</v>
      </c>
      <c r="I20">
        <v>8</v>
      </c>
      <c r="K20" s="14">
        <v>13</v>
      </c>
      <c r="L20">
        <v>8</v>
      </c>
    </row>
    <row r="21" spans="1:12" x14ac:dyDescent="0.35">
      <c r="A21" s="9">
        <v>13</v>
      </c>
      <c r="B21" s="10">
        <v>14</v>
      </c>
      <c r="C21" s="11" t="s">
        <v>19</v>
      </c>
      <c r="D21" s="16">
        <f t="shared" si="1"/>
        <v>0.34583333333333316</v>
      </c>
      <c r="E21" s="17">
        <f t="shared" si="0"/>
        <v>3</v>
      </c>
      <c r="F21">
        <v>1</v>
      </c>
      <c r="H21" s="14">
        <v>14</v>
      </c>
      <c r="I21">
        <v>10</v>
      </c>
      <c r="K21" s="14">
        <v>14</v>
      </c>
      <c r="L21">
        <v>10</v>
      </c>
    </row>
    <row r="22" spans="1:12" x14ac:dyDescent="0.35">
      <c r="A22" s="6">
        <v>10</v>
      </c>
      <c r="B22" s="7">
        <v>15</v>
      </c>
      <c r="C22" s="8" t="s">
        <v>20</v>
      </c>
      <c r="D22" s="16">
        <f t="shared" si="1"/>
        <v>0.35277777777777758</v>
      </c>
      <c r="E22" s="17">
        <f t="shared" si="0"/>
        <v>3</v>
      </c>
      <c r="F22">
        <v>1</v>
      </c>
      <c r="H22" s="14">
        <v>15</v>
      </c>
      <c r="I22">
        <v>7</v>
      </c>
      <c r="K22" s="14">
        <v>15</v>
      </c>
      <c r="L22">
        <v>7</v>
      </c>
    </row>
    <row r="23" spans="1:12" x14ac:dyDescent="0.35">
      <c r="A23" s="9">
        <v>6</v>
      </c>
      <c r="B23" s="10">
        <v>9</v>
      </c>
      <c r="C23" s="11" t="s">
        <v>21</v>
      </c>
      <c r="D23" s="16">
        <f t="shared" si="1"/>
        <v>0.35694444444444423</v>
      </c>
      <c r="E23" s="17">
        <f t="shared" si="0"/>
        <v>3</v>
      </c>
      <c r="F23">
        <v>1</v>
      </c>
      <c r="H23" s="14">
        <v>16</v>
      </c>
      <c r="I23">
        <v>5</v>
      </c>
      <c r="K23" s="14">
        <v>16</v>
      </c>
      <c r="L23">
        <v>5</v>
      </c>
    </row>
    <row r="24" spans="1:12" x14ac:dyDescent="0.35">
      <c r="A24" s="6">
        <v>5</v>
      </c>
      <c r="B24" s="7">
        <v>6</v>
      </c>
      <c r="C24" s="8" t="s">
        <v>22</v>
      </c>
      <c r="D24" s="16">
        <f t="shared" si="1"/>
        <v>0.36041666666666644</v>
      </c>
      <c r="E24" s="17">
        <f t="shared" si="0"/>
        <v>3</v>
      </c>
      <c r="F24">
        <v>1</v>
      </c>
      <c r="H24" s="14">
        <v>17</v>
      </c>
      <c r="I24">
        <v>8</v>
      </c>
      <c r="K24" s="14">
        <v>17</v>
      </c>
      <c r="L24">
        <v>8</v>
      </c>
    </row>
    <row r="25" spans="1:12" x14ac:dyDescent="0.35">
      <c r="A25" s="9">
        <v>13</v>
      </c>
      <c r="B25" s="10">
        <v>13</v>
      </c>
      <c r="C25" s="11" t="s">
        <v>23</v>
      </c>
      <c r="D25" s="16">
        <f t="shared" si="1"/>
        <v>0.36944444444444424</v>
      </c>
      <c r="E25" s="17">
        <f t="shared" si="0"/>
        <v>3</v>
      </c>
      <c r="F25">
        <v>1</v>
      </c>
      <c r="H25" s="14">
        <v>18</v>
      </c>
      <c r="I25">
        <v>10</v>
      </c>
      <c r="K25" s="14">
        <v>18</v>
      </c>
      <c r="L25">
        <v>10</v>
      </c>
    </row>
    <row r="26" spans="1:12" x14ac:dyDescent="0.35">
      <c r="A26" s="6">
        <v>11</v>
      </c>
      <c r="B26" s="7">
        <v>1</v>
      </c>
      <c r="C26" s="8" t="s">
        <v>24</v>
      </c>
      <c r="D26" s="16">
        <f t="shared" si="1"/>
        <v>0.3770833333333331</v>
      </c>
      <c r="E26" s="17">
        <f t="shared" si="0"/>
        <v>4</v>
      </c>
      <c r="F26">
        <v>1</v>
      </c>
      <c r="H26" s="14" t="s">
        <v>148</v>
      </c>
      <c r="I26">
        <v>144</v>
      </c>
    </row>
    <row r="27" spans="1:12" x14ac:dyDescent="0.35">
      <c r="A27" s="9">
        <v>10</v>
      </c>
      <c r="B27" s="10">
        <v>6</v>
      </c>
      <c r="C27" s="11" t="s">
        <v>25</v>
      </c>
      <c r="D27" s="16">
        <f t="shared" si="1"/>
        <v>0.38402777777777752</v>
      </c>
      <c r="E27" s="17">
        <f t="shared" si="0"/>
        <v>4</v>
      </c>
      <c r="F27">
        <v>1</v>
      </c>
    </row>
    <row r="28" spans="1:12" x14ac:dyDescent="0.35">
      <c r="A28" s="6">
        <v>11</v>
      </c>
      <c r="B28" s="7">
        <v>12</v>
      </c>
      <c r="C28" s="8" t="s">
        <v>26</v>
      </c>
      <c r="D28" s="16">
        <f t="shared" si="1"/>
        <v>0.39166666666666639</v>
      </c>
      <c r="E28" s="17">
        <f t="shared" si="0"/>
        <v>4</v>
      </c>
      <c r="F28">
        <v>1</v>
      </c>
    </row>
    <row r="29" spans="1:12" x14ac:dyDescent="0.35">
      <c r="A29" s="9">
        <v>4</v>
      </c>
      <c r="B29" s="10">
        <v>9</v>
      </c>
      <c r="C29" s="11" t="s">
        <v>27</v>
      </c>
      <c r="D29" s="16">
        <f t="shared" si="1"/>
        <v>0.39444444444444415</v>
      </c>
      <c r="E29" s="17">
        <f t="shared" si="0"/>
        <v>4</v>
      </c>
      <c r="F29">
        <v>1</v>
      </c>
    </row>
    <row r="30" spans="1:12" x14ac:dyDescent="0.35">
      <c r="A30" s="6">
        <v>4</v>
      </c>
      <c r="B30" s="7">
        <v>1</v>
      </c>
      <c r="C30" s="8" t="s">
        <v>28</v>
      </c>
      <c r="D30" s="16">
        <f t="shared" si="1"/>
        <v>0.39722222222222192</v>
      </c>
      <c r="E30" s="17">
        <f t="shared" si="0"/>
        <v>4</v>
      </c>
      <c r="F30">
        <v>1</v>
      </c>
    </row>
    <row r="31" spans="1:12" x14ac:dyDescent="0.35">
      <c r="A31" s="9">
        <v>2</v>
      </c>
      <c r="B31" s="10">
        <v>11</v>
      </c>
      <c r="C31" s="11" t="s">
        <v>29</v>
      </c>
      <c r="D31" s="16">
        <f t="shared" si="1"/>
        <v>0.39861111111111081</v>
      </c>
      <c r="E31" s="17">
        <f t="shared" si="0"/>
        <v>4</v>
      </c>
      <c r="F31">
        <v>1</v>
      </c>
    </row>
    <row r="32" spans="1:12" x14ac:dyDescent="0.35">
      <c r="A32" s="6">
        <v>7</v>
      </c>
      <c r="B32" s="7">
        <v>2</v>
      </c>
      <c r="C32" s="8" t="s">
        <v>30</v>
      </c>
      <c r="D32" s="16">
        <f t="shared" si="1"/>
        <v>0.4034722222222219</v>
      </c>
      <c r="E32" s="17">
        <f t="shared" si="0"/>
        <v>4</v>
      </c>
      <c r="F32">
        <v>1</v>
      </c>
    </row>
    <row r="33" spans="1:6" x14ac:dyDescent="0.35">
      <c r="A33" s="9">
        <v>11</v>
      </c>
      <c r="B33" s="10">
        <v>14</v>
      </c>
      <c r="C33" s="11" t="s">
        <v>31</v>
      </c>
      <c r="D33" s="16">
        <f t="shared" si="1"/>
        <v>0.41111111111111076</v>
      </c>
      <c r="E33" s="17">
        <f t="shared" si="0"/>
        <v>4</v>
      </c>
      <c r="F33">
        <v>1</v>
      </c>
    </row>
    <row r="34" spans="1:6" x14ac:dyDescent="0.35">
      <c r="A34" s="6">
        <v>6</v>
      </c>
      <c r="B34" s="7">
        <v>3</v>
      </c>
      <c r="C34" s="8" t="s">
        <v>32</v>
      </c>
      <c r="D34" s="16">
        <f t="shared" si="1"/>
        <v>0.41527777777777741</v>
      </c>
      <c r="E34" s="17">
        <f t="shared" si="0"/>
        <v>4</v>
      </c>
      <c r="F34">
        <v>1</v>
      </c>
    </row>
    <row r="35" spans="1:6" x14ac:dyDescent="0.35">
      <c r="A35" s="9">
        <v>11</v>
      </c>
      <c r="B35" s="10">
        <v>5</v>
      </c>
      <c r="C35" s="11" t="s">
        <v>33</v>
      </c>
      <c r="D35" s="16">
        <f t="shared" si="1"/>
        <v>0.42291666666666627</v>
      </c>
      <c r="E35" s="17">
        <f t="shared" si="0"/>
        <v>5</v>
      </c>
      <c r="F35">
        <v>1</v>
      </c>
    </row>
    <row r="36" spans="1:6" x14ac:dyDescent="0.35">
      <c r="A36" s="6">
        <v>5</v>
      </c>
      <c r="B36" s="7">
        <v>9</v>
      </c>
      <c r="C36" s="8" t="s">
        <v>34</v>
      </c>
      <c r="D36" s="16">
        <f t="shared" si="1"/>
        <v>0.42638888888888848</v>
      </c>
      <c r="E36" s="17">
        <f t="shared" si="0"/>
        <v>5</v>
      </c>
      <c r="F36">
        <v>1</v>
      </c>
    </row>
    <row r="37" spans="1:6" x14ac:dyDescent="0.35">
      <c r="A37" s="9">
        <v>9</v>
      </c>
      <c r="B37" s="10">
        <v>5</v>
      </c>
      <c r="C37" s="11" t="s">
        <v>35</v>
      </c>
      <c r="D37" s="16">
        <f t="shared" si="1"/>
        <v>0.43263888888888846</v>
      </c>
      <c r="E37" s="17">
        <f t="shared" si="0"/>
        <v>5</v>
      </c>
      <c r="F37">
        <v>1</v>
      </c>
    </row>
    <row r="38" spans="1:6" x14ac:dyDescent="0.35">
      <c r="A38" s="6">
        <v>11</v>
      </c>
      <c r="B38" s="7">
        <v>4</v>
      </c>
      <c r="C38" s="8" t="s">
        <v>36</v>
      </c>
      <c r="D38" s="16">
        <f t="shared" si="1"/>
        <v>0.44027777777777732</v>
      </c>
      <c r="E38" s="17">
        <f t="shared" si="0"/>
        <v>5</v>
      </c>
      <c r="F38">
        <v>1</v>
      </c>
    </row>
    <row r="39" spans="1:6" x14ac:dyDescent="0.35">
      <c r="A39" s="9">
        <v>15</v>
      </c>
      <c r="B39" s="10">
        <v>5</v>
      </c>
      <c r="C39" s="11" t="s">
        <v>37</v>
      </c>
      <c r="D39" s="16">
        <f t="shared" si="1"/>
        <v>0.45069444444444401</v>
      </c>
      <c r="E39" s="17">
        <f t="shared" si="0"/>
        <v>5</v>
      </c>
      <c r="F39">
        <v>1</v>
      </c>
    </row>
    <row r="40" spans="1:6" x14ac:dyDescent="0.35">
      <c r="A40" s="6">
        <v>12</v>
      </c>
      <c r="B40" s="7">
        <v>1</v>
      </c>
      <c r="C40" s="8" t="s">
        <v>38</v>
      </c>
      <c r="D40" s="16">
        <f t="shared" si="1"/>
        <v>0.45902777777777737</v>
      </c>
      <c r="E40" s="17">
        <f t="shared" si="0"/>
        <v>6</v>
      </c>
      <c r="F40">
        <v>1</v>
      </c>
    </row>
    <row r="41" spans="1:6" x14ac:dyDescent="0.35">
      <c r="A41" s="9">
        <v>2</v>
      </c>
      <c r="B41" s="10">
        <v>5</v>
      </c>
      <c r="C41" s="11" t="s">
        <v>39</v>
      </c>
      <c r="D41" s="16">
        <f t="shared" si="1"/>
        <v>0.46041666666666625</v>
      </c>
      <c r="E41" s="17">
        <f t="shared" si="0"/>
        <v>6</v>
      </c>
      <c r="F41">
        <v>1</v>
      </c>
    </row>
    <row r="42" spans="1:6" x14ac:dyDescent="0.35">
      <c r="A42" s="6">
        <v>11</v>
      </c>
      <c r="B42" s="7">
        <v>11</v>
      </c>
      <c r="C42" s="8" t="s">
        <v>40</v>
      </c>
      <c r="D42" s="16">
        <f t="shared" si="1"/>
        <v>0.46805555555555511</v>
      </c>
      <c r="E42" s="17">
        <f t="shared" si="0"/>
        <v>6</v>
      </c>
      <c r="F42">
        <v>1</v>
      </c>
    </row>
    <row r="43" spans="1:6" x14ac:dyDescent="0.35">
      <c r="A43" s="9">
        <v>2</v>
      </c>
      <c r="B43" s="10">
        <v>3</v>
      </c>
      <c r="C43" s="11" t="s">
        <v>41</v>
      </c>
      <c r="D43" s="16">
        <f t="shared" si="1"/>
        <v>0.469444444444444</v>
      </c>
      <c r="E43" s="17">
        <f t="shared" si="0"/>
        <v>6</v>
      </c>
      <c r="F43">
        <v>1</v>
      </c>
    </row>
    <row r="44" spans="1:6" x14ac:dyDescent="0.35">
      <c r="A44" s="6">
        <v>6</v>
      </c>
      <c r="B44" s="7">
        <v>13</v>
      </c>
      <c r="C44" s="8" t="s">
        <v>42</v>
      </c>
      <c r="D44" s="16">
        <f t="shared" si="1"/>
        <v>0.47361111111111065</v>
      </c>
      <c r="E44" s="17">
        <f t="shared" si="0"/>
        <v>6</v>
      </c>
      <c r="F44">
        <v>1</v>
      </c>
    </row>
    <row r="45" spans="1:6" x14ac:dyDescent="0.35">
      <c r="A45" s="9">
        <v>4</v>
      </c>
      <c r="B45" s="10">
        <v>11</v>
      </c>
      <c r="C45" s="11" t="s">
        <v>43</v>
      </c>
      <c r="D45" s="16">
        <f t="shared" si="1"/>
        <v>0.47638888888888842</v>
      </c>
      <c r="E45" s="17">
        <f t="shared" si="0"/>
        <v>6</v>
      </c>
      <c r="F45">
        <v>1</v>
      </c>
    </row>
    <row r="46" spans="1:6" x14ac:dyDescent="0.35">
      <c r="A46" s="6">
        <v>7</v>
      </c>
      <c r="B46" s="7">
        <v>10</v>
      </c>
      <c r="C46" s="8" t="s">
        <v>44</v>
      </c>
      <c r="D46" s="16">
        <f t="shared" si="1"/>
        <v>0.48124999999999951</v>
      </c>
      <c r="E46" s="17">
        <f t="shared" si="0"/>
        <v>6</v>
      </c>
      <c r="F46">
        <v>1</v>
      </c>
    </row>
    <row r="47" spans="1:6" x14ac:dyDescent="0.35">
      <c r="A47" s="9">
        <v>8</v>
      </c>
      <c r="B47" s="10">
        <v>6</v>
      </c>
      <c r="C47" s="11" t="s">
        <v>45</v>
      </c>
      <c r="D47" s="16">
        <f t="shared" si="1"/>
        <v>0.48680555555555505</v>
      </c>
      <c r="E47" s="17">
        <f t="shared" si="0"/>
        <v>6</v>
      </c>
      <c r="F47">
        <v>1</v>
      </c>
    </row>
    <row r="48" spans="1:6" x14ac:dyDescent="0.35">
      <c r="A48" s="6">
        <v>3</v>
      </c>
      <c r="B48" s="7">
        <v>14</v>
      </c>
      <c r="C48" s="8" t="s">
        <v>46</v>
      </c>
      <c r="D48" s="16">
        <f t="shared" si="1"/>
        <v>0.48888888888888837</v>
      </c>
      <c r="E48" s="17">
        <f t="shared" si="0"/>
        <v>6</v>
      </c>
      <c r="F48">
        <v>1</v>
      </c>
    </row>
    <row r="49" spans="1:6" x14ac:dyDescent="0.35">
      <c r="A49" s="9">
        <v>7</v>
      </c>
      <c r="B49" s="10">
        <v>13</v>
      </c>
      <c r="C49" s="11" t="s">
        <v>47</v>
      </c>
      <c r="D49" s="16">
        <f t="shared" si="1"/>
        <v>0.49374999999999947</v>
      </c>
      <c r="E49" s="17">
        <f t="shared" si="0"/>
        <v>6</v>
      </c>
      <c r="F49">
        <v>1</v>
      </c>
    </row>
    <row r="50" spans="1:6" x14ac:dyDescent="0.35">
      <c r="A50" s="6">
        <v>15</v>
      </c>
      <c r="B50" s="7">
        <v>11</v>
      </c>
      <c r="C50" s="8" t="s">
        <v>48</v>
      </c>
      <c r="D50" s="16">
        <f t="shared" si="1"/>
        <v>0.5041666666666661</v>
      </c>
      <c r="E50" s="17">
        <f t="shared" si="0"/>
        <v>7</v>
      </c>
      <c r="F50">
        <v>1</v>
      </c>
    </row>
    <row r="51" spans="1:6" x14ac:dyDescent="0.35">
      <c r="A51" s="9">
        <v>11</v>
      </c>
      <c r="B51" s="10">
        <v>8</v>
      </c>
      <c r="C51" s="11" t="s">
        <v>49</v>
      </c>
      <c r="D51" s="16">
        <f t="shared" si="1"/>
        <v>0.51180555555555496</v>
      </c>
      <c r="E51" s="17">
        <f t="shared" si="0"/>
        <v>7</v>
      </c>
      <c r="F51">
        <v>1</v>
      </c>
    </row>
    <row r="52" spans="1:6" x14ac:dyDescent="0.35">
      <c r="A52" s="6">
        <v>6</v>
      </c>
      <c r="B52" s="7">
        <v>10</v>
      </c>
      <c r="C52" s="8" t="s">
        <v>50</v>
      </c>
      <c r="D52" s="16">
        <f t="shared" si="1"/>
        <v>0.51597222222222161</v>
      </c>
      <c r="E52" s="17">
        <f t="shared" si="0"/>
        <v>7</v>
      </c>
      <c r="F52">
        <v>1</v>
      </c>
    </row>
    <row r="53" spans="1:6" x14ac:dyDescent="0.35">
      <c r="A53" s="9">
        <v>3</v>
      </c>
      <c r="B53" s="10">
        <v>12</v>
      </c>
      <c r="C53" s="11" t="s">
        <v>51</v>
      </c>
      <c r="D53" s="16">
        <f t="shared" si="1"/>
        <v>0.51805555555555494</v>
      </c>
      <c r="E53" s="17">
        <f t="shared" si="0"/>
        <v>7</v>
      </c>
      <c r="F53">
        <v>1</v>
      </c>
    </row>
    <row r="54" spans="1:6" x14ac:dyDescent="0.35">
      <c r="A54" s="6">
        <v>13</v>
      </c>
      <c r="B54" s="7">
        <v>11</v>
      </c>
      <c r="C54" s="8" t="s">
        <v>52</v>
      </c>
      <c r="D54" s="16">
        <f t="shared" si="1"/>
        <v>0.52708333333333268</v>
      </c>
      <c r="E54" s="17">
        <f t="shared" si="0"/>
        <v>7</v>
      </c>
      <c r="F54">
        <v>1</v>
      </c>
    </row>
    <row r="55" spans="1:6" x14ac:dyDescent="0.35">
      <c r="A55" s="9">
        <v>15</v>
      </c>
      <c r="B55" s="10">
        <v>12</v>
      </c>
      <c r="C55" s="11" t="s">
        <v>53</v>
      </c>
      <c r="D55" s="16">
        <f t="shared" si="1"/>
        <v>0.53749999999999931</v>
      </c>
      <c r="E55" s="17">
        <f t="shared" si="0"/>
        <v>7</v>
      </c>
      <c r="F55">
        <v>1</v>
      </c>
    </row>
    <row r="56" spans="1:6" x14ac:dyDescent="0.35">
      <c r="A56" s="6">
        <v>1</v>
      </c>
      <c r="B56" s="7">
        <v>13</v>
      </c>
      <c r="C56" s="8" t="s">
        <v>54</v>
      </c>
      <c r="D56" s="16">
        <f t="shared" si="1"/>
        <v>0.53819444444444375</v>
      </c>
      <c r="E56" s="17">
        <f t="shared" si="0"/>
        <v>7</v>
      </c>
      <c r="F56">
        <v>1</v>
      </c>
    </row>
    <row r="57" spans="1:6" x14ac:dyDescent="0.35">
      <c r="A57" s="9">
        <v>15</v>
      </c>
      <c r="B57" s="10">
        <v>7</v>
      </c>
      <c r="C57" s="11" t="s">
        <v>55</v>
      </c>
      <c r="D57" s="16">
        <f t="shared" si="1"/>
        <v>0.54861111111111038</v>
      </c>
      <c r="E57" s="17">
        <f t="shared" si="0"/>
        <v>8</v>
      </c>
      <c r="F57">
        <v>1</v>
      </c>
    </row>
    <row r="58" spans="1:6" x14ac:dyDescent="0.35">
      <c r="A58" s="6">
        <v>14</v>
      </c>
      <c r="B58" s="7">
        <v>10</v>
      </c>
      <c r="C58" s="8" t="s">
        <v>56</v>
      </c>
      <c r="D58" s="16">
        <f t="shared" si="1"/>
        <v>0.55833333333333257</v>
      </c>
      <c r="E58" s="17">
        <f t="shared" si="0"/>
        <v>8</v>
      </c>
      <c r="F58">
        <v>1</v>
      </c>
    </row>
    <row r="59" spans="1:6" x14ac:dyDescent="0.35">
      <c r="A59" s="9">
        <v>7</v>
      </c>
      <c r="B59" s="10">
        <v>1</v>
      </c>
      <c r="C59" s="11" t="s">
        <v>57</v>
      </c>
      <c r="D59" s="16">
        <f t="shared" si="1"/>
        <v>0.56319444444444366</v>
      </c>
      <c r="E59" s="17">
        <f t="shared" si="0"/>
        <v>8</v>
      </c>
      <c r="F59">
        <v>1</v>
      </c>
    </row>
    <row r="60" spans="1:6" x14ac:dyDescent="0.35">
      <c r="A60" s="6">
        <v>7</v>
      </c>
      <c r="B60" s="7">
        <v>5</v>
      </c>
      <c r="C60" s="8" t="s">
        <v>58</v>
      </c>
      <c r="D60" s="16">
        <f t="shared" si="1"/>
        <v>0.56805555555555476</v>
      </c>
      <c r="E60" s="17">
        <f t="shared" si="0"/>
        <v>8</v>
      </c>
      <c r="F60">
        <v>1</v>
      </c>
    </row>
    <row r="61" spans="1:6" x14ac:dyDescent="0.35">
      <c r="A61" s="9">
        <v>6</v>
      </c>
      <c r="B61" s="10">
        <v>1</v>
      </c>
      <c r="C61" s="11" t="s">
        <v>59</v>
      </c>
      <c r="D61" s="16">
        <f t="shared" si="1"/>
        <v>0.57222222222222141</v>
      </c>
      <c r="E61" s="17">
        <f t="shared" si="0"/>
        <v>8</v>
      </c>
      <c r="F61">
        <v>1</v>
      </c>
    </row>
    <row r="62" spans="1:6" x14ac:dyDescent="0.35">
      <c r="A62" s="6">
        <v>3</v>
      </c>
      <c r="B62" s="7">
        <v>12</v>
      </c>
      <c r="C62" s="8" t="s">
        <v>60</v>
      </c>
      <c r="D62" s="16">
        <f t="shared" si="1"/>
        <v>0.57430555555555474</v>
      </c>
      <c r="E62" s="17">
        <f t="shared" si="0"/>
        <v>8</v>
      </c>
      <c r="F62">
        <v>1</v>
      </c>
    </row>
    <row r="63" spans="1:6" x14ac:dyDescent="0.35">
      <c r="A63" s="9">
        <v>15</v>
      </c>
      <c r="B63" s="10">
        <v>14</v>
      </c>
      <c r="C63" s="11" t="s">
        <v>61</v>
      </c>
      <c r="D63" s="16">
        <f t="shared" si="1"/>
        <v>0.58472222222222137</v>
      </c>
      <c r="E63" s="17">
        <f t="shared" si="0"/>
        <v>9</v>
      </c>
      <c r="F63">
        <v>1</v>
      </c>
    </row>
    <row r="64" spans="1:6" x14ac:dyDescent="0.35">
      <c r="A64" s="6">
        <v>3</v>
      </c>
      <c r="B64" s="7">
        <v>9</v>
      </c>
      <c r="C64" s="8" t="s">
        <v>62</v>
      </c>
      <c r="D64" s="16">
        <f t="shared" si="1"/>
        <v>0.58680555555555469</v>
      </c>
      <c r="E64" s="17">
        <f t="shared" si="0"/>
        <v>9</v>
      </c>
      <c r="F64">
        <v>1</v>
      </c>
    </row>
    <row r="65" spans="1:6" x14ac:dyDescent="0.35">
      <c r="A65" s="9">
        <v>8</v>
      </c>
      <c r="B65" s="10">
        <v>11</v>
      </c>
      <c r="C65" s="11" t="s">
        <v>63</v>
      </c>
      <c r="D65" s="16">
        <f t="shared" si="1"/>
        <v>0.59236111111111023</v>
      </c>
      <c r="E65" s="17">
        <f t="shared" si="0"/>
        <v>9</v>
      </c>
      <c r="F65">
        <v>1</v>
      </c>
    </row>
    <row r="66" spans="1:6" x14ac:dyDescent="0.35">
      <c r="A66" s="6">
        <v>5</v>
      </c>
      <c r="B66" s="7">
        <v>15</v>
      </c>
      <c r="C66" s="8" t="s">
        <v>64</v>
      </c>
      <c r="D66" s="16">
        <f t="shared" si="1"/>
        <v>0.59583333333333244</v>
      </c>
      <c r="E66" s="17">
        <f t="shared" si="0"/>
        <v>9</v>
      </c>
      <c r="F66">
        <v>1</v>
      </c>
    </row>
    <row r="67" spans="1:6" x14ac:dyDescent="0.35">
      <c r="A67" s="9">
        <v>2</v>
      </c>
      <c r="B67" s="10">
        <v>4</v>
      </c>
      <c r="C67" s="11" t="s">
        <v>65</v>
      </c>
      <c r="D67" s="16">
        <f t="shared" si="1"/>
        <v>0.59722222222222132</v>
      </c>
      <c r="E67" s="17">
        <f t="shared" ref="E67:E130" si="2">HOUR(D67)-5</f>
        <v>9</v>
      </c>
      <c r="F67">
        <v>1</v>
      </c>
    </row>
    <row r="68" spans="1:6" x14ac:dyDescent="0.35">
      <c r="A68" s="6">
        <v>14</v>
      </c>
      <c r="B68" s="7">
        <v>9</v>
      </c>
      <c r="C68" s="8" t="s">
        <v>66</v>
      </c>
      <c r="D68" s="16">
        <f t="shared" ref="D68:D131" si="3">D67+TIME(0,A68,0)</f>
        <v>0.60694444444444351</v>
      </c>
      <c r="E68" s="17">
        <f t="shared" si="2"/>
        <v>9</v>
      </c>
      <c r="F68">
        <v>1</v>
      </c>
    </row>
    <row r="69" spans="1:6" x14ac:dyDescent="0.35">
      <c r="A69" s="9">
        <v>7</v>
      </c>
      <c r="B69" s="10">
        <v>7</v>
      </c>
      <c r="C69" s="11" t="s">
        <v>67</v>
      </c>
      <c r="D69" s="16">
        <f t="shared" si="3"/>
        <v>0.6118055555555546</v>
      </c>
      <c r="E69" s="17">
        <f t="shared" si="2"/>
        <v>9</v>
      </c>
      <c r="F69">
        <v>1</v>
      </c>
    </row>
    <row r="70" spans="1:6" x14ac:dyDescent="0.35">
      <c r="A70" s="6">
        <v>14</v>
      </c>
      <c r="B70" s="7">
        <v>6</v>
      </c>
      <c r="C70" s="8" t="s">
        <v>68</v>
      </c>
      <c r="D70" s="16">
        <f t="shared" si="3"/>
        <v>0.62152777777777679</v>
      </c>
      <c r="E70" s="17">
        <f t="shared" si="2"/>
        <v>9</v>
      </c>
      <c r="F70">
        <v>1</v>
      </c>
    </row>
    <row r="71" spans="1:6" x14ac:dyDescent="0.35">
      <c r="A71" s="9">
        <v>11</v>
      </c>
      <c r="B71" s="10">
        <v>12</v>
      </c>
      <c r="C71" s="11" t="s">
        <v>69</v>
      </c>
      <c r="D71" s="16">
        <f t="shared" si="3"/>
        <v>0.62916666666666565</v>
      </c>
      <c r="E71" s="17">
        <f t="shared" si="2"/>
        <v>10</v>
      </c>
      <c r="F71">
        <v>1</v>
      </c>
    </row>
    <row r="72" spans="1:6" x14ac:dyDescent="0.35">
      <c r="A72" s="6">
        <v>2</v>
      </c>
      <c r="B72" s="7">
        <v>4</v>
      </c>
      <c r="C72" s="8" t="s">
        <v>70</v>
      </c>
      <c r="D72" s="16">
        <f t="shared" si="3"/>
        <v>0.63055555555555454</v>
      </c>
      <c r="E72" s="17">
        <f t="shared" si="2"/>
        <v>10</v>
      </c>
      <c r="F72">
        <v>1</v>
      </c>
    </row>
    <row r="73" spans="1:6" x14ac:dyDescent="0.35">
      <c r="A73" s="9">
        <v>11</v>
      </c>
      <c r="B73" s="10">
        <v>15</v>
      </c>
      <c r="C73" s="11" t="s">
        <v>71</v>
      </c>
      <c r="D73" s="16">
        <f t="shared" si="3"/>
        <v>0.6381944444444434</v>
      </c>
      <c r="E73" s="17">
        <f t="shared" si="2"/>
        <v>10</v>
      </c>
      <c r="F73">
        <v>1</v>
      </c>
    </row>
    <row r="74" spans="1:6" x14ac:dyDescent="0.35">
      <c r="A74" s="6">
        <v>4</v>
      </c>
      <c r="B74" s="7">
        <v>3</v>
      </c>
      <c r="C74" s="8" t="s">
        <v>72</v>
      </c>
      <c r="D74" s="16">
        <f t="shared" si="3"/>
        <v>0.64097222222222117</v>
      </c>
      <c r="E74" s="17">
        <f t="shared" si="2"/>
        <v>10</v>
      </c>
      <c r="F74">
        <v>1</v>
      </c>
    </row>
    <row r="75" spans="1:6" x14ac:dyDescent="0.35">
      <c r="A75" s="9">
        <v>3</v>
      </c>
      <c r="B75" s="10">
        <v>12</v>
      </c>
      <c r="C75" s="11" t="s">
        <v>73</v>
      </c>
      <c r="D75" s="16">
        <f t="shared" si="3"/>
        <v>0.64305555555555449</v>
      </c>
      <c r="E75" s="17">
        <f t="shared" si="2"/>
        <v>10</v>
      </c>
      <c r="F75">
        <v>1</v>
      </c>
    </row>
    <row r="76" spans="1:6" x14ac:dyDescent="0.35">
      <c r="A76" s="6">
        <v>2</v>
      </c>
      <c r="B76" s="7">
        <v>7</v>
      </c>
      <c r="C76" s="8" t="s">
        <v>74</v>
      </c>
      <c r="D76" s="16">
        <f t="shared" si="3"/>
        <v>0.64444444444444338</v>
      </c>
      <c r="E76" s="17">
        <f t="shared" si="2"/>
        <v>10</v>
      </c>
      <c r="F76">
        <v>1</v>
      </c>
    </row>
    <row r="77" spans="1:6" x14ac:dyDescent="0.35">
      <c r="A77" s="9">
        <v>13</v>
      </c>
      <c r="B77" s="10">
        <v>7</v>
      </c>
      <c r="C77" s="11" t="s">
        <v>75</v>
      </c>
      <c r="D77" s="16">
        <f t="shared" si="3"/>
        <v>0.65347222222222112</v>
      </c>
      <c r="E77" s="17">
        <f t="shared" si="2"/>
        <v>10</v>
      </c>
      <c r="F77">
        <v>1</v>
      </c>
    </row>
    <row r="78" spans="1:6" x14ac:dyDescent="0.35">
      <c r="A78" s="6">
        <v>3</v>
      </c>
      <c r="B78" s="7">
        <v>12</v>
      </c>
      <c r="C78" s="8" t="s">
        <v>76</v>
      </c>
      <c r="D78" s="16">
        <f t="shared" si="3"/>
        <v>0.65555555555555445</v>
      </c>
      <c r="E78" s="17">
        <f t="shared" si="2"/>
        <v>10</v>
      </c>
      <c r="F78">
        <v>1</v>
      </c>
    </row>
    <row r="79" spans="1:6" x14ac:dyDescent="0.35">
      <c r="A79" s="9">
        <v>9</v>
      </c>
      <c r="B79" s="10">
        <v>9</v>
      </c>
      <c r="C79" s="11" t="s">
        <v>77</v>
      </c>
      <c r="D79" s="16">
        <f t="shared" si="3"/>
        <v>0.66180555555555443</v>
      </c>
      <c r="E79" s="17">
        <f t="shared" si="2"/>
        <v>10</v>
      </c>
      <c r="F79">
        <v>1</v>
      </c>
    </row>
    <row r="80" spans="1:6" x14ac:dyDescent="0.35">
      <c r="A80" s="6">
        <v>13</v>
      </c>
      <c r="B80" s="7">
        <v>3</v>
      </c>
      <c r="C80" s="8" t="s">
        <v>78</v>
      </c>
      <c r="D80" s="16">
        <f t="shared" si="3"/>
        <v>0.67083333333333217</v>
      </c>
      <c r="E80" s="17">
        <f t="shared" si="2"/>
        <v>11</v>
      </c>
      <c r="F80">
        <v>1</v>
      </c>
    </row>
    <row r="81" spans="1:6" x14ac:dyDescent="0.35">
      <c r="A81" s="9">
        <v>7</v>
      </c>
      <c r="B81" s="10">
        <v>2</v>
      </c>
      <c r="C81" s="11" t="s">
        <v>79</v>
      </c>
      <c r="D81" s="16">
        <f t="shared" si="3"/>
        <v>0.67569444444444327</v>
      </c>
      <c r="E81" s="17">
        <f t="shared" si="2"/>
        <v>11</v>
      </c>
      <c r="F81">
        <v>1</v>
      </c>
    </row>
    <row r="82" spans="1:6" x14ac:dyDescent="0.35">
      <c r="A82" s="6">
        <v>13</v>
      </c>
      <c r="B82" s="7">
        <v>4</v>
      </c>
      <c r="C82" s="8" t="s">
        <v>80</v>
      </c>
      <c r="D82" s="16">
        <f t="shared" si="3"/>
        <v>0.68472222222222101</v>
      </c>
      <c r="E82" s="17">
        <f t="shared" si="2"/>
        <v>11</v>
      </c>
      <c r="F82">
        <v>1</v>
      </c>
    </row>
    <row r="83" spans="1:6" x14ac:dyDescent="0.35">
      <c r="A83" s="9">
        <v>4</v>
      </c>
      <c r="B83" s="10">
        <v>12</v>
      </c>
      <c r="C83" s="11" t="s">
        <v>81</v>
      </c>
      <c r="D83" s="16">
        <f t="shared" si="3"/>
        <v>0.68749999999999878</v>
      </c>
      <c r="E83" s="17">
        <f t="shared" si="2"/>
        <v>11</v>
      </c>
      <c r="F83">
        <v>1</v>
      </c>
    </row>
    <row r="84" spans="1:6" x14ac:dyDescent="0.35">
      <c r="A84" s="6">
        <v>7</v>
      </c>
      <c r="B84" s="7">
        <v>8</v>
      </c>
      <c r="C84" s="8" t="s">
        <v>82</v>
      </c>
      <c r="D84" s="16">
        <f t="shared" si="3"/>
        <v>0.69236111111110987</v>
      </c>
      <c r="E84" s="17">
        <f t="shared" si="2"/>
        <v>11</v>
      </c>
      <c r="F84">
        <v>1</v>
      </c>
    </row>
    <row r="85" spans="1:6" x14ac:dyDescent="0.35">
      <c r="A85" s="9">
        <v>3</v>
      </c>
      <c r="B85" s="10">
        <v>12</v>
      </c>
      <c r="C85" s="11" t="s">
        <v>83</v>
      </c>
      <c r="D85" s="16">
        <f t="shared" si="3"/>
        <v>0.6944444444444432</v>
      </c>
      <c r="E85" s="17">
        <f t="shared" si="2"/>
        <v>11</v>
      </c>
      <c r="F85">
        <v>1</v>
      </c>
    </row>
    <row r="86" spans="1:6" x14ac:dyDescent="0.35">
      <c r="A86" s="6">
        <v>4</v>
      </c>
      <c r="B86" s="7">
        <v>11</v>
      </c>
      <c r="C86" s="8" t="s">
        <v>84</v>
      </c>
      <c r="D86" s="16">
        <f t="shared" si="3"/>
        <v>0.69722222222222097</v>
      </c>
      <c r="E86" s="17">
        <f t="shared" si="2"/>
        <v>11</v>
      </c>
      <c r="F86">
        <v>1</v>
      </c>
    </row>
    <row r="87" spans="1:6" x14ac:dyDescent="0.35">
      <c r="A87" s="9">
        <v>7</v>
      </c>
      <c r="B87" s="10">
        <v>1</v>
      </c>
      <c r="C87" s="11" t="s">
        <v>85</v>
      </c>
      <c r="D87" s="16">
        <f t="shared" si="3"/>
        <v>0.70208333333333206</v>
      </c>
      <c r="E87" s="17">
        <f t="shared" si="2"/>
        <v>11</v>
      </c>
      <c r="F87">
        <v>1</v>
      </c>
    </row>
    <row r="88" spans="1:6" x14ac:dyDescent="0.35">
      <c r="A88" s="6">
        <v>3</v>
      </c>
      <c r="B88" s="7">
        <v>9</v>
      </c>
      <c r="C88" s="8" t="s">
        <v>86</v>
      </c>
      <c r="D88" s="16">
        <f t="shared" si="3"/>
        <v>0.70416666666666539</v>
      </c>
      <c r="E88" s="17">
        <f t="shared" si="2"/>
        <v>11</v>
      </c>
      <c r="F88">
        <v>1</v>
      </c>
    </row>
    <row r="89" spans="1:6" x14ac:dyDescent="0.35">
      <c r="A89" s="9">
        <v>1</v>
      </c>
      <c r="B89" s="10">
        <v>4</v>
      </c>
      <c r="C89" s="11" t="s">
        <v>87</v>
      </c>
      <c r="D89" s="16">
        <f t="shared" si="3"/>
        <v>0.70486111111110983</v>
      </c>
      <c r="E89" s="17">
        <f t="shared" si="2"/>
        <v>11</v>
      </c>
      <c r="F89">
        <v>1</v>
      </c>
    </row>
    <row r="90" spans="1:6" x14ac:dyDescent="0.35">
      <c r="A90" s="6">
        <v>14</v>
      </c>
      <c r="B90" s="7">
        <v>3</v>
      </c>
      <c r="C90" s="8" t="s">
        <v>88</v>
      </c>
      <c r="D90" s="16">
        <f t="shared" si="3"/>
        <v>0.71458333333333202</v>
      </c>
      <c r="E90" s="17">
        <f t="shared" si="2"/>
        <v>12</v>
      </c>
      <c r="F90">
        <v>1</v>
      </c>
    </row>
    <row r="91" spans="1:6" x14ac:dyDescent="0.35">
      <c r="A91" s="9">
        <v>5</v>
      </c>
      <c r="B91" s="10">
        <v>12</v>
      </c>
      <c r="C91" s="11" t="s">
        <v>89</v>
      </c>
      <c r="D91" s="16">
        <f t="shared" si="3"/>
        <v>0.71805555555555423</v>
      </c>
      <c r="E91" s="17">
        <f t="shared" si="2"/>
        <v>12</v>
      </c>
      <c r="F91">
        <v>1</v>
      </c>
    </row>
    <row r="92" spans="1:6" x14ac:dyDescent="0.35">
      <c r="A92" s="6">
        <v>4</v>
      </c>
      <c r="B92" s="7">
        <v>9</v>
      </c>
      <c r="C92" s="8" t="s">
        <v>90</v>
      </c>
      <c r="D92" s="16">
        <f t="shared" si="3"/>
        <v>0.72083333333333199</v>
      </c>
      <c r="E92" s="17">
        <f t="shared" si="2"/>
        <v>12</v>
      </c>
      <c r="F92">
        <v>1</v>
      </c>
    </row>
    <row r="93" spans="1:6" x14ac:dyDescent="0.35">
      <c r="A93" s="9">
        <v>5</v>
      </c>
      <c r="B93" s="10">
        <v>4</v>
      </c>
      <c r="C93" s="11" t="s">
        <v>91</v>
      </c>
      <c r="D93" s="16">
        <f t="shared" si="3"/>
        <v>0.7243055555555542</v>
      </c>
      <c r="E93" s="17">
        <f t="shared" si="2"/>
        <v>12</v>
      </c>
      <c r="F93">
        <v>1</v>
      </c>
    </row>
    <row r="94" spans="1:6" x14ac:dyDescent="0.35">
      <c r="A94" s="6">
        <v>6</v>
      </c>
      <c r="B94" s="7">
        <v>8</v>
      </c>
      <c r="C94" s="8" t="s">
        <v>92</v>
      </c>
      <c r="D94" s="16">
        <f t="shared" si="3"/>
        <v>0.72847222222222086</v>
      </c>
      <c r="E94" s="17">
        <f t="shared" si="2"/>
        <v>12</v>
      </c>
      <c r="F94">
        <v>1</v>
      </c>
    </row>
    <row r="95" spans="1:6" x14ac:dyDescent="0.35">
      <c r="A95" s="9">
        <v>8</v>
      </c>
      <c r="B95" s="10">
        <v>14</v>
      </c>
      <c r="C95" s="11" t="s">
        <v>93</v>
      </c>
      <c r="D95" s="16">
        <f t="shared" si="3"/>
        <v>0.73402777777777639</v>
      </c>
      <c r="E95" s="17">
        <f t="shared" si="2"/>
        <v>12</v>
      </c>
      <c r="F95">
        <v>1</v>
      </c>
    </row>
    <row r="96" spans="1:6" x14ac:dyDescent="0.35">
      <c r="A96" s="6">
        <v>15</v>
      </c>
      <c r="B96" s="7">
        <v>11</v>
      </c>
      <c r="C96" s="8" t="s">
        <v>94</v>
      </c>
      <c r="D96" s="16">
        <f t="shared" si="3"/>
        <v>0.74444444444444302</v>
      </c>
      <c r="E96" s="17">
        <f t="shared" si="2"/>
        <v>12</v>
      </c>
      <c r="F96">
        <v>1</v>
      </c>
    </row>
    <row r="97" spans="1:6" x14ac:dyDescent="0.35">
      <c r="A97" s="9">
        <v>1</v>
      </c>
      <c r="B97" s="10">
        <v>1</v>
      </c>
      <c r="C97" s="11" t="s">
        <v>95</v>
      </c>
      <c r="D97" s="16">
        <f t="shared" si="3"/>
        <v>0.74513888888888746</v>
      </c>
      <c r="E97" s="17">
        <f t="shared" si="2"/>
        <v>12</v>
      </c>
      <c r="F97">
        <v>1</v>
      </c>
    </row>
    <row r="98" spans="1:6" x14ac:dyDescent="0.35">
      <c r="A98" s="6">
        <v>14</v>
      </c>
      <c r="B98" s="7">
        <v>15</v>
      </c>
      <c r="C98" s="8" t="s">
        <v>96</v>
      </c>
      <c r="D98" s="16">
        <f t="shared" si="3"/>
        <v>0.75486111111110965</v>
      </c>
      <c r="E98" s="17">
        <f t="shared" si="2"/>
        <v>13</v>
      </c>
      <c r="F98">
        <v>1</v>
      </c>
    </row>
    <row r="99" spans="1:6" x14ac:dyDescent="0.35">
      <c r="A99" s="9">
        <v>6</v>
      </c>
      <c r="B99" s="10">
        <v>7</v>
      </c>
      <c r="C99" s="11" t="s">
        <v>97</v>
      </c>
      <c r="D99" s="16">
        <f t="shared" si="3"/>
        <v>0.7590277777777763</v>
      </c>
      <c r="E99" s="17">
        <f t="shared" si="2"/>
        <v>13</v>
      </c>
      <c r="F99">
        <v>1</v>
      </c>
    </row>
    <row r="100" spans="1:6" x14ac:dyDescent="0.35">
      <c r="A100" s="6">
        <v>7</v>
      </c>
      <c r="B100" s="7">
        <v>11</v>
      </c>
      <c r="C100" s="8" t="s">
        <v>98</v>
      </c>
      <c r="D100" s="16">
        <f t="shared" si="3"/>
        <v>0.7638888888888874</v>
      </c>
      <c r="E100" s="17">
        <f t="shared" si="2"/>
        <v>13</v>
      </c>
      <c r="F100">
        <v>1</v>
      </c>
    </row>
    <row r="101" spans="1:6" x14ac:dyDescent="0.35">
      <c r="A101" s="9">
        <v>10</v>
      </c>
      <c r="B101" s="10">
        <v>11</v>
      </c>
      <c r="C101" s="11" t="s">
        <v>99</v>
      </c>
      <c r="D101" s="16">
        <f t="shared" si="3"/>
        <v>0.77083333333333182</v>
      </c>
      <c r="E101" s="17">
        <f t="shared" si="2"/>
        <v>13</v>
      </c>
      <c r="F101">
        <v>1</v>
      </c>
    </row>
    <row r="102" spans="1:6" x14ac:dyDescent="0.35">
      <c r="A102" s="6">
        <v>5</v>
      </c>
      <c r="B102" s="7">
        <v>6</v>
      </c>
      <c r="C102" s="8" t="s">
        <v>100</v>
      </c>
      <c r="D102" s="16">
        <f t="shared" si="3"/>
        <v>0.77430555555555403</v>
      </c>
      <c r="E102" s="17">
        <f t="shared" si="2"/>
        <v>13</v>
      </c>
      <c r="F102">
        <v>1</v>
      </c>
    </row>
    <row r="103" spans="1:6" x14ac:dyDescent="0.35">
      <c r="A103" s="9">
        <v>13</v>
      </c>
      <c r="B103" s="10">
        <v>7</v>
      </c>
      <c r="C103" s="11" t="s">
        <v>101</v>
      </c>
      <c r="D103" s="16">
        <f t="shared" si="3"/>
        <v>0.78333333333333177</v>
      </c>
      <c r="E103" s="17">
        <f t="shared" si="2"/>
        <v>13</v>
      </c>
      <c r="F103">
        <v>1</v>
      </c>
    </row>
    <row r="104" spans="1:6" x14ac:dyDescent="0.35">
      <c r="A104" s="6">
        <v>2</v>
      </c>
      <c r="B104" s="7">
        <v>9</v>
      </c>
      <c r="C104" s="8" t="s">
        <v>102</v>
      </c>
      <c r="D104" s="16">
        <f t="shared" si="3"/>
        <v>0.78472222222222066</v>
      </c>
      <c r="E104" s="17">
        <f t="shared" si="2"/>
        <v>13</v>
      </c>
      <c r="F104">
        <v>1</v>
      </c>
    </row>
    <row r="105" spans="1:6" x14ac:dyDescent="0.35">
      <c r="A105" s="9">
        <v>9</v>
      </c>
      <c r="B105" s="10">
        <v>11</v>
      </c>
      <c r="C105" s="11" t="s">
        <v>103</v>
      </c>
      <c r="D105" s="16">
        <f t="shared" si="3"/>
        <v>0.79097222222222063</v>
      </c>
      <c r="E105" s="17">
        <f t="shared" si="2"/>
        <v>13</v>
      </c>
      <c r="F105">
        <v>1</v>
      </c>
    </row>
    <row r="106" spans="1:6" x14ac:dyDescent="0.35">
      <c r="A106" s="6">
        <v>8</v>
      </c>
      <c r="B106" s="7">
        <v>3</v>
      </c>
      <c r="C106" s="8" t="s">
        <v>104</v>
      </c>
      <c r="D106" s="16">
        <f t="shared" si="3"/>
        <v>0.79652777777777617</v>
      </c>
      <c r="E106" s="17">
        <f t="shared" si="2"/>
        <v>14</v>
      </c>
      <c r="F106">
        <v>1</v>
      </c>
    </row>
    <row r="107" spans="1:6" x14ac:dyDescent="0.35">
      <c r="A107" s="9">
        <v>1</v>
      </c>
      <c r="B107" s="10">
        <v>6</v>
      </c>
      <c r="C107" s="11" t="s">
        <v>105</v>
      </c>
      <c r="D107" s="16">
        <f t="shared" si="3"/>
        <v>0.79722222222222061</v>
      </c>
      <c r="E107" s="17">
        <f t="shared" si="2"/>
        <v>14</v>
      </c>
      <c r="F107">
        <v>1</v>
      </c>
    </row>
    <row r="108" spans="1:6" x14ac:dyDescent="0.35">
      <c r="A108" s="6">
        <v>10</v>
      </c>
      <c r="B108" s="7">
        <v>9</v>
      </c>
      <c r="C108" s="8" t="s">
        <v>106</v>
      </c>
      <c r="D108" s="16">
        <f t="shared" si="3"/>
        <v>0.80416666666666503</v>
      </c>
      <c r="E108" s="17">
        <f t="shared" si="2"/>
        <v>14</v>
      </c>
      <c r="F108">
        <v>1</v>
      </c>
    </row>
    <row r="109" spans="1:6" x14ac:dyDescent="0.35">
      <c r="A109" s="9">
        <v>2</v>
      </c>
      <c r="B109" s="10">
        <v>11</v>
      </c>
      <c r="C109" s="11" t="s">
        <v>107</v>
      </c>
      <c r="D109" s="16">
        <f t="shared" si="3"/>
        <v>0.80555555555555391</v>
      </c>
      <c r="E109" s="17">
        <f t="shared" si="2"/>
        <v>14</v>
      </c>
      <c r="F109">
        <v>1</v>
      </c>
    </row>
    <row r="110" spans="1:6" x14ac:dyDescent="0.35">
      <c r="A110" s="6">
        <v>6</v>
      </c>
      <c r="B110" s="7">
        <v>12</v>
      </c>
      <c r="C110" s="8" t="s">
        <v>108</v>
      </c>
      <c r="D110" s="16">
        <f t="shared" si="3"/>
        <v>0.80972222222222057</v>
      </c>
      <c r="E110" s="17">
        <f t="shared" si="2"/>
        <v>14</v>
      </c>
      <c r="F110">
        <v>1</v>
      </c>
    </row>
    <row r="111" spans="1:6" x14ac:dyDescent="0.35">
      <c r="A111" s="9">
        <v>2</v>
      </c>
      <c r="B111" s="10">
        <v>14</v>
      </c>
      <c r="C111" s="11" t="s">
        <v>109</v>
      </c>
      <c r="D111" s="16">
        <f t="shared" si="3"/>
        <v>0.81111111111110945</v>
      </c>
      <c r="E111" s="17">
        <f t="shared" si="2"/>
        <v>14</v>
      </c>
      <c r="F111">
        <v>1</v>
      </c>
    </row>
    <row r="112" spans="1:6" x14ac:dyDescent="0.35">
      <c r="A112" s="6">
        <v>4</v>
      </c>
      <c r="B112" s="7">
        <v>2</v>
      </c>
      <c r="C112" s="8" t="s">
        <v>110</v>
      </c>
      <c r="D112" s="16">
        <f t="shared" si="3"/>
        <v>0.81388888888888722</v>
      </c>
      <c r="E112" s="17">
        <f t="shared" si="2"/>
        <v>14</v>
      </c>
      <c r="F112">
        <v>1</v>
      </c>
    </row>
    <row r="113" spans="1:6" x14ac:dyDescent="0.35">
      <c r="A113" s="9">
        <v>9</v>
      </c>
      <c r="B113" s="10">
        <v>8</v>
      </c>
      <c r="C113" s="11" t="s">
        <v>111</v>
      </c>
      <c r="D113" s="16">
        <f t="shared" si="3"/>
        <v>0.8201388888888872</v>
      </c>
      <c r="E113" s="17">
        <f t="shared" si="2"/>
        <v>14</v>
      </c>
      <c r="F113">
        <v>1</v>
      </c>
    </row>
    <row r="114" spans="1:6" x14ac:dyDescent="0.35">
      <c r="A114" s="6">
        <v>2</v>
      </c>
      <c r="B114" s="7">
        <v>4</v>
      </c>
      <c r="C114" s="8" t="s">
        <v>112</v>
      </c>
      <c r="D114" s="16">
        <f t="shared" si="3"/>
        <v>0.82152777777777608</v>
      </c>
      <c r="E114" s="17">
        <f t="shared" si="2"/>
        <v>14</v>
      </c>
      <c r="F114">
        <v>1</v>
      </c>
    </row>
    <row r="115" spans="1:6" x14ac:dyDescent="0.35">
      <c r="A115" s="9">
        <v>11</v>
      </c>
      <c r="B115" s="10">
        <v>11</v>
      </c>
      <c r="C115" s="11" t="s">
        <v>113</v>
      </c>
      <c r="D115" s="16">
        <f t="shared" si="3"/>
        <v>0.82916666666666494</v>
      </c>
      <c r="E115" s="17">
        <f t="shared" si="2"/>
        <v>14</v>
      </c>
      <c r="F115">
        <v>1</v>
      </c>
    </row>
    <row r="116" spans="1:6" x14ac:dyDescent="0.35">
      <c r="A116" s="6">
        <v>8</v>
      </c>
      <c r="B116" s="7">
        <v>1</v>
      </c>
      <c r="C116" s="8" t="s">
        <v>114</v>
      </c>
      <c r="D116" s="16">
        <f t="shared" si="3"/>
        <v>0.83472222222222048</v>
      </c>
      <c r="E116" s="17">
        <f t="shared" si="2"/>
        <v>15</v>
      </c>
      <c r="F116">
        <v>1</v>
      </c>
    </row>
    <row r="117" spans="1:6" x14ac:dyDescent="0.35">
      <c r="A117" s="9">
        <v>13</v>
      </c>
      <c r="B117" s="10">
        <v>9</v>
      </c>
      <c r="C117" s="11" t="s">
        <v>115</v>
      </c>
      <c r="D117" s="16">
        <f t="shared" si="3"/>
        <v>0.84374999999999822</v>
      </c>
      <c r="E117" s="17">
        <f t="shared" si="2"/>
        <v>15</v>
      </c>
      <c r="F117">
        <v>1</v>
      </c>
    </row>
    <row r="118" spans="1:6" x14ac:dyDescent="0.35">
      <c r="A118" s="6">
        <v>7</v>
      </c>
      <c r="B118" s="7">
        <v>13</v>
      </c>
      <c r="C118" s="8" t="s">
        <v>116</v>
      </c>
      <c r="D118" s="16">
        <f t="shared" si="3"/>
        <v>0.84861111111110932</v>
      </c>
      <c r="E118" s="17">
        <f t="shared" si="2"/>
        <v>15</v>
      </c>
      <c r="F118">
        <v>1</v>
      </c>
    </row>
    <row r="119" spans="1:6" x14ac:dyDescent="0.35">
      <c r="A119" s="9">
        <v>7</v>
      </c>
      <c r="B119" s="10">
        <v>11</v>
      </c>
      <c r="C119" s="11" t="s">
        <v>117</v>
      </c>
      <c r="D119" s="16">
        <f t="shared" si="3"/>
        <v>0.85347222222222041</v>
      </c>
      <c r="E119" s="17">
        <f t="shared" si="2"/>
        <v>15</v>
      </c>
      <c r="F119">
        <v>1</v>
      </c>
    </row>
    <row r="120" spans="1:6" x14ac:dyDescent="0.35">
      <c r="A120" s="6">
        <v>9</v>
      </c>
      <c r="B120" s="7">
        <v>11</v>
      </c>
      <c r="C120" s="8" t="s">
        <v>118</v>
      </c>
      <c r="D120" s="16">
        <f t="shared" si="3"/>
        <v>0.85972222222222039</v>
      </c>
      <c r="E120" s="17">
        <f t="shared" si="2"/>
        <v>15</v>
      </c>
      <c r="F120">
        <v>1</v>
      </c>
    </row>
    <row r="121" spans="1:6" x14ac:dyDescent="0.35">
      <c r="A121" s="9">
        <v>6</v>
      </c>
      <c r="B121" s="10">
        <v>1</v>
      </c>
      <c r="C121" s="11" t="s">
        <v>119</v>
      </c>
      <c r="D121" s="16">
        <f t="shared" si="3"/>
        <v>0.86388888888888704</v>
      </c>
      <c r="E121" s="17">
        <f t="shared" si="2"/>
        <v>15</v>
      </c>
      <c r="F121">
        <v>1</v>
      </c>
    </row>
    <row r="122" spans="1:6" x14ac:dyDescent="0.35">
      <c r="A122" s="6">
        <v>14</v>
      </c>
      <c r="B122" s="7">
        <v>6</v>
      </c>
      <c r="C122" s="8" t="s">
        <v>120</v>
      </c>
      <c r="D122" s="16">
        <f t="shared" si="3"/>
        <v>0.87361111111110923</v>
      </c>
      <c r="E122" s="17">
        <f t="shared" si="2"/>
        <v>15</v>
      </c>
      <c r="F122">
        <v>1</v>
      </c>
    </row>
    <row r="123" spans="1:6" x14ac:dyDescent="0.35">
      <c r="A123" s="9">
        <v>14</v>
      </c>
      <c r="B123" s="10">
        <v>10</v>
      </c>
      <c r="C123" s="11" t="s">
        <v>121</v>
      </c>
      <c r="D123" s="16">
        <f t="shared" si="3"/>
        <v>0.88333333333333142</v>
      </c>
      <c r="E123" s="17">
        <f t="shared" si="2"/>
        <v>16</v>
      </c>
      <c r="F123">
        <v>1</v>
      </c>
    </row>
    <row r="124" spans="1:6" x14ac:dyDescent="0.35">
      <c r="A124" s="6">
        <v>7</v>
      </c>
      <c r="B124" s="7">
        <v>7</v>
      </c>
      <c r="C124" s="8" t="s">
        <v>122</v>
      </c>
      <c r="D124" s="16">
        <f t="shared" si="3"/>
        <v>0.88819444444444251</v>
      </c>
      <c r="E124" s="17">
        <f t="shared" si="2"/>
        <v>16</v>
      </c>
      <c r="F124">
        <v>1</v>
      </c>
    </row>
    <row r="125" spans="1:6" x14ac:dyDescent="0.35">
      <c r="A125" s="9">
        <v>11</v>
      </c>
      <c r="B125" s="10">
        <v>1</v>
      </c>
      <c r="C125" s="11" t="s">
        <v>123</v>
      </c>
      <c r="D125" s="16">
        <f t="shared" si="3"/>
        <v>0.89583333333333137</v>
      </c>
      <c r="E125" s="17">
        <f t="shared" si="2"/>
        <v>16</v>
      </c>
      <c r="F125">
        <v>1</v>
      </c>
    </row>
    <row r="126" spans="1:6" x14ac:dyDescent="0.35">
      <c r="A126" s="6">
        <v>11</v>
      </c>
      <c r="B126" s="7">
        <v>3</v>
      </c>
      <c r="C126" s="8" t="s">
        <v>124</v>
      </c>
      <c r="D126" s="16">
        <f t="shared" si="3"/>
        <v>0.90347222222222023</v>
      </c>
      <c r="E126" s="17">
        <f t="shared" si="2"/>
        <v>16</v>
      </c>
      <c r="F126">
        <v>1</v>
      </c>
    </row>
    <row r="127" spans="1:6" x14ac:dyDescent="0.35">
      <c r="A127" s="9">
        <v>11</v>
      </c>
      <c r="B127" s="10">
        <v>2</v>
      </c>
      <c r="C127" s="11" t="s">
        <v>125</v>
      </c>
      <c r="D127" s="16">
        <f t="shared" si="3"/>
        <v>0.9111111111111091</v>
      </c>
      <c r="E127" s="17">
        <f t="shared" si="2"/>
        <v>16</v>
      </c>
      <c r="F127">
        <v>1</v>
      </c>
    </row>
    <row r="128" spans="1:6" x14ac:dyDescent="0.35">
      <c r="A128" s="6">
        <v>12</v>
      </c>
      <c r="B128" s="7">
        <v>2</v>
      </c>
      <c r="C128" s="8" t="s">
        <v>126</v>
      </c>
      <c r="D128" s="16">
        <f t="shared" si="3"/>
        <v>0.9194444444444424</v>
      </c>
      <c r="E128" s="17">
        <f t="shared" si="2"/>
        <v>17</v>
      </c>
      <c r="F128">
        <v>1</v>
      </c>
    </row>
    <row r="129" spans="1:6" x14ac:dyDescent="0.35">
      <c r="A129" s="9">
        <v>3</v>
      </c>
      <c r="B129" s="10">
        <v>14</v>
      </c>
      <c r="C129" s="11" t="s">
        <v>127</v>
      </c>
      <c r="D129" s="16">
        <f t="shared" si="3"/>
        <v>0.92152777777777573</v>
      </c>
      <c r="E129" s="17">
        <f t="shared" si="2"/>
        <v>17</v>
      </c>
      <c r="F129">
        <v>1</v>
      </c>
    </row>
    <row r="130" spans="1:6" x14ac:dyDescent="0.35">
      <c r="A130" s="6">
        <v>3</v>
      </c>
      <c r="B130" s="7">
        <v>6</v>
      </c>
      <c r="C130" s="8" t="s">
        <v>128</v>
      </c>
      <c r="D130" s="16">
        <f t="shared" si="3"/>
        <v>0.92361111111110905</v>
      </c>
      <c r="E130" s="17">
        <f t="shared" si="2"/>
        <v>17</v>
      </c>
      <c r="F130">
        <v>1</v>
      </c>
    </row>
    <row r="131" spans="1:6" x14ac:dyDescent="0.35">
      <c r="A131" s="9">
        <v>12</v>
      </c>
      <c r="B131" s="10">
        <v>2</v>
      </c>
      <c r="C131" s="11" t="s">
        <v>129</v>
      </c>
      <c r="D131" s="16">
        <f t="shared" si="3"/>
        <v>0.93194444444444235</v>
      </c>
      <c r="E131" s="17">
        <f t="shared" ref="E131:E145" si="4">HOUR(D131)-5</f>
        <v>17</v>
      </c>
      <c r="F131">
        <v>1</v>
      </c>
    </row>
    <row r="132" spans="1:6" x14ac:dyDescent="0.35">
      <c r="A132" s="6">
        <v>7</v>
      </c>
      <c r="B132" s="7">
        <v>8</v>
      </c>
      <c r="C132" s="8" t="s">
        <v>130</v>
      </c>
      <c r="D132" s="16">
        <f t="shared" ref="D132:D145" si="5">D131+TIME(0,A132,0)</f>
        <v>0.93680555555555345</v>
      </c>
      <c r="E132" s="17">
        <f t="shared" si="4"/>
        <v>17</v>
      </c>
      <c r="F132">
        <v>1</v>
      </c>
    </row>
    <row r="133" spans="1:6" x14ac:dyDescent="0.35">
      <c r="A133" s="9">
        <v>10</v>
      </c>
      <c r="B133" s="10">
        <v>12</v>
      </c>
      <c r="C133" s="11" t="s">
        <v>131</v>
      </c>
      <c r="D133" s="16">
        <f t="shared" si="5"/>
        <v>0.94374999999999787</v>
      </c>
      <c r="E133" s="17">
        <f t="shared" si="4"/>
        <v>17</v>
      </c>
      <c r="F133">
        <v>1</v>
      </c>
    </row>
    <row r="134" spans="1:6" x14ac:dyDescent="0.35">
      <c r="A134" s="6">
        <v>2</v>
      </c>
      <c r="B134" s="7">
        <v>14</v>
      </c>
      <c r="C134" s="8" t="s">
        <v>132</v>
      </c>
      <c r="D134" s="16">
        <f t="shared" si="5"/>
        <v>0.94513888888888675</v>
      </c>
      <c r="E134" s="17">
        <f t="shared" si="4"/>
        <v>17</v>
      </c>
      <c r="F134">
        <v>1</v>
      </c>
    </row>
    <row r="135" spans="1:6" x14ac:dyDescent="0.35">
      <c r="A135" s="9">
        <v>14</v>
      </c>
      <c r="B135" s="10">
        <v>11</v>
      </c>
      <c r="C135" s="11" t="s">
        <v>133</v>
      </c>
      <c r="D135" s="16">
        <f t="shared" si="5"/>
        <v>0.95486111111110894</v>
      </c>
      <c r="E135" s="17">
        <f t="shared" si="4"/>
        <v>17</v>
      </c>
      <c r="F135">
        <v>1</v>
      </c>
    </row>
    <row r="136" spans="1:6" x14ac:dyDescent="0.35">
      <c r="A136" s="6">
        <v>9</v>
      </c>
      <c r="B136" s="7">
        <v>10</v>
      </c>
      <c r="C136" s="8" t="s">
        <v>134</v>
      </c>
      <c r="D136" s="16">
        <f t="shared" si="5"/>
        <v>0.96111111111110892</v>
      </c>
      <c r="E136" s="17">
        <f t="shared" si="4"/>
        <v>18</v>
      </c>
      <c r="F136">
        <v>1</v>
      </c>
    </row>
    <row r="137" spans="1:6" x14ac:dyDescent="0.35">
      <c r="A137" s="9">
        <v>2</v>
      </c>
      <c r="B137" s="10">
        <v>14</v>
      </c>
      <c r="C137" s="11" t="s">
        <v>135</v>
      </c>
      <c r="D137" s="16">
        <f t="shared" si="5"/>
        <v>0.9624999999999978</v>
      </c>
      <c r="E137" s="17">
        <f t="shared" si="4"/>
        <v>18</v>
      </c>
      <c r="F137">
        <v>1</v>
      </c>
    </row>
    <row r="138" spans="1:6" x14ac:dyDescent="0.35">
      <c r="A138" s="6">
        <v>11</v>
      </c>
      <c r="B138" s="7">
        <v>3</v>
      </c>
      <c r="C138" s="8" t="s">
        <v>136</v>
      </c>
      <c r="D138" s="16">
        <f t="shared" si="5"/>
        <v>0.97013888888888666</v>
      </c>
      <c r="E138" s="17">
        <f t="shared" si="4"/>
        <v>18</v>
      </c>
      <c r="F138">
        <v>1</v>
      </c>
    </row>
    <row r="139" spans="1:6" x14ac:dyDescent="0.35">
      <c r="A139" s="9">
        <v>2</v>
      </c>
      <c r="B139" s="10">
        <v>1</v>
      </c>
      <c r="C139" s="11" t="s">
        <v>137</v>
      </c>
      <c r="D139" s="16">
        <f t="shared" si="5"/>
        <v>0.97152777777777555</v>
      </c>
      <c r="E139" s="17">
        <f t="shared" si="4"/>
        <v>18</v>
      </c>
      <c r="F139">
        <v>1</v>
      </c>
    </row>
    <row r="140" spans="1:6" x14ac:dyDescent="0.35">
      <c r="A140" s="6">
        <v>14</v>
      </c>
      <c r="B140" s="7">
        <v>3</v>
      </c>
      <c r="C140" s="8" t="s">
        <v>138</v>
      </c>
      <c r="D140" s="16">
        <f t="shared" si="5"/>
        <v>0.98124999999999774</v>
      </c>
      <c r="E140" s="17">
        <f t="shared" si="4"/>
        <v>18</v>
      </c>
      <c r="F140">
        <v>1</v>
      </c>
    </row>
    <row r="141" spans="1:6" x14ac:dyDescent="0.35">
      <c r="A141" s="9">
        <v>6</v>
      </c>
      <c r="B141" s="10">
        <v>6</v>
      </c>
      <c r="C141" s="11" t="s">
        <v>139</v>
      </c>
      <c r="D141" s="16">
        <f t="shared" si="5"/>
        <v>0.98541666666666439</v>
      </c>
      <c r="E141" s="17">
        <f t="shared" si="4"/>
        <v>18</v>
      </c>
      <c r="F141">
        <v>1</v>
      </c>
    </row>
    <row r="142" spans="1:6" x14ac:dyDescent="0.35">
      <c r="A142" s="6">
        <v>5</v>
      </c>
      <c r="B142" s="7">
        <v>14</v>
      </c>
      <c r="C142" s="8" t="s">
        <v>140</v>
      </c>
      <c r="D142" s="16">
        <f t="shared" si="5"/>
        <v>0.9888888888888866</v>
      </c>
      <c r="E142" s="17">
        <f t="shared" si="4"/>
        <v>18</v>
      </c>
      <c r="F142">
        <v>1</v>
      </c>
    </row>
    <row r="143" spans="1:6" x14ac:dyDescent="0.35">
      <c r="A143" s="9">
        <v>2</v>
      </c>
      <c r="B143" s="10">
        <v>8</v>
      </c>
      <c r="C143" s="11" t="s">
        <v>141</v>
      </c>
      <c r="D143" s="16">
        <f t="shared" si="5"/>
        <v>0.99027777777777548</v>
      </c>
      <c r="E143" s="17">
        <f t="shared" si="4"/>
        <v>18</v>
      </c>
      <c r="F143">
        <v>1</v>
      </c>
    </row>
    <row r="144" spans="1:6" x14ac:dyDescent="0.35">
      <c r="A144" s="6">
        <v>10</v>
      </c>
      <c r="B144" s="7">
        <v>15</v>
      </c>
      <c r="C144" s="8" t="s">
        <v>142</v>
      </c>
      <c r="D144" s="16">
        <f t="shared" si="5"/>
        <v>0.9972222222222199</v>
      </c>
      <c r="E144" s="17">
        <f t="shared" si="4"/>
        <v>18</v>
      </c>
      <c r="F144">
        <v>1</v>
      </c>
    </row>
    <row r="145" spans="1:6" x14ac:dyDescent="0.35">
      <c r="A145" s="1">
        <v>3</v>
      </c>
      <c r="B145" s="2">
        <v>15</v>
      </c>
      <c r="C145" s="12" t="s">
        <v>143</v>
      </c>
      <c r="D145" s="16">
        <f t="shared" si="5"/>
        <v>0.99930555555555323</v>
      </c>
      <c r="E145" s="17">
        <f t="shared" si="4"/>
        <v>18</v>
      </c>
      <c r="F145">
        <v>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6450-CAD1-4848-983E-9B45A1D4D092}">
  <dimension ref="A1:H145"/>
  <sheetViews>
    <sheetView tabSelected="1" topLeftCell="C1" zoomScale="77" workbookViewId="0">
      <selection activeCell="H76" sqref="H76"/>
    </sheetView>
  </sheetViews>
  <sheetFormatPr defaultRowHeight="14.5" x14ac:dyDescent="0.35"/>
  <cols>
    <col min="1" max="1" width="35.453125" bestFit="1" customWidth="1"/>
    <col min="2" max="2" width="10.54296875" bestFit="1" customWidth="1"/>
    <col min="3" max="3" width="14.90625" bestFit="1" customWidth="1"/>
    <col min="4" max="4" width="27.6328125" bestFit="1" customWidth="1"/>
    <col min="5" max="5" width="32.81640625" bestFit="1" customWidth="1"/>
    <col min="6" max="6" width="21.90625" bestFit="1" customWidth="1"/>
    <col min="7" max="7" width="21.90625" customWidth="1"/>
    <col min="8" max="8" width="15.54296875" bestFit="1" customWidth="1"/>
  </cols>
  <sheetData>
    <row r="1" spans="1:8" x14ac:dyDescent="0.35">
      <c r="A1" s="3" t="s">
        <v>146</v>
      </c>
      <c r="B1" s="4" t="s">
        <v>145</v>
      </c>
      <c r="C1" s="5" t="s">
        <v>144</v>
      </c>
      <c r="D1" s="15" t="s">
        <v>267</v>
      </c>
      <c r="E1" s="15" t="s">
        <v>268</v>
      </c>
      <c r="F1" s="15" t="s">
        <v>269</v>
      </c>
      <c r="G1" s="15" t="s">
        <v>271</v>
      </c>
    </row>
    <row r="2" spans="1:8" x14ac:dyDescent="0.35">
      <c r="A2" s="6">
        <v>3</v>
      </c>
      <c r="B2" s="7">
        <v>5</v>
      </c>
      <c r="C2" s="8" t="s">
        <v>0</v>
      </c>
      <c r="D2">
        <f>A2</f>
        <v>3</v>
      </c>
      <c r="E2">
        <v>8</v>
      </c>
      <c r="F2">
        <f>IF(E2=0,0,1)</f>
        <v>1</v>
      </c>
      <c r="G2">
        <v>1</v>
      </c>
      <c r="H2" t="s">
        <v>270</v>
      </c>
    </row>
    <row r="3" spans="1:8" x14ac:dyDescent="0.35">
      <c r="A3" s="9">
        <v>12</v>
      </c>
      <c r="B3" s="10">
        <v>13</v>
      </c>
      <c r="C3" s="11" t="s">
        <v>1</v>
      </c>
      <c r="D3">
        <f>D2+A3</f>
        <v>15</v>
      </c>
      <c r="E3">
        <v>28</v>
      </c>
      <c r="F3">
        <f t="shared" ref="F3" si="0">IF(E3=0,0,1)</f>
        <v>1</v>
      </c>
      <c r="G3">
        <v>2</v>
      </c>
      <c r="H3">
        <f>COUNTIF(G2:G145,0)</f>
        <v>44</v>
      </c>
    </row>
    <row r="4" spans="1:8" x14ac:dyDescent="0.35">
      <c r="A4" s="6">
        <v>1</v>
      </c>
      <c r="B4" s="7">
        <v>10</v>
      </c>
      <c r="C4" s="8" t="s">
        <v>2</v>
      </c>
      <c r="D4">
        <f t="shared" ref="D4:D67" si="1">D3+A4</f>
        <v>16</v>
      </c>
      <c r="E4">
        <f>IF(E3-D4&gt;5,E3,IF(D4&gt;E3,D4+B4,E3+B4))</f>
        <v>28</v>
      </c>
      <c r="F4">
        <f>IF(E4=E3,0,1)</f>
        <v>0</v>
      </c>
      <c r="G4">
        <f>IF(F4=0,0,G3+1)</f>
        <v>0</v>
      </c>
    </row>
    <row r="5" spans="1:8" x14ac:dyDescent="0.35">
      <c r="A5" s="9">
        <v>7</v>
      </c>
      <c r="B5" s="10">
        <v>2</v>
      </c>
      <c r="C5" s="11" t="s">
        <v>3</v>
      </c>
      <c r="D5">
        <f t="shared" si="1"/>
        <v>23</v>
      </c>
      <c r="E5">
        <f t="shared" ref="E5:E68" si="2">IF(E4-D5&gt;5,E4,IF(D5&gt;E4,D5+B5,E4+B5))</f>
        <v>30</v>
      </c>
      <c r="F5">
        <f t="shared" ref="F5:F68" si="3">IF(E5=E4,0,1)</f>
        <v>1</v>
      </c>
      <c r="G5">
        <f t="shared" ref="G5:G68" si="4">IF(F5=0,0,G4+1)</f>
        <v>1</v>
      </c>
      <c r="H5">
        <f>IF(G5=0,H4+1,0)</f>
        <v>0</v>
      </c>
    </row>
    <row r="6" spans="1:8" x14ac:dyDescent="0.35">
      <c r="A6" s="6">
        <v>10</v>
      </c>
      <c r="B6" s="7">
        <v>7</v>
      </c>
      <c r="C6" s="8" t="s">
        <v>4</v>
      </c>
      <c r="D6">
        <f t="shared" si="1"/>
        <v>33</v>
      </c>
      <c r="E6">
        <f t="shared" si="2"/>
        <v>40</v>
      </c>
      <c r="F6">
        <f t="shared" si="3"/>
        <v>1</v>
      </c>
      <c r="G6">
        <f t="shared" si="4"/>
        <v>2</v>
      </c>
      <c r="H6">
        <f t="shared" ref="H6:H69" si="5">IF(G6=0,H5+1,0)</f>
        <v>0</v>
      </c>
    </row>
    <row r="7" spans="1:8" x14ac:dyDescent="0.35">
      <c r="A7" s="9">
        <v>9</v>
      </c>
      <c r="B7" s="10">
        <v>14</v>
      </c>
      <c r="C7" s="11" t="s">
        <v>5</v>
      </c>
      <c r="D7">
        <f t="shared" si="1"/>
        <v>42</v>
      </c>
      <c r="E7">
        <f t="shared" si="2"/>
        <v>56</v>
      </c>
      <c r="F7">
        <f t="shared" si="3"/>
        <v>1</v>
      </c>
      <c r="G7">
        <f t="shared" si="4"/>
        <v>3</v>
      </c>
      <c r="H7">
        <f t="shared" si="5"/>
        <v>0</v>
      </c>
    </row>
    <row r="8" spans="1:8" x14ac:dyDescent="0.35">
      <c r="A8" s="6">
        <v>4</v>
      </c>
      <c r="B8" s="7">
        <v>10</v>
      </c>
      <c r="C8" s="8" t="s">
        <v>6</v>
      </c>
      <c r="D8">
        <f t="shared" si="1"/>
        <v>46</v>
      </c>
      <c r="E8">
        <f t="shared" si="2"/>
        <v>56</v>
      </c>
      <c r="F8">
        <f t="shared" si="3"/>
        <v>0</v>
      </c>
      <c r="G8">
        <f t="shared" si="4"/>
        <v>0</v>
      </c>
      <c r="H8">
        <f t="shared" si="5"/>
        <v>1</v>
      </c>
    </row>
    <row r="9" spans="1:8" x14ac:dyDescent="0.35">
      <c r="A9" s="9">
        <v>4</v>
      </c>
      <c r="B9" s="10">
        <v>7</v>
      </c>
      <c r="C9" s="11" t="s">
        <v>7</v>
      </c>
      <c r="D9">
        <f t="shared" si="1"/>
        <v>50</v>
      </c>
      <c r="E9">
        <f t="shared" si="2"/>
        <v>56</v>
      </c>
      <c r="F9">
        <f t="shared" si="3"/>
        <v>0</v>
      </c>
      <c r="G9">
        <f t="shared" si="4"/>
        <v>0</v>
      </c>
      <c r="H9">
        <f t="shared" si="5"/>
        <v>2</v>
      </c>
    </row>
    <row r="10" spans="1:8" x14ac:dyDescent="0.35">
      <c r="A10" s="6">
        <v>3</v>
      </c>
      <c r="B10" s="7">
        <v>2</v>
      </c>
      <c r="C10" s="8" t="s">
        <v>8</v>
      </c>
      <c r="D10">
        <f t="shared" si="1"/>
        <v>53</v>
      </c>
      <c r="E10">
        <f t="shared" si="2"/>
        <v>58</v>
      </c>
      <c r="F10">
        <f t="shared" si="3"/>
        <v>1</v>
      </c>
      <c r="G10">
        <f t="shared" si="4"/>
        <v>1</v>
      </c>
      <c r="H10">
        <f t="shared" si="5"/>
        <v>0</v>
      </c>
    </row>
    <row r="11" spans="1:8" x14ac:dyDescent="0.35">
      <c r="A11" s="9">
        <v>7</v>
      </c>
      <c r="B11" s="10">
        <v>12</v>
      </c>
      <c r="C11" s="11" t="s">
        <v>9</v>
      </c>
      <c r="D11">
        <f t="shared" si="1"/>
        <v>60</v>
      </c>
      <c r="E11">
        <f t="shared" si="2"/>
        <v>72</v>
      </c>
      <c r="F11">
        <f t="shared" si="3"/>
        <v>1</v>
      </c>
      <c r="G11">
        <f t="shared" si="4"/>
        <v>2</v>
      </c>
      <c r="H11">
        <f t="shared" si="5"/>
        <v>0</v>
      </c>
    </row>
    <row r="12" spans="1:8" x14ac:dyDescent="0.35">
      <c r="A12" s="6">
        <v>11</v>
      </c>
      <c r="B12" s="7">
        <v>12</v>
      </c>
      <c r="C12" s="8" t="s">
        <v>10</v>
      </c>
      <c r="D12">
        <f t="shared" si="1"/>
        <v>71</v>
      </c>
      <c r="E12">
        <f t="shared" si="2"/>
        <v>84</v>
      </c>
      <c r="F12">
        <f t="shared" si="3"/>
        <v>1</v>
      </c>
      <c r="G12">
        <f t="shared" si="4"/>
        <v>3</v>
      </c>
      <c r="H12">
        <f t="shared" si="5"/>
        <v>0</v>
      </c>
    </row>
    <row r="13" spans="1:8" x14ac:dyDescent="0.35">
      <c r="A13" s="9">
        <v>15</v>
      </c>
      <c r="B13" s="10">
        <v>14</v>
      </c>
      <c r="C13" s="11" t="s">
        <v>11</v>
      </c>
      <c r="D13">
        <f t="shared" si="1"/>
        <v>86</v>
      </c>
      <c r="E13">
        <f t="shared" si="2"/>
        <v>100</v>
      </c>
      <c r="F13">
        <f t="shared" si="3"/>
        <v>1</v>
      </c>
      <c r="G13">
        <f t="shared" si="4"/>
        <v>4</v>
      </c>
      <c r="H13">
        <f t="shared" si="5"/>
        <v>0</v>
      </c>
    </row>
    <row r="14" spans="1:8" x14ac:dyDescent="0.35">
      <c r="A14" s="6">
        <v>11</v>
      </c>
      <c r="B14" s="7">
        <v>9</v>
      </c>
      <c r="C14" s="8" t="s">
        <v>12</v>
      </c>
      <c r="D14">
        <f t="shared" si="1"/>
        <v>97</v>
      </c>
      <c r="E14">
        <f t="shared" si="2"/>
        <v>109</v>
      </c>
      <c r="F14">
        <f t="shared" si="3"/>
        <v>1</v>
      </c>
      <c r="G14">
        <f t="shared" si="4"/>
        <v>5</v>
      </c>
      <c r="H14">
        <f t="shared" si="5"/>
        <v>0</v>
      </c>
    </row>
    <row r="15" spans="1:8" x14ac:dyDescent="0.35">
      <c r="A15" s="9">
        <v>3</v>
      </c>
      <c r="B15" s="10">
        <v>6</v>
      </c>
      <c r="C15" s="11" t="s">
        <v>13</v>
      </c>
      <c r="D15">
        <f t="shared" si="1"/>
        <v>100</v>
      </c>
      <c r="E15">
        <f t="shared" si="2"/>
        <v>109</v>
      </c>
      <c r="F15">
        <f t="shared" si="3"/>
        <v>0</v>
      </c>
      <c r="G15">
        <f t="shared" si="4"/>
        <v>0</v>
      </c>
      <c r="H15">
        <f t="shared" si="5"/>
        <v>1</v>
      </c>
    </row>
    <row r="16" spans="1:8" x14ac:dyDescent="0.35">
      <c r="A16" s="6">
        <v>1</v>
      </c>
      <c r="B16" s="7">
        <v>7</v>
      </c>
      <c r="C16" s="8" t="s">
        <v>14</v>
      </c>
      <c r="D16">
        <f t="shared" si="1"/>
        <v>101</v>
      </c>
      <c r="E16">
        <f t="shared" si="2"/>
        <v>109</v>
      </c>
      <c r="F16">
        <f t="shared" si="3"/>
        <v>0</v>
      </c>
      <c r="G16">
        <f t="shared" si="4"/>
        <v>0</v>
      </c>
      <c r="H16">
        <f t="shared" si="5"/>
        <v>2</v>
      </c>
    </row>
    <row r="17" spans="1:8" x14ac:dyDescent="0.35">
      <c r="A17" s="9">
        <v>11</v>
      </c>
      <c r="B17" s="10">
        <v>7</v>
      </c>
      <c r="C17" s="11" t="s">
        <v>15</v>
      </c>
      <c r="D17">
        <f t="shared" si="1"/>
        <v>112</v>
      </c>
      <c r="E17">
        <f t="shared" si="2"/>
        <v>119</v>
      </c>
      <c r="F17">
        <f t="shared" si="3"/>
        <v>1</v>
      </c>
      <c r="G17">
        <f t="shared" si="4"/>
        <v>1</v>
      </c>
      <c r="H17">
        <f t="shared" si="5"/>
        <v>0</v>
      </c>
    </row>
    <row r="18" spans="1:8" x14ac:dyDescent="0.35">
      <c r="A18" s="6">
        <v>2</v>
      </c>
      <c r="B18" s="7">
        <v>2</v>
      </c>
      <c r="C18" s="8" t="s">
        <v>16</v>
      </c>
      <c r="D18">
        <f t="shared" si="1"/>
        <v>114</v>
      </c>
      <c r="E18">
        <f t="shared" si="2"/>
        <v>121</v>
      </c>
      <c r="F18">
        <f t="shared" si="3"/>
        <v>1</v>
      </c>
      <c r="G18">
        <f t="shared" si="4"/>
        <v>2</v>
      </c>
      <c r="H18">
        <f t="shared" si="5"/>
        <v>0</v>
      </c>
    </row>
    <row r="19" spans="1:8" x14ac:dyDescent="0.35">
      <c r="A19" s="9">
        <v>9</v>
      </c>
      <c r="B19" s="10">
        <v>10</v>
      </c>
      <c r="C19" s="11" t="s">
        <v>17</v>
      </c>
      <c r="D19">
        <f t="shared" si="1"/>
        <v>123</v>
      </c>
      <c r="E19">
        <f t="shared" si="2"/>
        <v>133</v>
      </c>
      <c r="F19">
        <f t="shared" si="3"/>
        <v>1</v>
      </c>
      <c r="G19">
        <f t="shared" si="4"/>
        <v>3</v>
      </c>
      <c r="H19">
        <f t="shared" si="5"/>
        <v>0</v>
      </c>
    </row>
    <row r="20" spans="1:8" x14ac:dyDescent="0.35">
      <c r="A20" s="6">
        <v>2</v>
      </c>
      <c r="B20" s="7">
        <v>13</v>
      </c>
      <c r="C20" s="8" t="s">
        <v>18</v>
      </c>
      <c r="D20">
        <f t="shared" si="1"/>
        <v>125</v>
      </c>
      <c r="E20">
        <f t="shared" si="2"/>
        <v>133</v>
      </c>
      <c r="F20">
        <f t="shared" si="3"/>
        <v>0</v>
      </c>
      <c r="G20">
        <f t="shared" si="4"/>
        <v>0</v>
      </c>
      <c r="H20">
        <f t="shared" si="5"/>
        <v>1</v>
      </c>
    </row>
    <row r="21" spans="1:8" x14ac:dyDescent="0.35">
      <c r="A21" s="9">
        <v>13</v>
      </c>
      <c r="B21" s="10">
        <v>14</v>
      </c>
      <c r="C21" s="11" t="s">
        <v>19</v>
      </c>
      <c r="D21">
        <f t="shared" si="1"/>
        <v>138</v>
      </c>
      <c r="E21">
        <f t="shared" si="2"/>
        <v>152</v>
      </c>
      <c r="F21">
        <f t="shared" si="3"/>
        <v>1</v>
      </c>
      <c r="G21">
        <f t="shared" si="4"/>
        <v>1</v>
      </c>
      <c r="H21">
        <f t="shared" si="5"/>
        <v>0</v>
      </c>
    </row>
    <row r="22" spans="1:8" x14ac:dyDescent="0.35">
      <c r="A22" s="6">
        <v>10</v>
      </c>
      <c r="B22" s="7">
        <v>15</v>
      </c>
      <c r="C22" s="8" t="s">
        <v>20</v>
      </c>
      <c r="D22">
        <f t="shared" si="1"/>
        <v>148</v>
      </c>
      <c r="E22">
        <f t="shared" si="2"/>
        <v>167</v>
      </c>
      <c r="F22">
        <f t="shared" si="3"/>
        <v>1</v>
      </c>
      <c r="G22">
        <f t="shared" si="4"/>
        <v>2</v>
      </c>
      <c r="H22">
        <f t="shared" si="5"/>
        <v>0</v>
      </c>
    </row>
    <row r="23" spans="1:8" x14ac:dyDescent="0.35">
      <c r="A23" s="9">
        <v>6</v>
      </c>
      <c r="B23" s="10">
        <v>9</v>
      </c>
      <c r="C23" s="11" t="s">
        <v>21</v>
      </c>
      <c r="D23">
        <f t="shared" si="1"/>
        <v>154</v>
      </c>
      <c r="E23">
        <f t="shared" si="2"/>
        <v>167</v>
      </c>
      <c r="F23">
        <f t="shared" si="3"/>
        <v>0</v>
      </c>
      <c r="G23">
        <f t="shared" si="4"/>
        <v>0</v>
      </c>
      <c r="H23">
        <f t="shared" si="5"/>
        <v>1</v>
      </c>
    </row>
    <row r="24" spans="1:8" x14ac:dyDescent="0.35">
      <c r="A24" s="6">
        <v>5</v>
      </c>
      <c r="B24" s="7">
        <v>6</v>
      </c>
      <c r="C24" s="8" t="s">
        <v>22</v>
      </c>
      <c r="D24">
        <f t="shared" si="1"/>
        <v>159</v>
      </c>
      <c r="E24">
        <f t="shared" si="2"/>
        <v>167</v>
      </c>
      <c r="F24">
        <f t="shared" si="3"/>
        <v>0</v>
      </c>
      <c r="G24">
        <f t="shared" si="4"/>
        <v>0</v>
      </c>
      <c r="H24">
        <f t="shared" si="5"/>
        <v>2</v>
      </c>
    </row>
    <row r="25" spans="1:8" x14ac:dyDescent="0.35">
      <c r="A25" s="9">
        <v>13</v>
      </c>
      <c r="B25" s="10">
        <v>13</v>
      </c>
      <c r="C25" s="11" t="s">
        <v>23</v>
      </c>
      <c r="D25">
        <f t="shared" si="1"/>
        <v>172</v>
      </c>
      <c r="E25">
        <f t="shared" si="2"/>
        <v>185</v>
      </c>
      <c r="F25">
        <f t="shared" si="3"/>
        <v>1</v>
      </c>
      <c r="G25">
        <f t="shared" si="4"/>
        <v>1</v>
      </c>
      <c r="H25">
        <f t="shared" si="5"/>
        <v>0</v>
      </c>
    </row>
    <row r="26" spans="1:8" x14ac:dyDescent="0.35">
      <c r="A26" s="6">
        <v>11</v>
      </c>
      <c r="B26" s="7">
        <v>1</v>
      </c>
      <c r="C26" s="8" t="s">
        <v>24</v>
      </c>
      <c r="D26">
        <f t="shared" si="1"/>
        <v>183</v>
      </c>
      <c r="E26">
        <f t="shared" si="2"/>
        <v>186</v>
      </c>
      <c r="F26">
        <f t="shared" si="3"/>
        <v>1</v>
      </c>
      <c r="G26">
        <f t="shared" si="4"/>
        <v>2</v>
      </c>
      <c r="H26">
        <f t="shared" si="5"/>
        <v>0</v>
      </c>
    </row>
    <row r="27" spans="1:8" x14ac:dyDescent="0.35">
      <c r="A27" s="9">
        <v>10</v>
      </c>
      <c r="B27" s="10">
        <v>6</v>
      </c>
      <c r="C27" s="11" t="s">
        <v>25</v>
      </c>
      <c r="D27">
        <f t="shared" si="1"/>
        <v>193</v>
      </c>
      <c r="E27">
        <f t="shared" si="2"/>
        <v>199</v>
      </c>
      <c r="F27">
        <f t="shared" si="3"/>
        <v>1</v>
      </c>
      <c r="G27">
        <f t="shared" si="4"/>
        <v>3</v>
      </c>
      <c r="H27">
        <f t="shared" si="5"/>
        <v>0</v>
      </c>
    </row>
    <row r="28" spans="1:8" x14ac:dyDescent="0.35">
      <c r="A28" s="6">
        <v>11</v>
      </c>
      <c r="B28" s="7">
        <v>12</v>
      </c>
      <c r="C28" s="8" t="s">
        <v>26</v>
      </c>
      <c r="D28">
        <f t="shared" si="1"/>
        <v>204</v>
      </c>
      <c r="E28">
        <f t="shared" si="2"/>
        <v>216</v>
      </c>
      <c r="F28">
        <f t="shared" si="3"/>
        <v>1</v>
      </c>
      <c r="G28">
        <f t="shared" si="4"/>
        <v>4</v>
      </c>
      <c r="H28">
        <f t="shared" si="5"/>
        <v>0</v>
      </c>
    </row>
    <row r="29" spans="1:8" x14ac:dyDescent="0.35">
      <c r="A29" s="9">
        <v>4</v>
      </c>
      <c r="B29" s="10">
        <v>9</v>
      </c>
      <c r="C29" s="11" t="s">
        <v>27</v>
      </c>
      <c r="D29">
        <f t="shared" si="1"/>
        <v>208</v>
      </c>
      <c r="E29">
        <f t="shared" si="2"/>
        <v>216</v>
      </c>
      <c r="F29">
        <f t="shared" si="3"/>
        <v>0</v>
      </c>
      <c r="G29">
        <f t="shared" si="4"/>
        <v>0</v>
      </c>
      <c r="H29">
        <f t="shared" si="5"/>
        <v>1</v>
      </c>
    </row>
    <row r="30" spans="1:8" x14ac:dyDescent="0.35">
      <c r="A30" s="6">
        <v>4</v>
      </c>
      <c r="B30" s="7">
        <v>1</v>
      </c>
      <c r="C30" s="8" t="s">
        <v>28</v>
      </c>
      <c r="D30">
        <f t="shared" si="1"/>
        <v>212</v>
      </c>
      <c r="E30">
        <f t="shared" si="2"/>
        <v>217</v>
      </c>
      <c r="F30">
        <f t="shared" si="3"/>
        <v>1</v>
      </c>
      <c r="G30">
        <f t="shared" si="4"/>
        <v>1</v>
      </c>
      <c r="H30">
        <f t="shared" si="5"/>
        <v>0</v>
      </c>
    </row>
    <row r="31" spans="1:8" x14ac:dyDescent="0.35">
      <c r="A31" s="9">
        <v>2</v>
      </c>
      <c r="B31" s="10">
        <v>11</v>
      </c>
      <c r="C31" s="11" t="s">
        <v>29</v>
      </c>
      <c r="D31">
        <f t="shared" si="1"/>
        <v>214</v>
      </c>
      <c r="E31">
        <f t="shared" si="2"/>
        <v>228</v>
      </c>
      <c r="F31">
        <f t="shared" si="3"/>
        <v>1</v>
      </c>
      <c r="G31">
        <f t="shared" si="4"/>
        <v>2</v>
      </c>
      <c r="H31">
        <f t="shared" si="5"/>
        <v>0</v>
      </c>
    </row>
    <row r="32" spans="1:8" x14ac:dyDescent="0.35">
      <c r="A32" s="6">
        <v>7</v>
      </c>
      <c r="B32" s="7">
        <v>2</v>
      </c>
      <c r="C32" s="8" t="s">
        <v>30</v>
      </c>
      <c r="D32">
        <f t="shared" si="1"/>
        <v>221</v>
      </c>
      <c r="E32">
        <f t="shared" si="2"/>
        <v>228</v>
      </c>
      <c r="F32">
        <f t="shared" si="3"/>
        <v>0</v>
      </c>
      <c r="G32">
        <f t="shared" si="4"/>
        <v>0</v>
      </c>
      <c r="H32">
        <f t="shared" si="5"/>
        <v>1</v>
      </c>
    </row>
    <row r="33" spans="1:8" x14ac:dyDescent="0.35">
      <c r="A33" s="9">
        <v>11</v>
      </c>
      <c r="B33" s="10">
        <v>14</v>
      </c>
      <c r="C33" s="11" t="s">
        <v>31</v>
      </c>
      <c r="D33">
        <f t="shared" si="1"/>
        <v>232</v>
      </c>
      <c r="E33">
        <f t="shared" si="2"/>
        <v>246</v>
      </c>
      <c r="F33">
        <f t="shared" si="3"/>
        <v>1</v>
      </c>
      <c r="G33">
        <f t="shared" si="4"/>
        <v>1</v>
      </c>
      <c r="H33">
        <f t="shared" si="5"/>
        <v>0</v>
      </c>
    </row>
    <row r="34" spans="1:8" x14ac:dyDescent="0.35">
      <c r="A34" s="6">
        <v>6</v>
      </c>
      <c r="B34" s="7">
        <v>3</v>
      </c>
      <c r="C34" s="8" t="s">
        <v>32</v>
      </c>
      <c r="D34">
        <f t="shared" si="1"/>
        <v>238</v>
      </c>
      <c r="E34">
        <f t="shared" si="2"/>
        <v>246</v>
      </c>
      <c r="F34">
        <f t="shared" si="3"/>
        <v>0</v>
      </c>
      <c r="G34">
        <f t="shared" si="4"/>
        <v>0</v>
      </c>
      <c r="H34">
        <f t="shared" si="5"/>
        <v>1</v>
      </c>
    </row>
    <row r="35" spans="1:8" x14ac:dyDescent="0.35">
      <c r="A35" s="9">
        <v>11</v>
      </c>
      <c r="B35" s="10">
        <v>5</v>
      </c>
      <c r="C35" s="11" t="s">
        <v>33</v>
      </c>
      <c r="D35">
        <f t="shared" si="1"/>
        <v>249</v>
      </c>
      <c r="E35">
        <f t="shared" si="2"/>
        <v>254</v>
      </c>
      <c r="F35">
        <f t="shared" si="3"/>
        <v>1</v>
      </c>
      <c r="G35">
        <f t="shared" si="4"/>
        <v>1</v>
      </c>
      <c r="H35">
        <f t="shared" si="5"/>
        <v>0</v>
      </c>
    </row>
    <row r="36" spans="1:8" x14ac:dyDescent="0.35">
      <c r="A36" s="6">
        <v>5</v>
      </c>
      <c r="B36" s="7">
        <v>9</v>
      </c>
      <c r="C36" s="8" t="s">
        <v>34</v>
      </c>
      <c r="D36">
        <f t="shared" si="1"/>
        <v>254</v>
      </c>
      <c r="E36">
        <f t="shared" si="2"/>
        <v>263</v>
      </c>
      <c r="F36">
        <f t="shared" si="3"/>
        <v>1</v>
      </c>
      <c r="G36">
        <f t="shared" si="4"/>
        <v>2</v>
      </c>
      <c r="H36">
        <f t="shared" si="5"/>
        <v>0</v>
      </c>
    </row>
    <row r="37" spans="1:8" x14ac:dyDescent="0.35">
      <c r="A37" s="9">
        <v>9</v>
      </c>
      <c r="B37" s="10">
        <v>5</v>
      </c>
      <c r="C37" s="11" t="s">
        <v>35</v>
      </c>
      <c r="D37">
        <f t="shared" si="1"/>
        <v>263</v>
      </c>
      <c r="E37">
        <f t="shared" si="2"/>
        <v>268</v>
      </c>
      <c r="F37">
        <f t="shared" si="3"/>
        <v>1</v>
      </c>
      <c r="G37">
        <f t="shared" si="4"/>
        <v>3</v>
      </c>
      <c r="H37">
        <f t="shared" si="5"/>
        <v>0</v>
      </c>
    </row>
    <row r="38" spans="1:8" x14ac:dyDescent="0.35">
      <c r="A38" s="6">
        <v>11</v>
      </c>
      <c r="B38" s="7">
        <v>4</v>
      </c>
      <c r="C38" s="8" t="s">
        <v>36</v>
      </c>
      <c r="D38">
        <f t="shared" si="1"/>
        <v>274</v>
      </c>
      <c r="E38">
        <f t="shared" si="2"/>
        <v>278</v>
      </c>
      <c r="F38">
        <f t="shared" si="3"/>
        <v>1</v>
      </c>
      <c r="G38">
        <f t="shared" si="4"/>
        <v>4</v>
      </c>
      <c r="H38">
        <f t="shared" si="5"/>
        <v>0</v>
      </c>
    </row>
    <row r="39" spans="1:8" x14ac:dyDescent="0.35">
      <c r="A39" s="9">
        <v>15</v>
      </c>
      <c r="B39" s="10">
        <v>5</v>
      </c>
      <c r="C39" s="11" t="s">
        <v>37</v>
      </c>
      <c r="D39">
        <f t="shared" si="1"/>
        <v>289</v>
      </c>
      <c r="E39">
        <f t="shared" si="2"/>
        <v>294</v>
      </c>
      <c r="F39">
        <f t="shared" si="3"/>
        <v>1</v>
      </c>
      <c r="G39">
        <f t="shared" si="4"/>
        <v>5</v>
      </c>
      <c r="H39">
        <f t="shared" si="5"/>
        <v>0</v>
      </c>
    </row>
    <row r="40" spans="1:8" x14ac:dyDescent="0.35">
      <c r="A40" s="6">
        <v>12</v>
      </c>
      <c r="B40" s="7">
        <v>1</v>
      </c>
      <c r="C40" s="8" t="s">
        <v>38</v>
      </c>
      <c r="D40">
        <f t="shared" si="1"/>
        <v>301</v>
      </c>
      <c r="E40">
        <f t="shared" si="2"/>
        <v>302</v>
      </c>
      <c r="F40">
        <f t="shared" si="3"/>
        <v>1</v>
      </c>
      <c r="G40">
        <f t="shared" si="4"/>
        <v>6</v>
      </c>
      <c r="H40">
        <f t="shared" si="5"/>
        <v>0</v>
      </c>
    </row>
    <row r="41" spans="1:8" x14ac:dyDescent="0.35">
      <c r="A41" s="9">
        <v>2</v>
      </c>
      <c r="B41" s="10">
        <v>5</v>
      </c>
      <c r="C41" s="11" t="s">
        <v>39</v>
      </c>
      <c r="D41">
        <f t="shared" si="1"/>
        <v>303</v>
      </c>
      <c r="E41">
        <f t="shared" si="2"/>
        <v>308</v>
      </c>
      <c r="F41">
        <f t="shared" si="3"/>
        <v>1</v>
      </c>
      <c r="G41">
        <f t="shared" si="4"/>
        <v>7</v>
      </c>
      <c r="H41">
        <f t="shared" si="5"/>
        <v>0</v>
      </c>
    </row>
    <row r="42" spans="1:8" x14ac:dyDescent="0.35">
      <c r="A42" s="6">
        <v>11</v>
      </c>
      <c r="B42" s="7">
        <v>11</v>
      </c>
      <c r="C42" s="8" t="s">
        <v>40</v>
      </c>
      <c r="D42">
        <f t="shared" si="1"/>
        <v>314</v>
      </c>
      <c r="E42">
        <f t="shared" si="2"/>
        <v>325</v>
      </c>
      <c r="F42">
        <f t="shared" si="3"/>
        <v>1</v>
      </c>
      <c r="G42">
        <f t="shared" si="4"/>
        <v>8</v>
      </c>
      <c r="H42">
        <f t="shared" si="5"/>
        <v>0</v>
      </c>
    </row>
    <row r="43" spans="1:8" x14ac:dyDescent="0.35">
      <c r="A43" s="9">
        <v>2</v>
      </c>
      <c r="B43" s="10">
        <v>3</v>
      </c>
      <c r="C43" s="11" t="s">
        <v>41</v>
      </c>
      <c r="D43">
        <f t="shared" si="1"/>
        <v>316</v>
      </c>
      <c r="E43">
        <f t="shared" si="2"/>
        <v>325</v>
      </c>
      <c r="F43">
        <f t="shared" si="3"/>
        <v>0</v>
      </c>
      <c r="G43">
        <f t="shared" si="4"/>
        <v>0</v>
      </c>
      <c r="H43">
        <f t="shared" si="5"/>
        <v>1</v>
      </c>
    </row>
    <row r="44" spans="1:8" x14ac:dyDescent="0.35">
      <c r="A44" s="6">
        <v>6</v>
      </c>
      <c r="B44" s="7">
        <v>13</v>
      </c>
      <c r="C44" s="8" t="s">
        <v>42</v>
      </c>
      <c r="D44">
        <f t="shared" si="1"/>
        <v>322</v>
      </c>
      <c r="E44">
        <f t="shared" si="2"/>
        <v>338</v>
      </c>
      <c r="F44">
        <f t="shared" si="3"/>
        <v>1</v>
      </c>
      <c r="G44">
        <f t="shared" si="4"/>
        <v>1</v>
      </c>
      <c r="H44">
        <f t="shared" si="5"/>
        <v>0</v>
      </c>
    </row>
    <row r="45" spans="1:8" x14ac:dyDescent="0.35">
      <c r="A45" s="9">
        <v>4</v>
      </c>
      <c r="B45" s="10">
        <v>11</v>
      </c>
      <c r="C45" s="11" t="s">
        <v>43</v>
      </c>
      <c r="D45">
        <f t="shared" si="1"/>
        <v>326</v>
      </c>
      <c r="E45">
        <f t="shared" si="2"/>
        <v>338</v>
      </c>
      <c r="F45">
        <f t="shared" si="3"/>
        <v>0</v>
      </c>
      <c r="G45">
        <f t="shared" si="4"/>
        <v>0</v>
      </c>
      <c r="H45">
        <f t="shared" si="5"/>
        <v>1</v>
      </c>
    </row>
    <row r="46" spans="1:8" x14ac:dyDescent="0.35">
      <c r="A46" s="6">
        <v>7</v>
      </c>
      <c r="B46" s="7">
        <v>10</v>
      </c>
      <c r="C46" s="8" t="s">
        <v>44</v>
      </c>
      <c r="D46">
        <f t="shared" si="1"/>
        <v>333</v>
      </c>
      <c r="E46">
        <f t="shared" si="2"/>
        <v>348</v>
      </c>
      <c r="F46">
        <f t="shared" si="3"/>
        <v>1</v>
      </c>
      <c r="G46">
        <f t="shared" si="4"/>
        <v>1</v>
      </c>
      <c r="H46">
        <f t="shared" si="5"/>
        <v>0</v>
      </c>
    </row>
    <row r="47" spans="1:8" x14ac:dyDescent="0.35">
      <c r="A47" s="9">
        <v>8</v>
      </c>
      <c r="B47" s="10">
        <v>6</v>
      </c>
      <c r="C47" s="11" t="s">
        <v>45</v>
      </c>
      <c r="D47">
        <f t="shared" si="1"/>
        <v>341</v>
      </c>
      <c r="E47">
        <f t="shared" si="2"/>
        <v>348</v>
      </c>
      <c r="F47">
        <f t="shared" si="3"/>
        <v>0</v>
      </c>
      <c r="G47">
        <f t="shared" si="4"/>
        <v>0</v>
      </c>
      <c r="H47">
        <f t="shared" si="5"/>
        <v>1</v>
      </c>
    </row>
    <row r="48" spans="1:8" x14ac:dyDescent="0.35">
      <c r="A48" s="6">
        <v>3</v>
      </c>
      <c r="B48" s="7">
        <v>14</v>
      </c>
      <c r="C48" s="8" t="s">
        <v>46</v>
      </c>
      <c r="D48">
        <f t="shared" si="1"/>
        <v>344</v>
      </c>
      <c r="E48">
        <f t="shared" si="2"/>
        <v>362</v>
      </c>
      <c r="F48">
        <f t="shared" si="3"/>
        <v>1</v>
      </c>
      <c r="G48">
        <f t="shared" si="4"/>
        <v>1</v>
      </c>
      <c r="H48">
        <f t="shared" si="5"/>
        <v>0</v>
      </c>
    </row>
    <row r="49" spans="1:8" x14ac:dyDescent="0.35">
      <c r="A49" s="9">
        <v>7</v>
      </c>
      <c r="B49" s="10">
        <v>13</v>
      </c>
      <c r="C49" s="11" t="s">
        <v>47</v>
      </c>
      <c r="D49">
        <f t="shared" si="1"/>
        <v>351</v>
      </c>
      <c r="E49">
        <f t="shared" si="2"/>
        <v>362</v>
      </c>
      <c r="F49">
        <f t="shared" si="3"/>
        <v>0</v>
      </c>
      <c r="G49">
        <f t="shared" si="4"/>
        <v>0</v>
      </c>
      <c r="H49">
        <f t="shared" si="5"/>
        <v>1</v>
      </c>
    </row>
    <row r="50" spans="1:8" x14ac:dyDescent="0.35">
      <c r="A50" s="6">
        <v>15</v>
      </c>
      <c r="B50" s="7">
        <v>11</v>
      </c>
      <c r="C50" s="8" t="s">
        <v>48</v>
      </c>
      <c r="D50">
        <f t="shared" si="1"/>
        <v>366</v>
      </c>
      <c r="E50">
        <f t="shared" si="2"/>
        <v>377</v>
      </c>
      <c r="F50">
        <f t="shared" si="3"/>
        <v>1</v>
      </c>
      <c r="G50">
        <f t="shared" si="4"/>
        <v>1</v>
      </c>
      <c r="H50">
        <f t="shared" si="5"/>
        <v>0</v>
      </c>
    </row>
    <row r="51" spans="1:8" x14ac:dyDescent="0.35">
      <c r="A51" s="9">
        <v>11</v>
      </c>
      <c r="B51" s="10">
        <v>8</v>
      </c>
      <c r="C51" s="11" t="s">
        <v>49</v>
      </c>
      <c r="D51">
        <f t="shared" si="1"/>
        <v>377</v>
      </c>
      <c r="E51">
        <f t="shared" si="2"/>
        <v>385</v>
      </c>
      <c r="F51">
        <f t="shared" si="3"/>
        <v>1</v>
      </c>
      <c r="G51">
        <f t="shared" si="4"/>
        <v>2</v>
      </c>
      <c r="H51">
        <f t="shared" si="5"/>
        <v>0</v>
      </c>
    </row>
    <row r="52" spans="1:8" x14ac:dyDescent="0.35">
      <c r="A52" s="6">
        <v>6</v>
      </c>
      <c r="B52" s="7">
        <v>10</v>
      </c>
      <c r="C52" s="8" t="s">
        <v>50</v>
      </c>
      <c r="D52">
        <f t="shared" si="1"/>
        <v>383</v>
      </c>
      <c r="E52">
        <f t="shared" si="2"/>
        <v>395</v>
      </c>
      <c r="F52">
        <f t="shared" si="3"/>
        <v>1</v>
      </c>
      <c r="G52">
        <f t="shared" si="4"/>
        <v>3</v>
      </c>
      <c r="H52">
        <f t="shared" si="5"/>
        <v>0</v>
      </c>
    </row>
    <row r="53" spans="1:8" x14ac:dyDescent="0.35">
      <c r="A53" s="9">
        <v>3</v>
      </c>
      <c r="B53" s="10">
        <v>12</v>
      </c>
      <c r="C53" s="11" t="s">
        <v>51</v>
      </c>
      <c r="D53">
        <f t="shared" si="1"/>
        <v>386</v>
      </c>
      <c r="E53">
        <f t="shared" si="2"/>
        <v>395</v>
      </c>
      <c r="F53">
        <f t="shared" si="3"/>
        <v>0</v>
      </c>
      <c r="G53">
        <f t="shared" si="4"/>
        <v>0</v>
      </c>
      <c r="H53">
        <f t="shared" si="5"/>
        <v>1</v>
      </c>
    </row>
    <row r="54" spans="1:8" x14ac:dyDescent="0.35">
      <c r="A54" s="6">
        <v>13</v>
      </c>
      <c r="B54" s="7">
        <v>11</v>
      </c>
      <c r="C54" s="8" t="s">
        <v>52</v>
      </c>
      <c r="D54">
        <f t="shared" si="1"/>
        <v>399</v>
      </c>
      <c r="E54">
        <f t="shared" si="2"/>
        <v>410</v>
      </c>
      <c r="F54">
        <f t="shared" si="3"/>
        <v>1</v>
      </c>
      <c r="G54">
        <f t="shared" si="4"/>
        <v>1</v>
      </c>
      <c r="H54">
        <f t="shared" si="5"/>
        <v>0</v>
      </c>
    </row>
    <row r="55" spans="1:8" x14ac:dyDescent="0.35">
      <c r="A55" s="9">
        <v>15</v>
      </c>
      <c r="B55" s="10">
        <v>12</v>
      </c>
      <c r="C55" s="11" t="s">
        <v>53</v>
      </c>
      <c r="D55">
        <f t="shared" si="1"/>
        <v>414</v>
      </c>
      <c r="E55">
        <f t="shared" si="2"/>
        <v>426</v>
      </c>
      <c r="F55">
        <f t="shared" si="3"/>
        <v>1</v>
      </c>
      <c r="G55">
        <f t="shared" si="4"/>
        <v>2</v>
      </c>
      <c r="H55">
        <f t="shared" si="5"/>
        <v>0</v>
      </c>
    </row>
    <row r="56" spans="1:8" x14ac:dyDescent="0.35">
      <c r="A56" s="6">
        <v>1</v>
      </c>
      <c r="B56" s="7">
        <v>13</v>
      </c>
      <c r="C56" s="8" t="s">
        <v>54</v>
      </c>
      <c r="D56">
        <f t="shared" si="1"/>
        <v>415</v>
      </c>
      <c r="E56">
        <f t="shared" si="2"/>
        <v>426</v>
      </c>
      <c r="F56">
        <f t="shared" si="3"/>
        <v>0</v>
      </c>
      <c r="G56">
        <f t="shared" si="4"/>
        <v>0</v>
      </c>
      <c r="H56">
        <f t="shared" si="5"/>
        <v>1</v>
      </c>
    </row>
    <row r="57" spans="1:8" x14ac:dyDescent="0.35">
      <c r="A57" s="9">
        <v>15</v>
      </c>
      <c r="B57" s="10">
        <v>7</v>
      </c>
      <c r="C57" s="11" t="s">
        <v>55</v>
      </c>
      <c r="D57">
        <f t="shared" si="1"/>
        <v>430</v>
      </c>
      <c r="E57">
        <f t="shared" si="2"/>
        <v>437</v>
      </c>
      <c r="F57">
        <f t="shared" si="3"/>
        <v>1</v>
      </c>
      <c r="G57">
        <f t="shared" si="4"/>
        <v>1</v>
      </c>
      <c r="H57">
        <f t="shared" si="5"/>
        <v>0</v>
      </c>
    </row>
    <row r="58" spans="1:8" x14ac:dyDescent="0.35">
      <c r="A58" s="6">
        <v>14</v>
      </c>
      <c r="B58" s="7">
        <v>10</v>
      </c>
      <c r="C58" s="8" t="s">
        <v>56</v>
      </c>
      <c r="D58">
        <f t="shared" si="1"/>
        <v>444</v>
      </c>
      <c r="E58">
        <f t="shared" si="2"/>
        <v>454</v>
      </c>
      <c r="F58">
        <f t="shared" si="3"/>
        <v>1</v>
      </c>
      <c r="G58">
        <f t="shared" si="4"/>
        <v>2</v>
      </c>
      <c r="H58">
        <f t="shared" si="5"/>
        <v>0</v>
      </c>
    </row>
    <row r="59" spans="1:8" x14ac:dyDescent="0.35">
      <c r="A59" s="9">
        <v>7</v>
      </c>
      <c r="B59" s="10">
        <v>1</v>
      </c>
      <c r="C59" s="11" t="s">
        <v>57</v>
      </c>
      <c r="D59">
        <f t="shared" si="1"/>
        <v>451</v>
      </c>
      <c r="E59">
        <f t="shared" si="2"/>
        <v>455</v>
      </c>
      <c r="F59">
        <f t="shared" si="3"/>
        <v>1</v>
      </c>
      <c r="G59">
        <f t="shared" si="4"/>
        <v>3</v>
      </c>
      <c r="H59">
        <f t="shared" si="5"/>
        <v>0</v>
      </c>
    </row>
    <row r="60" spans="1:8" x14ac:dyDescent="0.35">
      <c r="A60" s="6">
        <v>7</v>
      </c>
      <c r="B60" s="7">
        <v>5</v>
      </c>
      <c r="C60" s="8" t="s">
        <v>58</v>
      </c>
      <c r="D60">
        <f t="shared" si="1"/>
        <v>458</v>
      </c>
      <c r="E60">
        <f t="shared" si="2"/>
        <v>463</v>
      </c>
      <c r="F60">
        <f t="shared" si="3"/>
        <v>1</v>
      </c>
      <c r="G60">
        <f t="shared" si="4"/>
        <v>4</v>
      </c>
      <c r="H60">
        <f t="shared" si="5"/>
        <v>0</v>
      </c>
    </row>
    <row r="61" spans="1:8" x14ac:dyDescent="0.35">
      <c r="A61" s="9">
        <v>6</v>
      </c>
      <c r="B61" s="10">
        <v>1</v>
      </c>
      <c r="C61" s="11" t="s">
        <v>59</v>
      </c>
      <c r="D61">
        <f t="shared" si="1"/>
        <v>464</v>
      </c>
      <c r="E61">
        <f t="shared" si="2"/>
        <v>465</v>
      </c>
      <c r="F61">
        <f t="shared" si="3"/>
        <v>1</v>
      </c>
      <c r="G61">
        <f t="shared" si="4"/>
        <v>5</v>
      </c>
      <c r="H61">
        <f t="shared" si="5"/>
        <v>0</v>
      </c>
    </row>
    <row r="62" spans="1:8" x14ac:dyDescent="0.35">
      <c r="A62" s="6">
        <v>3</v>
      </c>
      <c r="B62" s="7">
        <v>12</v>
      </c>
      <c r="C62" s="8" t="s">
        <v>60</v>
      </c>
      <c r="D62">
        <f t="shared" si="1"/>
        <v>467</v>
      </c>
      <c r="E62">
        <f t="shared" si="2"/>
        <v>479</v>
      </c>
      <c r="F62">
        <f t="shared" si="3"/>
        <v>1</v>
      </c>
      <c r="G62">
        <f t="shared" si="4"/>
        <v>6</v>
      </c>
      <c r="H62">
        <f t="shared" si="5"/>
        <v>0</v>
      </c>
    </row>
    <row r="63" spans="1:8" x14ac:dyDescent="0.35">
      <c r="A63" s="9">
        <v>15</v>
      </c>
      <c r="B63" s="10">
        <v>14</v>
      </c>
      <c r="C63" s="11" t="s">
        <v>61</v>
      </c>
      <c r="D63">
        <f t="shared" si="1"/>
        <v>482</v>
      </c>
      <c r="E63">
        <f t="shared" si="2"/>
        <v>496</v>
      </c>
      <c r="F63">
        <f t="shared" si="3"/>
        <v>1</v>
      </c>
      <c r="G63">
        <f t="shared" si="4"/>
        <v>7</v>
      </c>
      <c r="H63">
        <f t="shared" si="5"/>
        <v>0</v>
      </c>
    </row>
    <row r="64" spans="1:8" x14ac:dyDescent="0.35">
      <c r="A64" s="6">
        <v>3</v>
      </c>
      <c r="B64" s="7">
        <v>9</v>
      </c>
      <c r="C64" s="8" t="s">
        <v>62</v>
      </c>
      <c r="D64">
        <f t="shared" si="1"/>
        <v>485</v>
      </c>
      <c r="E64">
        <f t="shared" si="2"/>
        <v>496</v>
      </c>
      <c r="F64">
        <f t="shared" si="3"/>
        <v>0</v>
      </c>
      <c r="G64">
        <f t="shared" si="4"/>
        <v>0</v>
      </c>
      <c r="H64">
        <f t="shared" si="5"/>
        <v>1</v>
      </c>
    </row>
    <row r="65" spans="1:8" x14ac:dyDescent="0.35">
      <c r="A65" s="9">
        <v>8</v>
      </c>
      <c r="B65" s="10">
        <v>11</v>
      </c>
      <c r="C65" s="11" t="s">
        <v>63</v>
      </c>
      <c r="D65">
        <f t="shared" si="1"/>
        <v>493</v>
      </c>
      <c r="E65">
        <f t="shared" si="2"/>
        <v>507</v>
      </c>
      <c r="F65">
        <f t="shared" si="3"/>
        <v>1</v>
      </c>
      <c r="G65">
        <f t="shared" si="4"/>
        <v>1</v>
      </c>
      <c r="H65">
        <f t="shared" si="5"/>
        <v>0</v>
      </c>
    </row>
    <row r="66" spans="1:8" x14ac:dyDescent="0.35">
      <c r="A66" s="6">
        <v>5</v>
      </c>
      <c r="B66" s="7">
        <v>15</v>
      </c>
      <c r="C66" s="8" t="s">
        <v>64</v>
      </c>
      <c r="D66">
        <f t="shared" si="1"/>
        <v>498</v>
      </c>
      <c r="E66">
        <f t="shared" si="2"/>
        <v>507</v>
      </c>
      <c r="F66">
        <f t="shared" si="3"/>
        <v>0</v>
      </c>
      <c r="G66">
        <f t="shared" si="4"/>
        <v>0</v>
      </c>
      <c r="H66">
        <f t="shared" si="5"/>
        <v>1</v>
      </c>
    </row>
    <row r="67" spans="1:8" x14ac:dyDescent="0.35">
      <c r="A67" s="9">
        <v>2</v>
      </c>
      <c r="B67" s="10">
        <v>4</v>
      </c>
      <c r="C67" s="11" t="s">
        <v>65</v>
      </c>
      <c r="D67">
        <f t="shared" si="1"/>
        <v>500</v>
      </c>
      <c r="E67">
        <f t="shared" si="2"/>
        <v>507</v>
      </c>
      <c r="F67">
        <f t="shared" si="3"/>
        <v>0</v>
      </c>
      <c r="G67">
        <f t="shared" si="4"/>
        <v>0</v>
      </c>
      <c r="H67">
        <f t="shared" si="5"/>
        <v>2</v>
      </c>
    </row>
    <row r="68" spans="1:8" x14ac:dyDescent="0.35">
      <c r="A68" s="6">
        <v>14</v>
      </c>
      <c r="B68" s="7">
        <v>9</v>
      </c>
      <c r="C68" s="8" t="s">
        <v>66</v>
      </c>
      <c r="D68">
        <f t="shared" ref="D68:D131" si="6">D67+A68</f>
        <v>514</v>
      </c>
      <c r="E68">
        <f t="shared" si="2"/>
        <v>523</v>
      </c>
      <c r="F68">
        <f t="shared" si="3"/>
        <v>1</v>
      </c>
      <c r="G68">
        <f t="shared" si="4"/>
        <v>1</v>
      </c>
      <c r="H68">
        <f t="shared" si="5"/>
        <v>0</v>
      </c>
    </row>
    <row r="69" spans="1:8" x14ac:dyDescent="0.35">
      <c r="A69" s="9">
        <v>7</v>
      </c>
      <c r="B69" s="10">
        <v>7</v>
      </c>
      <c r="C69" s="11" t="s">
        <v>67</v>
      </c>
      <c r="D69">
        <f t="shared" si="6"/>
        <v>521</v>
      </c>
      <c r="E69">
        <f t="shared" ref="E69:E132" si="7">IF(E68-D69&gt;5,E68,IF(D69&gt;E68,D69+B69,E68+B69))</f>
        <v>530</v>
      </c>
      <c r="F69">
        <f t="shared" ref="F69:F132" si="8">IF(E69=E68,0,1)</f>
        <v>1</v>
      </c>
      <c r="G69">
        <f t="shared" ref="G69:G132" si="9">IF(F69=0,0,G68+1)</f>
        <v>2</v>
      </c>
      <c r="H69">
        <f t="shared" si="5"/>
        <v>0</v>
      </c>
    </row>
    <row r="70" spans="1:8" x14ac:dyDescent="0.35">
      <c r="A70" s="6">
        <v>14</v>
      </c>
      <c r="B70" s="7">
        <v>6</v>
      </c>
      <c r="C70" s="8" t="s">
        <v>68</v>
      </c>
      <c r="D70">
        <f t="shared" si="6"/>
        <v>535</v>
      </c>
      <c r="E70">
        <f t="shared" si="7"/>
        <v>541</v>
      </c>
      <c r="F70">
        <f t="shared" si="8"/>
        <v>1</v>
      </c>
      <c r="G70">
        <f t="shared" si="9"/>
        <v>3</v>
      </c>
      <c r="H70">
        <f t="shared" ref="H70:H133" si="10">IF(G70=0,H69+1,0)</f>
        <v>0</v>
      </c>
    </row>
    <row r="71" spans="1:8" x14ac:dyDescent="0.35">
      <c r="A71" s="9">
        <v>11</v>
      </c>
      <c r="B71" s="10">
        <v>12</v>
      </c>
      <c r="C71" s="11" t="s">
        <v>69</v>
      </c>
      <c r="D71">
        <f t="shared" si="6"/>
        <v>546</v>
      </c>
      <c r="E71">
        <f t="shared" si="7"/>
        <v>558</v>
      </c>
      <c r="F71">
        <f t="shared" si="8"/>
        <v>1</v>
      </c>
      <c r="G71">
        <f t="shared" si="9"/>
        <v>4</v>
      </c>
      <c r="H71">
        <f t="shared" si="10"/>
        <v>0</v>
      </c>
    </row>
    <row r="72" spans="1:8" x14ac:dyDescent="0.35">
      <c r="A72" s="6">
        <v>2</v>
      </c>
      <c r="B72" s="7">
        <v>4</v>
      </c>
      <c r="C72" s="8" t="s">
        <v>70</v>
      </c>
      <c r="D72">
        <f t="shared" si="6"/>
        <v>548</v>
      </c>
      <c r="E72">
        <f t="shared" si="7"/>
        <v>558</v>
      </c>
      <c r="F72">
        <f t="shared" si="8"/>
        <v>0</v>
      </c>
      <c r="G72">
        <f t="shared" si="9"/>
        <v>0</v>
      </c>
      <c r="H72">
        <f t="shared" si="10"/>
        <v>1</v>
      </c>
    </row>
    <row r="73" spans="1:8" x14ac:dyDescent="0.35">
      <c r="A73" s="9">
        <v>11</v>
      </c>
      <c r="B73" s="10">
        <v>15</v>
      </c>
      <c r="C73" s="11" t="s">
        <v>71</v>
      </c>
      <c r="D73">
        <f t="shared" si="6"/>
        <v>559</v>
      </c>
      <c r="E73">
        <f t="shared" si="7"/>
        <v>574</v>
      </c>
      <c r="F73">
        <f t="shared" si="8"/>
        <v>1</v>
      </c>
      <c r="G73">
        <f t="shared" si="9"/>
        <v>1</v>
      </c>
      <c r="H73">
        <f t="shared" si="10"/>
        <v>0</v>
      </c>
    </row>
    <row r="74" spans="1:8" x14ac:dyDescent="0.35">
      <c r="A74" s="6">
        <v>4</v>
      </c>
      <c r="B74" s="7">
        <v>3</v>
      </c>
      <c r="C74" s="8" t="s">
        <v>72</v>
      </c>
      <c r="D74">
        <f t="shared" si="6"/>
        <v>563</v>
      </c>
      <c r="E74">
        <f t="shared" si="7"/>
        <v>574</v>
      </c>
      <c r="F74">
        <f t="shared" si="8"/>
        <v>0</v>
      </c>
      <c r="G74">
        <f t="shared" si="9"/>
        <v>0</v>
      </c>
      <c r="H74">
        <f t="shared" si="10"/>
        <v>1</v>
      </c>
    </row>
    <row r="75" spans="1:8" x14ac:dyDescent="0.35">
      <c r="A75" s="9">
        <v>3</v>
      </c>
      <c r="B75" s="10">
        <v>12</v>
      </c>
      <c r="C75" s="11" t="s">
        <v>73</v>
      </c>
      <c r="D75">
        <f t="shared" si="6"/>
        <v>566</v>
      </c>
      <c r="E75">
        <f t="shared" si="7"/>
        <v>574</v>
      </c>
      <c r="F75">
        <f t="shared" si="8"/>
        <v>0</v>
      </c>
      <c r="G75">
        <f t="shared" si="9"/>
        <v>0</v>
      </c>
      <c r="H75">
        <f t="shared" si="10"/>
        <v>2</v>
      </c>
    </row>
    <row r="76" spans="1:8" x14ac:dyDescent="0.35">
      <c r="A76" s="6">
        <v>2</v>
      </c>
      <c r="B76" s="7">
        <v>7</v>
      </c>
      <c r="C76" s="8" t="s">
        <v>74</v>
      </c>
      <c r="D76">
        <f t="shared" si="6"/>
        <v>568</v>
      </c>
      <c r="E76">
        <f t="shared" si="7"/>
        <v>574</v>
      </c>
      <c r="F76">
        <f t="shared" si="8"/>
        <v>0</v>
      </c>
      <c r="G76">
        <f t="shared" si="9"/>
        <v>0</v>
      </c>
      <c r="H76">
        <f t="shared" si="10"/>
        <v>3</v>
      </c>
    </row>
    <row r="77" spans="1:8" x14ac:dyDescent="0.35">
      <c r="A77" s="9">
        <v>13</v>
      </c>
      <c r="B77" s="10">
        <v>7</v>
      </c>
      <c r="C77" s="11" t="s">
        <v>75</v>
      </c>
      <c r="D77">
        <f t="shared" si="6"/>
        <v>581</v>
      </c>
      <c r="E77">
        <f t="shared" si="7"/>
        <v>588</v>
      </c>
      <c r="F77">
        <f t="shared" si="8"/>
        <v>1</v>
      </c>
      <c r="G77">
        <f t="shared" si="9"/>
        <v>1</v>
      </c>
      <c r="H77">
        <f t="shared" si="10"/>
        <v>0</v>
      </c>
    </row>
    <row r="78" spans="1:8" x14ac:dyDescent="0.35">
      <c r="A78" s="6">
        <v>3</v>
      </c>
      <c r="B78" s="7">
        <v>12</v>
      </c>
      <c r="C78" s="8" t="s">
        <v>76</v>
      </c>
      <c r="D78">
        <f t="shared" si="6"/>
        <v>584</v>
      </c>
      <c r="E78">
        <f t="shared" si="7"/>
        <v>600</v>
      </c>
      <c r="F78">
        <f t="shared" si="8"/>
        <v>1</v>
      </c>
      <c r="G78">
        <f t="shared" si="9"/>
        <v>2</v>
      </c>
      <c r="H78">
        <f t="shared" si="10"/>
        <v>0</v>
      </c>
    </row>
    <row r="79" spans="1:8" x14ac:dyDescent="0.35">
      <c r="A79" s="9">
        <v>9</v>
      </c>
      <c r="B79" s="10">
        <v>9</v>
      </c>
      <c r="C79" s="11" t="s">
        <v>77</v>
      </c>
      <c r="D79">
        <f t="shared" si="6"/>
        <v>593</v>
      </c>
      <c r="E79">
        <f t="shared" si="7"/>
        <v>600</v>
      </c>
      <c r="F79">
        <f t="shared" si="8"/>
        <v>0</v>
      </c>
      <c r="G79">
        <f t="shared" si="9"/>
        <v>0</v>
      </c>
      <c r="H79">
        <f t="shared" si="10"/>
        <v>1</v>
      </c>
    </row>
    <row r="80" spans="1:8" x14ac:dyDescent="0.35">
      <c r="A80" s="6">
        <v>13</v>
      </c>
      <c r="B80" s="7">
        <v>3</v>
      </c>
      <c r="C80" s="8" t="s">
        <v>78</v>
      </c>
      <c r="D80">
        <f t="shared" si="6"/>
        <v>606</v>
      </c>
      <c r="E80">
        <f t="shared" si="7"/>
        <v>609</v>
      </c>
      <c r="F80">
        <f t="shared" si="8"/>
        <v>1</v>
      </c>
      <c r="G80">
        <f t="shared" si="9"/>
        <v>1</v>
      </c>
      <c r="H80">
        <f t="shared" si="10"/>
        <v>0</v>
      </c>
    </row>
    <row r="81" spans="1:8" x14ac:dyDescent="0.35">
      <c r="A81" s="9">
        <v>7</v>
      </c>
      <c r="B81" s="10">
        <v>2</v>
      </c>
      <c r="C81" s="11" t="s">
        <v>79</v>
      </c>
      <c r="D81">
        <f t="shared" si="6"/>
        <v>613</v>
      </c>
      <c r="E81">
        <f t="shared" si="7"/>
        <v>615</v>
      </c>
      <c r="F81">
        <f t="shared" si="8"/>
        <v>1</v>
      </c>
      <c r="G81">
        <f t="shared" si="9"/>
        <v>2</v>
      </c>
      <c r="H81">
        <f t="shared" si="10"/>
        <v>0</v>
      </c>
    </row>
    <row r="82" spans="1:8" x14ac:dyDescent="0.35">
      <c r="A82" s="6">
        <v>13</v>
      </c>
      <c r="B82" s="7">
        <v>4</v>
      </c>
      <c r="C82" s="8" t="s">
        <v>80</v>
      </c>
      <c r="D82">
        <f t="shared" si="6"/>
        <v>626</v>
      </c>
      <c r="E82">
        <f t="shared" si="7"/>
        <v>630</v>
      </c>
      <c r="F82">
        <f t="shared" si="8"/>
        <v>1</v>
      </c>
      <c r="G82">
        <f t="shared" si="9"/>
        <v>3</v>
      </c>
      <c r="H82">
        <f t="shared" si="10"/>
        <v>0</v>
      </c>
    </row>
    <row r="83" spans="1:8" x14ac:dyDescent="0.35">
      <c r="A83" s="9">
        <v>4</v>
      </c>
      <c r="B83" s="10">
        <v>12</v>
      </c>
      <c r="C83" s="11" t="s">
        <v>81</v>
      </c>
      <c r="D83">
        <f t="shared" si="6"/>
        <v>630</v>
      </c>
      <c r="E83">
        <f t="shared" si="7"/>
        <v>642</v>
      </c>
      <c r="F83">
        <f t="shared" si="8"/>
        <v>1</v>
      </c>
      <c r="G83">
        <f t="shared" si="9"/>
        <v>4</v>
      </c>
      <c r="H83">
        <f t="shared" si="10"/>
        <v>0</v>
      </c>
    </row>
    <row r="84" spans="1:8" x14ac:dyDescent="0.35">
      <c r="A84" s="6">
        <v>7</v>
      </c>
      <c r="B84" s="7">
        <v>8</v>
      </c>
      <c r="C84" s="8" t="s">
        <v>82</v>
      </c>
      <c r="D84">
        <f t="shared" si="6"/>
        <v>637</v>
      </c>
      <c r="E84">
        <f t="shared" si="7"/>
        <v>650</v>
      </c>
      <c r="F84">
        <f t="shared" si="8"/>
        <v>1</v>
      </c>
      <c r="G84">
        <f t="shared" si="9"/>
        <v>5</v>
      </c>
      <c r="H84">
        <f t="shared" si="10"/>
        <v>0</v>
      </c>
    </row>
    <row r="85" spans="1:8" x14ac:dyDescent="0.35">
      <c r="A85" s="9">
        <v>3</v>
      </c>
      <c r="B85" s="10">
        <v>12</v>
      </c>
      <c r="C85" s="11" t="s">
        <v>83</v>
      </c>
      <c r="D85">
        <f t="shared" si="6"/>
        <v>640</v>
      </c>
      <c r="E85">
        <f t="shared" si="7"/>
        <v>650</v>
      </c>
      <c r="F85">
        <f t="shared" si="8"/>
        <v>0</v>
      </c>
      <c r="G85">
        <f t="shared" si="9"/>
        <v>0</v>
      </c>
      <c r="H85">
        <f t="shared" si="10"/>
        <v>1</v>
      </c>
    </row>
    <row r="86" spans="1:8" x14ac:dyDescent="0.35">
      <c r="A86" s="6">
        <v>4</v>
      </c>
      <c r="B86" s="7">
        <v>11</v>
      </c>
      <c r="C86" s="8" t="s">
        <v>84</v>
      </c>
      <c r="D86">
        <f t="shared" si="6"/>
        <v>644</v>
      </c>
      <c r="E86">
        <f t="shared" si="7"/>
        <v>650</v>
      </c>
      <c r="F86">
        <f t="shared" si="8"/>
        <v>0</v>
      </c>
      <c r="G86">
        <f t="shared" si="9"/>
        <v>0</v>
      </c>
      <c r="H86">
        <f t="shared" si="10"/>
        <v>2</v>
      </c>
    </row>
    <row r="87" spans="1:8" x14ac:dyDescent="0.35">
      <c r="A87" s="9">
        <v>7</v>
      </c>
      <c r="B87" s="10">
        <v>1</v>
      </c>
      <c r="C87" s="11" t="s">
        <v>85</v>
      </c>
      <c r="D87">
        <f t="shared" si="6"/>
        <v>651</v>
      </c>
      <c r="E87">
        <f t="shared" si="7"/>
        <v>652</v>
      </c>
      <c r="F87">
        <f t="shared" si="8"/>
        <v>1</v>
      </c>
      <c r="G87">
        <f t="shared" si="9"/>
        <v>1</v>
      </c>
      <c r="H87">
        <f t="shared" si="10"/>
        <v>0</v>
      </c>
    </row>
    <row r="88" spans="1:8" x14ac:dyDescent="0.35">
      <c r="A88" s="6">
        <v>3</v>
      </c>
      <c r="B88" s="7">
        <v>9</v>
      </c>
      <c r="C88" s="8" t="s">
        <v>86</v>
      </c>
      <c r="D88">
        <f t="shared" si="6"/>
        <v>654</v>
      </c>
      <c r="E88">
        <f t="shared" si="7"/>
        <v>663</v>
      </c>
      <c r="F88">
        <f t="shared" si="8"/>
        <v>1</v>
      </c>
      <c r="G88">
        <f t="shared" si="9"/>
        <v>2</v>
      </c>
      <c r="H88">
        <f t="shared" si="10"/>
        <v>0</v>
      </c>
    </row>
    <row r="89" spans="1:8" x14ac:dyDescent="0.35">
      <c r="A89" s="9">
        <v>1</v>
      </c>
      <c r="B89" s="10">
        <v>4</v>
      </c>
      <c r="C89" s="11" t="s">
        <v>87</v>
      </c>
      <c r="D89">
        <f t="shared" si="6"/>
        <v>655</v>
      </c>
      <c r="E89">
        <f t="shared" si="7"/>
        <v>663</v>
      </c>
      <c r="F89">
        <f t="shared" si="8"/>
        <v>0</v>
      </c>
      <c r="G89">
        <f t="shared" si="9"/>
        <v>0</v>
      </c>
      <c r="H89">
        <f t="shared" si="10"/>
        <v>1</v>
      </c>
    </row>
    <row r="90" spans="1:8" x14ac:dyDescent="0.35">
      <c r="A90" s="6">
        <v>14</v>
      </c>
      <c r="B90" s="7">
        <v>3</v>
      </c>
      <c r="C90" s="8" t="s">
        <v>88</v>
      </c>
      <c r="D90">
        <f t="shared" si="6"/>
        <v>669</v>
      </c>
      <c r="E90">
        <f t="shared" si="7"/>
        <v>672</v>
      </c>
      <c r="F90">
        <f t="shared" si="8"/>
        <v>1</v>
      </c>
      <c r="G90">
        <f t="shared" si="9"/>
        <v>1</v>
      </c>
      <c r="H90">
        <f t="shared" si="10"/>
        <v>0</v>
      </c>
    </row>
    <row r="91" spans="1:8" x14ac:dyDescent="0.35">
      <c r="A91" s="9">
        <v>5</v>
      </c>
      <c r="B91" s="10">
        <v>12</v>
      </c>
      <c r="C91" s="11" t="s">
        <v>89</v>
      </c>
      <c r="D91">
        <f t="shared" si="6"/>
        <v>674</v>
      </c>
      <c r="E91">
        <f t="shared" si="7"/>
        <v>686</v>
      </c>
      <c r="F91">
        <f t="shared" si="8"/>
        <v>1</v>
      </c>
      <c r="G91">
        <f t="shared" si="9"/>
        <v>2</v>
      </c>
      <c r="H91">
        <f t="shared" si="10"/>
        <v>0</v>
      </c>
    </row>
    <row r="92" spans="1:8" x14ac:dyDescent="0.35">
      <c r="A92" s="6">
        <v>4</v>
      </c>
      <c r="B92" s="7">
        <v>9</v>
      </c>
      <c r="C92" s="8" t="s">
        <v>90</v>
      </c>
      <c r="D92">
        <f t="shared" si="6"/>
        <v>678</v>
      </c>
      <c r="E92">
        <f t="shared" si="7"/>
        <v>686</v>
      </c>
      <c r="F92">
        <f t="shared" si="8"/>
        <v>0</v>
      </c>
      <c r="G92">
        <f t="shared" si="9"/>
        <v>0</v>
      </c>
      <c r="H92">
        <f t="shared" si="10"/>
        <v>1</v>
      </c>
    </row>
    <row r="93" spans="1:8" x14ac:dyDescent="0.35">
      <c r="A93" s="9">
        <v>5</v>
      </c>
      <c r="B93" s="10">
        <v>4</v>
      </c>
      <c r="C93" s="11" t="s">
        <v>91</v>
      </c>
      <c r="D93">
        <f t="shared" si="6"/>
        <v>683</v>
      </c>
      <c r="E93">
        <f t="shared" si="7"/>
        <v>690</v>
      </c>
      <c r="F93">
        <f t="shared" si="8"/>
        <v>1</v>
      </c>
      <c r="G93">
        <f t="shared" si="9"/>
        <v>1</v>
      </c>
      <c r="H93">
        <f t="shared" si="10"/>
        <v>0</v>
      </c>
    </row>
    <row r="94" spans="1:8" x14ac:dyDescent="0.35">
      <c r="A94" s="6">
        <v>6</v>
      </c>
      <c r="B94" s="7">
        <v>8</v>
      </c>
      <c r="C94" s="8" t="s">
        <v>92</v>
      </c>
      <c r="D94">
        <f t="shared" si="6"/>
        <v>689</v>
      </c>
      <c r="E94">
        <f t="shared" si="7"/>
        <v>698</v>
      </c>
      <c r="F94">
        <f t="shared" si="8"/>
        <v>1</v>
      </c>
      <c r="G94">
        <f t="shared" si="9"/>
        <v>2</v>
      </c>
      <c r="H94">
        <f t="shared" si="10"/>
        <v>0</v>
      </c>
    </row>
    <row r="95" spans="1:8" x14ac:dyDescent="0.35">
      <c r="A95" s="9">
        <v>8</v>
      </c>
      <c r="B95" s="10">
        <v>14</v>
      </c>
      <c r="C95" s="11" t="s">
        <v>93</v>
      </c>
      <c r="D95">
        <f t="shared" si="6"/>
        <v>697</v>
      </c>
      <c r="E95">
        <f t="shared" si="7"/>
        <v>712</v>
      </c>
      <c r="F95">
        <f t="shared" si="8"/>
        <v>1</v>
      </c>
      <c r="G95">
        <f t="shared" si="9"/>
        <v>3</v>
      </c>
      <c r="H95">
        <f t="shared" si="10"/>
        <v>0</v>
      </c>
    </row>
    <row r="96" spans="1:8" x14ac:dyDescent="0.35">
      <c r="A96" s="6">
        <v>15</v>
      </c>
      <c r="B96" s="7">
        <v>11</v>
      </c>
      <c r="C96" s="8" t="s">
        <v>94</v>
      </c>
      <c r="D96">
        <f t="shared" si="6"/>
        <v>712</v>
      </c>
      <c r="E96">
        <f t="shared" si="7"/>
        <v>723</v>
      </c>
      <c r="F96">
        <f t="shared" si="8"/>
        <v>1</v>
      </c>
      <c r="G96">
        <f t="shared" si="9"/>
        <v>4</v>
      </c>
      <c r="H96">
        <f t="shared" si="10"/>
        <v>0</v>
      </c>
    </row>
    <row r="97" spans="1:8" x14ac:dyDescent="0.35">
      <c r="A97" s="9">
        <v>1</v>
      </c>
      <c r="B97" s="10">
        <v>1</v>
      </c>
      <c r="C97" s="11" t="s">
        <v>95</v>
      </c>
      <c r="D97">
        <f t="shared" si="6"/>
        <v>713</v>
      </c>
      <c r="E97">
        <f t="shared" si="7"/>
        <v>723</v>
      </c>
      <c r="F97">
        <f t="shared" si="8"/>
        <v>0</v>
      </c>
      <c r="G97">
        <f t="shared" si="9"/>
        <v>0</v>
      </c>
      <c r="H97">
        <f t="shared" si="10"/>
        <v>1</v>
      </c>
    </row>
    <row r="98" spans="1:8" x14ac:dyDescent="0.35">
      <c r="A98" s="6">
        <v>14</v>
      </c>
      <c r="B98" s="7">
        <v>15</v>
      </c>
      <c r="C98" s="8" t="s">
        <v>96</v>
      </c>
      <c r="D98">
        <f t="shared" si="6"/>
        <v>727</v>
      </c>
      <c r="E98">
        <f t="shared" si="7"/>
        <v>742</v>
      </c>
      <c r="F98">
        <f t="shared" si="8"/>
        <v>1</v>
      </c>
      <c r="G98">
        <f t="shared" si="9"/>
        <v>1</v>
      </c>
      <c r="H98">
        <f t="shared" si="10"/>
        <v>0</v>
      </c>
    </row>
    <row r="99" spans="1:8" x14ac:dyDescent="0.35">
      <c r="A99" s="9">
        <v>6</v>
      </c>
      <c r="B99" s="10">
        <v>7</v>
      </c>
      <c r="C99" s="11" t="s">
        <v>97</v>
      </c>
      <c r="D99">
        <f t="shared" si="6"/>
        <v>733</v>
      </c>
      <c r="E99">
        <f t="shared" si="7"/>
        <v>742</v>
      </c>
      <c r="F99">
        <f t="shared" si="8"/>
        <v>0</v>
      </c>
      <c r="G99">
        <f t="shared" si="9"/>
        <v>0</v>
      </c>
      <c r="H99">
        <f t="shared" si="10"/>
        <v>1</v>
      </c>
    </row>
    <row r="100" spans="1:8" x14ac:dyDescent="0.35">
      <c r="A100" s="6">
        <v>7</v>
      </c>
      <c r="B100" s="7">
        <v>11</v>
      </c>
      <c r="C100" s="8" t="s">
        <v>98</v>
      </c>
      <c r="D100">
        <f t="shared" si="6"/>
        <v>740</v>
      </c>
      <c r="E100">
        <f t="shared" si="7"/>
        <v>753</v>
      </c>
      <c r="F100">
        <f t="shared" si="8"/>
        <v>1</v>
      </c>
      <c r="G100">
        <f t="shared" si="9"/>
        <v>1</v>
      </c>
      <c r="H100">
        <f t="shared" si="10"/>
        <v>0</v>
      </c>
    </row>
    <row r="101" spans="1:8" x14ac:dyDescent="0.35">
      <c r="A101" s="9">
        <v>10</v>
      </c>
      <c r="B101" s="10">
        <v>11</v>
      </c>
      <c r="C101" s="11" t="s">
        <v>99</v>
      </c>
      <c r="D101">
        <f t="shared" si="6"/>
        <v>750</v>
      </c>
      <c r="E101">
        <f t="shared" si="7"/>
        <v>764</v>
      </c>
      <c r="F101">
        <f t="shared" si="8"/>
        <v>1</v>
      </c>
      <c r="G101">
        <f t="shared" si="9"/>
        <v>2</v>
      </c>
      <c r="H101">
        <f t="shared" si="10"/>
        <v>0</v>
      </c>
    </row>
    <row r="102" spans="1:8" x14ac:dyDescent="0.35">
      <c r="A102" s="6">
        <v>5</v>
      </c>
      <c r="B102" s="7">
        <v>6</v>
      </c>
      <c r="C102" s="8" t="s">
        <v>100</v>
      </c>
      <c r="D102">
        <f t="shared" si="6"/>
        <v>755</v>
      </c>
      <c r="E102">
        <f t="shared" si="7"/>
        <v>764</v>
      </c>
      <c r="F102">
        <f t="shared" si="8"/>
        <v>0</v>
      </c>
      <c r="G102">
        <f t="shared" si="9"/>
        <v>0</v>
      </c>
      <c r="H102">
        <f t="shared" si="10"/>
        <v>1</v>
      </c>
    </row>
    <row r="103" spans="1:8" x14ac:dyDescent="0.35">
      <c r="A103" s="9">
        <v>13</v>
      </c>
      <c r="B103" s="10">
        <v>7</v>
      </c>
      <c r="C103" s="11" t="s">
        <v>101</v>
      </c>
      <c r="D103">
        <f t="shared" si="6"/>
        <v>768</v>
      </c>
      <c r="E103">
        <f t="shared" si="7"/>
        <v>775</v>
      </c>
      <c r="F103">
        <f t="shared" si="8"/>
        <v>1</v>
      </c>
      <c r="G103">
        <f t="shared" si="9"/>
        <v>1</v>
      </c>
      <c r="H103">
        <f t="shared" si="10"/>
        <v>0</v>
      </c>
    </row>
    <row r="104" spans="1:8" x14ac:dyDescent="0.35">
      <c r="A104" s="6">
        <v>2</v>
      </c>
      <c r="B104" s="7">
        <v>9</v>
      </c>
      <c r="C104" s="8" t="s">
        <v>102</v>
      </c>
      <c r="D104">
        <f t="shared" si="6"/>
        <v>770</v>
      </c>
      <c r="E104">
        <f t="shared" si="7"/>
        <v>784</v>
      </c>
      <c r="F104">
        <f t="shared" si="8"/>
        <v>1</v>
      </c>
      <c r="G104">
        <f t="shared" si="9"/>
        <v>2</v>
      </c>
      <c r="H104">
        <f t="shared" si="10"/>
        <v>0</v>
      </c>
    </row>
    <row r="105" spans="1:8" x14ac:dyDescent="0.35">
      <c r="A105" s="9">
        <v>9</v>
      </c>
      <c r="B105" s="10">
        <v>11</v>
      </c>
      <c r="C105" s="11" t="s">
        <v>103</v>
      </c>
      <c r="D105">
        <f t="shared" si="6"/>
        <v>779</v>
      </c>
      <c r="E105">
        <f t="shared" si="7"/>
        <v>795</v>
      </c>
      <c r="F105">
        <f t="shared" si="8"/>
        <v>1</v>
      </c>
      <c r="G105">
        <f t="shared" si="9"/>
        <v>3</v>
      </c>
      <c r="H105">
        <f t="shared" si="10"/>
        <v>0</v>
      </c>
    </row>
    <row r="106" spans="1:8" x14ac:dyDescent="0.35">
      <c r="A106" s="6">
        <v>8</v>
      </c>
      <c r="B106" s="7">
        <v>3</v>
      </c>
      <c r="C106" s="8" t="s">
        <v>104</v>
      </c>
      <c r="D106">
        <f t="shared" si="6"/>
        <v>787</v>
      </c>
      <c r="E106">
        <f t="shared" si="7"/>
        <v>795</v>
      </c>
      <c r="F106">
        <f t="shared" si="8"/>
        <v>0</v>
      </c>
      <c r="G106">
        <f t="shared" si="9"/>
        <v>0</v>
      </c>
      <c r="H106">
        <f t="shared" si="10"/>
        <v>1</v>
      </c>
    </row>
    <row r="107" spans="1:8" x14ac:dyDescent="0.35">
      <c r="A107" s="9">
        <v>1</v>
      </c>
      <c r="B107" s="10">
        <v>6</v>
      </c>
      <c r="C107" s="11" t="s">
        <v>105</v>
      </c>
      <c r="D107">
        <f t="shared" si="6"/>
        <v>788</v>
      </c>
      <c r="E107">
        <f t="shared" si="7"/>
        <v>795</v>
      </c>
      <c r="F107">
        <f t="shared" si="8"/>
        <v>0</v>
      </c>
      <c r="G107">
        <f t="shared" si="9"/>
        <v>0</v>
      </c>
      <c r="H107">
        <f t="shared" si="10"/>
        <v>2</v>
      </c>
    </row>
    <row r="108" spans="1:8" x14ac:dyDescent="0.35">
      <c r="A108" s="6">
        <v>10</v>
      </c>
      <c r="B108" s="7">
        <v>9</v>
      </c>
      <c r="C108" s="8" t="s">
        <v>106</v>
      </c>
      <c r="D108">
        <f t="shared" si="6"/>
        <v>798</v>
      </c>
      <c r="E108">
        <f t="shared" si="7"/>
        <v>807</v>
      </c>
      <c r="F108">
        <f t="shared" si="8"/>
        <v>1</v>
      </c>
      <c r="G108">
        <f t="shared" si="9"/>
        <v>1</v>
      </c>
      <c r="H108">
        <f t="shared" si="10"/>
        <v>0</v>
      </c>
    </row>
    <row r="109" spans="1:8" x14ac:dyDescent="0.35">
      <c r="A109" s="9">
        <v>2</v>
      </c>
      <c r="B109" s="10">
        <v>11</v>
      </c>
      <c r="C109" s="11" t="s">
        <v>107</v>
      </c>
      <c r="D109">
        <f t="shared" si="6"/>
        <v>800</v>
      </c>
      <c r="E109">
        <f t="shared" si="7"/>
        <v>807</v>
      </c>
      <c r="F109">
        <f t="shared" si="8"/>
        <v>0</v>
      </c>
      <c r="G109">
        <f t="shared" si="9"/>
        <v>0</v>
      </c>
      <c r="H109">
        <f t="shared" si="10"/>
        <v>1</v>
      </c>
    </row>
    <row r="110" spans="1:8" x14ac:dyDescent="0.35">
      <c r="A110" s="6">
        <v>6</v>
      </c>
      <c r="B110" s="7">
        <v>12</v>
      </c>
      <c r="C110" s="8" t="s">
        <v>108</v>
      </c>
      <c r="D110">
        <f t="shared" si="6"/>
        <v>806</v>
      </c>
      <c r="E110">
        <f t="shared" si="7"/>
        <v>819</v>
      </c>
      <c r="F110">
        <f t="shared" si="8"/>
        <v>1</v>
      </c>
      <c r="G110">
        <f t="shared" si="9"/>
        <v>1</v>
      </c>
      <c r="H110">
        <f t="shared" si="10"/>
        <v>0</v>
      </c>
    </row>
    <row r="111" spans="1:8" x14ac:dyDescent="0.35">
      <c r="A111" s="9">
        <v>2</v>
      </c>
      <c r="B111" s="10">
        <v>14</v>
      </c>
      <c r="C111" s="11" t="s">
        <v>109</v>
      </c>
      <c r="D111">
        <f t="shared" si="6"/>
        <v>808</v>
      </c>
      <c r="E111">
        <f t="shared" si="7"/>
        <v>819</v>
      </c>
      <c r="F111">
        <f t="shared" si="8"/>
        <v>0</v>
      </c>
      <c r="G111">
        <f t="shared" si="9"/>
        <v>0</v>
      </c>
      <c r="H111">
        <f t="shared" si="10"/>
        <v>1</v>
      </c>
    </row>
    <row r="112" spans="1:8" x14ac:dyDescent="0.35">
      <c r="A112" s="6">
        <v>4</v>
      </c>
      <c r="B112" s="7">
        <v>2</v>
      </c>
      <c r="C112" s="8" t="s">
        <v>110</v>
      </c>
      <c r="D112">
        <f t="shared" si="6"/>
        <v>812</v>
      </c>
      <c r="E112">
        <f t="shared" si="7"/>
        <v>819</v>
      </c>
      <c r="F112">
        <f t="shared" si="8"/>
        <v>0</v>
      </c>
      <c r="G112">
        <f t="shared" si="9"/>
        <v>0</v>
      </c>
      <c r="H112">
        <f t="shared" si="10"/>
        <v>2</v>
      </c>
    </row>
    <row r="113" spans="1:8" x14ac:dyDescent="0.35">
      <c r="A113" s="9">
        <v>9</v>
      </c>
      <c r="B113" s="10">
        <v>8</v>
      </c>
      <c r="C113" s="11" t="s">
        <v>111</v>
      </c>
      <c r="D113">
        <f t="shared" si="6"/>
        <v>821</v>
      </c>
      <c r="E113">
        <f t="shared" si="7"/>
        <v>829</v>
      </c>
      <c r="F113">
        <f t="shared" si="8"/>
        <v>1</v>
      </c>
      <c r="G113">
        <f t="shared" si="9"/>
        <v>1</v>
      </c>
      <c r="H113">
        <f t="shared" si="10"/>
        <v>0</v>
      </c>
    </row>
    <row r="114" spans="1:8" x14ac:dyDescent="0.35">
      <c r="A114" s="6">
        <v>2</v>
      </c>
      <c r="B114" s="7">
        <v>4</v>
      </c>
      <c r="C114" s="8" t="s">
        <v>112</v>
      </c>
      <c r="D114">
        <f t="shared" si="6"/>
        <v>823</v>
      </c>
      <c r="E114">
        <f t="shared" si="7"/>
        <v>829</v>
      </c>
      <c r="F114">
        <f t="shared" si="8"/>
        <v>0</v>
      </c>
      <c r="G114">
        <f t="shared" si="9"/>
        <v>0</v>
      </c>
      <c r="H114">
        <f t="shared" si="10"/>
        <v>1</v>
      </c>
    </row>
    <row r="115" spans="1:8" x14ac:dyDescent="0.35">
      <c r="A115" s="9">
        <v>11</v>
      </c>
      <c r="B115" s="10">
        <v>11</v>
      </c>
      <c r="C115" s="11" t="s">
        <v>113</v>
      </c>
      <c r="D115">
        <f t="shared" si="6"/>
        <v>834</v>
      </c>
      <c r="E115">
        <f t="shared" si="7"/>
        <v>845</v>
      </c>
      <c r="F115">
        <f t="shared" si="8"/>
        <v>1</v>
      </c>
      <c r="G115">
        <f t="shared" si="9"/>
        <v>1</v>
      </c>
      <c r="H115">
        <f t="shared" si="10"/>
        <v>0</v>
      </c>
    </row>
    <row r="116" spans="1:8" x14ac:dyDescent="0.35">
      <c r="A116" s="6">
        <v>8</v>
      </c>
      <c r="B116" s="7">
        <v>1</v>
      </c>
      <c r="C116" s="8" t="s">
        <v>114</v>
      </c>
      <c r="D116">
        <f t="shared" si="6"/>
        <v>842</v>
      </c>
      <c r="E116">
        <f t="shared" si="7"/>
        <v>846</v>
      </c>
      <c r="F116">
        <f t="shared" si="8"/>
        <v>1</v>
      </c>
      <c r="G116">
        <f t="shared" si="9"/>
        <v>2</v>
      </c>
      <c r="H116">
        <f t="shared" si="10"/>
        <v>0</v>
      </c>
    </row>
    <row r="117" spans="1:8" x14ac:dyDescent="0.35">
      <c r="A117" s="9">
        <v>13</v>
      </c>
      <c r="B117" s="10">
        <v>9</v>
      </c>
      <c r="C117" s="11" t="s">
        <v>115</v>
      </c>
      <c r="D117">
        <f t="shared" si="6"/>
        <v>855</v>
      </c>
      <c r="E117">
        <f t="shared" si="7"/>
        <v>864</v>
      </c>
      <c r="F117">
        <f t="shared" si="8"/>
        <v>1</v>
      </c>
      <c r="G117">
        <f t="shared" si="9"/>
        <v>3</v>
      </c>
      <c r="H117">
        <f t="shared" si="10"/>
        <v>0</v>
      </c>
    </row>
    <row r="118" spans="1:8" x14ac:dyDescent="0.35">
      <c r="A118" s="6">
        <v>7</v>
      </c>
      <c r="B118" s="7">
        <v>13</v>
      </c>
      <c r="C118" s="8" t="s">
        <v>116</v>
      </c>
      <c r="D118">
        <f t="shared" si="6"/>
        <v>862</v>
      </c>
      <c r="E118">
        <f t="shared" si="7"/>
        <v>877</v>
      </c>
      <c r="F118">
        <f t="shared" si="8"/>
        <v>1</v>
      </c>
      <c r="G118">
        <f t="shared" si="9"/>
        <v>4</v>
      </c>
      <c r="H118">
        <f t="shared" si="10"/>
        <v>0</v>
      </c>
    </row>
    <row r="119" spans="1:8" x14ac:dyDescent="0.35">
      <c r="A119" s="9">
        <v>7</v>
      </c>
      <c r="B119" s="10">
        <v>11</v>
      </c>
      <c r="C119" s="11" t="s">
        <v>117</v>
      </c>
      <c r="D119">
        <f t="shared" si="6"/>
        <v>869</v>
      </c>
      <c r="E119">
        <f t="shared" si="7"/>
        <v>877</v>
      </c>
      <c r="F119">
        <f t="shared" si="8"/>
        <v>0</v>
      </c>
      <c r="G119">
        <f t="shared" si="9"/>
        <v>0</v>
      </c>
      <c r="H119">
        <f t="shared" si="10"/>
        <v>1</v>
      </c>
    </row>
    <row r="120" spans="1:8" x14ac:dyDescent="0.35">
      <c r="A120" s="6">
        <v>9</v>
      </c>
      <c r="B120" s="7">
        <v>11</v>
      </c>
      <c r="C120" s="8" t="s">
        <v>118</v>
      </c>
      <c r="D120">
        <f t="shared" si="6"/>
        <v>878</v>
      </c>
      <c r="E120">
        <f t="shared" si="7"/>
        <v>889</v>
      </c>
      <c r="F120">
        <f t="shared" si="8"/>
        <v>1</v>
      </c>
      <c r="G120">
        <f t="shared" si="9"/>
        <v>1</v>
      </c>
      <c r="H120">
        <f t="shared" si="10"/>
        <v>0</v>
      </c>
    </row>
    <row r="121" spans="1:8" x14ac:dyDescent="0.35">
      <c r="A121" s="9">
        <v>6</v>
      </c>
      <c r="B121" s="10">
        <v>1</v>
      </c>
      <c r="C121" s="11" t="s">
        <v>119</v>
      </c>
      <c r="D121">
        <f t="shared" si="6"/>
        <v>884</v>
      </c>
      <c r="E121">
        <f t="shared" si="7"/>
        <v>890</v>
      </c>
      <c r="F121">
        <f t="shared" si="8"/>
        <v>1</v>
      </c>
      <c r="G121">
        <f t="shared" si="9"/>
        <v>2</v>
      </c>
      <c r="H121">
        <f t="shared" si="10"/>
        <v>0</v>
      </c>
    </row>
    <row r="122" spans="1:8" x14ac:dyDescent="0.35">
      <c r="A122" s="6">
        <v>14</v>
      </c>
      <c r="B122" s="7">
        <v>6</v>
      </c>
      <c r="C122" s="8" t="s">
        <v>120</v>
      </c>
      <c r="D122">
        <f t="shared" si="6"/>
        <v>898</v>
      </c>
      <c r="E122">
        <f t="shared" si="7"/>
        <v>904</v>
      </c>
      <c r="F122">
        <f t="shared" si="8"/>
        <v>1</v>
      </c>
      <c r="G122">
        <f t="shared" si="9"/>
        <v>3</v>
      </c>
      <c r="H122">
        <f t="shared" si="10"/>
        <v>0</v>
      </c>
    </row>
    <row r="123" spans="1:8" x14ac:dyDescent="0.35">
      <c r="A123" s="9">
        <v>14</v>
      </c>
      <c r="B123" s="10">
        <v>10</v>
      </c>
      <c r="C123" s="11" t="s">
        <v>121</v>
      </c>
      <c r="D123">
        <f t="shared" si="6"/>
        <v>912</v>
      </c>
      <c r="E123">
        <f t="shared" si="7"/>
        <v>922</v>
      </c>
      <c r="F123">
        <f t="shared" si="8"/>
        <v>1</v>
      </c>
      <c r="G123">
        <f t="shared" si="9"/>
        <v>4</v>
      </c>
      <c r="H123">
        <f t="shared" si="10"/>
        <v>0</v>
      </c>
    </row>
    <row r="124" spans="1:8" x14ac:dyDescent="0.35">
      <c r="A124" s="6">
        <v>7</v>
      </c>
      <c r="B124" s="7">
        <v>7</v>
      </c>
      <c r="C124" s="8" t="s">
        <v>122</v>
      </c>
      <c r="D124">
        <f t="shared" si="6"/>
        <v>919</v>
      </c>
      <c r="E124">
        <f t="shared" si="7"/>
        <v>929</v>
      </c>
      <c r="F124">
        <f t="shared" si="8"/>
        <v>1</v>
      </c>
      <c r="G124">
        <f t="shared" si="9"/>
        <v>5</v>
      </c>
      <c r="H124">
        <f t="shared" si="10"/>
        <v>0</v>
      </c>
    </row>
    <row r="125" spans="1:8" x14ac:dyDescent="0.35">
      <c r="A125" s="9">
        <v>11</v>
      </c>
      <c r="B125" s="10">
        <v>1</v>
      </c>
      <c r="C125" s="11" t="s">
        <v>123</v>
      </c>
      <c r="D125">
        <f t="shared" si="6"/>
        <v>930</v>
      </c>
      <c r="E125">
        <f t="shared" si="7"/>
        <v>931</v>
      </c>
      <c r="F125">
        <f t="shared" si="8"/>
        <v>1</v>
      </c>
      <c r="G125">
        <f t="shared" si="9"/>
        <v>6</v>
      </c>
      <c r="H125">
        <f t="shared" si="10"/>
        <v>0</v>
      </c>
    </row>
    <row r="126" spans="1:8" x14ac:dyDescent="0.35">
      <c r="A126" s="6">
        <v>11</v>
      </c>
      <c r="B126" s="7">
        <v>3</v>
      </c>
      <c r="C126" s="8" t="s">
        <v>124</v>
      </c>
      <c r="D126">
        <f t="shared" si="6"/>
        <v>941</v>
      </c>
      <c r="E126">
        <f t="shared" si="7"/>
        <v>944</v>
      </c>
      <c r="F126">
        <f t="shared" si="8"/>
        <v>1</v>
      </c>
      <c r="G126">
        <f t="shared" si="9"/>
        <v>7</v>
      </c>
      <c r="H126">
        <f t="shared" si="10"/>
        <v>0</v>
      </c>
    </row>
    <row r="127" spans="1:8" x14ac:dyDescent="0.35">
      <c r="A127" s="9">
        <v>11</v>
      </c>
      <c r="B127" s="10">
        <v>2</v>
      </c>
      <c r="C127" s="11" t="s">
        <v>125</v>
      </c>
      <c r="D127">
        <f t="shared" si="6"/>
        <v>952</v>
      </c>
      <c r="E127">
        <f t="shared" si="7"/>
        <v>954</v>
      </c>
      <c r="F127">
        <f t="shared" si="8"/>
        <v>1</v>
      </c>
      <c r="G127">
        <f t="shared" si="9"/>
        <v>8</v>
      </c>
      <c r="H127">
        <f t="shared" si="10"/>
        <v>0</v>
      </c>
    </row>
    <row r="128" spans="1:8" x14ac:dyDescent="0.35">
      <c r="A128" s="6">
        <v>12</v>
      </c>
      <c r="B128" s="7">
        <v>2</v>
      </c>
      <c r="C128" s="8" t="s">
        <v>126</v>
      </c>
      <c r="D128">
        <f t="shared" si="6"/>
        <v>964</v>
      </c>
      <c r="E128">
        <f t="shared" si="7"/>
        <v>966</v>
      </c>
      <c r="F128">
        <f t="shared" si="8"/>
        <v>1</v>
      </c>
      <c r="G128">
        <f t="shared" si="9"/>
        <v>9</v>
      </c>
      <c r="H128">
        <f t="shared" si="10"/>
        <v>0</v>
      </c>
    </row>
    <row r="129" spans="1:8" x14ac:dyDescent="0.35">
      <c r="A129" s="9">
        <v>3</v>
      </c>
      <c r="B129" s="10">
        <v>14</v>
      </c>
      <c r="C129" s="11" t="s">
        <v>127</v>
      </c>
      <c r="D129">
        <f t="shared" si="6"/>
        <v>967</v>
      </c>
      <c r="E129">
        <f t="shared" si="7"/>
        <v>981</v>
      </c>
      <c r="F129">
        <f t="shared" si="8"/>
        <v>1</v>
      </c>
      <c r="G129">
        <f t="shared" si="9"/>
        <v>10</v>
      </c>
      <c r="H129">
        <f t="shared" si="10"/>
        <v>0</v>
      </c>
    </row>
    <row r="130" spans="1:8" x14ac:dyDescent="0.35">
      <c r="A130" s="6">
        <v>3</v>
      </c>
      <c r="B130" s="7">
        <v>6</v>
      </c>
      <c r="C130" s="8" t="s">
        <v>128</v>
      </c>
      <c r="D130">
        <f t="shared" si="6"/>
        <v>970</v>
      </c>
      <c r="E130">
        <f t="shared" si="7"/>
        <v>981</v>
      </c>
      <c r="F130">
        <f t="shared" si="8"/>
        <v>0</v>
      </c>
      <c r="G130">
        <f t="shared" si="9"/>
        <v>0</v>
      </c>
      <c r="H130">
        <f t="shared" si="10"/>
        <v>1</v>
      </c>
    </row>
    <row r="131" spans="1:8" x14ac:dyDescent="0.35">
      <c r="A131" s="9">
        <v>12</v>
      </c>
      <c r="B131" s="10">
        <v>2</v>
      </c>
      <c r="C131" s="11" t="s">
        <v>129</v>
      </c>
      <c r="D131">
        <f t="shared" si="6"/>
        <v>982</v>
      </c>
      <c r="E131">
        <f t="shared" si="7"/>
        <v>984</v>
      </c>
      <c r="F131">
        <f t="shared" si="8"/>
        <v>1</v>
      </c>
      <c r="G131">
        <f t="shared" si="9"/>
        <v>1</v>
      </c>
      <c r="H131">
        <f t="shared" si="10"/>
        <v>0</v>
      </c>
    </row>
    <row r="132" spans="1:8" x14ac:dyDescent="0.35">
      <c r="A132" s="6">
        <v>7</v>
      </c>
      <c r="B132" s="7">
        <v>8</v>
      </c>
      <c r="C132" s="8" t="s">
        <v>130</v>
      </c>
      <c r="D132">
        <f t="shared" ref="D132:D145" si="11">D131+A132</f>
        <v>989</v>
      </c>
      <c r="E132">
        <f t="shared" si="7"/>
        <v>997</v>
      </c>
      <c r="F132">
        <f t="shared" si="8"/>
        <v>1</v>
      </c>
      <c r="G132">
        <f t="shared" si="9"/>
        <v>2</v>
      </c>
      <c r="H132">
        <f t="shared" si="10"/>
        <v>0</v>
      </c>
    </row>
    <row r="133" spans="1:8" x14ac:dyDescent="0.35">
      <c r="A133" s="9">
        <v>10</v>
      </c>
      <c r="B133" s="10">
        <v>12</v>
      </c>
      <c r="C133" s="11" t="s">
        <v>131</v>
      </c>
      <c r="D133">
        <f t="shared" si="11"/>
        <v>999</v>
      </c>
      <c r="E133">
        <f t="shared" ref="E133:E145" si="12">IF(E132-D133&gt;5,E132,IF(D133&gt;E132,D133+B133,E132+B133))</f>
        <v>1011</v>
      </c>
      <c r="F133">
        <f t="shared" ref="F133:F145" si="13">IF(E133=E132,0,1)</f>
        <v>1</v>
      </c>
      <c r="G133">
        <f t="shared" ref="G133:G145" si="14">IF(F133=0,0,G132+1)</f>
        <v>3</v>
      </c>
      <c r="H133">
        <f t="shared" si="10"/>
        <v>0</v>
      </c>
    </row>
    <row r="134" spans="1:8" x14ac:dyDescent="0.35">
      <c r="A134" s="6">
        <v>2</v>
      </c>
      <c r="B134" s="7">
        <v>14</v>
      </c>
      <c r="C134" s="8" t="s">
        <v>132</v>
      </c>
      <c r="D134">
        <f t="shared" si="11"/>
        <v>1001</v>
      </c>
      <c r="E134">
        <f t="shared" si="12"/>
        <v>1011</v>
      </c>
      <c r="F134">
        <f t="shared" si="13"/>
        <v>0</v>
      </c>
      <c r="G134">
        <f t="shared" si="14"/>
        <v>0</v>
      </c>
      <c r="H134">
        <f t="shared" ref="H134:H145" si="15">IF(G134=0,H133+1,0)</f>
        <v>1</v>
      </c>
    </row>
    <row r="135" spans="1:8" x14ac:dyDescent="0.35">
      <c r="A135" s="9">
        <v>14</v>
      </c>
      <c r="B135" s="10">
        <v>11</v>
      </c>
      <c r="C135" s="11" t="s">
        <v>133</v>
      </c>
      <c r="D135">
        <f t="shared" si="11"/>
        <v>1015</v>
      </c>
      <c r="E135">
        <f t="shared" si="12"/>
        <v>1026</v>
      </c>
      <c r="F135">
        <f t="shared" si="13"/>
        <v>1</v>
      </c>
      <c r="G135">
        <f t="shared" si="14"/>
        <v>1</v>
      </c>
      <c r="H135">
        <f t="shared" si="15"/>
        <v>0</v>
      </c>
    </row>
    <row r="136" spans="1:8" x14ac:dyDescent="0.35">
      <c r="A136" s="6">
        <v>9</v>
      </c>
      <c r="B136" s="7">
        <v>10</v>
      </c>
      <c r="C136" s="8" t="s">
        <v>134</v>
      </c>
      <c r="D136">
        <f t="shared" si="11"/>
        <v>1024</v>
      </c>
      <c r="E136">
        <f t="shared" si="12"/>
        <v>1036</v>
      </c>
      <c r="F136">
        <f t="shared" si="13"/>
        <v>1</v>
      </c>
      <c r="G136">
        <f t="shared" si="14"/>
        <v>2</v>
      </c>
      <c r="H136">
        <f t="shared" si="15"/>
        <v>0</v>
      </c>
    </row>
    <row r="137" spans="1:8" x14ac:dyDescent="0.35">
      <c r="A137" s="9">
        <v>2</v>
      </c>
      <c r="B137" s="10">
        <v>14</v>
      </c>
      <c r="C137" s="11" t="s">
        <v>135</v>
      </c>
      <c r="D137">
        <f t="shared" si="11"/>
        <v>1026</v>
      </c>
      <c r="E137">
        <f t="shared" si="12"/>
        <v>1036</v>
      </c>
      <c r="F137">
        <f t="shared" si="13"/>
        <v>0</v>
      </c>
      <c r="G137">
        <f t="shared" si="14"/>
        <v>0</v>
      </c>
      <c r="H137">
        <f t="shared" si="15"/>
        <v>1</v>
      </c>
    </row>
    <row r="138" spans="1:8" x14ac:dyDescent="0.35">
      <c r="A138" s="6">
        <v>11</v>
      </c>
      <c r="B138" s="7">
        <v>3</v>
      </c>
      <c r="C138" s="8" t="s">
        <v>136</v>
      </c>
      <c r="D138">
        <f t="shared" si="11"/>
        <v>1037</v>
      </c>
      <c r="E138">
        <f t="shared" si="12"/>
        <v>1040</v>
      </c>
      <c r="F138">
        <f t="shared" si="13"/>
        <v>1</v>
      </c>
      <c r="G138">
        <f t="shared" si="14"/>
        <v>1</v>
      </c>
      <c r="H138">
        <f t="shared" si="15"/>
        <v>0</v>
      </c>
    </row>
    <row r="139" spans="1:8" x14ac:dyDescent="0.35">
      <c r="A139" s="9">
        <v>2</v>
      </c>
      <c r="B139" s="10">
        <v>1</v>
      </c>
      <c r="C139" s="11" t="s">
        <v>137</v>
      </c>
      <c r="D139">
        <f t="shared" si="11"/>
        <v>1039</v>
      </c>
      <c r="E139">
        <f t="shared" si="12"/>
        <v>1041</v>
      </c>
      <c r="F139">
        <f t="shared" si="13"/>
        <v>1</v>
      </c>
      <c r="G139">
        <f t="shared" si="14"/>
        <v>2</v>
      </c>
      <c r="H139">
        <f t="shared" si="15"/>
        <v>0</v>
      </c>
    </row>
    <row r="140" spans="1:8" x14ac:dyDescent="0.35">
      <c r="A140" s="6">
        <v>14</v>
      </c>
      <c r="B140" s="7">
        <v>3</v>
      </c>
      <c r="C140" s="8" t="s">
        <v>138</v>
      </c>
      <c r="D140">
        <f t="shared" si="11"/>
        <v>1053</v>
      </c>
      <c r="E140">
        <f t="shared" si="12"/>
        <v>1056</v>
      </c>
      <c r="F140">
        <f t="shared" si="13"/>
        <v>1</v>
      </c>
      <c r="G140">
        <f t="shared" si="14"/>
        <v>3</v>
      </c>
      <c r="H140">
        <f t="shared" si="15"/>
        <v>0</v>
      </c>
    </row>
    <row r="141" spans="1:8" x14ac:dyDescent="0.35">
      <c r="A141" s="9">
        <v>6</v>
      </c>
      <c r="B141" s="10">
        <v>6</v>
      </c>
      <c r="C141" s="11" t="s">
        <v>139</v>
      </c>
      <c r="D141">
        <f t="shared" si="11"/>
        <v>1059</v>
      </c>
      <c r="E141">
        <f t="shared" si="12"/>
        <v>1065</v>
      </c>
      <c r="F141">
        <f t="shared" si="13"/>
        <v>1</v>
      </c>
      <c r="G141">
        <f t="shared" si="14"/>
        <v>4</v>
      </c>
      <c r="H141">
        <f t="shared" si="15"/>
        <v>0</v>
      </c>
    </row>
    <row r="142" spans="1:8" x14ac:dyDescent="0.35">
      <c r="A142" s="6">
        <v>5</v>
      </c>
      <c r="B142" s="7">
        <v>14</v>
      </c>
      <c r="C142" s="8" t="s">
        <v>140</v>
      </c>
      <c r="D142">
        <f t="shared" si="11"/>
        <v>1064</v>
      </c>
      <c r="E142">
        <f t="shared" si="12"/>
        <v>1079</v>
      </c>
      <c r="F142">
        <f t="shared" si="13"/>
        <v>1</v>
      </c>
      <c r="G142">
        <f t="shared" si="14"/>
        <v>5</v>
      </c>
      <c r="H142">
        <f t="shared" si="15"/>
        <v>0</v>
      </c>
    </row>
    <row r="143" spans="1:8" x14ac:dyDescent="0.35">
      <c r="A143" s="9">
        <v>2</v>
      </c>
      <c r="B143" s="10">
        <v>8</v>
      </c>
      <c r="C143" s="11" t="s">
        <v>141</v>
      </c>
      <c r="D143">
        <f t="shared" si="11"/>
        <v>1066</v>
      </c>
      <c r="E143">
        <f t="shared" si="12"/>
        <v>1079</v>
      </c>
      <c r="F143">
        <f t="shared" si="13"/>
        <v>0</v>
      </c>
      <c r="G143">
        <f t="shared" si="14"/>
        <v>0</v>
      </c>
      <c r="H143">
        <f t="shared" si="15"/>
        <v>1</v>
      </c>
    </row>
    <row r="144" spans="1:8" x14ac:dyDescent="0.35">
      <c r="A144" s="6">
        <v>10</v>
      </c>
      <c r="B144" s="7">
        <v>15</v>
      </c>
      <c r="C144" s="8" t="s">
        <v>142</v>
      </c>
      <c r="D144">
        <f t="shared" si="11"/>
        <v>1076</v>
      </c>
      <c r="E144">
        <f t="shared" si="12"/>
        <v>1094</v>
      </c>
      <c r="F144">
        <f t="shared" si="13"/>
        <v>1</v>
      </c>
      <c r="G144">
        <f t="shared" si="14"/>
        <v>1</v>
      </c>
      <c r="H144">
        <f t="shared" si="15"/>
        <v>0</v>
      </c>
    </row>
    <row r="145" spans="1:8" x14ac:dyDescent="0.35">
      <c r="A145" s="1">
        <v>3</v>
      </c>
      <c r="B145" s="2">
        <v>15</v>
      </c>
      <c r="C145" s="12" t="s">
        <v>143</v>
      </c>
      <c r="D145">
        <f t="shared" si="11"/>
        <v>1079</v>
      </c>
      <c r="E145">
        <f t="shared" si="12"/>
        <v>1094</v>
      </c>
      <c r="F145">
        <f t="shared" si="13"/>
        <v>0</v>
      </c>
      <c r="G145">
        <f t="shared" si="14"/>
        <v>0</v>
      </c>
      <c r="H145">
        <f t="shared" si="15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B7DB7D-4251-4515-98BA-4719221F00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myjnia</vt:lpstr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2024-10-11T16:09:56Z</dcterms:created>
  <dcterms:modified xsi:type="dcterms:W3CDTF">2024-11-08T16:59:46Z</dcterms:modified>
</cp:coreProperties>
</file>