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0\czerwiec\"/>
    </mc:Choice>
  </mc:AlternateContent>
  <xr:revisionPtr revIDLastSave="0" documentId="13_ncr:1_{CDE8395A-50DA-43F4-BC5D-6E88DC3AF880}" xr6:coauthVersionLast="47" xr6:coauthVersionMax="47" xr10:uidLastSave="{00000000-0000-0000-0000-000000000000}"/>
  <bookViews>
    <workbookView xWindow="-110" yWindow="-110" windowWidth="19420" windowHeight="10300" activeTab="4" xr2:uid="{A11320B7-5CC3-45A0-B9A0-3BF735C7D517}"/>
  </bookViews>
  <sheets>
    <sheet name="6.1" sheetId="3" r:id="rId1"/>
    <sheet name="dane" sheetId="2" r:id="rId2"/>
    <sheet name="6.2" sheetId="5" r:id="rId3"/>
    <sheet name="6.3" sheetId="6" r:id="rId4"/>
    <sheet name="6.4" sheetId="7" r:id="rId5"/>
    <sheet name="6.5" sheetId="8" r:id="rId6"/>
  </sheets>
  <definedNames>
    <definedName name="_xlnm._FilterDatabase" localSheetId="5" hidden="1">'6.5'!$A$1:$G$203</definedName>
  </definedNames>
  <calcPr calcId="191029"/>
  <pivotCaches>
    <pivotCache cacheId="0" r:id="rId7"/>
    <pivotCache cacheId="2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2" i="7"/>
  <c r="I12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0" i="7"/>
  <c r="I20" i="7"/>
  <c r="H21" i="7"/>
  <c r="I21" i="7"/>
  <c r="H22" i="7"/>
  <c r="I22" i="7"/>
  <c r="H23" i="7"/>
  <c r="I23" i="7"/>
  <c r="H24" i="7"/>
  <c r="I24" i="7"/>
  <c r="H25" i="7"/>
  <c r="I25" i="7"/>
  <c r="H26" i="7"/>
  <c r="I26" i="7"/>
  <c r="H27" i="7"/>
  <c r="I27" i="7"/>
  <c r="H28" i="7"/>
  <c r="I28" i="7"/>
  <c r="H29" i="7"/>
  <c r="I29" i="7"/>
  <c r="H30" i="7"/>
  <c r="I30" i="7"/>
  <c r="H31" i="7"/>
  <c r="I31" i="7"/>
  <c r="H32" i="7"/>
  <c r="I32" i="7"/>
  <c r="H33" i="7"/>
  <c r="I33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H50" i="7"/>
  <c r="I50" i="7"/>
  <c r="H51" i="7"/>
  <c r="I51" i="7"/>
  <c r="H52" i="7"/>
  <c r="I52" i="7"/>
  <c r="H53" i="7"/>
  <c r="I53" i="7"/>
  <c r="H54" i="7"/>
  <c r="I54" i="7"/>
  <c r="H55" i="7"/>
  <c r="I55" i="7"/>
  <c r="H56" i="7"/>
  <c r="I56" i="7"/>
  <c r="H57" i="7"/>
  <c r="I57" i="7"/>
  <c r="H58" i="7"/>
  <c r="I58" i="7"/>
  <c r="H59" i="7"/>
  <c r="I59" i="7"/>
  <c r="H60" i="7"/>
  <c r="I60" i="7"/>
  <c r="H61" i="7"/>
  <c r="I61" i="7"/>
  <c r="H62" i="7"/>
  <c r="I62" i="7"/>
  <c r="H63" i="7"/>
  <c r="I63" i="7"/>
  <c r="H64" i="7"/>
  <c r="I64" i="7"/>
  <c r="H65" i="7"/>
  <c r="I65" i="7"/>
  <c r="H66" i="7"/>
  <c r="I66" i="7"/>
  <c r="H67" i="7"/>
  <c r="I67" i="7"/>
  <c r="H68" i="7"/>
  <c r="I68" i="7"/>
  <c r="H69" i="7"/>
  <c r="I69" i="7"/>
  <c r="H70" i="7"/>
  <c r="I70" i="7"/>
  <c r="H71" i="7"/>
  <c r="I71" i="7"/>
  <c r="H72" i="7"/>
  <c r="I72" i="7"/>
  <c r="H73" i="7"/>
  <c r="I73" i="7"/>
  <c r="H74" i="7"/>
  <c r="I74" i="7"/>
  <c r="H75" i="7"/>
  <c r="I75" i="7"/>
  <c r="H76" i="7"/>
  <c r="I76" i="7"/>
  <c r="H77" i="7"/>
  <c r="I77" i="7"/>
  <c r="H78" i="7"/>
  <c r="I78" i="7"/>
  <c r="H79" i="7"/>
  <c r="I79" i="7"/>
  <c r="H80" i="7"/>
  <c r="I80" i="7"/>
  <c r="H81" i="7"/>
  <c r="I81" i="7"/>
  <c r="H82" i="7"/>
  <c r="I82" i="7"/>
  <c r="H83" i="7"/>
  <c r="I83" i="7"/>
  <c r="H84" i="7"/>
  <c r="I84" i="7"/>
  <c r="H85" i="7"/>
  <c r="I85" i="7"/>
  <c r="H86" i="7"/>
  <c r="I86" i="7"/>
  <c r="H87" i="7"/>
  <c r="I87" i="7"/>
  <c r="H88" i="7"/>
  <c r="I88" i="7"/>
  <c r="H89" i="7"/>
  <c r="I89" i="7"/>
  <c r="H90" i="7"/>
  <c r="I90" i="7"/>
  <c r="H91" i="7"/>
  <c r="I91" i="7"/>
  <c r="H92" i="7"/>
  <c r="I92" i="7"/>
  <c r="H93" i="7"/>
  <c r="I93" i="7"/>
  <c r="H94" i="7"/>
  <c r="I94" i="7"/>
  <c r="H95" i="7"/>
  <c r="I95" i="7"/>
  <c r="H96" i="7"/>
  <c r="I96" i="7"/>
  <c r="H97" i="7"/>
  <c r="I97" i="7"/>
  <c r="H98" i="7"/>
  <c r="I98" i="7"/>
  <c r="H99" i="7"/>
  <c r="I99" i="7"/>
  <c r="H100" i="7"/>
  <c r="I100" i="7"/>
  <c r="H101" i="7"/>
  <c r="I101" i="7"/>
  <c r="H102" i="7"/>
  <c r="I102" i="7"/>
  <c r="H103" i="7"/>
  <c r="I103" i="7"/>
  <c r="H104" i="7"/>
  <c r="I104" i="7"/>
  <c r="H105" i="7"/>
  <c r="I105" i="7"/>
  <c r="H106" i="7"/>
  <c r="I106" i="7"/>
  <c r="H107" i="7"/>
  <c r="I107" i="7"/>
  <c r="H108" i="7"/>
  <c r="I108" i="7"/>
  <c r="H109" i="7"/>
  <c r="I109" i="7"/>
  <c r="H110" i="7"/>
  <c r="I110" i="7"/>
  <c r="H111" i="7"/>
  <c r="I111" i="7"/>
  <c r="H112" i="7"/>
  <c r="I112" i="7"/>
  <c r="H113" i="7"/>
  <c r="I113" i="7"/>
  <c r="H114" i="7"/>
  <c r="I114" i="7"/>
  <c r="H115" i="7"/>
  <c r="I115" i="7"/>
  <c r="H116" i="7"/>
  <c r="I116" i="7"/>
  <c r="H117" i="7"/>
  <c r="I117" i="7"/>
  <c r="H118" i="7"/>
  <c r="I118" i="7"/>
  <c r="H119" i="7"/>
  <c r="I119" i="7"/>
  <c r="H120" i="7"/>
  <c r="I120" i="7"/>
  <c r="H121" i="7"/>
  <c r="I121" i="7"/>
  <c r="H122" i="7"/>
  <c r="I122" i="7"/>
  <c r="H123" i="7"/>
  <c r="I123" i="7"/>
  <c r="H124" i="7"/>
  <c r="I124" i="7"/>
  <c r="H125" i="7"/>
  <c r="I125" i="7"/>
  <c r="H126" i="7"/>
  <c r="I126" i="7"/>
  <c r="H127" i="7"/>
  <c r="I127" i="7"/>
  <c r="H128" i="7"/>
  <c r="I128" i="7"/>
  <c r="H129" i="7"/>
  <c r="I129" i="7"/>
  <c r="H130" i="7"/>
  <c r="I130" i="7"/>
  <c r="H131" i="7"/>
  <c r="I131" i="7"/>
  <c r="H132" i="7"/>
  <c r="I132" i="7"/>
  <c r="H133" i="7"/>
  <c r="I133" i="7"/>
  <c r="H134" i="7"/>
  <c r="I134" i="7"/>
  <c r="H135" i="7"/>
  <c r="I135" i="7"/>
  <c r="H136" i="7"/>
  <c r="I136" i="7"/>
  <c r="H137" i="7"/>
  <c r="I137" i="7"/>
  <c r="H138" i="7"/>
  <c r="I138" i="7"/>
  <c r="H139" i="7"/>
  <c r="I139" i="7"/>
  <c r="H140" i="7"/>
  <c r="I140" i="7"/>
  <c r="H141" i="7"/>
  <c r="I141" i="7"/>
  <c r="H142" i="7"/>
  <c r="I142" i="7"/>
  <c r="H143" i="7"/>
  <c r="I143" i="7"/>
  <c r="H144" i="7"/>
  <c r="I144" i="7"/>
  <c r="H145" i="7"/>
  <c r="I145" i="7"/>
  <c r="H146" i="7"/>
  <c r="I146" i="7"/>
  <c r="H147" i="7"/>
  <c r="I147" i="7"/>
  <c r="H148" i="7"/>
  <c r="I148" i="7"/>
  <c r="H149" i="7"/>
  <c r="I149" i="7"/>
  <c r="H150" i="7"/>
  <c r="I150" i="7"/>
  <c r="H151" i="7"/>
  <c r="I151" i="7"/>
  <c r="H152" i="7"/>
  <c r="I152" i="7"/>
  <c r="H153" i="7"/>
  <c r="I153" i="7"/>
  <c r="H154" i="7"/>
  <c r="I154" i="7"/>
  <c r="H155" i="7"/>
  <c r="I155" i="7"/>
  <c r="H156" i="7"/>
  <c r="I156" i="7"/>
  <c r="H157" i="7"/>
  <c r="I157" i="7"/>
  <c r="H158" i="7"/>
  <c r="I158" i="7"/>
  <c r="H159" i="7"/>
  <c r="I159" i="7"/>
  <c r="H160" i="7"/>
  <c r="I160" i="7"/>
  <c r="H161" i="7"/>
  <c r="I161" i="7"/>
  <c r="H162" i="7"/>
  <c r="I162" i="7"/>
  <c r="H163" i="7"/>
  <c r="I163" i="7"/>
  <c r="H164" i="7"/>
  <c r="I164" i="7"/>
  <c r="H165" i="7"/>
  <c r="I165" i="7"/>
  <c r="H166" i="7"/>
  <c r="I166" i="7"/>
  <c r="H167" i="7"/>
  <c r="I167" i="7"/>
  <c r="H168" i="7"/>
  <c r="I168" i="7"/>
  <c r="H169" i="7"/>
  <c r="I169" i="7"/>
  <c r="H170" i="7"/>
  <c r="I170" i="7"/>
  <c r="H171" i="7"/>
  <c r="I171" i="7"/>
  <c r="H172" i="7"/>
  <c r="I172" i="7"/>
  <c r="H173" i="7"/>
  <c r="I173" i="7"/>
  <c r="H174" i="7"/>
  <c r="I174" i="7"/>
  <c r="H175" i="7"/>
  <c r="I175" i="7"/>
  <c r="H176" i="7"/>
  <c r="I176" i="7"/>
  <c r="H177" i="7"/>
  <c r="I177" i="7"/>
  <c r="H178" i="7"/>
  <c r="I178" i="7"/>
  <c r="H179" i="7"/>
  <c r="I179" i="7"/>
  <c r="H180" i="7"/>
  <c r="I180" i="7"/>
  <c r="H181" i="7"/>
  <c r="I181" i="7"/>
  <c r="H182" i="7"/>
  <c r="I182" i="7"/>
  <c r="H183" i="7"/>
  <c r="I183" i="7"/>
  <c r="H184" i="7"/>
  <c r="I184" i="7"/>
  <c r="H185" i="7"/>
  <c r="I185" i="7"/>
  <c r="H186" i="7"/>
  <c r="I186" i="7"/>
  <c r="H187" i="7"/>
  <c r="I187" i="7"/>
  <c r="H188" i="7"/>
  <c r="I188" i="7"/>
  <c r="H189" i="7"/>
  <c r="I189" i="7"/>
  <c r="H190" i="7"/>
  <c r="I190" i="7"/>
  <c r="H191" i="7"/>
  <c r="I191" i="7"/>
  <c r="H192" i="7"/>
  <c r="I192" i="7"/>
  <c r="H193" i="7"/>
  <c r="I193" i="7"/>
  <c r="H194" i="7"/>
  <c r="I194" i="7"/>
  <c r="H195" i="7"/>
  <c r="I195" i="7"/>
  <c r="H196" i="7"/>
  <c r="I196" i="7"/>
  <c r="H197" i="7"/>
  <c r="I197" i="7"/>
  <c r="H198" i="7"/>
  <c r="I198" i="7"/>
  <c r="H199" i="7"/>
  <c r="I199" i="7"/>
  <c r="H200" i="7"/>
  <c r="I200" i="7"/>
  <c r="H201" i="7"/>
  <c r="I201" i="7"/>
  <c r="H202" i="7"/>
  <c r="I202" i="7"/>
  <c r="H203" i="7"/>
  <c r="I203" i="7"/>
  <c r="H2" i="7"/>
  <c r="G4" i="8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3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" i="7"/>
  <c r="K4" i="6"/>
  <c r="K5" i="6" s="1"/>
  <c r="K6" i="6" s="1"/>
  <c r="K7" i="6" s="1"/>
  <c r="K8" i="6" s="1"/>
  <c r="K9" i="6" s="1"/>
  <c r="K10" i="6" s="1"/>
  <c r="K11" i="6" s="1"/>
  <c r="K12" i="6" s="1"/>
  <c r="K13" i="6" s="1"/>
  <c r="K14" i="6" s="1"/>
  <c r="K15" i="6" s="1"/>
  <c r="K16" i="6" s="1"/>
  <c r="K17" i="6" s="1"/>
  <c r="K18" i="6" s="1"/>
  <c r="K19" i="6" s="1"/>
  <c r="K20" i="6" s="1"/>
  <c r="K21" i="6" s="1"/>
  <c r="K22" i="6" s="1"/>
  <c r="K23" i="6" s="1"/>
  <c r="K24" i="6" s="1"/>
  <c r="K25" i="6" s="1"/>
  <c r="K26" i="6" s="1"/>
  <c r="K27" i="6" s="1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K111" i="6" s="1"/>
  <c r="K112" i="6" s="1"/>
  <c r="K113" i="6" s="1"/>
  <c r="K114" i="6" s="1"/>
  <c r="K115" i="6" s="1"/>
  <c r="K116" i="6" s="1"/>
  <c r="K117" i="6" s="1"/>
  <c r="K118" i="6" s="1"/>
  <c r="K119" i="6" s="1"/>
  <c r="K120" i="6" s="1"/>
  <c r="K121" i="6" s="1"/>
  <c r="K122" i="6" s="1"/>
  <c r="K123" i="6" s="1"/>
  <c r="K124" i="6" s="1"/>
  <c r="K125" i="6" s="1"/>
  <c r="K126" i="6" s="1"/>
  <c r="K127" i="6" s="1"/>
  <c r="K128" i="6" s="1"/>
  <c r="K129" i="6" s="1"/>
  <c r="K130" i="6" s="1"/>
  <c r="K131" i="6" s="1"/>
  <c r="K132" i="6" s="1"/>
  <c r="K133" i="6" s="1"/>
  <c r="K134" i="6" s="1"/>
  <c r="K135" i="6" s="1"/>
  <c r="K136" i="6" s="1"/>
  <c r="K137" i="6" s="1"/>
  <c r="K138" i="6" s="1"/>
  <c r="K139" i="6" s="1"/>
  <c r="K140" i="6" s="1"/>
  <c r="K141" i="6" s="1"/>
  <c r="K142" i="6" s="1"/>
  <c r="K143" i="6" s="1"/>
  <c r="K144" i="6" s="1"/>
  <c r="K145" i="6" s="1"/>
  <c r="K146" i="6" s="1"/>
  <c r="K147" i="6" s="1"/>
  <c r="K148" i="6" s="1"/>
  <c r="K149" i="6" s="1"/>
  <c r="K150" i="6" s="1"/>
  <c r="K151" i="6" s="1"/>
  <c r="K152" i="6" s="1"/>
  <c r="K153" i="6" s="1"/>
  <c r="K154" i="6" s="1"/>
  <c r="K155" i="6" s="1"/>
  <c r="K156" i="6" s="1"/>
  <c r="K157" i="6" s="1"/>
  <c r="K158" i="6" s="1"/>
  <c r="K159" i="6" s="1"/>
  <c r="K160" i="6" s="1"/>
  <c r="K161" i="6" s="1"/>
  <c r="K162" i="6" s="1"/>
  <c r="K163" i="6" s="1"/>
  <c r="K164" i="6" s="1"/>
  <c r="K165" i="6" s="1"/>
  <c r="K166" i="6" s="1"/>
  <c r="K167" i="6" s="1"/>
  <c r="K168" i="6" s="1"/>
  <c r="K169" i="6" s="1"/>
  <c r="K170" i="6" s="1"/>
  <c r="K171" i="6" s="1"/>
  <c r="K172" i="6" s="1"/>
  <c r="K173" i="6" s="1"/>
  <c r="K174" i="6" s="1"/>
  <c r="K175" i="6" s="1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K187" i="6" s="1"/>
  <c r="K188" i="6" s="1"/>
  <c r="K189" i="6" s="1"/>
  <c r="K190" i="6" s="1"/>
  <c r="K191" i="6" s="1"/>
  <c r="K192" i="6" s="1"/>
  <c r="K193" i="6" s="1"/>
  <c r="K194" i="6" s="1"/>
  <c r="K195" i="6" s="1"/>
  <c r="K196" i="6" s="1"/>
  <c r="K197" i="6" s="1"/>
  <c r="K198" i="6" s="1"/>
  <c r="K199" i="6" s="1"/>
  <c r="K200" i="6" s="1"/>
  <c r="K201" i="6" s="1"/>
  <c r="K202" i="6" s="1"/>
  <c r="K203" i="6" s="1"/>
  <c r="J4" i="6"/>
  <c r="J5" i="6" s="1"/>
  <c r="J6" i="6" s="1"/>
  <c r="J7" i="6" s="1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J41" i="6" s="1"/>
  <c r="J42" i="6" s="1"/>
  <c r="J43" i="6" s="1"/>
  <c r="J44" i="6" s="1"/>
  <c r="J45" i="6" s="1"/>
  <c r="J46" i="6" s="1"/>
  <c r="J47" i="6" s="1"/>
  <c r="J48" i="6" s="1"/>
  <c r="J49" i="6" s="1"/>
  <c r="J50" i="6" s="1"/>
  <c r="J51" i="6" s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J70" i="6" s="1"/>
  <c r="J71" i="6" s="1"/>
  <c r="J72" i="6" s="1"/>
  <c r="J73" i="6" s="1"/>
  <c r="J74" i="6" s="1"/>
  <c r="J75" i="6" s="1"/>
  <c r="J76" i="6" s="1"/>
  <c r="J77" i="6" s="1"/>
  <c r="J78" i="6" s="1"/>
  <c r="J79" i="6" s="1"/>
  <c r="J80" i="6" s="1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J124" i="6" s="1"/>
  <c r="J125" i="6" s="1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39" i="6" s="1"/>
  <c r="J140" i="6" s="1"/>
  <c r="J141" i="6" s="1"/>
  <c r="J142" i="6" s="1"/>
  <c r="J143" i="6" s="1"/>
  <c r="J144" i="6" s="1"/>
  <c r="J145" i="6" s="1"/>
  <c r="J146" i="6" s="1"/>
  <c r="J147" i="6" s="1"/>
  <c r="J148" i="6" s="1"/>
  <c r="J149" i="6" s="1"/>
  <c r="J150" i="6" s="1"/>
  <c r="J151" i="6" s="1"/>
  <c r="J152" i="6" s="1"/>
  <c r="J153" i="6" s="1"/>
  <c r="J154" i="6" s="1"/>
  <c r="J155" i="6" s="1"/>
  <c r="J156" i="6" s="1"/>
  <c r="J157" i="6" s="1"/>
  <c r="J158" i="6" s="1"/>
  <c r="J159" i="6" s="1"/>
  <c r="J160" i="6" s="1"/>
  <c r="J161" i="6" s="1"/>
  <c r="J162" i="6" s="1"/>
  <c r="J163" i="6" s="1"/>
  <c r="J164" i="6" s="1"/>
  <c r="J165" i="6" s="1"/>
  <c r="J166" i="6" s="1"/>
  <c r="J167" i="6" s="1"/>
  <c r="J168" i="6" s="1"/>
  <c r="J169" i="6" s="1"/>
  <c r="J170" i="6" s="1"/>
  <c r="J171" i="6" s="1"/>
  <c r="J172" i="6" s="1"/>
  <c r="J173" i="6" s="1"/>
  <c r="J174" i="6" s="1"/>
  <c r="J175" i="6" s="1"/>
  <c r="J176" i="6" s="1"/>
  <c r="J177" i="6" s="1"/>
  <c r="J178" i="6" s="1"/>
  <c r="J179" i="6" s="1"/>
  <c r="J180" i="6" s="1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J194" i="6" s="1"/>
  <c r="J195" i="6" s="1"/>
  <c r="J196" i="6" s="1"/>
  <c r="J197" i="6" s="1"/>
  <c r="J198" i="6" s="1"/>
  <c r="J199" i="6" s="1"/>
  <c r="J200" i="6" s="1"/>
  <c r="J201" i="6" s="1"/>
  <c r="J202" i="6" s="1"/>
  <c r="J203" i="6" s="1"/>
  <c r="I4" i="6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H4" i="6"/>
  <c r="H5" i="6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K3" i="6"/>
  <c r="J3" i="6"/>
  <c r="I3" i="6"/>
  <c r="H3" i="6"/>
  <c r="G3" i="6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3" i="5"/>
  <c r="G4" i="6" l="1"/>
  <c r="G5" i="6" s="1"/>
  <c r="G6" i="6" s="1"/>
  <c r="G7" i="6" s="1"/>
  <c r="G8" i="6" s="1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G39" i="6" s="1"/>
  <c r="G40" i="6" s="1"/>
  <c r="G41" i="6" s="1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8C2DB-F974-4287-8D53-2DEF4C7006AE}" keepAlive="1" name="Zapytanie — statek" description="Połączenie z zapytaniem „statek” w skoroszycie." type="5" refreshedVersion="0" background="1">
    <dbPr connection="Provider=Microsoft.Mashup.OleDb.1;Data Source=$Workbook$;Location=statek;Extended Properties=&quot;&quot;" command="SELECT * FROM [statek]"/>
  </connection>
</connections>
</file>

<file path=xl/sharedStrings.xml><?xml version="1.0" encoding="utf-8"?>
<sst xmlns="http://schemas.openxmlformats.org/spreadsheetml/2006/main" count="3704" uniqueCount="34">
  <si>
    <t>data</t>
  </si>
  <si>
    <t>port</t>
  </si>
  <si>
    <t>towar</t>
  </si>
  <si>
    <t>Z/W</t>
  </si>
  <si>
    <t>ile ton</t>
  </si>
  <si>
    <t>cena za tone w talarach</t>
  </si>
  <si>
    <t>Algier</t>
  </si>
  <si>
    <t>T4</t>
  </si>
  <si>
    <t>Z</t>
  </si>
  <si>
    <t>T5</t>
  </si>
  <si>
    <t>T1</t>
  </si>
  <si>
    <t>T2</t>
  </si>
  <si>
    <t>T3</t>
  </si>
  <si>
    <t>Tunis</t>
  </si>
  <si>
    <t>W</t>
  </si>
  <si>
    <t>Benghazi</t>
  </si>
  <si>
    <t>Aleksandria</t>
  </si>
  <si>
    <t>Bejrut</t>
  </si>
  <si>
    <t>Palermo</t>
  </si>
  <si>
    <t>Neapol</t>
  </si>
  <si>
    <t>Monako</t>
  </si>
  <si>
    <t>Barcelona</t>
  </si>
  <si>
    <t>Walencja</t>
  </si>
  <si>
    <t>Etykiety wierszy</t>
  </si>
  <si>
    <t>Suma końcowa</t>
  </si>
  <si>
    <t>Liczba z towar</t>
  </si>
  <si>
    <t>Suma z ile ton</t>
  </si>
  <si>
    <t>dni na pelnym morzu</t>
  </si>
  <si>
    <t>Etykiety kolumn</t>
  </si>
  <si>
    <t>ile ton T5</t>
  </si>
  <si>
    <t>miesiac</t>
  </si>
  <si>
    <t>Suma z ile ton T5</t>
  </si>
  <si>
    <t>rok</t>
  </si>
  <si>
    <t>liczba talarów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</si>
</sst>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4" fontId="0" fillId="3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14" fontId="0" fillId="0" borderId="4" xfId="0" applyNumberFormat="1" applyBorder="1"/>
    <xf numFmtId="0" fontId="0" fillId="0" borderId="5" xfId="0" applyBorder="1"/>
    <xf numFmtId="0" fontId="0" fillId="0" borderId="6" xfId="0" applyBorder="1"/>
    <xf numFmtId="14" fontId="0" fillId="0" borderId="1" xfId="0" applyNumberFormat="1" applyBorder="1"/>
    <xf numFmtId="0" fontId="1" fillId="2" borderId="0" xfId="0" applyFont="1" applyFill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załadowanych i naładowanych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'6.4'!$Q$6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'6.4'!$P$7:$P$42</c:f>
              <c:numCache>
                <c:formatCode>General</c:formatCode>
                <c:ptCount val="36"/>
                <c:pt idx="0">
                  <c:v>2016</c:v>
                </c:pt>
                <c:pt idx="12">
                  <c:v>2017</c:v>
                </c:pt>
                <c:pt idx="24">
                  <c:v>2018</c:v>
                </c:pt>
              </c:numCache>
            </c:numRef>
          </c:cat>
          <c:val>
            <c:numRef>
              <c:f>'6.4'!$Q$7:$Q$42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3-4F60-9061-FA8FC4B412B0}"/>
            </c:ext>
          </c:extLst>
        </c:ser>
        <c:ser>
          <c:idx val="1"/>
          <c:order val="1"/>
          <c:tx>
            <c:strRef>
              <c:f>'6.4'!$R$6</c:f>
              <c:strCache>
                <c:ptCount val="1"/>
                <c:pt idx="0">
                  <c:v>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'6.4'!$P$7:$P$42</c:f>
              <c:numCache>
                <c:formatCode>General</c:formatCode>
                <c:ptCount val="36"/>
                <c:pt idx="0">
                  <c:v>2016</c:v>
                </c:pt>
                <c:pt idx="12">
                  <c:v>2017</c:v>
                </c:pt>
                <c:pt idx="24">
                  <c:v>2018</c:v>
                </c:pt>
              </c:numCache>
            </c:numRef>
          </c:cat>
          <c:val>
            <c:numRef>
              <c:f>'6.4'!$R$7:$R$42</c:f>
              <c:numCache>
                <c:formatCode>General</c:formatCode>
                <c:ptCount val="36"/>
                <c:pt idx="0">
                  <c:v>32</c:v>
                </c:pt>
                <c:pt idx="1">
                  <c:v>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191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68</c:v>
                </c:pt>
                <c:pt idx="17">
                  <c:v>0</c:v>
                </c:pt>
                <c:pt idx="18">
                  <c:v>0</c:v>
                </c:pt>
                <c:pt idx="19">
                  <c:v>48</c:v>
                </c:pt>
                <c:pt idx="20">
                  <c:v>0</c:v>
                </c:pt>
                <c:pt idx="21">
                  <c:v>6</c:v>
                </c:pt>
                <c:pt idx="22">
                  <c:v>1</c:v>
                </c:pt>
                <c:pt idx="23">
                  <c:v>0</c:v>
                </c:pt>
                <c:pt idx="24">
                  <c:v>22</c:v>
                </c:pt>
                <c:pt idx="25">
                  <c:v>0</c:v>
                </c:pt>
                <c:pt idx="26">
                  <c:v>34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121</c:v>
                </c:pt>
                <c:pt idx="32">
                  <c:v>26</c:v>
                </c:pt>
                <c:pt idx="33">
                  <c:v>0</c:v>
                </c:pt>
                <c:pt idx="34">
                  <c:v>64</c:v>
                </c:pt>
                <c:pt idx="3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3-4F60-9061-FA8FC4B412B0}"/>
            </c:ext>
          </c:extLst>
        </c:ser>
        <c:ser>
          <c:idx val="2"/>
          <c:order val="2"/>
          <c:tx>
            <c:strRef>
              <c:f>'6.4'!$S$6</c:f>
              <c:strCache>
                <c:ptCount val="1"/>
                <c:pt idx="0">
                  <c:v>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'6.4'!$P$7:$P$42</c:f>
              <c:numCache>
                <c:formatCode>General</c:formatCode>
                <c:ptCount val="36"/>
                <c:pt idx="0">
                  <c:v>2016</c:v>
                </c:pt>
                <c:pt idx="12">
                  <c:v>2017</c:v>
                </c:pt>
                <c:pt idx="24">
                  <c:v>2018</c:v>
                </c:pt>
              </c:numCache>
            </c:numRef>
          </c:cat>
          <c:val>
            <c:numRef>
              <c:f>'6.4'!$S$7:$S$42</c:f>
              <c:numCache>
                <c:formatCode>General</c:formatCode>
                <c:ptCount val="36"/>
                <c:pt idx="0">
                  <c:v>76</c:v>
                </c:pt>
                <c:pt idx="1">
                  <c:v>8</c:v>
                </c:pt>
                <c:pt idx="2">
                  <c:v>0</c:v>
                </c:pt>
                <c:pt idx="3">
                  <c:v>68</c:v>
                </c:pt>
                <c:pt idx="4">
                  <c:v>0</c:v>
                </c:pt>
                <c:pt idx="5">
                  <c:v>42</c:v>
                </c:pt>
                <c:pt idx="6">
                  <c:v>83</c:v>
                </c:pt>
                <c:pt idx="7">
                  <c:v>0</c:v>
                </c:pt>
                <c:pt idx="8">
                  <c:v>44</c:v>
                </c:pt>
                <c:pt idx="9">
                  <c:v>0</c:v>
                </c:pt>
                <c:pt idx="10">
                  <c:v>30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35</c:v>
                </c:pt>
                <c:pt idx="15">
                  <c:v>1</c:v>
                </c:pt>
                <c:pt idx="16">
                  <c:v>33</c:v>
                </c:pt>
                <c:pt idx="17">
                  <c:v>8</c:v>
                </c:pt>
                <c:pt idx="18">
                  <c:v>42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0</c:v>
                </c:pt>
                <c:pt idx="24">
                  <c:v>10</c:v>
                </c:pt>
                <c:pt idx="25">
                  <c:v>34</c:v>
                </c:pt>
                <c:pt idx="26">
                  <c:v>0</c:v>
                </c:pt>
                <c:pt idx="27">
                  <c:v>5</c:v>
                </c:pt>
                <c:pt idx="28">
                  <c:v>0</c:v>
                </c:pt>
                <c:pt idx="29">
                  <c:v>95</c:v>
                </c:pt>
                <c:pt idx="30">
                  <c:v>25</c:v>
                </c:pt>
                <c:pt idx="31">
                  <c:v>22</c:v>
                </c:pt>
                <c:pt idx="32">
                  <c:v>0</c:v>
                </c:pt>
                <c:pt idx="33">
                  <c:v>20</c:v>
                </c:pt>
                <c:pt idx="34">
                  <c:v>48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3-4F60-9061-FA8FC4B4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1440128"/>
        <c:axId val="581445168"/>
      </c:barChart>
      <c:catAx>
        <c:axId val="58144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data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1445168"/>
        <c:crosses val="autoZero"/>
        <c:auto val="1"/>
        <c:lblAlgn val="ctr"/>
        <c:lblOffset val="100"/>
        <c:noMultiLvlLbl val="0"/>
      </c:catAx>
      <c:valAx>
        <c:axId val="58144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144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818445</xdr:colOff>
      <xdr:row>23</xdr:row>
      <xdr:rowOff>92428</xdr:rowOff>
    </xdr:from>
    <xdr:to>
      <xdr:col>14</xdr:col>
      <xdr:colOff>684389</xdr:colOff>
      <xdr:row>38</xdr:row>
      <xdr:rowOff>83961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3FE53A7-5E02-5257-B642-EB9D98FF3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0.846638888892" createdVersion="8" refreshedVersion="8" minRefreshableVersion="3" recordCount="202" xr:uid="{8E3B6C36-9E67-4BB5-9C81-F8CF07C88E07}">
  <cacheSource type="worksheet">
    <worksheetSource ref="A1:F203" sheet="6.1"/>
  </cacheSource>
  <cacheFields count="6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 count="5">
        <s v="T4"/>
        <s v="T5"/>
        <s v="T1"/>
        <s v="T2"/>
        <s v="T3"/>
      </sharedItems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3.916069791667" createdVersion="8" refreshedVersion="8" minRefreshableVersion="3" recordCount="202" xr:uid="{AA89C868-9414-4C84-9B40-AAE62D43C872}">
  <cacheSource type="worksheet">
    <worksheetSource ref="A1:I203" sheet="6.4"/>
  </cacheSource>
  <cacheFields count="9">
    <cacheField name="data" numFmtId="14">
      <sharedItems containsSemiMixedTypes="0" containsNonDate="0" containsDate="1" containsString="0" minDate="2016-01-01T00:00:00" maxDate="2018-12-19T00:00:00"/>
    </cacheField>
    <cacheField name="port" numFmtId="0">
      <sharedItems/>
    </cacheField>
    <cacheField name="towar" numFmtId="0">
      <sharedItems/>
    </cacheField>
    <cacheField name="Z/W" numFmtId="0">
      <sharedItems count="2">
        <s v="Z"/>
        <s v="W"/>
      </sharedItems>
    </cacheField>
    <cacheField name="ile ton" numFmtId="0">
      <sharedItems containsSemiMixedTypes="0" containsString="0" containsNumber="1" containsInteger="1" minValue="1" maxValue="192"/>
    </cacheField>
    <cacheField name="cena za tone w talarach" numFmtId="0">
      <sharedItems containsSemiMixedTypes="0" containsString="0" containsNumber="1" containsInteger="1" minValue="7" maxValue="100"/>
    </cacheField>
    <cacheField name="ile ton T5" numFmtId="0">
      <sharedItems containsSemiMixedTypes="0" containsString="0" containsNumber="1" containsInteger="1" minValue="0" maxValue="191"/>
    </cacheField>
    <cacheField name="miesiac" numFmtId="0">
      <sharedItems containsMixedTypes="1" containsNumber="1" containsInteger="1" minValue="1" maxValue="12" count="23">
        <n v="1"/>
        <n v="2"/>
        <n v="3"/>
        <n v="4"/>
        <n v="5"/>
        <n v="6"/>
        <n v="7"/>
        <n v="8"/>
        <n v="9"/>
        <n v="10"/>
        <n v="11"/>
        <n v="12"/>
        <s v="Formuła1" f="1"/>
        <s v="Formuła2" f="1"/>
        <s v="Formuła3" f="1"/>
        <s v="Formuła4" f="1"/>
        <s v="Formuła5" f="1"/>
        <s v="Formuła6" f="1"/>
        <s v="Formuła7" f="1"/>
        <s v="Formuła8" f="1"/>
        <s v="Formuła9" f="1"/>
        <s v="Formuła10" f="1"/>
        <s v="Formuła11" f="1"/>
      </sharedItems>
    </cacheField>
    <cacheField name="rok" numFmtId="0">
      <sharedItems containsSemiMixedTypes="0" containsString="0" containsNumber="1" containsInteger="1" minValue="2016" maxValue="2018" count="3">
        <n v="2016"/>
        <n v="2017"/>
        <n v="2018"/>
      </sharedItems>
    </cacheField>
  </cacheFields>
  <calculatedItems count="11">
    <calculatedItem>
      <pivotArea cacheIndex="1" outline="0" fieldPosition="0">
        <references count="1">
          <reference field="7" count="1">
            <x v="12"/>
          </reference>
        </references>
      </pivotArea>
    </calculatedItem>
    <calculatedItem>
      <pivotArea cacheIndex="1" outline="0" fieldPosition="0">
        <references count="1">
          <reference field="7" count="1">
            <x v="13"/>
          </reference>
        </references>
      </pivotArea>
    </calculatedItem>
    <calculatedItem>
      <pivotArea cacheIndex="1" outline="0" fieldPosition="0">
        <references count="1">
          <reference field="7" count="1">
            <x v="14"/>
          </reference>
        </references>
      </pivotArea>
    </calculatedItem>
    <calculatedItem>
      <pivotArea cacheIndex="1" outline="0" fieldPosition="0">
        <references count="1">
          <reference field="7" count="1">
            <x v="15"/>
          </reference>
        </references>
      </pivotArea>
    </calculatedItem>
    <calculatedItem>
      <pivotArea cacheIndex="1" outline="0" fieldPosition="0">
        <references count="1">
          <reference field="7" count="1">
            <x v="16"/>
          </reference>
        </references>
      </pivotArea>
    </calculatedItem>
    <calculatedItem>
      <pivotArea cacheIndex="1" outline="0" fieldPosition="0">
        <references count="1">
          <reference field="7" count="1">
            <x v="17"/>
          </reference>
        </references>
      </pivotArea>
    </calculatedItem>
    <calculatedItem>
      <pivotArea cacheIndex="1" outline="0" fieldPosition="0">
        <references count="1">
          <reference field="7" count="1">
            <x v="18"/>
          </reference>
        </references>
      </pivotArea>
    </calculatedItem>
    <calculatedItem>
      <pivotArea cacheIndex="1" outline="0" fieldPosition="0">
        <references count="1">
          <reference field="7" count="1">
            <x v="19"/>
          </reference>
        </references>
      </pivotArea>
    </calculatedItem>
    <calculatedItem>
      <pivotArea cacheIndex="1" outline="0" fieldPosition="0">
        <references count="1">
          <reference field="7" count="1">
            <x v="20"/>
          </reference>
        </references>
      </pivotArea>
    </calculatedItem>
    <calculatedItem>
      <pivotArea cacheIndex="1" outline="0" fieldPosition="0">
        <references count="1">
          <reference field="7" count="1">
            <x v="21"/>
          </reference>
        </references>
      </pivotArea>
    </calculatedItem>
    <calculatedItem>
      <pivotArea cacheIndex="1" outline="0" fieldPosition="0">
        <references count="1">
          <reference field="7" count="1">
            <x v="2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x v="0"/>
    <x v="0"/>
    <n v="3"/>
    <n v="80"/>
  </r>
  <r>
    <d v="2016-01-01T00:00:00"/>
    <s v="Algier"/>
    <x v="1"/>
    <x v="0"/>
    <n v="32"/>
    <n v="50"/>
  </r>
  <r>
    <d v="2016-01-01T00:00:00"/>
    <s v="Algier"/>
    <x v="2"/>
    <x v="0"/>
    <n v="38"/>
    <n v="10"/>
  </r>
  <r>
    <d v="2016-01-01T00:00:00"/>
    <s v="Algier"/>
    <x v="3"/>
    <x v="0"/>
    <n v="33"/>
    <n v="30"/>
  </r>
  <r>
    <d v="2016-01-01T00:00:00"/>
    <s v="Algier"/>
    <x v="4"/>
    <x v="0"/>
    <n v="43"/>
    <n v="25"/>
  </r>
  <r>
    <d v="2016-01-16T00:00:00"/>
    <s v="Tunis"/>
    <x v="1"/>
    <x v="1"/>
    <n v="32"/>
    <n v="58"/>
  </r>
  <r>
    <d v="2016-01-16T00:00:00"/>
    <s v="Tunis"/>
    <x v="3"/>
    <x v="0"/>
    <n v="14"/>
    <n v="26"/>
  </r>
  <r>
    <d v="2016-01-24T00:00:00"/>
    <s v="Benghazi"/>
    <x v="1"/>
    <x v="0"/>
    <n v="44"/>
    <n v="46"/>
  </r>
  <r>
    <d v="2016-01-24T00:00:00"/>
    <s v="Benghazi"/>
    <x v="3"/>
    <x v="0"/>
    <n v="1"/>
    <n v="28"/>
  </r>
  <r>
    <d v="2016-01-24T00:00:00"/>
    <s v="Benghazi"/>
    <x v="0"/>
    <x v="0"/>
    <n v="21"/>
    <n v="74"/>
  </r>
  <r>
    <d v="2016-02-19T00:00:00"/>
    <s v="Aleksandria"/>
    <x v="4"/>
    <x v="1"/>
    <n v="43"/>
    <n v="32"/>
  </r>
  <r>
    <d v="2016-02-19T00:00:00"/>
    <s v="Aleksandria"/>
    <x v="2"/>
    <x v="1"/>
    <n v="38"/>
    <n v="13"/>
  </r>
  <r>
    <d v="2016-02-19T00:00:00"/>
    <s v="Aleksandria"/>
    <x v="0"/>
    <x v="0"/>
    <n v="9"/>
    <n v="59"/>
  </r>
  <r>
    <d v="2016-02-19T00:00:00"/>
    <s v="Aleksandria"/>
    <x v="1"/>
    <x v="0"/>
    <n v="8"/>
    <n v="37"/>
  </r>
  <r>
    <d v="2016-03-11T00:00:00"/>
    <s v="Bejrut"/>
    <x v="1"/>
    <x v="1"/>
    <n v="50"/>
    <n v="61"/>
  </r>
  <r>
    <d v="2016-03-11T00:00:00"/>
    <s v="Bejrut"/>
    <x v="4"/>
    <x v="0"/>
    <n v="32"/>
    <n v="20"/>
  </r>
  <r>
    <d v="2016-03-11T00:00:00"/>
    <s v="Bejrut"/>
    <x v="2"/>
    <x v="0"/>
    <n v="7"/>
    <n v="8"/>
  </r>
  <r>
    <d v="2016-03-11T00:00:00"/>
    <s v="Bejrut"/>
    <x v="3"/>
    <x v="0"/>
    <n v="10"/>
    <n v="24"/>
  </r>
  <r>
    <d v="2016-04-04T00:00:00"/>
    <s v="Palermo"/>
    <x v="2"/>
    <x v="1"/>
    <n v="7"/>
    <n v="12"/>
  </r>
  <r>
    <d v="2016-04-04T00:00:00"/>
    <s v="Palermo"/>
    <x v="4"/>
    <x v="0"/>
    <n v="25"/>
    <n v="19"/>
  </r>
  <r>
    <d v="2016-04-04T00:00:00"/>
    <s v="Palermo"/>
    <x v="1"/>
    <x v="0"/>
    <n v="33"/>
    <n v="38"/>
  </r>
  <r>
    <d v="2016-04-22T00:00:00"/>
    <s v="Neapol"/>
    <x v="3"/>
    <x v="1"/>
    <n v="36"/>
    <n v="35"/>
  </r>
  <r>
    <d v="2016-04-22T00:00:00"/>
    <s v="Neapol"/>
    <x v="0"/>
    <x v="0"/>
    <n v="5"/>
    <n v="66"/>
  </r>
  <r>
    <d v="2016-04-22T00:00:00"/>
    <s v="Neapol"/>
    <x v="1"/>
    <x v="0"/>
    <n v="35"/>
    <n v="41"/>
  </r>
  <r>
    <d v="2016-05-14T00:00:00"/>
    <s v="Monako"/>
    <x v="0"/>
    <x v="1"/>
    <n v="38"/>
    <n v="98"/>
  </r>
  <r>
    <d v="2016-05-14T00:00:00"/>
    <s v="Monako"/>
    <x v="3"/>
    <x v="0"/>
    <n v="10"/>
    <n v="23"/>
  </r>
  <r>
    <d v="2016-06-08T00:00:00"/>
    <s v="Barcelona"/>
    <x v="3"/>
    <x v="1"/>
    <n v="4"/>
    <n v="38"/>
  </r>
  <r>
    <d v="2016-06-08T00:00:00"/>
    <s v="Barcelona"/>
    <x v="0"/>
    <x v="0"/>
    <n v="42"/>
    <n v="60"/>
  </r>
  <r>
    <d v="2016-06-08T00:00:00"/>
    <s v="Barcelona"/>
    <x v="2"/>
    <x v="0"/>
    <n v="28"/>
    <n v="8"/>
  </r>
  <r>
    <d v="2016-06-08T00:00:00"/>
    <s v="Barcelona"/>
    <x v="4"/>
    <x v="0"/>
    <n v="19"/>
    <n v="19"/>
  </r>
  <r>
    <d v="2016-06-21T00:00:00"/>
    <s v="Walencja"/>
    <x v="4"/>
    <x v="1"/>
    <n v="72"/>
    <n v="28"/>
  </r>
  <r>
    <d v="2016-06-21T00:00:00"/>
    <s v="Walencja"/>
    <x v="0"/>
    <x v="1"/>
    <n v="42"/>
    <n v="90"/>
  </r>
  <r>
    <d v="2016-06-21T00:00:00"/>
    <s v="Walencja"/>
    <x v="1"/>
    <x v="0"/>
    <n v="42"/>
    <n v="44"/>
  </r>
  <r>
    <d v="2016-06-21T00:00:00"/>
    <s v="Walencja"/>
    <x v="3"/>
    <x v="0"/>
    <n v="33"/>
    <n v="26"/>
  </r>
  <r>
    <d v="2016-06-21T00:00:00"/>
    <s v="Walencja"/>
    <x v="2"/>
    <x v="0"/>
    <n v="9"/>
    <n v="9"/>
  </r>
  <r>
    <d v="2016-07-08T00:00:00"/>
    <s v="Algier"/>
    <x v="4"/>
    <x v="1"/>
    <n v="4"/>
    <n v="29"/>
  </r>
  <r>
    <d v="2016-07-08T00:00:00"/>
    <s v="Algier"/>
    <x v="2"/>
    <x v="1"/>
    <n v="37"/>
    <n v="12"/>
  </r>
  <r>
    <d v="2016-07-08T00:00:00"/>
    <s v="Algier"/>
    <x v="1"/>
    <x v="0"/>
    <n v="35"/>
    <n v="42"/>
  </r>
  <r>
    <d v="2016-07-08T00:00:00"/>
    <s v="Algier"/>
    <x v="0"/>
    <x v="0"/>
    <n v="32"/>
    <n v="66"/>
  </r>
  <r>
    <d v="2016-07-23T00:00:00"/>
    <s v="Tunis"/>
    <x v="0"/>
    <x v="1"/>
    <n v="32"/>
    <n v="92"/>
  </r>
  <r>
    <d v="2016-07-23T00:00:00"/>
    <s v="Tunis"/>
    <x v="1"/>
    <x v="0"/>
    <n v="48"/>
    <n v="43"/>
  </r>
  <r>
    <d v="2016-08-11T00:00:00"/>
    <s v="Benghazi"/>
    <x v="1"/>
    <x v="1"/>
    <n v="191"/>
    <n v="60"/>
  </r>
  <r>
    <d v="2016-08-11T00:00:00"/>
    <s v="Benghazi"/>
    <x v="3"/>
    <x v="0"/>
    <n v="9"/>
    <n v="24"/>
  </r>
  <r>
    <d v="2016-08-11T00:00:00"/>
    <s v="Benghazi"/>
    <x v="0"/>
    <x v="0"/>
    <n v="36"/>
    <n v="65"/>
  </r>
  <r>
    <d v="2016-09-06T00:00:00"/>
    <s v="Aleksandria"/>
    <x v="2"/>
    <x v="0"/>
    <n v="47"/>
    <n v="7"/>
  </r>
  <r>
    <d v="2016-09-06T00:00:00"/>
    <s v="Aleksandria"/>
    <x v="1"/>
    <x v="1"/>
    <n v="4"/>
    <n v="63"/>
  </r>
  <r>
    <d v="2016-09-06T00:00:00"/>
    <s v="Aleksandria"/>
    <x v="4"/>
    <x v="0"/>
    <n v="8"/>
    <n v="19"/>
  </r>
  <r>
    <d v="2016-09-06T00:00:00"/>
    <s v="Aleksandria"/>
    <x v="3"/>
    <x v="0"/>
    <n v="3"/>
    <n v="22"/>
  </r>
  <r>
    <d v="2016-09-06T00:00:00"/>
    <s v="Aleksandria"/>
    <x v="0"/>
    <x v="0"/>
    <n v="41"/>
    <n v="59"/>
  </r>
  <r>
    <d v="2016-09-27T00:00:00"/>
    <s v="Bejrut"/>
    <x v="1"/>
    <x v="0"/>
    <n v="44"/>
    <n v="40"/>
  </r>
  <r>
    <d v="2016-09-27T00:00:00"/>
    <s v="Bejrut"/>
    <x v="2"/>
    <x v="1"/>
    <n v="45"/>
    <n v="12"/>
  </r>
  <r>
    <d v="2016-09-27T00:00:00"/>
    <s v="Bejrut"/>
    <x v="4"/>
    <x v="0"/>
    <n v="40"/>
    <n v="20"/>
  </r>
  <r>
    <d v="2016-09-27T00:00:00"/>
    <s v="Bejrut"/>
    <x v="0"/>
    <x v="0"/>
    <n v="3"/>
    <n v="63"/>
  </r>
  <r>
    <d v="2016-09-27T00:00:00"/>
    <s v="Bejrut"/>
    <x v="3"/>
    <x v="0"/>
    <n v="17"/>
    <n v="24"/>
  </r>
  <r>
    <d v="2016-10-21T00:00:00"/>
    <s v="Palermo"/>
    <x v="2"/>
    <x v="1"/>
    <n v="2"/>
    <n v="12"/>
  </r>
  <r>
    <d v="2016-10-21T00:00:00"/>
    <s v="Palermo"/>
    <x v="4"/>
    <x v="0"/>
    <n v="14"/>
    <n v="19"/>
  </r>
  <r>
    <d v="2016-10-21T00:00:00"/>
    <s v="Palermo"/>
    <x v="3"/>
    <x v="0"/>
    <n v="23"/>
    <n v="23"/>
  </r>
  <r>
    <d v="2016-11-08T00:00:00"/>
    <s v="Neapol"/>
    <x v="2"/>
    <x v="0"/>
    <n v="11"/>
    <n v="8"/>
  </r>
  <r>
    <d v="2016-11-08T00:00:00"/>
    <s v="Neapol"/>
    <x v="0"/>
    <x v="0"/>
    <n v="17"/>
    <n v="66"/>
  </r>
  <r>
    <d v="2016-11-08T00:00:00"/>
    <s v="Neapol"/>
    <x v="1"/>
    <x v="0"/>
    <n v="30"/>
    <n v="41"/>
  </r>
  <r>
    <d v="2016-11-30T00:00:00"/>
    <s v="Monako"/>
    <x v="0"/>
    <x v="1"/>
    <n v="97"/>
    <n v="98"/>
  </r>
  <r>
    <d v="2016-11-30T00:00:00"/>
    <s v="Monako"/>
    <x v="2"/>
    <x v="1"/>
    <n v="11"/>
    <n v="12"/>
  </r>
  <r>
    <d v="2016-11-30T00:00:00"/>
    <s v="Monako"/>
    <x v="4"/>
    <x v="0"/>
    <n v="17"/>
    <n v="20"/>
  </r>
  <r>
    <d v="2016-11-30T00:00:00"/>
    <s v="Monako"/>
    <x v="3"/>
    <x v="0"/>
    <n v="4"/>
    <n v="23"/>
  </r>
  <r>
    <d v="2016-12-25T00:00:00"/>
    <s v="Barcelona"/>
    <x v="4"/>
    <x v="1"/>
    <n v="79"/>
    <n v="31"/>
  </r>
  <r>
    <d v="2016-12-25T00:00:00"/>
    <s v="Barcelona"/>
    <x v="0"/>
    <x v="0"/>
    <n v="33"/>
    <n v="60"/>
  </r>
  <r>
    <d v="2016-12-25T00:00:00"/>
    <s v="Barcelona"/>
    <x v="3"/>
    <x v="0"/>
    <n v="26"/>
    <n v="23"/>
  </r>
  <r>
    <d v="2017-01-07T00:00:00"/>
    <s v="Walencja"/>
    <x v="4"/>
    <x v="0"/>
    <n v="40"/>
    <n v="22"/>
  </r>
  <r>
    <d v="2017-01-07T00:00:00"/>
    <s v="Walencja"/>
    <x v="2"/>
    <x v="0"/>
    <n v="42"/>
    <n v="9"/>
  </r>
  <r>
    <d v="2017-01-07T00:00:00"/>
    <s v="Walencja"/>
    <x v="3"/>
    <x v="0"/>
    <n v="42"/>
    <n v="26"/>
  </r>
  <r>
    <d v="2017-01-07T00:00:00"/>
    <s v="Walencja"/>
    <x v="0"/>
    <x v="0"/>
    <n v="9"/>
    <n v="70"/>
  </r>
  <r>
    <d v="2017-01-07T00:00:00"/>
    <s v="Walencja"/>
    <x v="1"/>
    <x v="0"/>
    <n v="39"/>
    <n v="44"/>
  </r>
  <r>
    <d v="2017-01-24T00:00:00"/>
    <s v="Algier"/>
    <x v="1"/>
    <x v="1"/>
    <n v="112"/>
    <n v="59"/>
  </r>
  <r>
    <d v="2017-01-24T00:00:00"/>
    <s v="Algier"/>
    <x v="0"/>
    <x v="0"/>
    <n v="34"/>
    <n v="66"/>
  </r>
  <r>
    <d v="2017-01-24T00:00:00"/>
    <s v="Algier"/>
    <x v="4"/>
    <x v="0"/>
    <n v="5"/>
    <n v="21"/>
  </r>
  <r>
    <d v="2017-02-08T00:00:00"/>
    <s v="Tunis"/>
    <x v="0"/>
    <x v="1"/>
    <n v="74"/>
    <n v="92"/>
  </r>
  <r>
    <d v="2017-02-08T00:00:00"/>
    <s v="Tunis"/>
    <x v="3"/>
    <x v="0"/>
    <n v="14"/>
    <n v="26"/>
  </r>
  <r>
    <d v="2017-02-27T00:00:00"/>
    <s v="Benghazi"/>
    <x v="1"/>
    <x v="1"/>
    <n v="1"/>
    <n v="60"/>
  </r>
  <r>
    <d v="2017-02-27T00:00:00"/>
    <s v="Benghazi"/>
    <x v="3"/>
    <x v="1"/>
    <n v="43"/>
    <n v="36"/>
  </r>
  <r>
    <d v="2017-02-27T00:00:00"/>
    <s v="Benghazi"/>
    <x v="2"/>
    <x v="0"/>
    <n v="30"/>
    <n v="8"/>
  </r>
  <r>
    <d v="2017-02-27T00:00:00"/>
    <s v="Benghazi"/>
    <x v="4"/>
    <x v="0"/>
    <n v="14"/>
    <n v="20"/>
  </r>
  <r>
    <d v="2017-03-25T00:00:00"/>
    <s v="Aleksandria"/>
    <x v="3"/>
    <x v="1"/>
    <n v="33"/>
    <n v="38"/>
  </r>
  <r>
    <d v="2017-03-25T00:00:00"/>
    <s v="Aleksandria"/>
    <x v="1"/>
    <x v="0"/>
    <n v="35"/>
    <n v="37"/>
  </r>
  <r>
    <d v="2017-03-25T00:00:00"/>
    <s v="Aleksandria"/>
    <x v="4"/>
    <x v="0"/>
    <n v="40"/>
    <n v="19"/>
  </r>
  <r>
    <d v="2017-04-15T00:00:00"/>
    <s v="Bejrut"/>
    <x v="3"/>
    <x v="1"/>
    <n v="21"/>
    <n v="36"/>
  </r>
  <r>
    <d v="2017-04-15T00:00:00"/>
    <s v="Bejrut"/>
    <x v="0"/>
    <x v="1"/>
    <n v="2"/>
    <n v="97"/>
  </r>
  <r>
    <d v="2017-04-15T00:00:00"/>
    <s v="Bejrut"/>
    <x v="4"/>
    <x v="0"/>
    <n v="12"/>
    <n v="20"/>
  </r>
  <r>
    <d v="2017-04-15T00:00:00"/>
    <s v="Bejrut"/>
    <x v="2"/>
    <x v="0"/>
    <n v="15"/>
    <n v="8"/>
  </r>
  <r>
    <d v="2017-04-15T00:00:00"/>
    <s v="Bejrut"/>
    <x v="1"/>
    <x v="0"/>
    <n v="1"/>
    <n v="40"/>
  </r>
  <r>
    <d v="2017-05-09T00:00:00"/>
    <s v="Palermo"/>
    <x v="2"/>
    <x v="1"/>
    <n v="86"/>
    <n v="12"/>
  </r>
  <r>
    <d v="2017-05-09T00:00:00"/>
    <s v="Palermo"/>
    <x v="4"/>
    <x v="1"/>
    <n v="110"/>
    <n v="31"/>
  </r>
  <r>
    <d v="2017-05-09T00:00:00"/>
    <s v="Palermo"/>
    <x v="1"/>
    <x v="0"/>
    <n v="33"/>
    <n v="38"/>
  </r>
  <r>
    <d v="2017-05-09T00:00:00"/>
    <s v="Palermo"/>
    <x v="3"/>
    <x v="0"/>
    <n v="13"/>
    <n v="23"/>
  </r>
  <r>
    <d v="2017-05-09T00:00:00"/>
    <s v="Palermo"/>
    <x v="0"/>
    <x v="0"/>
    <n v="37"/>
    <n v="61"/>
  </r>
  <r>
    <d v="2017-05-27T00:00:00"/>
    <s v="Neapol"/>
    <x v="2"/>
    <x v="1"/>
    <n v="1"/>
    <n v="12"/>
  </r>
  <r>
    <d v="2017-05-27T00:00:00"/>
    <s v="Neapol"/>
    <x v="1"/>
    <x v="1"/>
    <n v="68"/>
    <n v="59"/>
  </r>
  <r>
    <d v="2017-05-27T00:00:00"/>
    <s v="Neapol"/>
    <x v="0"/>
    <x v="0"/>
    <n v="35"/>
    <n v="66"/>
  </r>
  <r>
    <d v="2017-05-27T00:00:00"/>
    <s v="Neapol"/>
    <x v="4"/>
    <x v="0"/>
    <n v="25"/>
    <n v="21"/>
  </r>
  <r>
    <d v="2017-05-27T00:00:00"/>
    <s v="Neapol"/>
    <x v="3"/>
    <x v="0"/>
    <n v="10"/>
    <n v="25"/>
  </r>
  <r>
    <d v="2017-06-18T00:00:00"/>
    <s v="Monako"/>
    <x v="3"/>
    <x v="1"/>
    <n v="38"/>
    <n v="37"/>
  </r>
  <r>
    <d v="2017-06-18T00:00:00"/>
    <s v="Monako"/>
    <x v="2"/>
    <x v="0"/>
    <n v="22"/>
    <n v="8"/>
  </r>
  <r>
    <d v="2017-06-18T00:00:00"/>
    <s v="Monako"/>
    <x v="4"/>
    <x v="0"/>
    <n v="25"/>
    <n v="20"/>
  </r>
  <r>
    <d v="2017-06-18T00:00:00"/>
    <s v="Monako"/>
    <x v="1"/>
    <x v="0"/>
    <n v="8"/>
    <n v="39"/>
  </r>
  <r>
    <d v="2017-06-18T00:00:00"/>
    <s v="Monako"/>
    <x v="0"/>
    <x v="0"/>
    <n v="45"/>
    <n v="62"/>
  </r>
  <r>
    <d v="2017-07-13T00:00:00"/>
    <s v="Barcelona"/>
    <x v="0"/>
    <x v="1"/>
    <n v="116"/>
    <n v="100"/>
  </r>
  <r>
    <d v="2017-07-13T00:00:00"/>
    <s v="Barcelona"/>
    <x v="4"/>
    <x v="0"/>
    <n v="29"/>
    <n v="19"/>
  </r>
  <r>
    <d v="2017-07-26T00:00:00"/>
    <s v="Walencja"/>
    <x v="3"/>
    <x v="1"/>
    <n v="5"/>
    <n v="34"/>
  </r>
  <r>
    <d v="2017-07-26T00:00:00"/>
    <s v="Walencja"/>
    <x v="2"/>
    <x v="1"/>
    <n v="22"/>
    <n v="11"/>
  </r>
  <r>
    <d v="2017-07-26T00:00:00"/>
    <s v="Walencja"/>
    <x v="4"/>
    <x v="0"/>
    <n v="37"/>
    <n v="22"/>
  </r>
  <r>
    <d v="2017-07-26T00:00:00"/>
    <s v="Walencja"/>
    <x v="0"/>
    <x v="0"/>
    <n v="10"/>
    <n v="70"/>
  </r>
  <r>
    <d v="2017-07-26T00:00:00"/>
    <s v="Walencja"/>
    <x v="1"/>
    <x v="0"/>
    <n v="42"/>
    <n v="44"/>
  </r>
  <r>
    <d v="2017-08-12T00:00:00"/>
    <s v="Algier"/>
    <x v="0"/>
    <x v="1"/>
    <n v="11"/>
    <n v="94"/>
  </r>
  <r>
    <d v="2017-08-12T00:00:00"/>
    <s v="Algier"/>
    <x v="1"/>
    <x v="1"/>
    <n v="48"/>
    <n v="59"/>
  </r>
  <r>
    <d v="2017-08-12T00:00:00"/>
    <s v="Algier"/>
    <x v="4"/>
    <x v="0"/>
    <n v="20"/>
    <n v="21"/>
  </r>
  <r>
    <d v="2017-08-12T00:00:00"/>
    <s v="Algier"/>
    <x v="3"/>
    <x v="0"/>
    <n v="26"/>
    <n v="25"/>
  </r>
  <r>
    <d v="2017-08-27T00:00:00"/>
    <s v="Tunis"/>
    <x v="2"/>
    <x v="0"/>
    <n v="24"/>
    <n v="9"/>
  </r>
  <r>
    <d v="2017-08-27T00:00:00"/>
    <s v="Tunis"/>
    <x v="0"/>
    <x v="0"/>
    <n v="38"/>
    <n v="68"/>
  </r>
  <r>
    <d v="2017-08-27T00:00:00"/>
    <s v="Tunis"/>
    <x v="4"/>
    <x v="0"/>
    <n v="14"/>
    <n v="21"/>
  </r>
  <r>
    <d v="2017-08-27T00:00:00"/>
    <s v="Tunis"/>
    <x v="1"/>
    <x v="0"/>
    <n v="4"/>
    <n v="43"/>
  </r>
  <r>
    <d v="2017-09-15T00:00:00"/>
    <s v="Benghazi"/>
    <x v="3"/>
    <x v="1"/>
    <n v="19"/>
    <n v="36"/>
  </r>
  <r>
    <d v="2017-09-15T00:00:00"/>
    <s v="Benghazi"/>
    <x v="0"/>
    <x v="0"/>
    <n v="30"/>
    <n v="65"/>
  </r>
  <r>
    <d v="2017-10-11T00:00:00"/>
    <s v="Aleksandria"/>
    <x v="1"/>
    <x v="1"/>
    <n v="6"/>
    <n v="63"/>
  </r>
  <r>
    <d v="2017-10-11T00:00:00"/>
    <s v="Aleksandria"/>
    <x v="0"/>
    <x v="0"/>
    <n v="43"/>
    <n v="59"/>
  </r>
  <r>
    <d v="2017-11-01T00:00:00"/>
    <s v="Bejrut"/>
    <x v="1"/>
    <x v="1"/>
    <n v="1"/>
    <n v="61"/>
  </r>
  <r>
    <d v="2017-11-01T00:00:00"/>
    <s v="Bejrut"/>
    <x v="4"/>
    <x v="1"/>
    <n v="147"/>
    <n v="30"/>
  </r>
  <r>
    <d v="2017-11-01T00:00:00"/>
    <s v="Bejrut"/>
    <x v="2"/>
    <x v="0"/>
    <n v="15"/>
    <n v="8"/>
  </r>
  <r>
    <d v="2017-11-01T00:00:00"/>
    <s v="Bejrut"/>
    <x v="0"/>
    <x v="0"/>
    <n v="24"/>
    <n v="63"/>
  </r>
  <r>
    <d v="2017-11-01T00:00:00"/>
    <s v="Bejrut"/>
    <x v="3"/>
    <x v="0"/>
    <n v="19"/>
    <n v="24"/>
  </r>
  <r>
    <d v="2017-11-25T00:00:00"/>
    <s v="Palermo"/>
    <x v="0"/>
    <x v="1"/>
    <n v="134"/>
    <n v="99"/>
  </r>
  <r>
    <d v="2017-11-25T00:00:00"/>
    <s v="Palermo"/>
    <x v="1"/>
    <x v="0"/>
    <n v="12"/>
    <n v="38"/>
  </r>
  <r>
    <d v="2017-12-13T00:00:00"/>
    <s v="Neapol"/>
    <x v="4"/>
    <x v="1"/>
    <n v="4"/>
    <n v="30"/>
  </r>
  <r>
    <d v="2017-12-13T00:00:00"/>
    <s v="Neapol"/>
    <x v="2"/>
    <x v="0"/>
    <n v="26"/>
    <n v="8"/>
  </r>
  <r>
    <d v="2017-12-13T00:00:00"/>
    <s v="Neapol"/>
    <x v="0"/>
    <x v="0"/>
    <n v="38"/>
    <n v="66"/>
  </r>
  <r>
    <d v="2018-01-04T00:00:00"/>
    <s v="Monako"/>
    <x v="0"/>
    <x v="1"/>
    <n v="38"/>
    <n v="98"/>
  </r>
  <r>
    <d v="2018-01-04T00:00:00"/>
    <s v="Monako"/>
    <x v="3"/>
    <x v="1"/>
    <n v="44"/>
    <n v="37"/>
  </r>
  <r>
    <d v="2018-01-04T00:00:00"/>
    <s v="Monako"/>
    <x v="2"/>
    <x v="0"/>
    <n v="21"/>
    <n v="8"/>
  </r>
  <r>
    <d v="2018-01-04T00:00:00"/>
    <s v="Monako"/>
    <x v="1"/>
    <x v="0"/>
    <n v="10"/>
    <n v="39"/>
  </r>
  <r>
    <d v="2018-01-29T00:00:00"/>
    <s v="Barcelona"/>
    <x v="3"/>
    <x v="1"/>
    <n v="15"/>
    <n v="38"/>
  </r>
  <r>
    <d v="2018-01-29T00:00:00"/>
    <s v="Barcelona"/>
    <x v="1"/>
    <x v="1"/>
    <n v="22"/>
    <n v="63"/>
  </r>
  <r>
    <d v="2018-01-29T00:00:00"/>
    <s v="Barcelona"/>
    <x v="0"/>
    <x v="0"/>
    <n v="9"/>
    <n v="60"/>
  </r>
  <r>
    <d v="2018-01-29T00:00:00"/>
    <s v="Barcelona"/>
    <x v="4"/>
    <x v="0"/>
    <n v="6"/>
    <n v="19"/>
  </r>
  <r>
    <d v="2018-01-29T00:00:00"/>
    <s v="Barcelona"/>
    <x v="2"/>
    <x v="0"/>
    <n v="4"/>
    <n v="8"/>
  </r>
  <r>
    <d v="2018-01-30T00:00:00"/>
    <s v="Walencja"/>
    <x v="4"/>
    <x v="1"/>
    <n v="6"/>
    <n v="25"/>
  </r>
  <r>
    <d v="2018-01-30T00:00:00"/>
    <s v="Walencja"/>
    <x v="0"/>
    <x v="0"/>
    <n v="48"/>
    <n v="79"/>
  </r>
  <r>
    <d v="2018-02-16T00:00:00"/>
    <s v="Algier"/>
    <x v="1"/>
    <x v="0"/>
    <n v="34"/>
    <n v="42"/>
  </r>
  <r>
    <d v="2018-02-16T00:00:00"/>
    <s v="Algier"/>
    <x v="3"/>
    <x v="1"/>
    <n v="49"/>
    <n v="35"/>
  </r>
  <r>
    <d v="2018-02-16T00:00:00"/>
    <s v="Algier"/>
    <x v="2"/>
    <x v="0"/>
    <n v="10"/>
    <n v="8"/>
  </r>
  <r>
    <d v="2018-02-16T00:00:00"/>
    <s v="Algier"/>
    <x v="4"/>
    <x v="0"/>
    <n v="47"/>
    <n v="21"/>
  </r>
  <r>
    <d v="2018-02-16T00:00:00"/>
    <s v="Algier"/>
    <x v="0"/>
    <x v="0"/>
    <n v="48"/>
    <n v="66"/>
  </r>
  <r>
    <d v="2018-03-03T00:00:00"/>
    <s v="Tunis"/>
    <x v="1"/>
    <x v="1"/>
    <n v="34"/>
    <n v="58"/>
  </r>
  <r>
    <d v="2018-03-03T00:00:00"/>
    <s v="Tunis"/>
    <x v="2"/>
    <x v="0"/>
    <n v="5"/>
    <n v="9"/>
  </r>
  <r>
    <d v="2018-03-22T00:00:00"/>
    <s v="Benghazi"/>
    <x v="4"/>
    <x v="1"/>
    <n v="46"/>
    <n v="30"/>
  </r>
  <r>
    <d v="2018-03-22T00:00:00"/>
    <s v="Benghazi"/>
    <x v="0"/>
    <x v="0"/>
    <n v="49"/>
    <n v="65"/>
  </r>
  <r>
    <d v="2018-03-22T00:00:00"/>
    <s v="Benghazi"/>
    <x v="2"/>
    <x v="0"/>
    <n v="16"/>
    <n v="8"/>
  </r>
  <r>
    <d v="2018-04-17T00:00:00"/>
    <s v="Aleksandria"/>
    <x v="1"/>
    <x v="0"/>
    <n v="5"/>
    <n v="37"/>
  </r>
  <r>
    <d v="2018-04-17T00:00:00"/>
    <s v="Aleksandria"/>
    <x v="4"/>
    <x v="1"/>
    <n v="1"/>
    <n v="32"/>
  </r>
  <r>
    <d v="2018-04-17T00:00:00"/>
    <s v="Aleksandria"/>
    <x v="2"/>
    <x v="0"/>
    <n v="34"/>
    <n v="7"/>
  </r>
  <r>
    <d v="2018-04-17T00:00:00"/>
    <s v="Aleksandria"/>
    <x v="0"/>
    <x v="0"/>
    <n v="29"/>
    <n v="59"/>
  </r>
  <r>
    <d v="2018-05-08T00:00:00"/>
    <s v="Bejrut"/>
    <x v="3"/>
    <x v="0"/>
    <n v="34"/>
    <n v="24"/>
  </r>
  <r>
    <d v="2018-05-08T00:00:00"/>
    <s v="Bejrut"/>
    <x v="4"/>
    <x v="0"/>
    <n v="27"/>
    <n v="20"/>
  </r>
  <r>
    <d v="2018-05-08T00:00:00"/>
    <s v="Bejrut"/>
    <x v="2"/>
    <x v="0"/>
    <n v="40"/>
    <n v="8"/>
  </r>
  <r>
    <d v="2018-06-01T00:00:00"/>
    <s v="Palermo"/>
    <x v="0"/>
    <x v="1"/>
    <n v="184"/>
    <n v="99"/>
  </r>
  <r>
    <d v="2018-06-01T00:00:00"/>
    <s v="Palermo"/>
    <x v="1"/>
    <x v="0"/>
    <n v="48"/>
    <n v="38"/>
  </r>
  <r>
    <d v="2018-06-01T00:00:00"/>
    <s v="Palermo"/>
    <x v="3"/>
    <x v="0"/>
    <n v="21"/>
    <n v="23"/>
  </r>
  <r>
    <d v="2018-06-19T00:00:00"/>
    <s v="Neapol"/>
    <x v="0"/>
    <x v="0"/>
    <n v="47"/>
    <n v="66"/>
  </r>
  <r>
    <d v="2018-06-19T00:00:00"/>
    <s v="Neapol"/>
    <x v="3"/>
    <x v="0"/>
    <n v="6"/>
    <n v="25"/>
  </r>
  <r>
    <d v="2018-06-19T00:00:00"/>
    <s v="Neapol"/>
    <x v="1"/>
    <x v="0"/>
    <n v="47"/>
    <n v="41"/>
  </r>
  <r>
    <d v="2018-07-11T00:00:00"/>
    <s v="Monako"/>
    <x v="2"/>
    <x v="1"/>
    <n v="192"/>
    <n v="12"/>
  </r>
  <r>
    <d v="2018-07-11T00:00:00"/>
    <s v="Monako"/>
    <x v="3"/>
    <x v="1"/>
    <n v="48"/>
    <n v="37"/>
  </r>
  <r>
    <d v="2018-07-11T00:00:00"/>
    <s v="Monako"/>
    <x v="0"/>
    <x v="0"/>
    <n v="18"/>
    <n v="62"/>
  </r>
  <r>
    <d v="2018-07-11T00:00:00"/>
    <s v="Monako"/>
    <x v="1"/>
    <x v="0"/>
    <n v="25"/>
    <n v="39"/>
  </r>
  <r>
    <d v="2018-07-11T00:00:00"/>
    <s v="Monako"/>
    <x v="4"/>
    <x v="0"/>
    <n v="2"/>
    <n v="20"/>
  </r>
  <r>
    <d v="2018-08-05T00:00:00"/>
    <s v="Barcelona"/>
    <x v="3"/>
    <x v="1"/>
    <n v="13"/>
    <n v="38"/>
  </r>
  <r>
    <d v="2018-08-05T00:00:00"/>
    <s v="Barcelona"/>
    <x v="1"/>
    <x v="1"/>
    <n v="121"/>
    <n v="63"/>
  </r>
  <r>
    <d v="2018-08-05T00:00:00"/>
    <s v="Barcelona"/>
    <x v="4"/>
    <x v="0"/>
    <n v="30"/>
    <n v="19"/>
  </r>
  <r>
    <d v="2018-08-05T00:00:00"/>
    <s v="Barcelona"/>
    <x v="2"/>
    <x v="0"/>
    <n v="46"/>
    <n v="8"/>
  </r>
  <r>
    <d v="2018-08-18T00:00:00"/>
    <s v="Walencja"/>
    <x v="2"/>
    <x v="1"/>
    <n v="49"/>
    <n v="11"/>
  </r>
  <r>
    <d v="2018-08-18T00:00:00"/>
    <s v="Walencja"/>
    <x v="0"/>
    <x v="1"/>
    <n v="61"/>
    <n v="90"/>
  </r>
  <r>
    <d v="2018-08-18T00:00:00"/>
    <s v="Walencja"/>
    <x v="4"/>
    <x v="0"/>
    <n v="19"/>
    <n v="22"/>
  </r>
  <r>
    <d v="2018-08-18T00:00:00"/>
    <s v="Walencja"/>
    <x v="1"/>
    <x v="0"/>
    <n v="22"/>
    <n v="44"/>
  </r>
  <r>
    <d v="2018-09-04T00:00:00"/>
    <s v="Algier"/>
    <x v="3"/>
    <x v="0"/>
    <n v="9"/>
    <n v="25"/>
  </r>
  <r>
    <d v="2018-09-04T00:00:00"/>
    <s v="Algier"/>
    <x v="0"/>
    <x v="1"/>
    <n v="4"/>
    <n v="94"/>
  </r>
  <r>
    <d v="2018-09-04T00:00:00"/>
    <s v="Algier"/>
    <x v="4"/>
    <x v="0"/>
    <n v="8"/>
    <n v="21"/>
  </r>
  <r>
    <d v="2018-09-04T00:00:00"/>
    <s v="Algier"/>
    <x v="2"/>
    <x v="0"/>
    <n v="47"/>
    <n v="8"/>
  </r>
  <r>
    <d v="2018-09-19T00:00:00"/>
    <s v="Tunis"/>
    <x v="4"/>
    <x v="1"/>
    <n v="82"/>
    <n v="29"/>
  </r>
  <r>
    <d v="2018-09-19T00:00:00"/>
    <s v="Tunis"/>
    <x v="1"/>
    <x v="1"/>
    <n v="26"/>
    <n v="58"/>
  </r>
  <r>
    <d v="2018-09-19T00:00:00"/>
    <s v="Tunis"/>
    <x v="2"/>
    <x v="0"/>
    <n v="24"/>
    <n v="9"/>
  </r>
  <r>
    <d v="2018-09-19T00:00:00"/>
    <s v="Tunis"/>
    <x v="3"/>
    <x v="0"/>
    <n v="36"/>
    <n v="26"/>
  </r>
  <r>
    <d v="2018-09-19T00:00:00"/>
    <s v="Tunis"/>
    <x v="0"/>
    <x v="0"/>
    <n v="6"/>
    <n v="68"/>
  </r>
  <r>
    <d v="2018-10-08T00:00:00"/>
    <s v="Benghazi"/>
    <x v="3"/>
    <x v="1"/>
    <n v="45"/>
    <n v="36"/>
  </r>
  <r>
    <d v="2018-10-08T00:00:00"/>
    <s v="Benghazi"/>
    <x v="2"/>
    <x v="0"/>
    <n v="18"/>
    <n v="8"/>
  </r>
  <r>
    <d v="2018-10-08T00:00:00"/>
    <s v="Benghazi"/>
    <x v="1"/>
    <x v="0"/>
    <n v="20"/>
    <n v="41"/>
  </r>
  <r>
    <d v="2018-11-03T00:00:00"/>
    <s v="Aleksandria"/>
    <x v="4"/>
    <x v="1"/>
    <n v="4"/>
    <n v="32"/>
  </r>
  <r>
    <d v="2018-11-03T00:00:00"/>
    <s v="Aleksandria"/>
    <x v="1"/>
    <x v="0"/>
    <n v="48"/>
    <n v="37"/>
  </r>
  <r>
    <d v="2018-11-24T00:00:00"/>
    <s v="Bejrut"/>
    <x v="1"/>
    <x v="1"/>
    <n v="64"/>
    <n v="61"/>
  </r>
  <r>
    <d v="2018-11-24T00:00:00"/>
    <s v="Bejrut"/>
    <x v="0"/>
    <x v="0"/>
    <n v="43"/>
    <n v="63"/>
  </r>
  <r>
    <d v="2018-11-24T00:00:00"/>
    <s v="Bejrut"/>
    <x v="3"/>
    <x v="0"/>
    <n v="24"/>
    <n v="24"/>
  </r>
  <r>
    <d v="2018-12-18T00:00:00"/>
    <s v="Palermo"/>
    <x v="1"/>
    <x v="1"/>
    <n v="4"/>
    <n v="62"/>
  </r>
  <r>
    <d v="2018-12-18T00:00:00"/>
    <s v="Palermo"/>
    <x v="4"/>
    <x v="0"/>
    <n v="35"/>
    <n v="19"/>
  </r>
  <r>
    <d v="2018-12-18T00:00:00"/>
    <s v="Palermo"/>
    <x v="2"/>
    <x v="0"/>
    <n v="41"/>
    <n v="8"/>
  </r>
  <r>
    <d v="2018-12-18T00:00:00"/>
    <s v="Palermo"/>
    <x v="0"/>
    <x v="0"/>
    <n v="23"/>
    <n v="61"/>
  </r>
  <r>
    <d v="2018-12-18T00:00:00"/>
    <s v="Palermo"/>
    <x v="3"/>
    <x v="0"/>
    <n v="46"/>
    <n v="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16-01-01T00:00:00"/>
    <s v="Algier"/>
    <s v="T4"/>
    <x v="0"/>
    <n v="3"/>
    <n v="80"/>
    <n v="0"/>
    <x v="0"/>
    <x v="0"/>
  </r>
  <r>
    <d v="2016-01-01T00:00:00"/>
    <s v="Algier"/>
    <s v="T5"/>
    <x v="0"/>
    <n v="32"/>
    <n v="50"/>
    <n v="32"/>
    <x v="0"/>
    <x v="0"/>
  </r>
  <r>
    <d v="2016-01-01T00:00:00"/>
    <s v="Algier"/>
    <s v="T1"/>
    <x v="0"/>
    <n v="38"/>
    <n v="10"/>
    <n v="0"/>
    <x v="0"/>
    <x v="0"/>
  </r>
  <r>
    <d v="2016-01-01T00:00:00"/>
    <s v="Algier"/>
    <s v="T2"/>
    <x v="0"/>
    <n v="33"/>
    <n v="30"/>
    <n v="0"/>
    <x v="0"/>
    <x v="0"/>
  </r>
  <r>
    <d v="2016-01-01T00:00:00"/>
    <s v="Algier"/>
    <s v="T3"/>
    <x v="0"/>
    <n v="43"/>
    <n v="25"/>
    <n v="0"/>
    <x v="0"/>
    <x v="0"/>
  </r>
  <r>
    <d v="2016-01-16T00:00:00"/>
    <s v="Tunis"/>
    <s v="T5"/>
    <x v="1"/>
    <n v="32"/>
    <n v="58"/>
    <n v="32"/>
    <x v="0"/>
    <x v="0"/>
  </r>
  <r>
    <d v="2016-01-16T00:00:00"/>
    <s v="Tunis"/>
    <s v="T2"/>
    <x v="0"/>
    <n v="14"/>
    <n v="26"/>
    <n v="0"/>
    <x v="0"/>
    <x v="0"/>
  </r>
  <r>
    <d v="2016-01-24T00:00:00"/>
    <s v="Benghazi"/>
    <s v="T5"/>
    <x v="0"/>
    <n v="44"/>
    <n v="46"/>
    <n v="44"/>
    <x v="0"/>
    <x v="0"/>
  </r>
  <r>
    <d v="2016-01-24T00:00:00"/>
    <s v="Benghazi"/>
    <s v="T2"/>
    <x v="0"/>
    <n v="1"/>
    <n v="28"/>
    <n v="0"/>
    <x v="0"/>
    <x v="0"/>
  </r>
  <r>
    <d v="2016-01-24T00:00:00"/>
    <s v="Benghazi"/>
    <s v="T4"/>
    <x v="0"/>
    <n v="21"/>
    <n v="74"/>
    <n v="0"/>
    <x v="0"/>
    <x v="0"/>
  </r>
  <r>
    <d v="2016-02-19T00:00:00"/>
    <s v="Aleksandria"/>
    <s v="T3"/>
    <x v="1"/>
    <n v="43"/>
    <n v="32"/>
    <n v="0"/>
    <x v="1"/>
    <x v="0"/>
  </r>
  <r>
    <d v="2016-02-19T00:00:00"/>
    <s v="Aleksandria"/>
    <s v="T1"/>
    <x v="1"/>
    <n v="38"/>
    <n v="13"/>
    <n v="0"/>
    <x v="1"/>
    <x v="0"/>
  </r>
  <r>
    <d v="2016-02-19T00:00:00"/>
    <s v="Aleksandria"/>
    <s v="T4"/>
    <x v="0"/>
    <n v="9"/>
    <n v="59"/>
    <n v="0"/>
    <x v="1"/>
    <x v="0"/>
  </r>
  <r>
    <d v="2016-02-19T00:00:00"/>
    <s v="Aleksandria"/>
    <s v="T5"/>
    <x v="0"/>
    <n v="8"/>
    <n v="37"/>
    <n v="8"/>
    <x v="1"/>
    <x v="0"/>
  </r>
  <r>
    <d v="2016-03-11T00:00:00"/>
    <s v="Bejrut"/>
    <s v="T5"/>
    <x v="1"/>
    <n v="50"/>
    <n v="61"/>
    <n v="50"/>
    <x v="2"/>
    <x v="0"/>
  </r>
  <r>
    <d v="2016-03-11T00:00:00"/>
    <s v="Bejrut"/>
    <s v="T3"/>
    <x v="0"/>
    <n v="32"/>
    <n v="20"/>
    <n v="0"/>
    <x v="2"/>
    <x v="0"/>
  </r>
  <r>
    <d v="2016-03-11T00:00:00"/>
    <s v="Bejrut"/>
    <s v="T1"/>
    <x v="0"/>
    <n v="7"/>
    <n v="8"/>
    <n v="0"/>
    <x v="2"/>
    <x v="0"/>
  </r>
  <r>
    <d v="2016-03-11T00:00:00"/>
    <s v="Bejrut"/>
    <s v="T2"/>
    <x v="0"/>
    <n v="10"/>
    <n v="24"/>
    <n v="0"/>
    <x v="2"/>
    <x v="0"/>
  </r>
  <r>
    <d v="2016-04-04T00:00:00"/>
    <s v="Palermo"/>
    <s v="T1"/>
    <x v="1"/>
    <n v="7"/>
    <n v="12"/>
    <n v="0"/>
    <x v="3"/>
    <x v="0"/>
  </r>
  <r>
    <d v="2016-04-04T00:00:00"/>
    <s v="Palermo"/>
    <s v="T3"/>
    <x v="0"/>
    <n v="25"/>
    <n v="19"/>
    <n v="0"/>
    <x v="3"/>
    <x v="0"/>
  </r>
  <r>
    <d v="2016-04-04T00:00:00"/>
    <s v="Palermo"/>
    <s v="T5"/>
    <x v="0"/>
    <n v="33"/>
    <n v="38"/>
    <n v="33"/>
    <x v="3"/>
    <x v="0"/>
  </r>
  <r>
    <d v="2016-04-22T00:00:00"/>
    <s v="Neapol"/>
    <s v="T2"/>
    <x v="1"/>
    <n v="36"/>
    <n v="35"/>
    <n v="0"/>
    <x v="3"/>
    <x v="0"/>
  </r>
  <r>
    <d v="2016-04-22T00:00:00"/>
    <s v="Neapol"/>
    <s v="T4"/>
    <x v="0"/>
    <n v="5"/>
    <n v="66"/>
    <n v="0"/>
    <x v="3"/>
    <x v="0"/>
  </r>
  <r>
    <d v="2016-04-22T00:00:00"/>
    <s v="Neapol"/>
    <s v="T5"/>
    <x v="0"/>
    <n v="35"/>
    <n v="41"/>
    <n v="35"/>
    <x v="3"/>
    <x v="0"/>
  </r>
  <r>
    <d v="2016-05-14T00:00:00"/>
    <s v="Monako"/>
    <s v="T4"/>
    <x v="1"/>
    <n v="38"/>
    <n v="98"/>
    <n v="0"/>
    <x v="4"/>
    <x v="0"/>
  </r>
  <r>
    <d v="2016-05-14T00:00:00"/>
    <s v="Monako"/>
    <s v="T2"/>
    <x v="0"/>
    <n v="10"/>
    <n v="23"/>
    <n v="0"/>
    <x v="4"/>
    <x v="0"/>
  </r>
  <r>
    <d v="2016-06-08T00:00:00"/>
    <s v="Barcelona"/>
    <s v="T2"/>
    <x v="1"/>
    <n v="4"/>
    <n v="38"/>
    <n v="0"/>
    <x v="5"/>
    <x v="0"/>
  </r>
  <r>
    <d v="2016-06-08T00:00:00"/>
    <s v="Barcelona"/>
    <s v="T4"/>
    <x v="0"/>
    <n v="42"/>
    <n v="60"/>
    <n v="0"/>
    <x v="5"/>
    <x v="0"/>
  </r>
  <r>
    <d v="2016-06-08T00:00:00"/>
    <s v="Barcelona"/>
    <s v="T1"/>
    <x v="0"/>
    <n v="28"/>
    <n v="8"/>
    <n v="0"/>
    <x v="5"/>
    <x v="0"/>
  </r>
  <r>
    <d v="2016-06-08T00:00:00"/>
    <s v="Barcelona"/>
    <s v="T3"/>
    <x v="0"/>
    <n v="19"/>
    <n v="19"/>
    <n v="0"/>
    <x v="5"/>
    <x v="0"/>
  </r>
  <r>
    <d v="2016-06-21T00:00:00"/>
    <s v="Walencja"/>
    <s v="T3"/>
    <x v="1"/>
    <n v="72"/>
    <n v="28"/>
    <n v="0"/>
    <x v="5"/>
    <x v="0"/>
  </r>
  <r>
    <d v="2016-06-21T00:00:00"/>
    <s v="Walencja"/>
    <s v="T4"/>
    <x v="1"/>
    <n v="42"/>
    <n v="90"/>
    <n v="0"/>
    <x v="5"/>
    <x v="0"/>
  </r>
  <r>
    <d v="2016-06-21T00:00:00"/>
    <s v="Walencja"/>
    <s v="T5"/>
    <x v="0"/>
    <n v="42"/>
    <n v="44"/>
    <n v="42"/>
    <x v="5"/>
    <x v="0"/>
  </r>
  <r>
    <d v="2016-06-21T00:00:00"/>
    <s v="Walencja"/>
    <s v="T2"/>
    <x v="0"/>
    <n v="33"/>
    <n v="26"/>
    <n v="0"/>
    <x v="5"/>
    <x v="0"/>
  </r>
  <r>
    <d v="2016-06-21T00:00:00"/>
    <s v="Walencja"/>
    <s v="T1"/>
    <x v="0"/>
    <n v="9"/>
    <n v="9"/>
    <n v="0"/>
    <x v="5"/>
    <x v="0"/>
  </r>
  <r>
    <d v="2016-07-08T00:00:00"/>
    <s v="Algier"/>
    <s v="T3"/>
    <x v="1"/>
    <n v="4"/>
    <n v="29"/>
    <n v="0"/>
    <x v="6"/>
    <x v="0"/>
  </r>
  <r>
    <d v="2016-07-08T00:00:00"/>
    <s v="Algier"/>
    <s v="T1"/>
    <x v="1"/>
    <n v="37"/>
    <n v="12"/>
    <n v="0"/>
    <x v="6"/>
    <x v="0"/>
  </r>
  <r>
    <d v="2016-07-08T00:00:00"/>
    <s v="Algier"/>
    <s v="T5"/>
    <x v="0"/>
    <n v="35"/>
    <n v="42"/>
    <n v="35"/>
    <x v="6"/>
    <x v="0"/>
  </r>
  <r>
    <d v="2016-07-08T00:00:00"/>
    <s v="Algier"/>
    <s v="T4"/>
    <x v="0"/>
    <n v="32"/>
    <n v="66"/>
    <n v="0"/>
    <x v="6"/>
    <x v="0"/>
  </r>
  <r>
    <d v="2016-07-23T00:00:00"/>
    <s v="Tunis"/>
    <s v="T4"/>
    <x v="1"/>
    <n v="32"/>
    <n v="92"/>
    <n v="0"/>
    <x v="6"/>
    <x v="0"/>
  </r>
  <r>
    <d v="2016-07-23T00:00:00"/>
    <s v="Tunis"/>
    <s v="T5"/>
    <x v="0"/>
    <n v="48"/>
    <n v="43"/>
    <n v="48"/>
    <x v="6"/>
    <x v="0"/>
  </r>
  <r>
    <d v="2016-08-11T00:00:00"/>
    <s v="Benghazi"/>
    <s v="T5"/>
    <x v="1"/>
    <n v="191"/>
    <n v="60"/>
    <n v="191"/>
    <x v="7"/>
    <x v="0"/>
  </r>
  <r>
    <d v="2016-08-11T00:00:00"/>
    <s v="Benghazi"/>
    <s v="T2"/>
    <x v="0"/>
    <n v="9"/>
    <n v="24"/>
    <n v="0"/>
    <x v="7"/>
    <x v="0"/>
  </r>
  <r>
    <d v="2016-08-11T00:00:00"/>
    <s v="Benghazi"/>
    <s v="T4"/>
    <x v="0"/>
    <n v="36"/>
    <n v="65"/>
    <n v="0"/>
    <x v="7"/>
    <x v="0"/>
  </r>
  <r>
    <d v="2016-09-06T00:00:00"/>
    <s v="Aleksandria"/>
    <s v="T1"/>
    <x v="0"/>
    <n v="47"/>
    <n v="7"/>
    <n v="0"/>
    <x v="8"/>
    <x v="0"/>
  </r>
  <r>
    <d v="2016-09-06T00:00:00"/>
    <s v="Aleksandria"/>
    <s v="T5"/>
    <x v="1"/>
    <n v="4"/>
    <n v="63"/>
    <n v="4"/>
    <x v="8"/>
    <x v="0"/>
  </r>
  <r>
    <d v="2016-09-06T00:00:00"/>
    <s v="Aleksandria"/>
    <s v="T3"/>
    <x v="0"/>
    <n v="8"/>
    <n v="19"/>
    <n v="0"/>
    <x v="8"/>
    <x v="0"/>
  </r>
  <r>
    <d v="2016-09-06T00:00:00"/>
    <s v="Aleksandria"/>
    <s v="T2"/>
    <x v="0"/>
    <n v="3"/>
    <n v="22"/>
    <n v="0"/>
    <x v="8"/>
    <x v="0"/>
  </r>
  <r>
    <d v="2016-09-06T00:00:00"/>
    <s v="Aleksandria"/>
    <s v="T4"/>
    <x v="0"/>
    <n v="41"/>
    <n v="59"/>
    <n v="0"/>
    <x v="8"/>
    <x v="0"/>
  </r>
  <r>
    <d v="2016-09-27T00:00:00"/>
    <s v="Bejrut"/>
    <s v="T5"/>
    <x v="0"/>
    <n v="44"/>
    <n v="40"/>
    <n v="44"/>
    <x v="8"/>
    <x v="0"/>
  </r>
  <r>
    <d v="2016-09-27T00:00:00"/>
    <s v="Bejrut"/>
    <s v="T1"/>
    <x v="1"/>
    <n v="45"/>
    <n v="12"/>
    <n v="0"/>
    <x v="8"/>
    <x v="0"/>
  </r>
  <r>
    <d v="2016-09-27T00:00:00"/>
    <s v="Bejrut"/>
    <s v="T3"/>
    <x v="0"/>
    <n v="40"/>
    <n v="20"/>
    <n v="0"/>
    <x v="8"/>
    <x v="0"/>
  </r>
  <r>
    <d v="2016-09-27T00:00:00"/>
    <s v="Bejrut"/>
    <s v="T4"/>
    <x v="0"/>
    <n v="3"/>
    <n v="63"/>
    <n v="0"/>
    <x v="8"/>
    <x v="0"/>
  </r>
  <r>
    <d v="2016-09-27T00:00:00"/>
    <s v="Bejrut"/>
    <s v="T2"/>
    <x v="0"/>
    <n v="17"/>
    <n v="24"/>
    <n v="0"/>
    <x v="8"/>
    <x v="0"/>
  </r>
  <r>
    <d v="2016-10-21T00:00:00"/>
    <s v="Palermo"/>
    <s v="T1"/>
    <x v="1"/>
    <n v="2"/>
    <n v="12"/>
    <n v="0"/>
    <x v="9"/>
    <x v="0"/>
  </r>
  <r>
    <d v="2016-10-21T00:00:00"/>
    <s v="Palermo"/>
    <s v="T3"/>
    <x v="0"/>
    <n v="14"/>
    <n v="19"/>
    <n v="0"/>
    <x v="9"/>
    <x v="0"/>
  </r>
  <r>
    <d v="2016-10-21T00:00:00"/>
    <s v="Palermo"/>
    <s v="T2"/>
    <x v="0"/>
    <n v="23"/>
    <n v="23"/>
    <n v="0"/>
    <x v="9"/>
    <x v="0"/>
  </r>
  <r>
    <d v="2016-11-08T00:00:00"/>
    <s v="Neapol"/>
    <s v="T1"/>
    <x v="0"/>
    <n v="11"/>
    <n v="8"/>
    <n v="0"/>
    <x v="10"/>
    <x v="0"/>
  </r>
  <r>
    <d v="2016-11-08T00:00:00"/>
    <s v="Neapol"/>
    <s v="T4"/>
    <x v="0"/>
    <n v="17"/>
    <n v="66"/>
    <n v="0"/>
    <x v="10"/>
    <x v="0"/>
  </r>
  <r>
    <d v="2016-11-08T00:00:00"/>
    <s v="Neapol"/>
    <s v="T5"/>
    <x v="0"/>
    <n v="30"/>
    <n v="41"/>
    <n v="30"/>
    <x v="10"/>
    <x v="0"/>
  </r>
  <r>
    <d v="2016-11-30T00:00:00"/>
    <s v="Monako"/>
    <s v="T4"/>
    <x v="1"/>
    <n v="97"/>
    <n v="98"/>
    <n v="0"/>
    <x v="10"/>
    <x v="0"/>
  </r>
  <r>
    <d v="2016-11-30T00:00:00"/>
    <s v="Monako"/>
    <s v="T1"/>
    <x v="1"/>
    <n v="11"/>
    <n v="12"/>
    <n v="0"/>
    <x v="10"/>
    <x v="0"/>
  </r>
  <r>
    <d v="2016-11-30T00:00:00"/>
    <s v="Monako"/>
    <s v="T3"/>
    <x v="0"/>
    <n v="17"/>
    <n v="20"/>
    <n v="0"/>
    <x v="10"/>
    <x v="0"/>
  </r>
  <r>
    <d v="2016-11-30T00:00:00"/>
    <s v="Monako"/>
    <s v="T2"/>
    <x v="0"/>
    <n v="4"/>
    <n v="23"/>
    <n v="0"/>
    <x v="10"/>
    <x v="0"/>
  </r>
  <r>
    <d v="2016-12-25T00:00:00"/>
    <s v="Barcelona"/>
    <s v="T3"/>
    <x v="1"/>
    <n v="79"/>
    <n v="31"/>
    <n v="0"/>
    <x v="11"/>
    <x v="0"/>
  </r>
  <r>
    <d v="2016-12-25T00:00:00"/>
    <s v="Barcelona"/>
    <s v="T4"/>
    <x v="0"/>
    <n v="33"/>
    <n v="60"/>
    <n v="0"/>
    <x v="11"/>
    <x v="0"/>
  </r>
  <r>
    <d v="2016-12-25T00:00:00"/>
    <s v="Barcelona"/>
    <s v="T2"/>
    <x v="0"/>
    <n v="26"/>
    <n v="23"/>
    <n v="0"/>
    <x v="11"/>
    <x v="0"/>
  </r>
  <r>
    <d v="2017-01-07T00:00:00"/>
    <s v="Walencja"/>
    <s v="T3"/>
    <x v="0"/>
    <n v="40"/>
    <n v="22"/>
    <n v="0"/>
    <x v="0"/>
    <x v="1"/>
  </r>
  <r>
    <d v="2017-01-07T00:00:00"/>
    <s v="Walencja"/>
    <s v="T1"/>
    <x v="0"/>
    <n v="42"/>
    <n v="9"/>
    <n v="0"/>
    <x v="0"/>
    <x v="1"/>
  </r>
  <r>
    <d v="2017-01-07T00:00:00"/>
    <s v="Walencja"/>
    <s v="T2"/>
    <x v="0"/>
    <n v="42"/>
    <n v="26"/>
    <n v="0"/>
    <x v="0"/>
    <x v="1"/>
  </r>
  <r>
    <d v="2017-01-07T00:00:00"/>
    <s v="Walencja"/>
    <s v="T4"/>
    <x v="0"/>
    <n v="9"/>
    <n v="70"/>
    <n v="0"/>
    <x v="0"/>
    <x v="1"/>
  </r>
  <r>
    <d v="2017-01-07T00:00:00"/>
    <s v="Walencja"/>
    <s v="T5"/>
    <x v="0"/>
    <n v="39"/>
    <n v="44"/>
    <n v="39"/>
    <x v="0"/>
    <x v="1"/>
  </r>
  <r>
    <d v="2017-01-24T00:00:00"/>
    <s v="Algier"/>
    <s v="T5"/>
    <x v="1"/>
    <n v="112"/>
    <n v="59"/>
    <n v="112"/>
    <x v="0"/>
    <x v="1"/>
  </r>
  <r>
    <d v="2017-01-24T00:00:00"/>
    <s v="Algier"/>
    <s v="T4"/>
    <x v="0"/>
    <n v="34"/>
    <n v="66"/>
    <n v="0"/>
    <x v="0"/>
    <x v="1"/>
  </r>
  <r>
    <d v="2017-01-24T00:00:00"/>
    <s v="Algier"/>
    <s v="T3"/>
    <x v="0"/>
    <n v="5"/>
    <n v="21"/>
    <n v="0"/>
    <x v="0"/>
    <x v="1"/>
  </r>
  <r>
    <d v="2017-02-08T00:00:00"/>
    <s v="Tunis"/>
    <s v="T4"/>
    <x v="1"/>
    <n v="74"/>
    <n v="92"/>
    <n v="0"/>
    <x v="1"/>
    <x v="1"/>
  </r>
  <r>
    <d v="2017-02-08T00:00:00"/>
    <s v="Tunis"/>
    <s v="T2"/>
    <x v="0"/>
    <n v="14"/>
    <n v="26"/>
    <n v="0"/>
    <x v="1"/>
    <x v="1"/>
  </r>
  <r>
    <d v="2017-02-27T00:00:00"/>
    <s v="Benghazi"/>
    <s v="T5"/>
    <x v="1"/>
    <n v="1"/>
    <n v="60"/>
    <n v="1"/>
    <x v="1"/>
    <x v="1"/>
  </r>
  <r>
    <d v="2017-02-27T00:00:00"/>
    <s v="Benghazi"/>
    <s v="T2"/>
    <x v="1"/>
    <n v="43"/>
    <n v="36"/>
    <n v="0"/>
    <x v="1"/>
    <x v="1"/>
  </r>
  <r>
    <d v="2017-02-27T00:00:00"/>
    <s v="Benghazi"/>
    <s v="T1"/>
    <x v="0"/>
    <n v="30"/>
    <n v="8"/>
    <n v="0"/>
    <x v="1"/>
    <x v="1"/>
  </r>
  <r>
    <d v="2017-02-27T00:00:00"/>
    <s v="Benghazi"/>
    <s v="T3"/>
    <x v="0"/>
    <n v="14"/>
    <n v="20"/>
    <n v="0"/>
    <x v="1"/>
    <x v="1"/>
  </r>
  <r>
    <d v="2017-03-25T00:00:00"/>
    <s v="Aleksandria"/>
    <s v="T2"/>
    <x v="1"/>
    <n v="33"/>
    <n v="38"/>
    <n v="0"/>
    <x v="2"/>
    <x v="1"/>
  </r>
  <r>
    <d v="2017-03-25T00:00:00"/>
    <s v="Aleksandria"/>
    <s v="T5"/>
    <x v="0"/>
    <n v="35"/>
    <n v="37"/>
    <n v="35"/>
    <x v="2"/>
    <x v="1"/>
  </r>
  <r>
    <d v="2017-03-25T00:00:00"/>
    <s v="Aleksandria"/>
    <s v="T3"/>
    <x v="0"/>
    <n v="40"/>
    <n v="19"/>
    <n v="0"/>
    <x v="2"/>
    <x v="1"/>
  </r>
  <r>
    <d v="2017-04-15T00:00:00"/>
    <s v="Bejrut"/>
    <s v="T2"/>
    <x v="1"/>
    <n v="21"/>
    <n v="36"/>
    <n v="0"/>
    <x v="3"/>
    <x v="1"/>
  </r>
  <r>
    <d v="2017-04-15T00:00:00"/>
    <s v="Bejrut"/>
    <s v="T4"/>
    <x v="1"/>
    <n v="2"/>
    <n v="97"/>
    <n v="0"/>
    <x v="3"/>
    <x v="1"/>
  </r>
  <r>
    <d v="2017-04-15T00:00:00"/>
    <s v="Bejrut"/>
    <s v="T3"/>
    <x v="0"/>
    <n v="12"/>
    <n v="20"/>
    <n v="0"/>
    <x v="3"/>
    <x v="1"/>
  </r>
  <r>
    <d v="2017-04-15T00:00:00"/>
    <s v="Bejrut"/>
    <s v="T1"/>
    <x v="0"/>
    <n v="15"/>
    <n v="8"/>
    <n v="0"/>
    <x v="3"/>
    <x v="1"/>
  </r>
  <r>
    <d v="2017-04-15T00:00:00"/>
    <s v="Bejrut"/>
    <s v="T5"/>
    <x v="0"/>
    <n v="1"/>
    <n v="40"/>
    <n v="1"/>
    <x v="3"/>
    <x v="1"/>
  </r>
  <r>
    <d v="2017-05-09T00:00:00"/>
    <s v="Palermo"/>
    <s v="T1"/>
    <x v="1"/>
    <n v="86"/>
    <n v="12"/>
    <n v="0"/>
    <x v="4"/>
    <x v="1"/>
  </r>
  <r>
    <d v="2017-05-09T00:00:00"/>
    <s v="Palermo"/>
    <s v="T3"/>
    <x v="1"/>
    <n v="110"/>
    <n v="31"/>
    <n v="0"/>
    <x v="4"/>
    <x v="1"/>
  </r>
  <r>
    <d v="2017-05-09T00:00:00"/>
    <s v="Palermo"/>
    <s v="T5"/>
    <x v="0"/>
    <n v="33"/>
    <n v="38"/>
    <n v="33"/>
    <x v="4"/>
    <x v="1"/>
  </r>
  <r>
    <d v="2017-05-09T00:00:00"/>
    <s v="Palermo"/>
    <s v="T2"/>
    <x v="0"/>
    <n v="13"/>
    <n v="23"/>
    <n v="0"/>
    <x v="4"/>
    <x v="1"/>
  </r>
  <r>
    <d v="2017-05-09T00:00:00"/>
    <s v="Palermo"/>
    <s v="T4"/>
    <x v="0"/>
    <n v="37"/>
    <n v="61"/>
    <n v="0"/>
    <x v="4"/>
    <x v="1"/>
  </r>
  <r>
    <d v="2017-05-27T00:00:00"/>
    <s v="Neapol"/>
    <s v="T1"/>
    <x v="1"/>
    <n v="1"/>
    <n v="12"/>
    <n v="0"/>
    <x v="4"/>
    <x v="1"/>
  </r>
  <r>
    <d v="2017-05-27T00:00:00"/>
    <s v="Neapol"/>
    <s v="T5"/>
    <x v="1"/>
    <n v="68"/>
    <n v="59"/>
    <n v="68"/>
    <x v="4"/>
    <x v="1"/>
  </r>
  <r>
    <d v="2017-05-27T00:00:00"/>
    <s v="Neapol"/>
    <s v="T4"/>
    <x v="0"/>
    <n v="35"/>
    <n v="66"/>
    <n v="0"/>
    <x v="4"/>
    <x v="1"/>
  </r>
  <r>
    <d v="2017-05-27T00:00:00"/>
    <s v="Neapol"/>
    <s v="T3"/>
    <x v="0"/>
    <n v="25"/>
    <n v="21"/>
    <n v="0"/>
    <x v="4"/>
    <x v="1"/>
  </r>
  <r>
    <d v="2017-05-27T00:00:00"/>
    <s v="Neapol"/>
    <s v="T2"/>
    <x v="0"/>
    <n v="10"/>
    <n v="25"/>
    <n v="0"/>
    <x v="4"/>
    <x v="1"/>
  </r>
  <r>
    <d v="2017-06-18T00:00:00"/>
    <s v="Monako"/>
    <s v="T2"/>
    <x v="1"/>
    <n v="38"/>
    <n v="37"/>
    <n v="0"/>
    <x v="5"/>
    <x v="1"/>
  </r>
  <r>
    <d v="2017-06-18T00:00:00"/>
    <s v="Monako"/>
    <s v="T1"/>
    <x v="0"/>
    <n v="22"/>
    <n v="8"/>
    <n v="0"/>
    <x v="5"/>
    <x v="1"/>
  </r>
  <r>
    <d v="2017-06-18T00:00:00"/>
    <s v="Monako"/>
    <s v="T3"/>
    <x v="0"/>
    <n v="25"/>
    <n v="20"/>
    <n v="0"/>
    <x v="5"/>
    <x v="1"/>
  </r>
  <r>
    <d v="2017-06-18T00:00:00"/>
    <s v="Monako"/>
    <s v="T5"/>
    <x v="0"/>
    <n v="8"/>
    <n v="39"/>
    <n v="8"/>
    <x v="5"/>
    <x v="1"/>
  </r>
  <r>
    <d v="2017-06-18T00:00:00"/>
    <s v="Monako"/>
    <s v="T4"/>
    <x v="0"/>
    <n v="45"/>
    <n v="62"/>
    <n v="0"/>
    <x v="5"/>
    <x v="1"/>
  </r>
  <r>
    <d v="2017-07-13T00:00:00"/>
    <s v="Barcelona"/>
    <s v="T4"/>
    <x v="1"/>
    <n v="116"/>
    <n v="100"/>
    <n v="0"/>
    <x v="6"/>
    <x v="1"/>
  </r>
  <r>
    <d v="2017-07-13T00:00:00"/>
    <s v="Barcelona"/>
    <s v="T3"/>
    <x v="0"/>
    <n v="29"/>
    <n v="19"/>
    <n v="0"/>
    <x v="6"/>
    <x v="1"/>
  </r>
  <r>
    <d v="2017-07-26T00:00:00"/>
    <s v="Walencja"/>
    <s v="T2"/>
    <x v="1"/>
    <n v="5"/>
    <n v="34"/>
    <n v="0"/>
    <x v="6"/>
    <x v="1"/>
  </r>
  <r>
    <d v="2017-07-26T00:00:00"/>
    <s v="Walencja"/>
    <s v="T1"/>
    <x v="1"/>
    <n v="22"/>
    <n v="11"/>
    <n v="0"/>
    <x v="6"/>
    <x v="1"/>
  </r>
  <r>
    <d v="2017-07-26T00:00:00"/>
    <s v="Walencja"/>
    <s v="T3"/>
    <x v="0"/>
    <n v="37"/>
    <n v="22"/>
    <n v="0"/>
    <x v="6"/>
    <x v="1"/>
  </r>
  <r>
    <d v="2017-07-26T00:00:00"/>
    <s v="Walencja"/>
    <s v="T4"/>
    <x v="0"/>
    <n v="10"/>
    <n v="70"/>
    <n v="0"/>
    <x v="6"/>
    <x v="1"/>
  </r>
  <r>
    <d v="2017-07-26T00:00:00"/>
    <s v="Walencja"/>
    <s v="T5"/>
    <x v="0"/>
    <n v="42"/>
    <n v="44"/>
    <n v="42"/>
    <x v="6"/>
    <x v="1"/>
  </r>
  <r>
    <d v="2017-08-12T00:00:00"/>
    <s v="Algier"/>
    <s v="T4"/>
    <x v="1"/>
    <n v="11"/>
    <n v="94"/>
    <n v="0"/>
    <x v="7"/>
    <x v="1"/>
  </r>
  <r>
    <d v="2017-08-12T00:00:00"/>
    <s v="Algier"/>
    <s v="T5"/>
    <x v="1"/>
    <n v="48"/>
    <n v="59"/>
    <n v="48"/>
    <x v="7"/>
    <x v="1"/>
  </r>
  <r>
    <d v="2017-08-12T00:00:00"/>
    <s v="Algier"/>
    <s v="T3"/>
    <x v="0"/>
    <n v="20"/>
    <n v="21"/>
    <n v="0"/>
    <x v="7"/>
    <x v="1"/>
  </r>
  <r>
    <d v="2017-08-12T00:00:00"/>
    <s v="Algier"/>
    <s v="T2"/>
    <x v="0"/>
    <n v="26"/>
    <n v="25"/>
    <n v="0"/>
    <x v="7"/>
    <x v="1"/>
  </r>
  <r>
    <d v="2017-08-27T00:00:00"/>
    <s v="Tunis"/>
    <s v="T1"/>
    <x v="0"/>
    <n v="24"/>
    <n v="9"/>
    <n v="0"/>
    <x v="7"/>
    <x v="1"/>
  </r>
  <r>
    <d v="2017-08-27T00:00:00"/>
    <s v="Tunis"/>
    <s v="T4"/>
    <x v="0"/>
    <n v="38"/>
    <n v="68"/>
    <n v="0"/>
    <x v="7"/>
    <x v="1"/>
  </r>
  <r>
    <d v="2017-08-27T00:00:00"/>
    <s v="Tunis"/>
    <s v="T3"/>
    <x v="0"/>
    <n v="14"/>
    <n v="21"/>
    <n v="0"/>
    <x v="7"/>
    <x v="1"/>
  </r>
  <r>
    <d v="2017-08-27T00:00:00"/>
    <s v="Tunis"/>
    <s v="T5"/>
    <x v="0"/>
    <n v="4"/>
    <n v="43"/>
    <n v="4"/>
    <x v="7"/>
    <x v="1"/>
  </r>
  <r>
    <d v="2017-09-15T00:00:00"/>
    <s v="Benghazi"/>
    <s v="T2"/>
    <x v="1"/>
    <n v="19"/>
    <n v="36"/>
    <n v="0"/>
    <x v="8"/>
    <x v="1"/>
  </r>
  <r>
    <d v="2017-09-15T00:00:00"/>
    <s v="Benghazi"/>
    <s v="T4"/>
    <x v="0"/>
    <n v="30"/>
    <n v="65"/>
    <n v="0"/>
    <x v="8"/>
    <x v="1"/>
  </r>
  <r>
    <d v="2017-10-11T00:00:00"/>
    <s v="Aleksandria"/>
    <s v="T5"/>
    <x v="1"/>
    <n v="6"/>
    <n v="63"/>
    <n v="6"/>
    <x v="9"/>
    <x v="1"/>
  </r>
  <r>
    <d v="2017-10-11T00:00:00"/>
    <s v="Aleksandria"/>
    <s v="T4"/>
    <x v="0"/>
    <n v="43"/>
    <n v="59"/>
    <n v="0"/>
    <x v="9"/>
    <x v="1"/>
  </r>
  <r>
    <d v="2017-11-01T00:00:00"/>
    <s v="Bejrut"/>
    <s v="T5"/>
    <x v="1"/>
    <n v="1"/>
    <n v="61"/>
    <n v="1"/>
    <x v="10"/>
    <x v="1"/>
  </r>
  <r>
    <d v="2017-11-01T00:00:00"/>
    <s v="Bejrut"/>
    <s v="T3"/>
    <x v="1"/>
    <n v="147"/>
    <n v="30"/>
    <n v="0"/>
    <x v="10"/>
    <x v="1"/>
  </r>
  <r>
    <d v="2017-11-01T00:00:00"/>
    <s v="Bejrut"/>
    <s v="T1"/>
    <x v="0"/>
    <n v="15"/>
    <n v="8"/>
    <n v="0"/>
    <x v="10"/>
    <x v="1"/>
  </r>
  <r>
    <d v="2017-11-01T00:00:00"/>
    <s v="Bejrut"/>
    <s v="T4"/>
    <x v="0"/>
    <n v="24"/>
    <n v="63"/>
    <n v="0"/>
    <x v="10"/>
    <x v="1"/>
  </r>
  <r>
    <d v="2017-11-01T00:00:00"/>
    <s v="Bejrut"/>
    <s v="T2"/>
    <x v="0"/>
    <n v="19"/>
    <n v="24"/>
    <n v="0"/>
    <x v="10"/>
    <x v="1"/>
  </r>
  <r>
    <d v="2017-11-25T00:00:00"/>
    <s v="Palermo"/>
    <s v="T4"/>
    <x v="1"/>
    <n v="134"/>
    <n v="99"/>
    <n v="0"/>
    <x v="10"/>
    <x v="1"/>
  </r>
  <r>
    <d v="2017-11-25T00:00:00"/>
    <s v="Palermo"/>
    <s v="T5"/>
    <x v="0"/>
    <n v="12"/>
    <n v="38"/>
    <n v="12"/>
    <x v="10"/>
    <x v="1"/>
  </r>
  <r>
    <d v="2017-12-13T00:00:00"/>
    <s v="Neapol"/>
    <s v="T3"/>
    <x v="1"/>
    <n v="4"/>
    <n v="30"/>
    <n v="0"/>
    <x v="11"/>
    <x v="1"/>
  </r>
  <r>
    <d v="2017-12-13T00:00:00"/>
    <s v="Neapol"/>
    <s v="T1"/>
    <x v="0"/>
    <n v="26"/>
    <n v="8"/>
    <n v="0"/>
    <x v="11"/>
    <x v="1"/>
  </r>
  <r>
    <d v="2017-12-13T00:00:00"/>
    <s v="Neapol"/>
    <s v="T4"/>
    <x v="0"/>
    <n v="38"/>
    <n v="66"/>
    <n v="0"/>
    <x v="11"/>
    <x v="1"/>
  </r>
  <r>
    <d v="2018-01-04T00:00:00"/>
    <s v="Monako"/>
    <s v="T4"/>
    <x v="1"/>
    <n v="38"/>
    <n v="98"/>
    <n v="0"/>
    <x v="0"/>
    <x v="2"/>
  </r>
  <r>
    <d v="2018-01-04T00:00:00"/>
    <s v="Monako"/>
    <s v="T2"/>
    <x v="1"/>
    <n v="44"/>
    <n v="37"/>
    <n v="0"/>
    <x v="0"/>
    <x v="2"/>
  </r>
  <r>
    <d v="2018-01-04T00:00:00"/>
    <s v="Monako"/>
    <s v="T1"/>
    <x v="0"/>
    <n v="21"/>
    <n v="8"/>
    <n v="0"/>
    <x v="0"/>
    <x v="2"/>
  </r>
  <r>
    <d v="2018-01-04T00:00:00"/>
    <s v="Monako"/>
    <s v="T5"/>
    <x v="0"/>
    <n v="10"/>
    <n v="39"/>
    <n v="10"/>
    <x v="0"/>
    <x v="2"/>
  </r>
  <r>
    <d v="2018-01-29T00:00:00"/>
    <s v="Barcelona"/>
    <s v="T2"/>
    <x v="1"/>
    <n v="15"/>
    <n v="38"/>
    <n v="0"/>
    <x v="0"/>
    <x v="2"/>
  </r>
  <r>
    <d v="2018-01-29T00:00:00"/>
    <s v="Barcelona"/>
    <s v="T5"/>
    <x v="1"/>
    <n v="22"/>
    <n v="63"/>
    <n v="22"/>
    <x v="0"/>
    <x v="2"/>
  </r>
  <r>
    <d v="2018-01-29T00:00:00"/>
    <s v="Barcelona"/>
    <s v="T4"/>
    <x v="0"/>
    <n v="9"/>
    <n v="60"/>
    <n v="0"/>
    <x v="0"/>
    <x v="2"/>
  </r>
  <r>
    <d v="2018-01-29T00:00:00"/>
    <s v="Barcelona"/>
    <s v="T3"/>
    <x v="0"/>
    <n v="6"/>
    <n v="19"/>
    <n v="0"/>
    <x v="0"/>
    <x v="2"/>
  </r>
  <r>
    <d v="2018-01-29T00:00:00"/>
    <s v="Barcelona"/>
    <s v="T1"/>
    <x v="0"/>
    <n v="4"/>
    <n v="8"/>
    <n v="0"/>
    <x v="0"/>
    <x v="2"/>
  </r>
  <r>
    <d v="2018-01-30T00:00:00"/>
    <s v="Walencja"/>
    <s v="T3"/>
    <x v="1"/>
    <n v="6"/>
    <n v="25"/>
    <n v="0"/>
    <x v="0"/>
    <x v="2"/>
  </r>
  <r>
    <d v="2018-01-30T00:00:00"/>
    <s v="Walencja"/>
    <s v="T4"/>
    <x v="0"/>
    <n v="48"/>
    <n v="79"/>
    <n v="0"/>
    <x v="0"/>
    <x v="2"/>
  </r>
  <r>
    <d v="2018-02-16T00:00:00"/>
    <s v="Algier"/>
    <s v="T5"/>
    <x v="0"/>
    <n v="34"/>
    <n v="42"/>
    <n v="34"/>
    <x v="1"/>
    <x v="2"/>
  </r>
  <r>
    <d v="2018-02-16T00:00:00"/>
    <s v="Algier"/>
    <s v="T2"/>
    <x v="1"/>
    <n v="49"/>
    <n v="35"/>
    <n v="0"/>
    <x v="1"/>
    <x v="2"/>
  </r>
  <r>
    <d v="2018-02-16T00:00:00"/>
    <s v="Algier"/>
    <s v="T1"/>
    <x v="0"/>
    <n v="10"/>
    <n v="8"/>
    <n v="0"/>
    <x v="1"/>
    <x v="2"/>
  </r>
  <r>
    <d v="2018-02-16T00:00:00"/>
    <s v="Algier"/>
    <s v="T3"/>
    <x v="0"/>
    <n v="47"/>
    <n v="21"/>
    <n v="0"/>
    <x v="1"/>
    <x v="2"/>
  </r>
  <r>
    <d v="2018-02-16T00:00:00"/>
    <s v="Algier"/>
    <s v="T4"/>
    <x v="0"/>
    <n v="48"/>
    <n v="66"/>
    <n v="0"/>
    <x v="1"/>
    <x v="2"/>
  </r>
  <r>
    <d v="2018-03-03T00:00:00"/>
    <s v="Tunis"/>
    <s v="T5"/>
    <x v="1"/>
    <n v="34"/>
    <n v="58"/>
    <n v="34"/>
    <x v="2"/>
    <x v="2"/>
  </r>
  <r>
    <d v="2018-03-03T00:00:00"/>
    <s v="Tunis"/>
    <s v="T1"/>
    <x v="0"/>
    <n v="5"/>
    <n v="9"/>
    <n v="0"/>
    <x v="2"/>
    <x v="2"/>
  </r>
  <r>
    <d v="2018-03-22T00:00:00"/>
    <s v="Benghazi"/>
    <s v="T3"/>
    <x v="1"/>
    <n v="46"/>
    <n v="30"/>
    <n v="0"/>
    <x v="2"/>
    <x v="2"/>
  </r>
  <r>
    <d v="2018-03-22T00:00:00"/>
    <s v="Benghazi"/>
    <s v="T4"/>
    <x v="0"/>
    <n v="49"/>
    <n v="65"/>
    <n v="0"/>
    <x v="2"/>
    <x v="2"/>
  </r>
  <r>
    <d v="2018-03-22T00:00:00"/>
    <s v="Benghazi"/>
    <s v="T1"/>
    <x v="0"/>
    <n v="16"/>
    <n v="8"/>
    <n v="0"/>
    <x v="2"/>
    <x v="2"/>
  </r>
  <r>
    <d v="2018-04-17T00:00:00"/>
    <s v="Aleksandria"/>
    <s v="T5"/>
    <x v="0"/>
    <n v="5"/>
    <n v="37"/>
    <n v="5"/>
    <x v="3"/>
    <x v="2"/>
  </r>
  <r>
    <d v="2018-04-17T00:00:00"/>
    <s v="Aleksandria"/>
    <s v="T3"/>
    <x v="1"/>
    <n v="1"/>
    <n v="32"/>
    <n v="0"/>
    <x v="3"/>
    <x v="2"/>
  </r>
  <r>
    <d v="2018-04-17T00:00:00"/>
    <s v="Aleksandria"/>
    <s v="T1"/>
    <x v="0"/>
    <n v="34"/>
    <n v="7"/>
    <n v="0"/>
    <x v="3"/>
    <x v="2"/>
  </r>
  <r>
    <d v="2018-04-17T00:00:00"/>
    <s v="Aleksandria"/>
    <s v="T4"/>
    <x v="0"/>
    <n v="29"/>
    <n v="59"/>
    <n v="0"/>
    <x v="3"/>
    <x v="2"/>
  </r>
  <r>
    <d v="2018-05-08T00:00:00"/>
    <s v="Bejrut"/>
    <s v="T2"/>
    <x v="0"/>
    <n v="34"/>
    <n v="24"/>
    <n v="0"/>
    <x v="4"/>
    <x v="2"/>
  </r>
  <r>
    <d v="2018-05-08T00:00:00"/>
    <s v="Bejrut"/>
    <s v="T3"/>
    <x v="0"/>
    <n v="27"/>
    <n v="20"/>
    <n v="0"/>
    <x v="4"/>
    <x v="2"/>
  </r>
  <r>
    <d v="2018-05-08T00:00:00"/>
    <s v="Bejrut"/>
    <s v="T1"/>
    <x v="0"/>
    <n v="40"/>
    <n v="8"/>
    <n v="0"/>
    <x v="4"/>
    <x v="2"/>
  </r>
  <r>
    <d v="2018-06-01T00:00:00"/>
    <s v="Palermo"/>
    <s v="T4"/>
    <x v="1"/>
    <n v="184"/>
    <n v="99"/>
    <n v="0"/>
    <x v="5"/>
    <x v="2"/>
  </r>
  <r>
    <d v="2018-06-01T00:00:00"/>
    <s v="Palermo"/>
    <s v="T5"/>
    <x v="0"/>
    <n v="48"/>
    <n v="38"/>
    <n v="48"/>
    <x v="5"/>
    <x v="2"/>
  </r>
  <r>
    <d v="2018-06-01T00:00:00"/>
    <s v="Palermo"/>
    <s v="T2"/>
    <x v="0"/>
    <n v="21"/>
    <n v="23"/>
    <n v="0"/>
    <x v="5"/>
    <x v="2"/>
  </r>
  <r>
    <d v="2018-06-19T00:00:00"/>
    <s v="Neapol"/>
    <s v="T4"/>
    <x v="0"/>
    <n v="47"/>
    <n v="66"/>
    <n v="0"/>
    <x v="5"/>
    <x v="2"/>
  </r>
  <r>
    <d v="2018-06-19T00:00:00"/>
    <s v="Neapol"/>
    <s v="T2"/>
    <x v="0"/>
    <n v="6"/>
    <n v="25"/>
    <n v="0"/>
    <x v="5"/>
    <x v="2"/>
  </r>
  <r>
    <d v="2018-06-19T00:00:00"/>
    <s v="Neapol"/>
    <s v="T5"/>
    <x v="0"/>
    <n v="47"/>
    <n v="41"/>
    <n v="47"/>
    <x v="5"/>
    <x v="2"/>
  </r>
  <r>
    <d v="2018-07-11T00:00:00"/>
    <s v="Monako"/>
    <s v="T1"/>
    <x v="1"/>
    <n v="192"/>
    <n v="12"/>
    <n v="0"/>
    <x v="6"/>
    <x v="2"/>
  </r>
  <r>
    <d v="2018-07-11T00:00:00"/>
    <s v="Monako"/>
    <s v="T2"/>
    <x v="1"/>
    <n v="48"/>
    <n v="37"/>
    <n v="0"/>
    <x v="6"/>
    <x v="2"/>
  </r>
  <r>
    <d v="2018-07-11T00:00:00"/>
    <s v="Monako"/>
    <s v="T4"/>
    <x v="0"/>
    <n v="18"/>
    <n v="62"/>
    <n v="0"/>
    <x v="6"/>
    <x v="2"/>
  </r>
  <r>
    <d v="2018-07-11T00:00:00"/>
    <s v="Monako"/>
    <s v="T5"/>
    <x v="0"/>
    <n v="25"/>
    <n v="39"/>
    <n v="25"/>
    <x v="6"/>
    <x v="2"/>
  </r>
  <r>
    <d v="2018-07-11T00:00:00"/>
    <s v="Monako"/>
    <s v="T3"/>
    <x v="0"/>
    <n v="2"/>
    <n v="20"/>
    <n v="0"/>
    <x v="6"/>
    <x v="2"/>
  </r>
  <r>
    <d v="2018-08-05T00:00:00"/>
    <s v="Barcelona"/>
    <s v="T2"/>
    <x v="1"/>
    <n v="13"/>
    <n v="38"/>
    <n v="0"/>
    <x v="7"/>
    <x v="2"/>
  </r>
  <r>
    <d v="2018-08-05T00:00:00"/>
    <s v="Barcelona"/>
    <s v="T5"/>
    <x v="1"/>
    <n v="121"/>
    <n v="63"/>
    <n v="121"/>
    <x v="7"/>
    <x v="2"/>
  </r>
  <r>
    <d v="2018-08-05T00:00:00"/>
    <s v="Barcelona"/>
    <s v="T3"/>
    <x v="0"/>
    <n v="30"/>
    <n v="19"/>
    <n v="0"/>
    <x v="7"/>
    <x v="2"/>
  </r>
  <r>
    <d v="2018-08-05T00:00:00"/>
    <s v="Barcelona"/>
    <s v="T1"/>
    <x v="0"/>
    <n v="46"/>
    <n v="8"/>
    <n v="0"/>
    <x v="7"/>
    <x v="2"/>
  </r>
  <r>
    <d v="2018-08-18T00:00:00"/>
    <s v="Walencja"/>
    <s v="T1"/>
    <x v="1"/>
    <n v="49"/>
    <n v="11"/>
    <n v="0"/>
    <x v="7"/>
    <x v="2"/>
  </r>
  <r>
    <d v="2018-08-18T00:00:00"/>
    <s v="Walencja"/>
    <s v="T4"/>
    <x v="1"/>
    <n v="61"/>
    <n v="90"/>
    <n v="0"/>
    <x v="7"/>
    <x v="2"/>
  </r>
  <r>
    <d v="2018-08-18T00:00:00"/>
    <s v="Walencja"/>
    <s v="T3"/>
    <x v="0"/>
    <n v="19"/>
    <n v="22"/>
    <n v="0"/>
    <x v="7"/>
    <x v="2"/>
  </r>
  <r>
    <d v="2018-08-18T00:00:00"/>
    <s v="Walencja"/>
    <s v="T5"/>
    <x v="0"/>
    <n v="22"/>
    <n v="44"/>
    <n v="22"/>
    <x v="7"/>
    <x v="2"/>
  </r>
  <r>
    <d v="2018-09-04T00:00:00"/>
    <s v="Algier"/>
    <s v="T2"/>
    <x v="0"/>
    <n v="9"/>
    <n v="25"/>
    <n v="0"/>
    <x v="8"/>
    <x v="2"/>
  </r>
  <r>
    <d v="2018-09-04T00:00:00"/>
    <s v="Algier"/>
    <s v="T4"/>
    <x v="1"/>
    <n v="4"/>
    <n v="94"/>
    <n v="0"/>
    <x v="8"/>
    <x v="2"/>
  </r>
  <r>
    <d v="2018-09-04T00:00:00"/>
    <s v="Algier"/>
    <s v="T3"/>
    <x v="0"/>
    <n v="8"/>
    <n v="21"/>
    <n v="0"/>
    <x v="8"/>
    <x v="2"/>
  </r>
  <r>
    <d v="2018-09-04T00:00:00"/>
    <s v="Algier"/>
    <s v="T1"/>
    <x v="0"/>
    <n v="47"/>
    <n v="8"/>
    <n v="0"/>
    <x v="8"/>
    <x v="2"/>
  </r>
  <r>
    <d v="2018-09-19T00:00:00"/>
    <s v="Tunis"/>
    <s v="T3"/>
    <x v="1"/>
    <n v="82"/>
    <n v="29"/>
    <n v="0"/>
    <x v="8"/>
    <x v="2"/>
  </r>
  <r>
    <d v="2018-09-19T00:00:00"/>
    <s v="Tunis"/>
    <s v="T5"/>
    <x v="1"/>
    <n v="26"/>
    <n v="58"/>
    <n v="26"/>
    <x v="8"/>
    <x v="2"/>
  </r>
  <r>
    <d v="2018-09-19T00:00:00"/>
    <s v="Tunis"/>
    <s v="T1"/>
    <x v="0"/>
    <n v="24"/>
    <n v="9"/>
    <n v="0"/>
    <x v="8"/>
    <x v="2"/>
  </r>
  <r>
    <d v="2018-09-19T00:00:00"/>
    <s v="Tunis"/>
    <s v="T2"/>
    <x v="0"/>
    <n v="36"/>
    <n v="26"/>
    <n v="0"/>
    <x v="8"/>
    <x v="2"/>
  </r>
  <r>
    <d v="2018-09-19T00:00:00"/>
    <s v="Tunis"/>
    <s v="T4"/>
    <x v="0"/>
    <n v="6"/>
    <n v="68"/>
    <n v="0"/>
    <x v="8"/>
    <x v="2"/>
  </r>
  <r>
    <d v="2018-10-08T00:00:00"/>
    <s v="Benghazi"/>
    <s v="T2"/>
    <x v="1"/>
    <n v="45"/>
    <n v="36"/>
    <n v="0"/>
    <x v="9"/>
    <x v="2"/>
  </r>
  <r>
    <d v="2018-10-08T00:00:00"/>
    <s v="Benghazi"/>
    <s v="T1"/>
    <x v="0"/>
    <n v="18"/>
    <n v="8"/>
    <n v="0"/>
    <x v="9"/>
    <x v="2"/>
  </r>
  <r>
    <d v="2018-10-08T00:00:00"/>
    <s v="Benghazi"/>
    <s v="T5"/>
    <x v="0"/>
    <n v="20"/>
    <n v="41"/>
    <n v="20"/>
    <x v="9"/>
    <x v="2"/>
  </r>
  <r>
    <d v="2018-11-03T00:00:00"/>
    <s v="Aleksandria"/>
    <s v="T3"/>
    <x v="1"/>
    <n v="4"/>
    <n v="32"/>
    <n v="0"/>
    <x v="10"/>
    <x v="2"/>
  </r>
  <r>
    <d v="2018-11-03T00:00:00"/>
    <s v="Aleksandria"/>
    <s v="T5"/>
    <x v="0"/>
    <n v="48"/>
    <n v="37"/>
    <n v="48"/>
    <x v="10"/>
    <x v="2"/>
  </r>
  <r>
    <d v="2018-11-24T00:00:00"/>
    <s v="Bejrut"/>
    <s v="T5"/>
    <x v="1"/>
    <n v="64"/>
    <n v="61"/>
    <n v="64"/>
    <x v="10"/>
    <x v="2"/>
  </r>
  <r>
    <d v="2018-11-24T00:00:00"/>
    <s v="Bejrut"/>
    <s v="T4"/>
    <x v="0"/>
    <n v="43"/>
    <n v="63"/>
    <n v="0"/>
    <x v="10"/>
    <x v="2"/>
  </r>
  <r>
    <d v="2018-11-24T00:00:00"/>
    <s v="Bejrut"/>
    <s v="T2"/>
    <x v="0"/>
    <n v="24"/>
    <n v="24"/>
    <n v="0"/>
    <x v="10"/>
    <x v="2"/>
  </r>
  <r>
    <d v="2018-12-18T00:00:00"/>
    <s v="Palermo"/>
    <s v="T5"/>
    <x v="1"/>
    <n v="4"/>
    <n v="62"/>
    <n v="4"/>
    <x v="11"/>
    <x v="2"/>
  </r>
  <r>
    <d v="2018-12-18T00:00:00"/>
    <s v="Palermo"/>
    <s v="T3"/>
    <x v="0"/>
    <n v="35"/>
    <n v="19"/>
    <n v="0"/>
    <x v="11"/>
    <x v="2"/>
  </r>
  <r>
    <d v="2018-12-18T00:00:00"/>
    <s v="Palermo"/>
    <s v="T1"/>
    <x v="0"/>
    <n v="41"/>
    <n v="8"/>
    <n v="0"/>
    <x v="11"/>
    <x v="2"/>
  </r>
  <r>
    <d v="2018-12-18T00:00:00"/>
    <s v="Palermo"/>
    <s v="T4"/>
    <x v="0"/>
    <n v="23"/>
    <n v="61"/>
    <n v="0"/>
    <x v="11"/>
    <x v="2"/>
  </r>
  <r>
    <d v="2018-12-18T00:00:00"/>
    <s v="Palermo"/>
    <s v="T2"/>
    <x v="0"/>
    <n v="46"/>
    <n v="23"/>
    <n v="0"/>
    <x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A4307-DF27-4A1E-9312-EE5998AFE53C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8:K14" firstHeaderRow="0" firstDataRow="1" firstDataCol="1" rowPageCount="1" colPageCount="1"/>
  <pivotFields count="6">
    <pivotField numFmtId="14" showAll="0"/>
    <pivotField showAll="0"/>
    <pivotField axis="axisRow" dataField="1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dataField="1" showAll="0"/>
    <pivotField showAll="0"/>
  </pivotFields>
  <rowFields count="1">
    <field x="2"/>
  </rowFields>
  <rowItems count="6">
    <i>
      <x v="3"/>
    </i>
    <i>
      <x v="4"/>
    </i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Liczba z towar" fld="2" subtotal="count" baseField="0" baseItem="0"/>
    <dataField name="Suma z ile ton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84DF-C425-4DD7-A1D9-EF293F688A24}" name="Tabela przestawna9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K5:N19" firstHeaderRow="1" firstDataRow="2" firstDataCol="1" rowPageCount="1" colPageCount="1"/>
  <pivotFields count="9">
    <pivotField numFmtId="14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dataField="1" showAll="0"/>
    <pivotField axis="axisRow" showAll="0">
      <items count="24">
        <item x="0"/>
        <item h="1" f="1" x="12"/>
        <item h="1" f="1" x="13"/>
        <item h="1" f="1" x="14"/>
        <item h="1" f="1" x="15"/>
        <item h="1" f="1" x="16"/>
        <item h="1" f="1" x="17"/>
        <item h="1" f="1" x="18"/>
        <item h="1" f="1" x="19"/>
        <item h="1" f="1" x="20"/>
        <item h="1" f="1" x="21"/>
        <item h="1" f="1" x="22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showAll="0">
      <items count="4">
        <item x="0"/>
        <item x="1"/>
        <item x="2"/>
        <item t="default"/>
      </items>
    </pivotField>
  </pivotFields>
  <rowFields count="1">
    <field x="7"/>
  </rowFields>
  <rowItems count="13">
    <i>
      <x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3"/>
  </colFields>
  <colItems count="3">
    <i>
      <x/>
    </i>
    <i>
      <x v="1"/>
    </i>
    <i t="grand">
      <x/>
    </i>
  </colItems>
  <pageFields count="1">
    <pageField fld="8" item="2" hier="-1"/>
  </pageFields>
  <dataFields count="1">
    <dataField name="Suma z ile ton T5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4E2D-4B6C-4524-A8B2-D7C15EC76F56}">
  <dimension ref="A1:P203"/>
  <sheetViews>
    <sheetView workbookViewId="0">
      <selection activeCell="F3" sqref="F3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  <col min="9" max="9" width="16.54296875" bestFit="1" customWidth="1"/>
    <col min="10" max="10" width="12.54296875" bestFit="1" customWidth="1"/>
    <col min="11" max="11" width="12.453125" bestFit="1" customWidth="1"/>
  </cols>
  <sheetData>
    <row r="1" spans="1:1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4"/>
      <c r="H1" s="13"/>
      <c r="I1" s="13"/>
      <c r="J1" s="13"/>
      <c r="K1" s="13"/>
      <c r="L1" s="14"/>
      <c r="M1" s="13"/>
      <c r="N1" s="13"/>
      <c r="O1" s="13"/>
      <c r="P1" s="13"/>
    </row>
    <row r="2" spans="1:16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</row>
    <row r="3" spans="1:16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</row>
    <row r="4" spans="1:16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</row>
    <row r="5" spans="1:16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</row>
    <row r="6" spans="1:16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  <c r="I6" s="15" t="s">
        <v>3</v>
      </c>
      <c r="J6" t="s">
        <v>8</v>
      </c>
    </row>
    <row r="7" spans="1:16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</row>
    <row r="8" spans="1:16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  <c r="I8" s="15" t="s">
        <v>23</v>
      </c>
      <c r="J8" t="s">
        <v>25</v>
      </c>
      <c r="K8" t="s">
        <v>26</v>
      </c>
    </row>
    <row r="9" spans="1:16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  <c r="I9" s="16" t="s">
        <v>7</v>
      </c>
      <c r="J9">
        <v>32</v>
      </c>
      <c r="K9">
        <v>905</v>
      </c>
    </row>
    <row r="10" spans="1:16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  <c r="I10" s="16" t="s">
        <v>9</v>
      </c>
      <c r="J10">
        <v>27</v>
      </c>
      <c r="K10">
        <v>784</v>
      </c>
    </row>
    <row r="11" spans="1:16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  <c r="I11" s="16" t="s">
        <v>12</v>
      </c>
      <c r="J11">
        <v>27</v>
      </c>
      <c r="K11">
        <v>633</v>
      </c>
    </row>
    <row r="12" spans="1:16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  <c r="I12" s="16" t="s">
        <v>10</v>
      </c>
      <c r="J12">
        <v>25</v>
      </c>
      <c r="K12">
        <v>620</v>
      </c>
    </row>
    <row r="13" spans="1:16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  <c r="I13" s="16" t="s">
        <v>11</v>
      </c>
      <c r="J13">
        <v>25</v>
      </c>
      <c r="K13">
        <v>483</v>
      </c>
    </row>
    <row r="14" spans="1:16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  <c r="I14" s="16" t="s">
        <v>24</v>
      </c>
      <c r="J14">
        <v>136</v>
      </c>
      <c r="K14">
        <v>3425</v>
      </c>
    </row>
    <row r="15" spans="1:16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</row>
    <row r="16" spans="1:16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</row>
    <row r="17" spans="1:6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</row>
    <row r="18" spans="1:6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</row>
    <row r="19" spans="1:6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</row>
    <row r="20" spans="1:6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</row>
    <row r="21" spans="1:6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</row>
    <row r="22" spans="1:6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</row>
    <row r="23" spans="1:6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</row>
    <row r="24" spans="1:6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</row>
    <row r="25" spans="1:6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</row>
    <row r="26" spans="1:6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</row>
    <row r="27" spans="1:6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</row>
    <row r="28" spans="1:6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</row>
    <row r="29" spans="1:6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</row>
    <row r="30" spans="1:6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</row>
    <row r="31" spans="1:6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</row>
    <row r="32" spans="1:6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</row>
    <row r="33" spans="1:6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</row>
    <row r="34" spans="1:6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</row>
    <row r="35" spans="1:6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</row>
    <row r="36" spans="1:6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</row>
    <row r="37" spans="1:6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</row>
    <row r="38" spans="1:6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</row>
    <row r="39" spans="1:6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</row>
    <row r="40" spans="1:6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</row>
    <row r="41" spans="1:6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</row>
    <row r="42" spans="1:6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</row>
    <row r="43" spans="1:6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</row>
    <row r="44" spans="1:6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</row>
    <row r="45" spans="1:6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</row>
    <row r="46" spans="1:6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</row>
    <row r="47" spans="1:6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</row>
    <row r="48" spans="1:6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</row>
    <row r="49" spans="1:6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</row>
    <row r="50" spans="1:6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</row>
    <row r="51" spans="1:6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</row>
    <row r="52" spans="1:6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</row>
    <row r="53" spans="1:6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</row>
    <row r="54" spans="1:6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</row>
    <row r="55" spans="1:6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</row>
    <row r="56" spans="1:6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</row>
    <row r="57" spans="1:6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</row>
    <row r="58" spans="1:6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</row>
    <row r="59" spans="1:6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</row>
    <row r="60" spans="1:6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</row>
    <row r="61" spans="1:6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</row>
    <row r="62" spans="1:6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</row>
    <row r="63" spans="1:6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</row>
    <row r="64" spans="1:6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</row>
    <row r="65" spans="1:6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</row>
    <row r="66" spans="1:6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</row>
    <row r="67" spans="1:6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</row>
    <row r="68" spans="1:6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</row>
    <row r="69" spans="1:6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</row>
    <row r="70" spans="1:6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</row>
    <row r="71" spans="1:6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</row>
    <row r="72" spans="1:6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</row>
    <row r="73" spans="1:6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</row>
    <row r="74" spans="1:6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</row>
    <row r="75" spans="1:6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</row>
    <row r="76" spans="1:6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</row>
    <row r="77" spans="1:6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</row>
    <row r="78" spans="1:6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</row>
    <row r="79" spans="1:6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</row>
    <row r="80" spans="1:6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</row>
    <row r="81" spans="1:6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</row>
    <row r="82" spans="1:6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</row>
    <row r="83" spans="1:6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</row>
    <row r="84" spans="1:6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</row>
    <row r="85" spans="1:6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</row>
    <row r="86" spans="1:6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</row>
    <row r="87" spans="1:6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</row>
    <row r="88" spans="1:6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</row>
    <row r="89" spans="1:6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</row>
    <row r="90" spans="1:6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</row>
    <row r="91" spans="1:6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</row>
    <row r="92" spans="1:6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</row>
    <row r="93" spans="1:6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</row>
    <row r="94" spans="1:6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</row>
    <row r="95" spans="1:6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</row>
    <row r="96" spans="1:6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</row>
    <row r="97" spans="1:6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</row>
    <row r="98" spans="1:6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</row>
    <row r="99" spans="1:6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</row>
    <row r="100" spans="1:6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</row>
    <row r="101" spans="1:6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</row>
    <row r="102" spans="1:6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</row>
    <row r="103" spans="1:6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</row>
    <row r="104" spans="1:6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</row>
    <row r="105" spans="1:6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</row>
    <row r="106" spans="1:6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</row>
    <row r="107" spans="1:6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</row>
    <row r="108" spans="1:6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</row>
    <row r="109" spans="1:6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</row>
    <row r="110" spans="1:6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</row>
    <row r="111" spans="1:6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</row>
    <row r="112" spans="1:6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</row>
    <row r="113" spans="1:6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</row>
    <row r="114" spans="1:6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</row>
    <row r="115" spans="1:6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</row>
    <row r="116" spans="1:6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</row>
    <row r="117" spans="1:6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</row>
    <row r="118" spans="1:6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</row>
    <row r="119" spans="1:6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</row>
    <row r="120" spans="1:6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</row>
    <row r="121" spans="1:6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</row>
    <row r="122" spans="1:6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</row>
    <row r="123" spans="1:6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</row>
    <row r="124" spans="1:6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</row>
    <row r="125" spans="1:6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</row>
    <row r="126" spans="1:6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</row>
    <row r="127" spans="1:6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</row>
    <row r="128" spans="1:6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</row>
    <row r="129" spans="1:6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</row>
    <row r="130" spans="1:6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</row>
    <row r="131" spans="1:6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</row>
    <row r="132" spans="1:6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</row>
    <row r="133" spans="1:6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</row>
    <row r="134" spans="1:6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</row>
    <row r="135" spans="1:6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</row>
    <row r="136" spans="1:6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</row>
    <row r="137" spans="1:6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</row>
    <row r="138" spans="1:6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</row>
    <row r="139" spans="1:6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</row>
    <row r="140" spans="1:6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</row>
    <row r="141" spans="1:6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</row>
    <row r="142" spans="1:6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</row>
    <row r="143" spans="1:6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</row>
    <row r="144" spans="1:6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</row>
    <row r="145" spans="1:6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</row>
    <row r="146" spans="1:6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</row>
    <row r="147" spans="1:6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</row>
    <row r="148" spans="1:6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</row>
    <row r="149" spans="1:6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</row>
    <row r="150" spans="1:6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</row>
    <row r="151" spans="1:6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</row>
    <row r="152" spans="1:6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</row>
    <row r="153" spans="1:6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</row>
    <row r="154" spans="1:6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</row>
    <row r="155" spans="1:6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</row>
    <row r="156" spans="1:6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</row>
    <row r="157" spans="1:6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</row>
    <row r="158" spans="1:6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</row>
    <row r="159" spans="1:6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</row>
    <row r="160" spans="1:6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</row>
    <row r="161" spans="1:6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</row>
    <row r="162" spans="1:6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</row>
    <row r="163" spans="1:6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</row>
    <row r="164" spans="1:6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</row>
    <row r="165" spans="1:6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</row>
    <row r="166" spans="1:6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</row>
    <row r="167" spans="1:6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</row>
    <row r="168" spans="1:6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</row>
    <row r="169" spans="1:6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</row>
    <row r="170" spans="1:6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</row>
    <row r="171" spans="1:6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</row>
    <row r="172" spans="1:6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</row>
    <row r="173" spans="1:6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</row>
    <row r="174" spans="1:6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</row>
    <row r="175" spans="1:6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</row>
    <row r="176" spans="1:6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</row>
    <row r="177" spans="1:6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</row>
    <row r="178" spans="1:6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</row>
    <row r="179" spans="1:6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</row>
    <row r="180" spans="1:6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</row>
    <row r="181" spans="1:6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</row>
    <row r="182" spans="1:6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</row>
    <row r="183" spans="1:6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</row>
    <row r="184" spans="1:6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</row>
    <row r="185" spans="1:6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</row>
    <row r="186" spans="1:6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</row>
    <row r="187" spans="1:6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</row>
    <row r="188" spans="1:6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</row>
    <row r="189" spans="1:6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</row>
    <row r="190" spans="1:6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</row>
    <row r="191" spans="1:6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</row>
    <row r="192" spans="1:6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</row>
    <row r="193" spans="1:6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</row>
    <row r="194" spans="1:6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</row>
    <row r="195" spans="1:6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</row>
    <row r="196" spans="1:6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</row>
    <row r="197" spans="1:6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</row>
    <row r="198" spans="1:6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</row>
    <row r="199" spans="1:6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</row>
    <row r="200" spans="1:6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</row>
    <row r="201" spans="1:6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</row>
    <row r="202" spans="1:6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</row>
    <row r="203" spans="1:6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1783-5963-4E52-BCF7-617E0132EED9}">
  <dimension ref="A1:F203"/>
  <sheetViews>
    <sheetView workbookViewId="0">
      <selection activeCell="G1" sqref="G1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</cols>
  <sheetData>
    <row r="1" spans="1:6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</row>
    <row r="3" spans="1:6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</row>
    <row r="4" spans="1:6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</row>
    <row r="5" spans="1:6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</row>
    <row r="6" spans="1:6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</row>
    <row r="7" spans="1:6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</row>
    <row r="8" spans="1:6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</row>
    <row r="9" spans="1:6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</row>
    <row r="10" spans="1:6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</row>
    <row r="11" spans="1:6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</row>
    <row r="12" spans="1:6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</row>
    <row r="13" spans="1:6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</row>
    <row r="14" spans="1:6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</row>
    <row r="15" spans="1:6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</row>
    <row r="16" spans="1:6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</row>
    <row r="17" spans="1:6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</row>
    <row r="18" spans="1:6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</row>
    <row r="19" spans="1:6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</row>
    <row r="20" spans="1:6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</row>
    <row r="21" spans="1:6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</row>
    <row r="22" spans="1:6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</row>
    <row r="23" spans="1:6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</row>
    <row r="24" spans="1:6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</row>
    <row r="25" spans="1:6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</row>
    <row r="26" spans="1:6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</row>
    <row r="27" spans="1:6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</row>
    <row r="28" spans="1:6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</row>
    <row r="29" spans="1:6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</row>
    <row r="30" spans="1:6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</row>
    <row r="31" spans="1:6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</row>
    <row r="32" spans="1:6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</row>
    <row r="33" spans="1:6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</row>
    <row r="34" spans="1:6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</row>
    <row r="35" spans="1:6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</row>
    <row r="36" spans="1:6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</row>
    <row r="37" spans="1:6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</row>
    <row r="38" spans="1:6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</row>
    <row r="39" spans="1:6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</row>
    <row r="40" spans="1:6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</row>
    <row r="41" spans="1:6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</row>
    <row r="42" spans="1:6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</row>
    <row r="43" spans="1:6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</row>
    <row r="44" spans="1:6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</row>
    <row r="45" spans="1:6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</row>
    <row r="46" spans="1:6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</row>
    <row r="47" spans="1:6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</row>
    <row r="48" spans="1:6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</row>
    <row r="49" spans="1:6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</row>
    <row r="50" spans="1:6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</row>
    <row r="51" spans="1:6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</row>
    <row r="52" spans="1:6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</row>
    <row r="53" spans="1:6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</row>
    <row r="54" spans="1:6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</row>
    <row r="55" spans="1:6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</row>
    <row r="56" spans="1:6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</row>
    <row r="57" spans="1:6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</row>
    <row r="58" spans="1:6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</row>
    <row r="59" spans="1:6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</row>
    <row r="60" spans="1:6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</row>
    <row r="61" spans="1:6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</row>
    <row r="62" spans="1:6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</row>
    <row r="63" spans="1:6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</row>
    <row r="64" spans="1:6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</row>
    <row r="65" spans="1:6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</row>
    <row r="66" spans="1:6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</row>
    <row r="67" spans="1:6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</row>
    <row r="68" spans="1:6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</row>
    <row r="69" spans="1:6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</row>
    <row r="70" spans="1:6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</row>
    <row r="71" spans="1:6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</row>
    <row r="72" spans="1:6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</row>
    <row r="73" spans="1:6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</row>
    <row r="74" spans="1:6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</row>
    <row r="75" spans="1:6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</row>
    <row r="76" spans="1:6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</row>
    <row r="77" spans="1:6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</row>
    <row r="78" spans="1:6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</row>
    <row r="79" spans="1:6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</row>
    <row r="80" spans="1:6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</row>
    <row r="81" spans="1:6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</row>
    <row r="82" spans="1:6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</row>
    <row r="83" spans="1:6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</row>
    <row r="84" spans="1:6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</row>
    <row r="85" spans="1:6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</row>
    <row r="86" spans="1:6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</row>
    <row r="87" spans="1:6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</row>
    <row r="88" spans="1:6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</row>
    <row r="89" spans="1:6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</row>
    <row r="90" spans="1:6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</row>
    <row r="91" spans="1:6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</row>
    <row r="92" spans="1:6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</row>
    <row r="93" spans="1:6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</row>
    <row r="94" spans="1:6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</row>
    <row r="95" spans="1:6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</row>
    <row r="96" spans="1:6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</row>
    <row r="97" spans="1:6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</row>
    <row r="98" spans="1:6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</row>
    <row r="99" spans="1:6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</row>
    <row r="100" spans="1:6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</row>
    <row r="101" spans="1:6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</row>
    <row r="102" spans="1:6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</row>
    <row r="103" spans="1:6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</row>
    <row r="104" spans="1:6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</row>
    <row r="105" spans="1:6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</row>
    <row r="106" spans="1:6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</row>
    <row r="107" spans="1:6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</row>
    <row r="108" spans="1:6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</row>
    <row r="109" spans="1:6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</row>
    <row r="110" spans="1:6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</row>
    <row r="111" spans="1:6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</row>
    <row r="112" spans="1:6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</row>
    <row r="113" spans="1:6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</row>
    <row r="114" spans="1:6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</row>
    <row r="115" spans="1:6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</row>
    <row r="116" spans="1:6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</row>
    <row r="117" spans="1:6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</row>
    <row r="118" spans="1:6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</row>
    <row r="119" spans="1:6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</row>
    <row r="120" spans="1:6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</row>
    <row r="121" spans="1:6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</row>
    <row r="122" spans="1:6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</row>
    <row r="123" spans="1:6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</row>
    <row r="124" spans="1:6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</row>
    <row r="125" spans="1:6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</row>
    <row r="126" spans="1:6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</row>
    <row r="127" spans="1:6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</row>
    <row r="128" spans="1:6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</row>
    <row r="129" spans="1:6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</row>
    <row r="130" spans="1:6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</row>
    <row r="131" spans="1:6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</row>
    <row r="132" spans="1:6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</row>
    <row r="133" spans="1:6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</row>
    <row r="134" spans="1:6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</row>
    <row r="135" spans="1:6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</row>
    <row r="136" spans="1:6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</row>
    <row r="137" spans="1:6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</row>
    <row r="138" spans="1:6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</row>
    <row r="139" spans="1:6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</row>
    <row r="140" spans="1:6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</row>
    <row r="141" spans="1:6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</row>
    <row r="142" spans="1:6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</row>
    <row r="143" spans="1:6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</row>
    <row r="144" spans="1:6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</row>
    <row r="145" spans="1:6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</row>
    <row r="146" spans="1:6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</row>
    <row r="147" spans="1:6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</row>
    <row r="148" spans="1:6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</row>
    <row r="149" spans="1:6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</row>
    <row r="150" spans="1:6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</row>
    <row r="151" spans="1:6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</row>
    <row r="152" spans="1:6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</row>
    <row r="153" spans="1:6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</row>
    <row r="154" spans="1:6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</row>
    <row r="155" spans="1:6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</row>
    <row r="156" spans="1:6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</row>
    <row r="157" spans="1:6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</row>
    <row r="158" spans="1:6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</row>
    <row r="159" spans="1:6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</row>
    <row r="160" spans="1:6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</row>
    <row r="161" spans="1:6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</row>
    <row r="162" spans="1:6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</row>
    <row r="163" spans="1:6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</row>
    <row r="164" spans="1:6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</row>
    <row r="165" spans="1:6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</row>
    <row r="166" spans="1:6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</row>
    <row r="167" spans="1:6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</row>
    <row r="168" spans="1:6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</row>
    <row r="169" spans="1:6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</row>
    <row r="170" spans="1:6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</row>
    <row r="171" spans="1:6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</row>
    <row r="172" spans="1:6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</row>
    <row r="173" spans="1:6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</row>
    <row r="174" spans="1:6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</row>
    <row r="175" spans="1:6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</row>
    <row r="176" spans="1:6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</row>
    <row r="177" spans="1:6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</row>
    <row r="178" spans="1:6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</row>
    <row r="179" spans="1:6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</row>
    <row r="180" spans="1:6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</row>
    <row r="181" spans="1:6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</row>
    <row r="182" spans="1:6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</row>
    <row r="183" spans="1:6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</row>
    <row r="184" spans="1:6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</row>
    <row r="185" spans="1:6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</row>
    <row r="186" spans="1:6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</row>
    <row r="187" spans="1:6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</row>
    <row r="188" spans="1:6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</row>
    <row r="189" spans="1:6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</row>
    <row r="190" spans="1:6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</row>
    <row r="191" spans="1:6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</row>
    <row r="192" spans="1:6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</row>
    <row r="193" spans="1:6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</row>
    <row r="194" spans="1:6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</row>
    <row r="195" spans="1:6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</row>
    <row r="196" spans="1:6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</row>
    <row r="197" spans="1:6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</row>
    <row r="198" spans="1:6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</row>
    <row r="199" spans="1:6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</row>
    <row r="200" spans="1:6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</row>
    <row r="201" spans="1:6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</row>
    <row r="202" spans="1:6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</row>
    <row r="203" spans="1:6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06A3-1FCE-4B5A-9075-06F57F85A486}">
  <dimension ref="A1:H203"/>
  <sheetViews>
    <sheetView workbookViewId="0">
      <selection activeCell="I3" sqref="I3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  <col min="7" max="7" width="18.6328125" bestFit="1" customWidth="1"/>
  </cols>
  <sheetData>
    <row r="1" spans="1:8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3" t="s">
        <v>27</v>
      </c>
    </row>
    <row r="2" spans="1:8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  <c r="G2">
        <v>0</v>
      </c>
    </row>
    <row r="3" spans="1:8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  <c r="G3">
        <f>A3-A2-1</f>
        <v>-1</v>
      </c>
      <c r="H3">
        <f>COUNTIF(G2:G203,"&gt;20")</f>
        <v>22</v>
      </c>
    </row>
    <row r="4" spans="1:8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  <c r="G4">
        <f t="shared" ref="G4:G67" si="0">A4-A3-1</f>
        <v>-1</v>
      </c>
    </row>
    <row r="5" spans="1:8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  <c r="G5">
        <f t="shared" si="0"/>
        <v>-1</v>
      </c>
    </row>
    <row r="6" spans="1:8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  <c r="G6">
        <f t="shared" si="0"/>
        <v>-1</v>
      </c>
    </row>
    <row r="7" spans="1:8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  <c r="G7">
        <f t="shared" si="0"/>
        <v>14</v>
      </c>
    </row>
    <row r="8" spans="1:8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  <c r="G8">
        <f t="shared" si="0"/>
        <v>-1</v>
      </c>
    </row>
    <row r="9" spans="1:8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  <c r="G9">
        <f t="shared" si="0"/>
        <v>7</v>
      </c>
    </row>
    <row r="10" spans="1:8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  <c r="G10">
        <f t="shared" si="0"/>
        <v>-1</v>
      </c>
    </row>
    <row r="11" spans="1:8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  <c r="G11">
        <f t="shared" si="0"/>
        <v>-1</v>
      </c>
    </row>
    <row r="12" spans="1:8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  <c r="G12">
        <f t="shared" si="0"/>
        <v>25</v>
      </c>
    </row>
    <row r="13" spans="1:8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  <c r="G13">
        <f t="shared" si="0"/>
        <v>-1</v>
      </c>
    </row>
    <row r="14" spans="1:8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  <c r="G14">
        <f t="shared" si="0"/>
        <v>-1</v>
      </c>
    </row>
    <row r="15" spans="1:8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  <c r="G15">
        <f t="shared" si="0"/>
        <v>-1</v>
      </c>
    </row>
    <row r="16" spans="1:8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  <c r="G16">
        <f t="shared" si="0"/>
        <v>20</v>
      </c>
    </row>
    <row r="17" spans="1:7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  <c r="G17">
        <f t="shared" si="0"/>
        <v>-1</v>
      </c>
    </row>
    <row r="18" spans="1:7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  <c r="G18">
        <f t="shared" si="0"/>
        <v>-1</v>
      </c>
    </row>
    <row r="19" spans="1:7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  <c r="G19">
        <f t="shared" si="0"/>
        <v>-1</v>
      </c>
    </row>
    <row r="20" spans="1:7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  <c r="G20">
        <f t="shared" si="0"/>
        <v>23</v>
      </c>
    </row>
    <row r="21" spans="1:7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  <c r="G21">
        <f t="shared" si="0"/>
        <v>-1</v>
      </c>
    </row>
    <row r="22" spans="1:7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  <c r="G22">
        <f t="shared" si="0"/>
        <v>-1</v>
      </c>
    </row>
    <row r="23" spans="1:7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  <c r="G23">
        <f t="shared" si="0"/>
        <v>17</v>
      </c>
    </row>
    <row r="24" spans="1:7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  <c r="G24">
        <f t="shared" si="0"/>
        <v>-1</v>
      </c>
    </row>
    <row r="25" spans="1:7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  <c r="G25">
        <f t="shared" si="0"/>
        <v>-1</v>
      </c>
    </row>
    <row r="26" spans="1:7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  <c r="G26">
        <f t="shared" si="0"/>
        <v>21</v>
      </c>
    </row>
    <row r="27" spans="1:7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  <c r="G27">
        <f t="shared" si="0"/>
        <v>-1</v>
      </c>
    </row>
    <row r="28" spans="1:7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  <c r="G28">
        <f t="shared" si="0"/>
        <v>24</v>
      </c>
    </row>
    <row r="29" spans="1:7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  <c r="G29">
        <f t="shared" si="0"/>
        <v>-1</v>
      </c>
    </row>
    <row r="30" spans="1:7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  <c r="G30">
        <f t="shared" si="0"/>
        <v>-1</v>
      </c>
    </row>
    <row r="31" spans="1:7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  <c r="G31">
        <f t="shared" si="0"/>
        <v>-1</v>
      </c>
    </row>
    <row r="32" spans="1:7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  <c r="G32">
        <f t="shared" si="0"/>
        <v>12</v>
      </c>
    </row>
    <row r="33" spans="1:7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  <c r="G33">
        <f t="shared" si="0"/>
        <v>-1</v>
      </c>
    </row>
    <row r="34" spans="1:7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  <c r="G34">
        <f t="shared" si="0"/>
        <v>-1</v>
      </c>
    </row>
    <row r="35" spans="1:7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  <c r="G35">
        <f t="shared" si="0"/>
        <v>-1</v>
      </c>
    </row>
    <row r="36" spans="1:7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  <c r="G36">
        <f t="shared" si="0"/>
        <v>-1</v>
      </c>
    </row>
    <row r="37" spans="1:7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  <c r="G37">
        <f t="shared" si="0"/>
        <v>16</v>
      </c>
    </row>
    <row r="38" spans="1:7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  <c r="G38">
        <f t="shared" si="0"/>
        <v>-1</v>
      </c>
    </row>
    <row r="39" spans="1:7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  <c r="G39">
        <f t="shared" si="0"/>
        <v>-1</v>
      </c>
    </row>
    <row r="40" spans="1:7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  <c r="G40">
        <f t="shared" si="0"/>
        <v>-1</v>
      </c>
    </row>
    <row r="41" spans="1:7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  <c r="G41">
        <f t="shared" si="0"/>
        <v>14</v>
      </c>
    </row>
    <row r="42" spans="1:7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  <c r="G42">
        <f t="shared" si="0"/>
        <v>-1</v>
      </c>
    </row>
    <row r="43" spans="1:7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  <c r="G43">
        <f t="shared" si="0"/>
        <v>18</v>
      </c>
    </row>
    <row r="44" spans="1:7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  <c r="G44">
        <f t="shared" si="0"/>
        <v>-1</v>
      </c>
    </row>
    <row r="45" spans="1:7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  <c r="G45">
        <f t="shared" si="0"/>
        <v>-1</v>
      </c>
    </row>
    <row r="46" spans="1:7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  <c r="G46">
        <f t="shared" si="0"/>
        <v>25</v>
      </c>
    </row>
    <row r="47" spans="1:7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  <c r="G47">
        <f t="shared" si="0"/>
        <v>-1</v>
      </c>
    </row>
    <row r="48" spans="1:7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  <c r="G48">
        <f t="shared" si="0"/>
        <v>-1</v>
      </c>
    </row>
    <row r="49" spans="1:7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  <c r="G49">
        <f t="shared" si="0"/>
        <v>-1</v>
      </c>
    </row>
    <row r="50" spans="1:7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  <c r="G50">
        <f t="shared" si="0"/>
        <v>-1</v>
      </c>
    </row>
    <row r="51" spans="1:7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  <c r="G51">
        <f t="shared" si="0"/>
        <v>20</v>
      </c>
    </row>
    <row r="52" spans="1:7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  <c r="G52">
        <f t="shared" si="0"/>
        <v>-1</v>
      </c>
    </row>
    <row r="53" spans="1:7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  <c r="G53">
        <f t="shared" si="0"/>
        <v>-1</v>
      </c>
    </row>
    <row r="54" spans="1:7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  <c r="G54">
        <f t="shared" si="0"/>
        <v>-1</v>
      </c>
    </row>
    <row r="55" spans="1:7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  <c r="G55">
        <f t="shared" si="0"/>
        <v>-1</v>
      </c>
    </row>
    <row r="56" spans="1:7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  <c r="G56">
        <f t="shared" si="0"/>
        <v>23</v>
      </c>
    </row>
    <row r="57" spans="1:7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  <c r="G57">
        <f t="shared" si="0"/>
        <v>-1</v>
      </c>
    </row>
    <row r="58" spans="1:7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  <c r="G58">
        <f t="shared" si="0"/>
        <v>-1</v>
      </c>
    </row>
    <row r="59" spans="1:7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  <c r="G59">
        <f t="shared" si="0"/>
        <v>17</v>
      </c>
    </row>
    <row r="60" spans="1:7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  <c r="G60">
        <f t="shared" si="0"/>
        <v>-1</v>
      </c>
    </row>
    <row r="61" spans="1:7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  <c r="G61">
        <f t="shared" si="0"/>
        <v>-1</v>
      </c>
    </row>
    <row r="62" spans="1:7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  <c r="G62">
        <f t="shared" si="0"/>
        <v>21</v>
      </c>
    </row>
    <row r="63" spans="1:7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  <c r="G63">
        <f t="shared" si="0"/>
        <v>-1</v>
      </c>
    </row>
    <row r="64" spans="1:7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  <c r="G64">
        <f t="shared" si="0"/>
        <v>-1</v>
      </c>
    </row>
    <row r="65" spans="1:7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  <c r="G65">
        <f t="shared" si="0"/>
        <v>-1</v>
      </c>
    </row>
    <row r="66" spans="1:7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  <c r="G66">
        <f t="shared" si="0"/>
        <v>24</v>
      </c>
    </row>
    <row r="67" spans="1:7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  <c r="G67">
        <f t="shared" si="0"/>
        <v>-1</v>
      </c>
    </row>
    <row r="68" spans="1:7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  <c r="G68">
        <f t="shared" ref="G68:G131" si="1">A68-A67-1</f>
        <v>-1</v>
      </c>
    </row>
    <row r="69" spans="1:7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  <c r="G69">
        <f t="shared" si="1"/>
        <v>12</v>
      </c>
    </row>
    <row r="70" spans="1:7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  <c r="G70">
        <f t="shared" si="1"/>
        <v>-1</v>
      </c>
    </row>
    <row r="71" spans="1:7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  <c r="G71">
        <f t="shared" si="1"/>
        <v>-1</v>
      </c>
    </row>
    <row r="72" spans="1:7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  <c r="G72">
        <f t="shared" si="1"/>
        <v>-1</v>
      </c>
    </row>
    <row r="73" spans="1:7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  <c r="G73">
        <f t="shared" si="1"/>
        <v>-1</v>
      </c>
    </row>
    <row r="74" spans="1:7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  <c r="G74">
        <f t="shared" si="1"/>
        <v>16</v>
      </c>
    </row>
    <row r="75" spans="1:7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  <c r="G75">
        <f t="shared" si="1"/>
        <v>-1</v>
      </c>
    </row>
    <row r="76" spans="1:7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  <c r="G76">
        <f t="shared" si="1"/>
        <v>-1</v>
      </c>
    </row>
    <row r="77" spans="1:7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  <c r="G77">
        <f t="shared" si="1"/>
        <v>14</v>
      </c>
    </row>
    <row r="78" spans="1:7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  <c r="G78">
        <f t="shared" si="1"/>
        <v>-1</v>
      </c>
    </row>
    <row r="79" spans="1:7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  <c r="G79">
        <f t="shared" si="1"/>
        <v>18</v>
      </c>
    </row>
    <row r="80" spans="1:7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  <c r="G80">
        <f t="shared" si="1"/>
        <v>-1</v>
      </c>
    </row>
    <row r="81" spans="1:7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  <c r="G81">
        <f t="shared" si="1"/>
        <v>-1</v>
      </c>
    </row>
    <row r="82" spans="1:7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  <c r="G82">
        <f t="shared" si="1"/>
        <v>-1</v>
      </c>
    </row>
    <row r="83" spans="1:7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  <c r="G83">
        <f t="shared" si="1"/>
        <v>25</v>
      </c>
    </row>
    <row r="84" spans="1:7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  <c r="G84">
        <f t="shared" si="1"/>
        <v>-1</v>
      </c>
    </row>
    <row r="85" spans="1:7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  <c r="G85">
        <f t="shared" si="1"/>
        <v>-1</v>
      </c>
    </row>
    <row r="86" spans="1:7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  <c r="G86">
        <f t="shared" si="1"/>
        <v>20</v>
      </c>
    </row>
    <row r="87" spans="1:7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  <c r="G87">
        <f t="shared" si="1"/>
        <v>-1</v>
      </c>
    </row>
    <row r="88" spans="1:7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  <c r="G88">
        <f t="shared" si="1"/>
        <v>-1</v>
      </c>
    </row>
    <row r="89" spans="1:7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  <c r="G89">
        <f t="shared" si="1"/>
        <v>-1</v>
      </c>
    </row>
    <row r="90" spans="1:7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  <c r="G90">
        <f t="shared" si="1"/>
        <v>-1</v>
      </c>
    </row>
    <row r="91" spans="1:7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  <c r="G91">
        <f t="shared" si="1"/>
        <v>23</v>
      </c>
    </row>
    <row r="92" spans="1:7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  <c r="G92">
        <f t="shared" si="1"/>
        <v>-1</v>
      </c>
    </row>
    <row r="93" spans="1:7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  <c r="G93">
        <f t="shared" si="1"/>
        <v>-1</v>
      </c>
    </row>
    <row r="94" spans="1:7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  <c r="G94">
        <f t="shared" si="1"/>
        <v>-1</v>
      </c>
    </row>
    <row r="95" spans="1:7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  <c r="G95">
        <f t="shared" si="1"/>
        <v>-1</v>
      </c>
    </row>
    <row r="96" spans="1:7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  <c r="G96">
        <f t="shared" si="1"/>
        <v>17</v>
      </c>
    </row>
    <row r="97" spans="1:7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  <c r="G97">
        <f t="shared" si="1"/>
        <v>-1</v>
      </c>
    </row>
    <row r="98" spans="1:7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  <c r="G98">
        <f t="shared" si="1"/>
        <v>-1</v>
      </c>
    </row>
    <row r="99" spans="1:7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  <c r="G99">
        <f t="shared" si="1"/>
        <v>-1</v>
      </c>
    </row>
    <row r="100" spans="1:7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  <c r="G100">
        <f t="shared" si="1"/>
        <v>-1</v>
      </c>
    </row>
    <row r="101" spans="1:7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  <c r="G101">
        <f t="shared" si="1"/>
        <v>21</v>
      </c>
    </row>
    <row r="102" spans="1:7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  <c r="G102">
        <f t="shared" si="1"/>
        <v>-1</v>
      </c>
    </row>
    <row r="103" spans="1:7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  <c r="G103">
        <f t="shared" si="1"/>
        <v>-1</v>
      </c>
    </row>
    <row r="104" spans="1:7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  <c r="G104">
        <f t="shared" si="1"/>
        <v>-1</v>
      </c>
    </row>
    <row r="105" spans="1:7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  <c r="G105">
        <f t="shared" si="1"/>
        <v>-1</v>
      </c>
    </row>
    <row r="106" spans="1:7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  <c r="G106">
        <f t="shared" si="1"/>
        <v>24</v>
      </c>
    </row>
    <row r="107" spans="1:7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  <c r="G107">
        <f t="shared" si="1"/>
        <v>-1</v>
      </c>
    </row>
    <row r="108" spans="1:7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  <c r="G108">
        <f t="shared" si="1"/>
        <v>12</v>
      </c>
    </row>
    <row r="109" spans="1:7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  <c r="G109">
        <f t="shared" si="1"/>
        <v>-1</v>
      </c>
    </row>
    <row r="110" spans="1:7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  <c r="G110">
        <f t="shared" si="1"/>
        <v>-1</v>
      </c>
    </row>
    <row r="111" spans="1:7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  <c r="G111">
        <f t="shared" si="1"/>
        <v>-1</v>
      </c>
    </row>
    <row r="112" spans="1:7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  <c r="G112">
        <f t="shared" si="1"/>
        <v>-1</v>
      </c>
    </row>
    <row r="113" spans="1:7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  <c r="G113">
        <f t="shared" si="1"/>
        <v>16</v>
      </c>
    </row>
    <row r="114" spans="1:7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  <c r="G114">
        <f t="shared" si="1"/>
        <v>-1</v>
      </c>
    </row>
    <row r="115" spans="1:7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  <c r="G115">
        <f t="shared" si="1"/>
        <v>-1</v>
      </c>
    </row>
    <row r="116" spans="1:7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  <c r="G116">
        <f t="shared" si="1"/>
        <v>-1</v>
      </c>
    </row>
    <row r="117" spans="1:7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  <c r="G117">
        <f t="shared" si="1"/>
        <v>14</v>
      </c>
    </row>
    <row r="118" spans="1:7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  <c r="G118">
        <f t="shared" si="1"/>
        <v>-1</v>
      </c>
    </row>
    <row r="119" spans="1:7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  <c r="G119">
        <f t="shared" si="1"/>
        <v>-1</v>
      </c>
    </row>
    <row r="120" spans="1:7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  <c r="G120">
        <f t="shared" si="1"/>
        <v>-1</v>
      </c>
    </row>
    <row r="121" spans="1:7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  <c r="G121">
        <f t="shared" si="1"/>
        <v>18</v>
      </c>
    </row>
    <row r="122" spans="1:7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  <c r="G122">
        <f t="shared" si="1"/>
        <v>-1</v>
      </c>
    </row>
    <row r="123" spans="1:7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  <c r="G123">
        <f t="shared" si="1"/>
        <v>25</v>
      </c>
    </row>
    <row r="124" spans="1:7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  <c r="G124">
        <f t="shared" si="1"/>
        <v>-1</v>
      </c>
    </row>
    <row r="125" spans="1:7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  <c r="G125">
        <f t="shared" si="1"/>
        <v>20</v>
      </c>
    </row>
    <row r="126" spans="1:7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  <c r="G126">
        <f t="shared" si="1"/>
        <v>-1</v>
      </c>
    </row>
    <row r="127" spans="1:7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  <c r="G127">
        <f t="shared" si="1"/>
        <v>-1</v>
      </c>
    </row>
    <row r="128" spans="1:7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  <c r="G128">
        <f t="shared" si="1"/>
        <v>-1</v>
      </c>
    </row>
    <row r="129" spans="1:7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  <c r="G129">
        <f t="shared" si="1"/>
        <v>-1</v>
      </c>
    </row>
    <row r="130" spans="1:7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  <c r="G130">
        <f t="shared" si="1"/>
        <v>23</v>
      </c>
    </row>
    <row r="131" spans="1:7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  <c r="G131">
        <f t="shared" si="1"/>
        <v>-1</v>
      </c>
    </row>
    <row r="132" spans="1:7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  <c r="G132">
        <f t="shared" ref="G132:G195" si="2">A132-A131-1</f>
        <v>17</v>
      </c>
    </row>
    <row r="133" spans="1:7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  <c r="G133">
        <f t="shared" si="2"/>
        <v>-1</v>
      </c>
    </row>
    <row r="134" spans="1:7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  <c r="G134">
        <f t="shared" si="2"/>
        <v>-1</v>
      </c>
    </row>
    <row r="135" spans="1:7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  <c r="G135">
        <f t="shared" si="2"/>
        <v>21</v>
      </c>
    </row>
    <row r="136" spans="1:7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  <c r="G136">
        <f t="shared" si="2"/>
        <v>-1</v>
      </c>
    </row>
    <row r="137" spans="1:7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  <c r="G137">
        <f t="shared" si="2"/>
        <v>-1</v>
      </c>
    </row>
    <row r="138" spans="1:7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  <c r="G138">
        <f t="shared" si="2"/>
        <v>-1</v>
      </c>
    </row>
    <row r="139" spans="1:7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  <c r="G139">
        <f t="shared" si="2"/>
        <v>24</v>
      </c>
    </row>
    <row r="140" spans="1:7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  <c r="G140">
        <f t="shared" si="2"/>
        <v>-1</v>
      </c>
    </row>
    <row r="141" spans="1:7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  <c r="G141">
        <f t="shared" si="2"/>
        <v>-1</v>
      </c>
    </row>
    <row r="142" spans="1:7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  <c r="G142">
        <f t="shared" si="2"/>
        <v>-1</v>
      </c>
    </row>
    <row r="143" spans="1:7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  <c r="G143">
        <f t="shared" si="2"/>
        <v>-1</v>
      </c>
    </row>
    <row r="144" spans="1:7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  <c r="G144">
        <f t="shared" si="2"/>
        <v>0</v>
      </c>
    </row>
    <row r="145" spans="1:7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  <c r="G145">
        <f t="shared" si="2"/>
        <v>-1</v>
      </c>
    </row>
    <row r="146" spans="1:7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  <c r="G146">
        <f t="shared" si="2"/>
        <v>16</v>
      </c>
    </row>
    <row r="147" spans="1:7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  <c r="G147">
        <f t="shared" si="2"/>
        <v>-1</v>
      </c>
    </row>
    <row r="148" spans="1:7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  <c r="G148">
        <f t="shared" si="2"/>
        <v>-1</v>
      </c>
    </row>
    <row r="149" spans="1:7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  <c r="G149">
        <f t="shared" si="2"/>
        <v>-1</v>
      </c>
    </row>
    <row r="150" spans="1:7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  <c r="G150">
        <f t="shared" si="2"/>
        <v>-1</v>
      </c>
    </row>
    <row r="151" spans="1:7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  <c r="G151">
        <f t="shared" si="2"/>
        <v>14</v>
      </c>
    </row>
    <row r="152" spans="1:7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  <c r="G152">
        <f t="shared" si="2"/>
        <v>-1</v>
      </c>
    </row>
    <row r="153" spans="1:7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  <c r="G153">
        <f t="shared" si="2"/>
        <v>18</v>
      </c>
    </row>
    <row r="154" spans="1:7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  <c r="G154">
        <f t="shared" si="2"/>
        <v>-1</v>
      </c>
    </row>
    <row r="155" spans="1:7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  <c r="G155">
        <f t="shared" si="2"/>
        <v>-1</v>
      </c>
    </row>
    <row r="156" spans="1:7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  <c r="G156">
        <f t="shared" si="2"/>
        <v>25</v>
      </c>
    </row>
    <row r="157" spans="1:7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  <c r="G157">
        <f t="shared" si="2"/>
        <v>-1</v>
      </c>
    </row>
    <row r="158" spans="1:7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  <c r="G158">
        <f t="shared" si="2"/>
        <v>-1</v>
      </c>
    </row>
    <row r="159" spans="1:7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  <c r="G159">
        <f t="shared" si="2"/>
        <v>-1</v>
      </c>
    </row>
    <row r="160" spans="1:7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  <c r="G160">
        <f t="shared" si="2"/>
        <v>20</v>
      </c>
    </row>
    <row r="161" spans="1:7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  <c r="G161">
        <f t="shared" si="2"/>
        <v>-1</v>
      </c>
    </row>
    <row r="162" spans="1:7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  <c r="G162">
        <f t="shared" si="2"/>
        <v>-1</v>
      </c>
    </row>
    <row r="163" spans="1:7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  <c r="G163">
        <f t="shared" si="2"/>
        <v>23</v>
      </c>
    </row>
    <row r="164" spans="1:7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  <c r="G164">
        <f t="shared" si="2"/>
        <v>-1</v>
      </c>
    </row>
    <row r="165" spans="1:7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  <c r="G165">
        <f t="shared" si="2"/>
        <v>-1</v>
      </c>
    </row>
    <row r="166" spans="1:7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  <c r="G166">
        <f t="shared" si="2"/>
        <v>17</v>
      </c>
    </row>
    <row r="167" spans="1:7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  <c r="G167">
        <f t="shared" si="2"/>
        <v>-1</v>
      </c>
    </row>
    <row r="168" spans="1:7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  <c r="G168">
        <f t="shared" si="2"/>
        <v>-1</v>
      </c>
    </row>
    <row r="169" spans="1:7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  <c r="G169">
        <f t="shared" si="2"/>
        <v>21</v>
      </c>
    </row>
    <row r="170" spans="1:7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  <c r="G170">
        <f t="shared" si="2"/>
        <v>-1</v>
      </c>
    </row>
    <row r="171" spans="1:7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  <c r="G171">
        <f t="shared" si="2"/>
        <v>-1</v>
      </c>
    </row>
    <row r="172" spans="1:7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  <c r="G172">
        <f t="shared" si="2"/>
        <v>-1</v>
      </c>
    </row>
    <row r="173" spans="1:7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  <c r="G173">
        <f t="shared" si="2"/>
        <v>-1</v>
      </c>
    </row>
    <row r="174" spans="1:7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  <c r="G174">
        <f t="shared" si="2"/>
        <v>24</v>
      </c>
    </row>
    <row r="175" spans="1:7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  <c r="G175">
        <f t="shared" si="2"/>
        <v>-1</v>
      </c>
    </row>
    <row r="176" spans="1:7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  <c r="G176">
        <f t="shared" si="2"/>
        <v>-1</v>
      </c>
    </row>
    <row r="177" spans="1:7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  <c r="G177">
        <f t="shared" si="2"/>
        <v>-1</v>
      </c>
    </row>
    <row r="178" spans="1:7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  <c r="G178">
        <f t="shared" si="2"/>
        <v>12</v>
      </c>
    </row>
    <row r="179" spans="1:7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  <c r="G179">
        <f t="shared" si="2"/>
        <v>-1</v>
      </c>
    </row>
    <row r="180" spans="1:7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  <c r="G180">
        <f t="shared" si="2"/>
        <v>-1</v>
      </c>
    </row>
    <row r="181" spans="1:7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  <c r="G181">
        <f t="shared" si="2"/>
        <v>-1</v>
      </c>
    </row>
    <row r="182" spans="1:7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  <c r="G182">
        <f t="shared" si="2"/>
        <v>16</v>
      </c>
    </row>
    <row r="183" spans="1:7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  <c r="G183">
        <f t="shared" si="2"/>
        <v>-1</v>
      </c>
    </row>
    <row r="184" spans="1:7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  <c r="G184">
        <f t="shared" si="2"/>
        <v>-1</v>
      </c>
    </row>
    <row r="185" spans="1:7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  <c r="G185">
        <f t="shared" si="2"/>
        <v>-1</v>
      </c>
    </row>
    <row r="186" spans="1:7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  <c r="G186">
        <f t="shared" si="2"/>
        <v>14</v>
      </c>
    </row>
    <row r="187" spans="1:7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  <c r="G187">
        <f t="shared" si="2"/>
        <v>-1</v>
      </c>
    </row>
    <row r="188" spans="1:7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  <c r="G188">
        <f t="shared" si="2"/>
        <v>-1</v>
      </c>
    </row>
    <row r="189" spans="1:7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  <c r="G189">
        <f t="shared" si="2"/>
        <v>-1</v>
      </c>
    </row>
    <row r="190" spans="1:7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  <c r="G190">
        <f t="shared" si="2"/>
        <v>-1</v>
      </c>
    </row>
    <row r="191" spans="1:7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  <c r="G191">
        <f t="shared" si="2"/>
        <v>18</v>
      </c>
    </row>
    <row r="192" spans="1:7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  <c r="G192">
        <f t="shared" si="2"/>
        <v>-1</v>
      </c>
    </row>
    <row r="193" spans="1:7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  <c r="G193">
        <f t="shared" si="2"/>
        <v>-1</v>
      </c>
    </row>
    <row r="194" spans="1:7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  <c r="G194">
        <f t="shared" si="2"/>
        <v>25</v>
      </c>
    </row>
    <row r="195" spans="1:7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  <c r="G195">
        <f t="shared" si="2"/>
        <v>-1</v>
      </c>
    </row>
    <row r="196" spans="1:7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  <c r="G196">
        <f t="shared" ref="G196:G203" si="3">A196-A195-1</f>
        <v>20</v>
      </c>
    </row>
    <row r="197" spans="1:7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  <c r="G197">
        <f t="shared" si="3"/>
        <v>-1</v>
      </c>
    </row>
    <row r="198" spans="1:7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  <c r="G198">
        <f t="shared" si="3"/>
        <v>-1</v>
      </c>
    </row>
    <row r="199" spans="1:7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  <c r="G199">
        <f t="shared" si="3"/>
        <v>23</v>
      </c>
    </row>
    <row r="200" spans="1:7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  <c r="G200">
        <f t="shared" si="3"/>
        <v>-1</v>
      </c>
    </row>
    <row r="201" spans="1:7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  <c r="G201">
        <f t="shared" si="3"/>
        <v>-1</v>
      </c>
    </row>
    <row r="202" spans="1:7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  <c r="G202">
        <f t="shared" si="3"/>
        <v>-1</v>
      </c>
    </row>
    <row r="203" spans="1:7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  <c r="G203">
        <f t="shared" si="3"/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8338-150E-4208-BA75-44166EBEDF36}">
  <dimension ref="A1:K203"/>
  <sheetViews>
    <sheetView zoomScale="72" workbookViewId="0">
      <selection activeCell="N9" sqref="N9:O75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  <col min="14" max="14" width="18" bestFit="1" customWidth="1"/>
    <col min="15" max="15" width="13.08984375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3" t="s">
        <v>10</v>
      </c>
      <c r="H1" s="13" t="s">
        <v>11</v>
      </c>
      <c r="I1" s="13" t="s">
        <v>12</v>
      </c>
      <c r="J1" s="13" t="s">
        <v>7</v>
      </c>
      <c r="K1" s="13" t="s">
        <v>9</v>
      </c>
    </row>
    <row r="2" spans="1:11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  <c r="G2" s="17"/>
      <c r="J2">
        <v>3</v>
      </c>
    </row>
    <row r="3" spans="1:11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  <c r="G3">
        <f>IF($C3="T1",IF($D3="Z",G2+$E3,G2-$E3),G2)</f>
        <v>0</v>
      </c>
      <c r="H3">
        <f>IF($C3="T2",IF($D3="Z",H2+$E3,H2-$E3),H2)</f>
        <v>0</v>
      </c>
      <c r="I3">
        <f>IF($C3="T3",IF($D3="Z",I2+$E3,I2-$E3),I2)</f>
        <v>0</v>
      </c>
      <c r="J3">
        <f>IF($C3="T4",IF($D3="Z",J2+$E3,J2-$E3),J2)</f>
        <v>3</v>
      </c>
      <c r="K3">
        <f>IF($C3="T5",IF($D3="Z",K2+$E3,K2-$E3),K2)</f>
        <v>32</v>
      </c>
    </row>
    <row r="4" spans="1:11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  <c r="G4">
        <f t="shared" ref="G4:G67" si="0">IF(C4="T1",IF(D4="Z",G3+E4,G3-E4),G3)</f>
        <v>38</v>
      </c>
      <c r="H4">
        <f t="shared" ref="H4:H67" si="1">IF($C4="T2",IF($D4="Z",H3+$E4,H3-$E4),H3)</f>
        <v>0</v>
      </c>
      <c r="I4">
        <f t="shared" ref="I4:I67" si="2">IF($C4="T3",IF($D4="Z",I3+$E4,I3-$E4),I3)</f>
        <v>0</v>
      </c>
      <c r="J4">
        <f t="shared" ref="J4:J67" si="3">IF($C4="T4",IF($D4="Z",J3+$E4,J3-$E4),J3)</f>
        <v>3</v>
      </c>
      <c r="K4">
        <f t="shared" ref="K4:K67" si="4">IF($C4="T5",IF($D4="Z",K3+$E4,K3-$E4),K3)</f>
        <v>32</v>
      </c>
    </row>
    <row r="5" spans="1:11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  <c r="G5">
        <f t="shared" si="0"/>
        <v>38</v>
      </c>
      <c r="H5">
        <f t="shared" si="1"/>
        <v>33</v>
      </c>
      <c r="I5">
        <f t="shared" si="2"/>
        <v>0</v>
      </c>
      <c r="J5">
        <f t="shared" si="3"/>
        <v>3</v>
      </c>
      <c r="K5">
        <f t="shared" si="4"/>
        <v>32</v>
      </c>
    </row>
    <row r="6" spans="1:11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  <c r="G6">
        <f t="shared" si="0"/>
        <v>38</v>
      </c>
      <c r="H6">
        <f t="shared" si="1"/>
        <v>33</v>
      </c>
      <c r="I6">
        <f t="shared" si="2"/>
        <v>43</v>
      </c>
      <c r="J6">
        <f t="shared" si="3"/>
        <v>3</v>
      </c>
      <c r="K6">
        <f t="shared" si="4"/>
        <v>32</v>
      </c>
    </row>
    <row r="7" spans="1:11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  <c r="G7">
        <f t="shared" si="0"/>
        <v>38</v>
      </c>
      <c r="H7">
        <f t="shared" si="1"/>
        <v>33</v>
      </c>
      <c r="I7">
        <f t="shared" si="2"/>
        <v>43</v>
      </c>
      <c r="J7">
        <f t="shared" si="3"/>
        <v>3</v>
      </c>
      <c r="K7">
        <f t="shared" si="4"/>
        <v>0</v>
      </c>
    </row>
    <row r="8" spans="1:11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  <c r="G8">
        <f t="shared" si="0"/>
        <v>38</v>
      </c>
      <c r="H8">
        <f t="shared" si="1"/>
        <v>47</v>
      </c>
      <c r="I8">
        <f t="shared" si="2"/>
        <v>43</v>
      </c>
      <c r="J8">
        <f t="shared" si="3"/>
        <v>3</v>
      </c>
      <c r="K8">
        <f t="shared" si="4"/>
        <v>0</v>
      </c>
    </row>
    <row r="9" spans="1:11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  <c r="G9">
        <f t="shared" si="0"/>
        <v>38</v>
      </c>
      <c r="H9">
        <f t="shared" si="1"/>
        <v>47</v>
      </c>
      <c r="I9">
        <f t="shared" si="2"/>
        <v>43</v>
      </c>
      <c r="J9">
        <f t="shared" si="3"/>
        <v>3</v>
      </c>
      <c r="K9">
        <f t="shared" si="4"/>
        <v>44</v>
      </c>
    </row>
    <row r="10" spans="1:11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  <c r="G10">
        <f t="shared" si="0"/>
        <v>38</v>
      </c>
      <c r="H10">
        <f t="shared" si="1"/>
        <v>48</v>
      </c>
      <c r="I10">
        <f t="shared" si="2"/>
        <v>43</v>
      </c>
      <c r="J10">
        <f t="shared" si="3"/>
        <v>3</v>
      </c>
      <c r="K10">
        <f t="shared" si="4"/>
        <v>44</v>
      </c>
    </row>
    <row r="11" spans="1:11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  <c r="G11">
        <f t="shared" si="0"/>
        <v>38</v>
      </c>
      <c r="H11">
        <f t="shared" si="1"/>
        <v>48</v>
      </c>
      <c r="I11">
        <f t="shared" si="2"/>
        <v>43</v>
      </c>
      <c r="J11">
        <f t="shared" si="3"/>
        <v>24</v>
      </c>
      <c r="K11">
        <f t="shared" si="4"/>
        <v>44</v>
      </c>
    </row>
    <row r="12" spans="1:11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  <c r="G12">
        <f t="shared" si="0"/>
        <v>38</v>
      </c>
      <c r="H12">
        <f t="shared" si="1"/>
        <v>48</v>
      </c>
      <c r="I12">
        <f t="shared" si="2"/>
        <v>0</v>
      </c>
      <c r="J12">
        <f t="shared" si="3"/>
        <v>24</v>
      </c>
      <c r="K12">
        <f t="shared" si="4"/>
        <v>44</v>
      </c>
    </row>
    <row r="13" spans="1:11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  <c r="G13">
        <f t="shared" si="0"/>
        <v>0</v>
      </c>
      <c r="H13">
        <f t="shared" si="1"/>
        <v>48</v>
      </c>
      <c r="I13">
        <f t="shared" si="2"/>
        <v>0</v>
      </c>
      <c r="J13">
        <f t="shared" si="3"/>
        <v>24</v>
      </c>
      <c r="K13">
        <f t="shared" si="4"/>
        <v>44</v>
      </c>
    </row>
    <row r="14" spans="1:11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  <c r="G14">
        <f t="shared" si="0"/>
        <v>0</v>
      </c>
      <c r="H14">
        <f t="shared" si="1"/>
        <v>48</v>
      </c>
      <c r="I14">
        <f t="shared" si="2"/>
        <v>0</v>
      </c>
      <c r="J14">
        <f t="shared" si="3"/>
        <v>33</v>
      </c>
      <c r="K14">
        <f t="shared" si="4"/>
        <v>44</v>
      </c>
    </row>
    <row r="15" spans="1:11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  <c r="G15">
        <f t="shared" si="0"/>
        <v>0</v>
      </c>
      <c r="H15">
        <f t="shared" si="1"/>
        <v>48</v>
      </c>
      <c r="I15">
        <f t="shared" si="2"/>
        <v>0</v>
      </c>
      <c r="J15">
        <f t="shared" si="3"/>
        <v>33</v>
      </c>
      <c r="K15">
        <f t="shared" si="4"/>
        <v>52</v>
      </c>
    </row>
    <row r="16" spans="1:11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  <c r="G16">
        <f t="shared" si="0"/>
        <v>0</v>
      </c>
      <c r="H16">
        <f t="shared" si="1"/>
        <v>48</v>
      </c>
      <c r="I16">
        <f t="shared" si="2"/>
        <v>0</v>
      </c>
      <c r="J16">
        <f t="shared" si="3"/>
        <v>33</v>
      </c>
      <c r="K16">
        <f t="shared" si="4"/>
        <v>2</v>
      </c>
    </row>
    <row r="17" spans="1:11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  <c r="G17">
        <f t="shared" si="0"/>
        <v>0</v>
      </c>
      <c r="H17">
        <f t="shared" si="1"/>
        <v>48</v>
      </c>
      <c r="I17">
        <f t="shared" si="2"/>
        <v>32</v>
      </c>
      <c r="J17">
        <f t="shared" si="3"/>
        <v>33</v>
      </c>
      <c r="K17">
        <f t="shared" si="4"/>
        <v>2</v>
      </c>
    </row>
    <row r="18" spans="1:11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  <c r="G18">
        <f t="shared" si="0"/>
        <v>7</v>
      </c>
      <c r="H18">
        <f t="shared" si="1"/>
        <v>48</v>
      </c>
      <c r="I18">
        <f t="shared" si="2"/>
        <v>32</v>
      </c>
      <c r="J18">
        <f t="shared" si="3"/>
        <v>33</v>
      </c>
      <c r="K18">
        <f t="shared" si="4"/>
        <v>2</v>
      </c>
    </row>
    <row r="19" spans="1:11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  <c r="G19">
        <f t="shared" si="0"/>
        <v>7</v>
      </c>
      <c r="H19">
        <f t="shared" si="1"/>
        <v>58</v>
      </c>
      <c r="I19">
        <f t="shared" si="2"/>
        <v>32</v>
      </c>
      <c r="J19">
        <f t="shared" si="3"/>
        <v>33</v>
      </c>
      <c r="K19">
        <f t="shared" si="4"/>
        <v>2</v>
      </c>
    </row>
    <row r="20" spans="1:11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  <c r="G20">
        <f t="shared" si="0"/>
        <v>0</v>
      </c>
      <c r="H20">
        <f t="shared" si="1"/>
        <v>58</v>
      </c>
      <c r="I20">
        <f t="shared" si="2"/>
        <v>32</v>
      </c>
      <c r="J20">
        <f t="shared" si="3"/>
        <v>33</v>
      </c>
      <c r="K20">
        <f t="shared" si="4"/>
        <v>2</v>
      </c>
    </row>
    <row r="21" spans="1:11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  <c r="G21">
        <f t="shared" si="0"/>
        <v>0</v>
      </c>
      <c r="H21">
        <f t="shared" si="1"/>
        <v>58</v>
      </c>
      <c r="I21">
        <f t="shared" si="2"/>
        <v>57</v>
      </c>
      <c r="J21">
        <f t="shared" si="3"/>
        <v>33</v>
      </c>
      <c r="K21">
        <f t="shared" si="4"/>
        <v>2</v>
      </c>
    </row>
    <row r="22" spans="1:11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  <c r="G22">
        <f t="shared" si="0"/>
        <v>0</v>
      </c>
      <c r="H22">
        <f t="shared" si="1"/>
        <v>58</v>
      </c>
      <c r="I22">
        <f t="shared" si="2"/>
        <v>57</v>
      </c>
      <c r="J22">
        <f t="shared" si="3"/>
        <v>33</v>
      </c>
      <c r="K22">
        <f t="shared" si="4"/>
        <v>35</v>
      </c>
    </row>
    <row r="23" spans="1:11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  <c r="G23">
        <f t="shared" si="0"/>
        <v>0</v>
      </c>
      <c r="H23">
        <f t="shared" si="1"/>
        <v>22</v>
      </c>
      <c r="I23">
        <f t="shared" si="2"/>
        <v>57</v>
      </c>
      <c r="J23">
        <f t="shared" si="3"/>
        <v>33</v>
      </c>
      <c r="K23">
        <f t="shared" si="4"/>
        <v>35</v>
      </c>
    </row>
    <row r="24" spans="1:11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  <c r="G24">
        <f t="shared" si="0"/>
        <v>0</v>
      </c>
      <c r="H24">
        <f t="shared" si="1"/>
        <v>22</v>
      </c>
      <c r="I24">
        <f t="shared" si="2"/>
        <v>57</v>
      </c>
      <c r="J24">
        <f t="shared" si="3"/>
        <v>38</v>
      </c>
      <c r="K24">
        <f t="shared" si="4"/>
        <v>35</v>
      </c>
    </row>
    <row r="25" spans="1:11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  <c r="G25">
        <f t="shared" si="0"/>
        <v>0</v>
      </c>
      <c r="H25">
        <f t="shared" si="1"/>
        <v>22</v>
      </c>
      <c r="I25">
        <f t="shared" si="2"/>
        <v>57</v>
      </c>
      <c r="J25">
        <f t="shared" si="3"/>
        <v>38</v>
      </c>
      <c r="K25">
        <f t="shared" si="4"/>
        <v>70</v>
      </c>
    </row>
    <row r="26" spans="1:11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  <c r="G26">
        <f t="shared" si="0"/>
        <v>0</v>
      </c>
      <c r="H26">
        <f t="shared" si="1"/>
        <v>22</v>
      </c>
      <c r="I26">
        <f t="shared" si="2"/>
        <v>57</v>
      </c>
      <c r="J26">
        <f t="shared" si="3"/>
        <v>0</v>
      </c>
      <c r="K26">
        <f t="shared" si="4"/>
        <v>70</v>
      </c>
    </row>
    <row r="27" spans="1:11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  <c r="G27">
        <f t="shared" si="0"/>
        <v>0</v>
      </c>
      <c r="H27">
        <f t="shared" si="1"/>
        <v>32</v>
      </c>
      <c r="I27">
        <f t="shared" si="2"/>
        <v>57</v>
      </c>
      <c r="J27">
        <f t="shared" si="3"/>
        <v>0</v>
      </c>
      <c r="K27">
        <f t="shared" si="4"/>
        <v>70</v>
      </c>
    </row>
    <row r="28" spans="1:11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  <c r="G28">
        <f t="shared" si="0"/>
        <v>0</v>
      </c>
      <c r="H28">
        <f t="shared" si="1"/>
        <v>28</v>
      </c>
      <c r="I28">
        <f t="shared" si="2"/>
        <v>57</v>
      </c>
      <c r="J28">
        <f t="shared" si="3"/>
        <v>0</v>
      </c>
      <c r="K28">
        <f t="shared" si="4"/>
        <v>70</v>
      </c>
    </row>
    <row r="29" spans="1:11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  <c r="G29">
        <f t="shared" si="0"/>
        <v>0</v>
      </c>
      <c r="H29">
        <f t="shared" si="1"/>
        <v>28</v>
      </c>
      <c r="I29">
        <f t="shared" si="2"/>
        <v>57</v>
      </c>
      <c r="J29">
        <f t="shared" si="3"/>
        <v>42</v>
      </c>
      <c r="K29">
        <f t="shared" si="4"/>
        <v>70</v>
      </c>
    </row>
    <row r="30" spans="1:11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  <c r="G30">
        <f t="shared" si="0"/>
        <v>28</v>
      </c>
      <c r="H30">
        <f t="shared" si="1"/>
        <v>28</v>
      </c>
      <c r="I30">
        <f t="shared" si="2"/>
        <v>57</v>
      </c>
      <c r="J30">
        <f t="shared" si="3"/>
        <v>42</v>
      </c>
      <c r="K30">
        <f t="shared" si="4"/>
        <v>70</v>
      </c>
    </row>
    <row r="31" spans="1:11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  <c r="G31">
        <f t="shared" si="0"/>
        <v>28</v>
      </c>
      <c r="H31">
        <f t="shared" si="1"/>
        <v>28</v>
      </c>
      <c r="I31">
        <f t="shared" si="2"/>
        <v>76</v>
      </c>
      <c r="J31">
        <f t="shared" si="3"/>
        <v>42</v>
      </c>
      <c r="K31">
        <f t="shared" si="4"/>
        <v>70</v>
      </c>
    </row>
    <row r="32" spans="1:11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  <c r="G32">
        <f t="shared" si="0"/>
        <v>28</v>
      </c>
      <c r="H32">
        <f t="shared" si="1"/>
        <v>28</v>
      </c>
      <c r="I32">
        <f t="shared" si="2"/>
        <v>4</v>
      </c>
      <c r="J32">
        <f t="shared" si="3"/>
        <v>42</v>
      </c>
      <c r="K32">
        <f t="shared" si="4"/>
        <v>70</v>
      </c>
    </row>
    <row r="33" spans="1:11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  <c r="G33">
        <f t="shared" si="0"/>
        <v>28</v>
      </c>
      <c r="H33">
        <f t="shared" si="1"/>
        <v>28</v>
      </c>
      <c r="I33">
        <f t="shared" si="2"/>
        <v>4</v>
      </c>
      <c r="J33">
        <f t="shared" si="3"/>
        <v>0</v>
      </c>
      <c r="K33">
        <f t="shared" si="4"/>
        <v>70</v>
      </c>
    </row>
    <row r="34" spans="1:11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  <c r="G34">
        <f t="shared" si="0"/>
        <v>28</v>
      </c>
      <c r="H34">
        <f t="shared" si="1"/>
        <v>28</v>
      </c>
      <c r="I34">
        <f t="shared" si="2"/>
        <v>4</v>
      </c>
      <c r="J34">
        <f t="shared" si="3"/>
        <v>0</v>
      </c>
      <c r="K34">
        <f t="shared" si="4"/>
        <v>112</v>
      </c>
    </row>
    <row r="35" spans="1:11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  <c r="G35">
        <f t="shared" si="0"/>
        <v>28</v>
      </c>
      <c r="H35">
        <f t="shared" si="1"/>
        <v>61</v>
      </c>
      <c r="I35">
        <f t="shared" si="2"/>
        <v>4</v>
      </c>
      <c r="J35">
        <f t="shared" si="3"/>
        <v>0</v>
      </c>
      <c r="K35">
        <f t="shared" si="4"/>
        <v>112</v>
      </c>
    </row>
    <row r="36" spans="1:11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  <c r="G36">
        <f t="shared" si="0"/>
        <v>37</v>
      </c>
      <c r="H36">
        <f t="shared" si="1"/>
        <v>61</v>
      </c>
      <c r="I36">
        <f t="shared" si="2"/>
        <v>4</v>
      </c>
      <c r="J36">
        <f t="shared" si="3"/>
        <v>0</v>
      </c>
      <c r="K36">
        <f t="shared" si="4"/>
        <v>112</v>
      </c>
    </row>
    <row r="37" spans="1:11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  <c r="G37">
        <f t="shared" si="0"/>
        <v>37</v>
      </c>
      <c r="H37">
        <f t="shared" si="1"/>
        <v>61</v>
      </c>
      <c r="I37">
        <f t="shared" si="2"/>
        <v>0</v>
      </c>
      <c r="J37">
        <f t="shared" si="3"/>
        <v>0</v>
      </c>
      <c r="K37">
        <f t="shared" si="4"/>
        <v>112</v>
      </c>
    </row>
    <row r="38" spans="1:11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  <c r="G38">
        <f t="shared" si="0"/>
        <v>0</v>
      </c>
      <c r="H38">
        <f t="shared" si="1"/>
        <v>61</v>
      </c>
      <c r="I38">
        <f t="shared" si="2"/>
        <v>0</v>
      </c>
      <c r="J38">
        <f t="shared" si="3"/>
        <v>0</v>
      </c>
      <c r="K38">
        <f t="shared" si="4"/>
        <v>112</v>
      </c>
    </row>
    <row r="39" spans="1:11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  <c r="G39">
        <f t="shared" si="0"/>
        <v>0</v>
      </c>
      <c r="H39">
        <f t="shared" si="1"/>
        <v>61</v>
      </c>
      <c r="I39">
        <f t="shared" si="2"/>
        <v>0</v>
      </c>
      <c r="J39">
        <f t="shared" si="3"/>
        <v>0</v>
      </c>
      <c r="K39">
        <f t="shared" si="4"/>
        <v>147</v>
      </c>
    </row>
    <row r="40" spans="1:11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  <c r="G40">
        <f t="shared" si="0"/>
        <v>0</v>
      </c>
      <c r="H40">
        <f t="shared" si="1"/>
        <v>61</v>
      </c>
      <c r="I40">
        <f t="shared" si="2"/>
        <v>0</v>
      </c>
      <c r="J40">
        <f t="shared" si="3"/>
        <v>32</v>
      </c>
      <c r="K40">
        <f t="shared" si="4"/>
        <v>147</v>
      </c>
    </row>
    <row r="41" spans="1:11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  <c r="G41">
        <f t="shared" si="0"/>
        <v>0</v>
      </c>
      <c r="H41">
        <f t="shared" si="1"/>
        <v>61</v>
      </c>
      <c r="I41">
        <f t="shared" si="2"/>
        <v>0</v>
      </c>
      <c r="J41">
        <f t="shared" si="3"/>
        <v>0</v>
      </c>
      <c r="K41">
        <f t="shared" si="4"/>
        <v>147</v>
      </c>
    </row>
    <row r="42" spans="1:11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  <c r="G42">
        <f t="shared" si="0"/>
        <v>0</v>
      </c>
      <c r="H42">
        <f t="shared" si="1"/>
        <v>61</v>
      </c>
      <c r="I42">
        <f t="shared" si="2"/>
        <v>0</v>
      </c>
      <c r="J42">
        <f t="shared" si="3"/>
        <v>0</v>
      </c>
      <c r="K42">
        <f t="shared" si="4"/>
        <v>195</v>
      </c>
    </row>
    <row r="43" spans="1:11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  <c r="G43">
        <f t="shared" si="0"/>
        <v>0</v>
      </c>
      <c r="H43">
        <f t="shared" si="1"/>
        <v>61</v>
      </c>
      <c r="I43">
        <f t="shared" si="2"/>
        <v>0</v>
      </c>
      <c r="J43">
        <f t="shared" si="3"/>
        <v>0</v>
      </c>
      <c r="K43">
        <f t="shared" si="4"/>
        <v>4</v>
      </c>
    </row>
    <row r="44" spans="1:11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  <c r="G44">
        <f t="shared" si="0"/>
        <v>0</v>
      </c>
      <c r="H44">
        <f t="shared" si="1"/>
        <v>70</v>
      </c>
      <c r="I44">
        <f t="shared" si="2"/>
        <v>0</v>
      </c>
      <c r="J44">
        <f t="shared" si="3"/>
        <v>0</v>
      </c>
      <c r="K44">
        <f t="shared" si="4"/>
        <v>4</v>
      </c>
    </row>
    <row r="45" spans="1:11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  <c r="G45">
        <f t="shared" si="0"/>
        <v>0</v>
      </c>
      <c r="H45">
        <f t="shared" si="1"/>
        <v>70</v>
      </c>
      <c r="I45">
        <f t="shared" si="2"/>
        <v>0</v>
      </c>
      <c r="J45">
        <f t="shared" si="3"/>
        <v>36</v>
      </c>
      <c r="K45">
        <f t="shared" si="4"/>
        <v>4</v>
      </c>
    </row>
    <row r="46" spans="1:11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  <c r="G46">
        <f t="shared" si="0"/>
        <v>47</v>
      </c>
      <c r="H46">
        <f t="shared" si="1"/>
        <v>70</v>
      </c>
      <c r="I46">
        <f t="shared" si="2"/>
        <v>0</v>
      </c>
      <c r="J46">
        <f t="shared" si="3"/>
        <v>36</v>
      </c>
      <c r="K46">
        <f t="shared" si="4"/>
        <v>4</v>
      </c>
    </row>
    <row r="47" spans="1:11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  <c r="G47">
        <f t="shared" si="0"/>
        <v>47</v>
      </c>
      <c r="H47">
        <f t="shared" si="1"/>
        <v>70</v>
      </c>
      <c r="I47">
        <f t="shared" si="2"/>
        <v>0</v>
      </c>
      <c r="J47">
        <f t="shared" si="3"/>
        <v>36</v>
      </c>
      <c r="K47">
        <f t="shared" si="4"/>
        <v>0</v>
      </c>
    </row>
    <row r="48" spans="1:11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  <c r="G48">
        <f t="shared" si="0"/>
        <v>47</v>
      </c>
      <c r="H48">
        <f t="shared" si="1"/>
        <v>70</v>
      </c>
      <c r="I48">
        <f t="shared" si="2"/>
        <v>8</v>
      </c>
      <c r="J48">
        <f t="shared" si="3"/>
        <v>36</v>
      </c>
      <c r="K48">
        <f t="shared" si="4"/>
        <v>0</v>
      </c>
    </row>
    <row r="49" spans="1:11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  <c r="G49">
        <f t="shared" si="0"/>
        <v>47</v>
      </c>
      <c r="H49">
        <f t="shared" si="1"/>
        <v>73</v>
      </c>
      <c r="I49">
        <f t="shared" si="2"/>
        <v>8</v>
      </c>
      <c r="J49">
        <f t="shared" si="3"/>
        <v>36</v>
      </c>
      <c r="K49">
        <f t="shared" si="4"/>
        <v>0</v>
      </c>
    </row>
    <row r="50" spans="1:11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  <c r="G50">
        <f t="shared" si="0"/>
        <v>47</v>
      </c>
      <c r="H50">
        <f t="shared" si="1"/>
        <v>73</v>
      </c>
      <c r="I50">
        <f t="shared" si="2"/>
        <v>8</v>
      </c>
      <c r="J50">
        <f t="shared" si="3"/>
        <v>77</v>
      </c>
      <c r="K50">
        <f t="shared" si="4"/>
        <v>0</v>
      </c>
    </row>
    <row r="51" spans="1:11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  <c r="G51">
        <f t="shared" si="0"/>
        <v>47</v>
      </c>
      <c r="H51">
        <f t="shared" si="1"/>
        <v>73</v>
      </c>
      <c r="I51">
        <f t="shared" si="2"/>
        <v>8</v>
      </c>
      <c r="J51">
        <f t="shared" si="3"/>
        <v>77</v>
      </c>
      <c r="K51">
        <f t="shared" si="4"/>
        <v>44</v>
      </c>
    </row>
    <row r="52" spans="1:11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  <c r="G52">
        <f t="shared" si="0"/>
        <v>2</v>
      </c>
      <c r="H52">
        <f t="shared" si="1"/>
        <v>73</v>
      </c>
      <c r="I52">
        <f t="shared" si="2"/>
        <v>8</v>
      </c>
      <c r="J52">
        <f t="shared" si="3"/>
        <v>77</v>
      </c>
      <c r="K52">
        <f t="shared" si="4"/>
        <v>44</v>
      </c>
    </row>
    <row r="53" spans="1:11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  <c r="G53">
        <f t="shared" si="0"/>
        <v>2</v>
      </c>
      <c r="H53">
        <f t="shared" si="1"/>
        <v>73</v>
      </c>
      <c r="I53">
        <f t="shared" si="2"/>
        <v>48</v>
      </c>
      <c r="J53">
        <f t="shared" si="3"/>
        <v>77</v>
      </c>
      <c r="K53">
        <f t="shared" si="4"/>
        <v>44</v>
      </c>
    </row>
    <row r="54" spans="1:11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  <c r="G54">
        <f t="shared" si="0"/>
        <v>2</v>
      </c>
      <c r="H54">
        <f t="shared" si="1"/>
        <v>73</v>
      </c>
      <c r="I54">
        <f t="shared" si="2"/>
        <v>48</v>
      </c>
      <c r="J54">
        <f t="shared" si="3"/>
        <v>80</v>
      </c>
      <c r="K54">
        <f t="shared" si="4"/>
        <v>44</v>
      </c>
    </row>
    <row r="55" spans="1:11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  <c r="G55">
        <f t="shared" si="0"/>
        <v>2</v>
      </c>
      <c r="H55">
        <f t="shared" si="1"/>
        <v>90</v>
      </c>
      <c r="I55">
        <f t="shared" si="2"/>
        <v>48</v>
      </c>
      <c r="J55">
        <f t="shared" si="3"/>
        <v>80</v>
      </c>
      <c r="K55">
        <f t="shared" si="4"/>
        <v>44</v>
      </c>
    </row>
    <row r="56" spans="1:11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  <c r="G56">
        <f t="shared" si="0"/>
        <v>0</v>
      </c>
      <c r="H56">
        <f t="shared" si="1"/>
        <v>90</v>
      </c>
      <c r="I56">
        <f t="shared" si="2"/>
        <v>48</v>
      </c>
      <c r="J56">
        <f t="shared" si="3"/>
        <v>80</v>
      </c>
      <c r="K56">
        <f t="shared" si="4"/>
        <v>44</v>
      </c>
    </row>
    <row r="57" spans="1:11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  <c r="G57">
        <f t="shared" si="0"/>
        <v>0</v>
      </c>
      <c r="H57">
        <f t="shared" si="1"/>
        <v>90</v>
      </c>
      <c r="I57">
        <f t="shared" si="2"/>
        <v>62</v>
      </c>
      <c r="J57">
        <f t="shared" si="3"/>
        <v>80</v>
      </c>
      <c r="K57">
        <f t="shared" si="4"/>
        <v>44</v>
      </c>
    </row>
    <row r="58" spans="1:11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  <c r="G58">
        <f t="shared" si="0"/>
        <v>0</v>
      </c>
      <c r="H58">
        <f t="shared" si="1"/>
        <v>113</v>
      </c>
      <c r="I58">
        <f t="shared" si="2"/>
        <v>62</v>
      </c>
      <c r="J58">
        <f t="shared" si="3"/>
        <v>80</v>
      </c>
      <c r="K58">
        <f t="shared" si="4"/>
        <v>44</v>
      </c>
    </row>
    <row r="59" spans="1:11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  <c r="G59">
        <f t="shared" si="0"/>
        <v>11</v>
      </c>
      <c r="H59">
        <f t="shared" si="1"/>
        <v>113</v>
      </c>
      <c r="I59">
        <f t="shared" si="2"/>
        <v>62</v>
      </c>
      <c r="J59">
        <f t="shared" si="3"/>
        <v>80</v>
      </c>
      <c r="K59">
        <f t="shared" si="4"/>
        <v>44</v>
      </c>
    </row>
    <row r="60" spans="1:11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  <c r="G60">
        <f t="shared" si="0"/>
        <v>11</v>
      </c>
      <c r="H60">
        <f t="shared" si="1"/>
        <v>113</v>
      </c>
      <c r="I60">
        <f t="shared" si="2"/>
        <v>62</v>
      </c>
      <c r="J60">
        <f t="shared" si="3"/>
        <v>97</v>
      </c>
      <c r="K60">
        <f t="shared" si="4"/>
        <v>44</v>
      </c>
    </row>
    <row r="61" spans="1:11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  <c r="G61">
        <f t="shared" si="0"/>
        <v>11</v>
      </c>
      <c r="H61">
        <f t="shared" si="1"/>
        <v>113</v>
      </c>
      <c r="I61">
        <f t="shared" si="2"/>
        <v>62</v>
      </c>
      <c r="J61">
        <f t="shared" si="3"/>
        <v>97</v>
      </c>
      <c r="K61">
        <f t="shared" si="4"/>
        <v>74</v>
      </c>
    </row>
    <row r="62" spans="1:11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  <c r="G62">
        <f t="shared" si="0"/>
        <v>11</v>
      </c>
      <c r="H62">
        <f t="shared" si="1"/>
        <v>113</v>
      </c>
      <c r="I62">
        <f t="shared" si="2"/>
        <v>62</v>
      </c>
      <c r="J62">
        <f t="shared" si="3"/>
        <v>0</v>
      </c>
      <c r="K62">
        <f t="shared" si="4"/>
        <v>74</v>
      </c>
    </row>
    <row r="63" spans="1:11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  <c r="G63">
        <f t="shared" si="0"/>
        <v>0</v>
      </c>
      <c r="H63">
        <f t="shared" si="1"/>
        <v>113</v>
      </c>
      <c r="I63">
        <f t="shared" si="2"/>
        <v>62</v>
      </c>
      <c r="J63">
        <f t="shared" si="3"/>
        <v>0</v>
      </c>
      <c r="K63">
        <f t="shared" si="4"/>
        <v>74</v>
      </c>
    </row>
    <row r="64" spans="1:11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  <c r="G64">
        <f t="shared" si="0"/>
        <v>0</v>
      </c>
      <c r="H64">
        <f t="shared" si="1"/>
        <v>113</v>
      </c>
      <c r="I64">
        <f t="shared" si="2"/>
        <v>79</v>
      </c>
      <c r="J64">
        <f t="shared" si="3"/>
        <v>0</v>
      </c>
      <c r="K64">
        <f t="shared" si="4"/>
        <v>74</v>
      </c>
    </row>
    <row r="65" spans="1:11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  <c r="G65">
        <f t="shared" si="0"/>
        <v>0</v>
      </c>
      <c r="H65">
        <f t="shared" si="1"/>
        <v>117</v>
      </c>
      <c r="I65">
        <f t="shared" si="2"/>
        <v>79</v>
      </c>
      <c r="J65">
        <f t="shared" si="3"/>
        <v>0</v>
      </c>
      <c r="K65">
        <f t="shared" si="4"/>
        <v>74</v>
      </c>
    </row>
    <row r="66" spans="1:11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  <c r="G66">
        <f t="shared" si="0"/>
        <v>0</v>
      </c>
      <c r="H66">
        <f t="shared" si="1"/>
        <v>117</v>
      </c>
      <c r="I66">
        <f t="shared" si="2"/>
        <v>0</v>
      </c>
      <c r="J66">
        <f t="shared" si="3"/>
        <v>0</v>
      </c>
      <c r="K66">
        <f t="shared" si="4"/>
        <v>74</v>
      </c>
    </row>
    <row r="67" spans="1:11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  <c r="G67">
        <f t="shared" si="0"/>
        <v>0</v>
      </c>
      <c r="H67">
        <f t="shared" si="1"/>
        <v>117</v>
      </c>
      <c r="I67">
        <f t="shared" si="2"/>
        <v>0</v>
      </c>
      <c r="J67">
        <f t="shared" si="3"/>
        <v>33</v>
      </c>
      <c r="K67">
        <f t="shared" si="4"/>
        <v>74</v>
      </c>
    </row>
    <row r="68" spans="1:11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  <c r="G68">
        <f t="shared" ref="G68:G131" si="5">IF(C68="T1",IF(D68="Z",G67+E68,G67-E68),G67)</f>
        <v>0</v>
      </c>
      <c r="H68">
        <f t="shared" ref="H68:H131" si="6">IF($C68="T2",IF($D68="Z",H67+$E68,H67-$E68),H67)</f>
        <v>143</v>
      </c>
      <c r="I68">
        <f t="shared" ref="I68:I131" si="7">IF($C68="T3",IF($D68="Z",I67+$E68,I67-$E68),I67)</f>
        <v>0</v>
      </c>
      <c r="J68">
        <f t="shared" ref="J68:J131" si="8">IF($C68="T4",IF($D68="Z",J67+$E68,J67-$E68),J67)</f>
        <v>33</v>
      </c>
      <c r="K68">
        <f t="shared" ref="K68:K131" si="9">IF($C68="T5",IF($D68="Z",K67+$E68,K67-$E68),K67)</f>
        <v>74</v>
      </c>
    </row>
    <row r="69" spans="1:11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  <c r="G69">
        <f t="shared" si="5"/>
        <v>0</v>
      </c>
      <c r="H69">
        <f t="shared" si="6"/>
        <v>143</v>
      </c>
      <c r="I69">
        <f t="shared" si="7"/>
        <v>40</v>
      </c>
      <c r="J69">
        <f t="shared" si="8"/>
        <v>33</v>
      </c>
      <c r="K69">
        <f t="shared" si="9"/>
        <v>74</v>
      </c>
    </row>
    <row r="70" spans="1:11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  <c r="G70">
        <f t="shared" si="5"/>
        <v>42</v>
      </c>
      <c r="H70">
        <f t="shared" si="6"/>
        <v>143</v>
      </c>
      <c r="I70">
        <f t="shared" si="7"/>
        <v>40</v>
      </c>
      <c r="J70">
        <f t="shared" si="8"/>
        <v>33</v>
      </c>
      <c r="K70">
        <f t="shared" si="9"/>
        <v>74</v>
      </c>
    </row>
    <row r="71" spans="1:11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  <c r="G71">
        <f t="shared" si="5"/>
        <v>42</v>
      </c>
      <c r="H71">
        <f t="shared" si="6"/>
        <v>185</v>
      </c>
      <c r="I71">
        <f t="shared" si="7"/>
        <v>40</v>
      </c>
      <c r="J71">
        <f t="shared" si="8"/>
        <v>33</v>
      </c>
      <c r="K71">
        <f t="shared" si="9"/>
        <v>74</v>
      </c>
    </row>
    <row r="72" spans="1:11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  <c r="G72">
        <f t="shared" si="5"/>
        <v>42</v>
      </c>
      <c r="H72">
        <f t="shared" si="6"/>
        <v>185</v>
      </c>
      <c r="I72">
        <f t="shared" si="7"/>
        <v>40</v>
      </c>
      <c r="J72">
        <f t="shared" si="8"/>
        <v>42</v>
      </c>
      <c r="K72">
        <f t="shared" si="9"/>
        <v>74</v>
      </c>
    </row>
    <row r="73" spans="1:11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  <c r="G73">
        <f t="shared" si="5"/>
        <v>42</v>
      </c>
      <c r="H73">
        <f t="shared" si="6"/>
        <v>185</v>
      </c>
      <c r="I73">
        <f t="shared" si="7"/>
        <v>40</v>
      </c>
      <c r="J73">
        <f t="shared" si="8"/>
        <v>42</v>
      </c>
      <c r="K73">
        <f t="shared" si="9"/>
        <v>113</v>
      </c>
    </row>
    <row r="74" spans="1:11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  <c r="G74">
        <f t="shared" si="5"/>
        <v>42</v>
      </c>
      <c r="H74">
        <f t="shared" si="6"/>
        <v>185</v>
      </c>
      <c r="I74">
        <f t="shared" si="7"/>
        <v>40</v>
      </c>
      <c r="J74">
        <f t="shared" si="8"/>
        <v>42</v>
      </c>
      <c r="K74">
        <f t="shared" si="9"/>
        <v>1</v>
      </c>
    </row>
    <row r="75" spans="1:11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  <c r="G75">
        <f t="shared" si="5"/>
        <v>42</v>
      </c>
      <c r="H75">
        <f t="shared" si="6"/>
        <v>185</v>
      </c>
      <c r="I75">
        <f t="shared" si="7"/>
        <v>40</v>
      </c>
      <c r="J75">
        <f t="shared" si="8"/>
        <v>76</v>
      </c>
      <c r="K75">
        <f t="shared" si="9"/>
        <v>1</v>
      </c>
    </row>
    <row r="76" spans="1:11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  <c r="G76">
        <f t="shared" si="5"/>
        <v>42</v>
      </c>
      <c r="H76">
        <f t="shared" si="6"/>
        <v>185</v>
      </c>
      <c r="I76">
        <f t="shared" si="7"/>
        <v>45</v>
      </c>
      <c r="J76">
        <f t="shared" si="8"/>
        <v>76</v>
      </c>
      <c r="K76">
        <f t="shared" si="9"/>
        <v>1</v>
      </c>
    </row>
    <row r="77" spans="1:11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  <c r="G77">
        <f t="shared" si="5"/>
        <v>42</v>
      </c>
      <c r="H77">
        <f t="shared" si="6"/>
        <v>185</v>
      </c>
      <c r="I77">
        <f t="shared" si="7"/>
        <v>45</v>
      </c>
      <c r="J77">
        <f t="shared" si="8"/>
        <v>2</v>
      </c>
      <c r="K77">
        <f t="shared" si="9"/>
        <v>1</v>
      </c>
    </row>
    <row r="78" spans="1:11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  <c r="G78">
        <f t="shared" si="5"/>
        <v>42</v>
      </c>
      <c r="H78">
        <f t="shared" si="6"/>
        <v>199</v>
      </c>
      <c r="I78">
        <f t="shared" si="7"/>
        <v>45</v>
      </c>
      <c r="J78">
        <f t="shared" si="8"/>
        <v>2</v>
      </c>
      <c r="K78">
        <f t="shared" si="9"/>
        <v>1</v>
      </c>
    </row>
    <row r="79" spans="1:11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  <c r="G79">
        <f t="shared" si="5"/>
        <v>42</v>
      </c>
      <c r="H79">
        <f t="shared" si="6"/>
        <v>199</v>
      </c>
      <c r="I79">
        <f t="shared" si="7"/>
        <v>45</v>
      </c>
      <c r="J79">
        <f t="shared" si="8"/>
        <v>2</v>
      </c>
      <c r="K79">
        <f t="shared" si="9"/>
        <v>0</v>
      </c>
    </row>
    <row r="80" spans="1:11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  <c r="G80">
        <f t="shared" si="5"/>
        <v>42</v>
      </c>
      <c r="H80">
        <f t="shared" si="6"/>
        <v>156</v>
      </c>
      <c r="I80">
        <f t="shared" si="7"/>
        <v>45</v>
      </c>
      <c r="J80">
        <f t="shared" si="8"/>
        <v>2</v>
      </c>
      <c r="K80">
        <f t="shared" si="9"/>
        <v>0</v>
      </c>
    </row>
    <row r="81" spans="1:11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  <c r="G81">
        <f t="shared" si="5"/>
        <v>72</v>
      </c>
      <c r="H81">
        <f t="shared" si="6"/>
        <v>156</v>
      </c>
      <c r="I81">
        <f t="shared" si="7"/>
        <v>45</v>
      </c>
      <c r="J81">
        <f t="shared" si="8"/>
        <v>2</v>
      </c>
      <c r="K81">
        <f t="shared" si="9"/>
        <v>0</v>
      </c>
    </row>
    <row r="82" spans="1:11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  <c r="G82">
        <f t="shared" si="5"/>
        <v>72</v>
      </c>
      <c r="H82">
        <f t="shared" si="6"/>
        <v>156</v>
      </c>
      <c r="I82">
        <f t="shared" si="7"/>
        <v>59</v>
      </c>
      <c r="J82">
        <f t="shared" si="8"/>
        <v>2</v>
      </c>
      <c r="K82">
        <f t="shared" si="9"/>
        <v>0</v>
      </c>
    </row>
    <row r="83" spans="1:11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  <c r="G83">
        <f t="shared" si="5"/>
        <v>72</v>
      </c>
      <c r="H83">
        <f t="shared" si="6"/>
        <v>123</v>
      </c>
      <c r="I83">
        <f t="shared" si="7"/>
        <v>59</v>
      </c>
      <c r="J83">
        <f t="shared" si="8"/>
        <v>2</v>
      </c>
      <c r="K83">
        <f t="shared" si="9"/>
        <v>0</v>
      </c>
    </row>
    <row r="84" spans="1:11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  <c r="G84">
        <f t="shared" si="5"/>
        <v>72</v>
      </c>
      <c r="H84">
        <f t="shared" si="6"/>
        <v>123</v>
      </c>
      <c r="I84">
        <f t="shared" si="7"/>
        <v>59</v>
      </c>
      <c r="J84">
        <f t="shared" si="8"/>
        <v>2</v>
      </c>
      <c r="K84">
        <f t="shared" si="9"/>
        <v>35</v>
      </c>
    </row>
    <row r="85" spans="1:11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  <c r="G85">
        <f t="shared" si="5"/>
        <v>72</v>
      </c>
      <c r="H85">
        <f t="shared" si="6"/>
        <v>123</v>
      </c>
      <c r="I85">
        <f t="shared" si="7"/>
        <v>99</v>
      </c>
      <c r="J85">
        <f t="shared" si="8"/>
        <v>2</v>
      </c>
      <c r="K85">
        <f t="shared" si="9"/>
        <v>35</v>
      </c>
    </row>
    <row r="86" spans="1:11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  <c r="G86">
        <f t="shared" si="5"/>
        <v>72</v>
      </c>
      <c r="H86">
        <f t="shared" si="6"/>
        <v>102</v>
      </c>
      <c r="I86">
        <f t="shared" si="7"/>
        <v>99</v>
      </c>
      <c r="J86">
        <f t="shared" si="8"/>
        <v>2</v>
      </c>
      <c r="K86">
        <f t="shared" si="9"/>
        <v>35</v>
      </c>
    </row>
    <row r="87" spans="1:11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  <c r="G87">
        <f t="shared" si="5"/>
        <v>72</v>
      </c>
      <c r="H87">
        <f t="shared" si="6"/>
        <v>102</v>
      </c>
      <c r="I87">
        <f t="shared" si="7"/>
        <v>99</v>
      </c>
      <c r="J87">
        <f t="shared" si="8"/>
        <v>0</v>
      </c>
      <c r="K87">
        <f t="shared" si="9"/>
        <v>35</v>
      </c>
    </row>
    <row r="88" spans="1:11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  <c r="G88">
        <f t="shared" si="5"/>
        <v>72</v>
      </c>
      <c r="H88">
        <f t="shared" si="6"/>
        <v>102</v>
      </c>
      <c r="I88">
        <f t="shared" si="7"/>
        <v>111</v>
      </c>
      <c r="J88">
        <f t="shared" si="8"/>
        <v>0</v>
      </c>
      <c r="K88">
        <f t="shared" si="9"/>
        <v>35</v>
      </c>
    </row>
    <row r="89" spans="1:11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  <c r="G89">
        <f t="shared" si="5"/>
        <v>87</v>
      </c>
      <c r="H89">
        <f t="shared" si="6"/>
        <v>102</v>
      </c>
      <c r="I89">
        <f t="shared" si="7"/>
        <v>111</v>
      </c>
      <c r="J89">
        <f t="shared" si="8"/>
        <v>0</v>
      </c>
      <c r="K89">
        <f t="shared" si="9"/>
        <v>35</v>
      </c>
    </row>
    <row r="90" spans="1:11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  <c r="G90">
        <f t="shared" si="5"/>
        <v>87</v>
      </c>
      <c r="H90">
        <f t="shared" si="6"/>
        <v>102</v>
      </c>
      <c r="I90">
        <f t="shared" si="7"/>
        <v>111</v>
      </c>
      <c r="J90">
        <f t="shared" si="8"/>
        <v>0</v>
      </c>
      <c r="K90">
        <f t="shared" si="9"/>
        <v>36</v>
      </c>
    </row>
    <row r="91" spans="1:11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  <c r="G91">
        <f t="shared" si="5"/>
        <v>1</v>
      </c>
      <c r="H91">
        <f t="shared" si="6"/>
        <v>102</v>
      </c>
      <c r="I91">
        <f t="shared" si="7"/>
        <v>111</v>
      </c>
      <c r="J91">
        <f t="shared" si="8"/>
        <v>0</v>
      </c>
      <c r="K91">
        <f t="shared" si="9"/>
        <v>36</v>
      </c>
    </row>
    <row r="92" spans="1:11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  <c r="G92">
        <f t="shared" si="5"/>
        <v>1</v>
      </c>
      <c r="H92">
        <f t="shared" si="6"/>
        <v>102</v>
      </c>
      <c r="I92">
        <f t="shared" si="7"/>
        <v>1</v>
      </c>
      <c r="J92">
        <f t="shared" si="8"/>
        <v>0</v>
      </c>
      <c r="K92">
        <f t="shared" si="9"/>
        <v>36</v>
      </c>
    </row>
    <row r="93" spans="1:11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  <c r="G93">
        <f t="shared" si="5"/>
        <v>1</v>
      </c>
      <c r="H93">
        <f t="shared" si="6"/>
        <v>102</v>
      </c>
      <c r="I93">
        <f t="shared" si="7"/>
        <v>1</v>
      </c>
      <c r="J93">
        <f t="shared" si="8"/>
        <v>0</v>
      </c>
      <c r="K93">
        <f t="shared" si="9"/>
        <v>69</v>
      </c>
    </row>
    <row r="94" spans="1:11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  <c r="G94">
        <f t="shared" si="5"/>
        <v>1</v>
      </c>
      <c r="H94">
        <f t="shared" si="6"/>
        <v>115</v>
      </c>
      <c r="I94">
        <f t="shared" si="7"/>
        <v>1</v>
      </c>
      <c r="J94">
        <f t="shared" si="8"/>
        <v>0</v>
      </c>
      <c r="K94">
        <f t="shared" si="9"/>
        <v>69</v>
      </c>
    </row>
    <row r="95" spans="1:11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  <c r="G95">
        <f t="shared" si="5"/>
        <v>1</v>
      </c>
      <c r="H95">
        <f t="shared" si="6"/>
        <v>115</v>
      </c>
      <c r="I95">
        <f t="shared" si="7"/>
        <v>1</v>
      </c>
      <c r="J95">
        <f t="shared" si="8"/>
        <v>37</v>
      </c>
      <c r="K95">
        <f t="shared" si="9"/>
        <v>69</v>
      </c>
    </row>
    <row r="96" spans="1:11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  <c r="G96">
        <f t="shared" si="5"/>
        <v>0</v>
      </c>
      <c r="H96">
        <f t="shared" si="6"/>
        <v>115</v>
      </c>
      <c r="I96">
        <f t="shared" si="7"/>
        <v>1</v>
      </c>
      <c r="J96">
        <f t="shared" si="8"/>
        <v>37</v>
      </c>
      <c r="K96">
        <f t="shared" si="9"/>
        <v>69</v>
      </c>
    </row>
    <row r="97" spans="1:11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  <c r="G97">
        <f t="shared" si="5"/>
        <v>0</v>
      </c>
      <c r="H97">
        <f t="shared" si="6"/>
        <v>115</v>
      </c>
      <c r="I97">
        <f t="shared" si="7"/>
        <v>1</v>
      </c>
      <c r="J97">
        <f t="shared" si="8"/>
        <v>37</v>
      </c>
      <c r="K97">
        <f t="shared" si="9"/>
        <v>1</v>
      </c>
    </row>
    <row r="98" spans="1:11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  <c r="G98">
        <f t="shared" si="5"/>
        <v>0</v>
      </c>
      <c r="H98">
        <f t="shared" si="6"/>
        <v>115</v>
      </c>
      <c r="I98">
        <f t="shared" si="7"/>
        <v>1</v>
      </c>
      <c r="J98">
        <f t="shared" si="8"/>
        <v>72</v>
      </c>
      <c r="K98">
        <f t="shared" si="9"/>
        <v>1</v>
      </c>
    </row>
    <row r="99" spans="1:11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  <c r="G99">
        <f t="shared" si="5"/>
        <v>0</v>
      </c>
      <c r="H99">
        <f t="shared" si="6"/>
        <v>115</v>
      </c>
      <c r="I99">
        <f t="shared" si="7"/>
        <v>26</v>
      </c>
      <c r="J99">
        <f t="shared" si="8"/>
        <v>72</v>
      </c>
      <c r="K99">
        <f t="shared" si="9"/>
        <v>1</v>
      </c>
    </row>
    <row r="100" spans="1:11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  <c r="G100">
        <f t="shared" si="5"/>
        <v>0</v>
      </c>
      <c r="H100">
        <f t="shared" si="6"/>
        <v>125</v>
      </c>
      <c r="I100">
        <f t="shared" si="7"/>
        <v>26</v>
      </c>
      <c r="J100">
        <f t="shared" si="8"/>
        <v>72</v>
      </c>
      <c r="K100">
        <f t="shared" si="9"/>
        <v>1</v>
      </c>
    </row>
    <row r="101" spans="1:11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  <c r="G101">
        <f t="shared" si="5"/>
        <v>0</v>
      </c>
      <c r="H101">
        <f t="shared" si="6"/>
        <v>87</v>
      </c>
      <c r="I101">
        <f t="shared" si="7"/>
        <v>26</v>
      </c>
      <c r="J101">
        <f t="shared" si="8"/>
        <v>72</v>
      </c>
      <c r="K101">
        <f t="shared" si="9"/>
        <v>1</v>
      </c>
    </row>
    <row r="102" spans="1:11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  <c r="G102">
        <f t="shared" si="5"/>
        <v>22</v>
      </c>
      <c r="H102">
        <f t="shared" si="6"/>
        <v>87</v>
      </c>
      <c r="I102">
        <f t="shared" si="7"/>
        <v>26</v>
      </c>
      <c r="J102">
        <f t="shared" si="8"/>
        <v>72</v>
      </c>
      <c r="K102">
        <f t="shared" si="9"/>
        <v>1</v>
      </c>
    </row>
    <row r="103" spans="1:11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  <c r="G103">
        <f t="shared" si="5"/>
        <v>22</v>
      </c>
      <c r="H103">
        <f t="shared" si="6"/>
        <v>87</v>
      </c>
      <c r="I103">
        <f t="shared" si="7"/>
        <v>51</v>
      </c>
      <c r="J103">
        <f t="shared" si="8"/>
        <v>72</v>
      </c>
      <c r="K103">
        <f t="shared" si="9"/>
        <v>1</v>
      </c>
    </row>
    <row r="104" spans="1:11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  <c r="G104">
        <f t="shared" si="5"/>
        <v>22</v>
      </c>
      <c r="H104">
        <f t="shared" si="6"/>
        <v>87</v>
      </c>
      <c r="I104">
        <f t="shared" si="7"/>
        <v>51</v>
      </c>
      <c r="J104">
        <f t="shared" si="8"/>
        <v>72</v>
      </c>
      <c r="K104">
        <f t="shared" si="9"/>
        <v>9</v>
      </c>
    </row>
    <row r="105" spans="1:11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  <c r="G105">
        <f t="shared" si="5"/>
        <v>22</v>
      </c>
      <c r="H105">
        <f t="shared" si="6"/>
        <v>87</v>
      </c>
      <c r="I105">
        <f t="shared" si="7"/>
        <v>51</v>
      </c>
      <c r="J105">
        <f t="shared" si="8"/>
        <v>117</v>
      </c>
      <c r="K105">
        <f t="shared" si="9"/>
        <v>9</v>
      </c>
    </row>
    <row r="106" spans="1:11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  <c r="G106">
        <f t="shared" si="5"/>
        <v>22</v>
      </c>
      <c r="H106">
        <f t="shared" si="6"/>
        <v>87</v>
      </c>
      <c r="I106">
        <f t="shared" si="7"/>
        <v>51</v>
      </c>
      <c r="J106">
        <f t="shared" si="8"/>
        <v>1</v>
      </c>
      <c r="K106">
        <f t="shared" si="9"/>
        <v>9</v>
      </c>
    </row>
    <row r="107" spans="1:11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  <c r="G107">
        <f t="shared" si="5"/>
        <v>22</v>
      </c>
      <c r="H107">
        <f t="shared" si="6"/>
        <v>87</v>
      </c>
      <c r="I107">
        <f t="shared" si="7"/>
        <v>80</v>
      </c>
      <c r="J107">
        <f t="shared" si="8"/>
        <v>1</v>
      </c>
      <c r="K107">
        <f t="shared" si="9"/>
        <v>9</v>
      </c>
    </row>
    <row r="108" spans="1:11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  <c r="G108">
        <f t="shared" si="5"/>
        <v>22</v>
      </c>
      <c r="H108">
        <f t="shared" si="6"/>
        <v>82</v>
      </c>
      <c r="I108">
        <f t="shared" si="7"/>
        <v>80</v>
      </c>
      <c r="J108">
        <f t="shared" si="8"/>
        <v>1</v>
      </c>
      <c r="K108">
        <f t="shared" si="9"/>
        <v>9</v>
      </c>
    </row>
    <row r="109" spans="1:11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  <c r="G109">
        <f t="shared" si="5"/>
        <v>0</v>
      </c>
      <c r="H109">
        <f t="shared" si="6"/>
        <v>82</v>
      </c>
      <c r="I109">
        <f t="shared" si="7"/>
        <v>80</v>
      </c>
      <c r="J109">
        <f t="shared" si="8"/>
        <v>1</v>
      </c>
      <c r="K109">
        <f t="shared" si="9"/>
        <v>9</v>
      </c>
    </row>
    <row r="110" spans="1:11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  <c r="G110">
        <f t="shared" si="5"/>
        <v>0</v>
      </c>
      <c r="H110">
        <f t="shared" si="6"/>
        <v>82</v>
      </c>
      <c r="I110">
        <f t="shared" si="7"/>
        <v>117</v>
      </c>
      <c r="J110">
        <f t="shared" si="8"/>
        <v>1</v>
      </c>
      <c r="K110">
        <f t="shared" si="9"/>
        <v>9</v>
      </c>
    </row>
    <row r="111" spans="1:11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  <c r="G111">
        <f t="shared" si="5"/>
        <v>0</v>
      </c>
      <c r="H111">
        <f t="shared" si="6"/>
        <v>82</v>
      </c>
      <c r="I111">
        <f t="shared" si="7"/>
        <v>117</v>
      </c>
      <c r="J111">
        <f t="shared" si="8"/>
        <v>11</v>
      </c>
      <c r="K111">
        <f t="shared" si="9"/>
        <v>9</v>
      </c>
    </row>
    <row r="112" spans="1:11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  <c r="G112">
        <f t="shared" si="5"/>
        <v>0</v>
      </c>
      <c r="H112">
        <f t="shared" si="6"/>
        <v>82</v>
      </c>
      <c r="I112">
        <f t="shared" si="7"/>
        <v>117</v>
      </c>
      <c r="J112">
        <f t="shared" si="8"/>
        <v>11</v>
      </c>
      <c r="K112">
        <f t="shared" si="9"/>
        <v>51</v>
      </c>
    </row>
    <row r="113" spans="1:11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  <c r="G113">
        <f t="shared" si="5"/>
        <v>0</v>
      </c>
      <c r="H113">
        <f t="shared" si="6"/>
        <v>82</v>
      </c>
      <c r="I113">
        <f t="shared" si="7"/>
        <v>117</v>
      </c>
      <c r="J113">
        <f t="shared" si="8"/>
        <v>0</v>
      </c>
      <c r="K113">
        <f t="shared" si="9"/>
        <v>51</v>
      </c>
    </row>
    <row r="114" spans="1:11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  <c r="G114">
        <f t="shared" si="5"/>
        <v>0</v>
      </c>
      <c r="H114">
        <f t="shared" si="6"/>
        <v>82</v>
      </c>
      <c r="I114">
        <f t="shared" si="7"/>
        <v>117</v>
      </c>
      <c r="J114">
        <f t="shared" si="8"/>
        <v>0</v>
      </c>
      <c r="K114">
        <f t="shared" si="9"/>
        <v>3</v>
      </c>
    </row>
    <row r="115" spans="1:11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  <c r="G115">
        <f t="shared" si="5"/>
        <v>0</v>
      </c>
      <c r="H115">
        <f t="shared" si="6"/>
        <v>82</v>
      </c>
      <c r="I115">
        <f t="shared" si="7"/>
        <v>137</v>
      </c>
      <c r="J115">
        <f t="shared" si="8"/>
        <v>0</v>
      </c>
      <c r="K115">
        <f t="shared" si="9"/>
        <v>3</v>
      </c>
    </row>
    <row r="116" spans="1:11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  <c r="G116">
        <f t="shared" si="5"/>
        <v>0</v>
      </c>
      <c r="H116">
        <f t="shared" si="6"/>
        <v>108</v>
      </c>
      <c r="I116">
        <f t="shared" si="7"/>
        <v>137</v>
      </c>
      <c r="J116">
        <f t="shared" si="8"/>
        <v>0</v>
      </c>
      <c r="K116">
        <f t="shared" si="9"/>
        <v>3</v>
      </c>
    </row>
    <row r="117" spans="1:11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  <c r="G117">
        <f t="shared" si="5"/>
        <v>24</v>
      </c>
      <c r="H117">
        <f t="shared" si="6"/>
        <v>108</v>
      </c>
      <c r="I117">
        <f t="shared" si="7"/>
        <v>137</v>
      </c>
      <c r="J117">
        <f t="shared" si="8"/>
        <v>0</v>
      </c>
      <c r="K117">
        <f t="shared" si="9"/>
        <v>3</v>
      </c>
    </row>
    <row r="118" spans="1:11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  <c r="G118">
        <f t="shared" si="5"/>
        <v>24</v>
      </c>
      <c r="H118">
        <f t="shared" si="6"/>
        <v>108</v>
      </c>
      <c r="I118">
        <f t="shared" si="7"/>
        <v>137</v>
      </c>
      <c r="J118">
        <f t="shared" si="8"/>
        <v>38</v>
      </c>
      <c r="K118">
        <f t="shared" si="9"/>
        <v>3</v>
      </c>
    </row>
    <row r="119" spans="1:11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  <c r="G119">
        <f t="shared" si="5"/>
        <v>24</v>
      </c>
      <c r="H119">
        <f t="shared" si="6"/>
        <v>108</v>
      </c>
      <c r="I119">
        <f t="shared" si="7"/>
        <v>151</v>
      </c>
      <c r="J119">
        <f t="shared" si="8"/>
        <v>38</v>
      </c>
      <c r="K119">
        <f t="shared" si="9"/>
        <v>3</v>
      </c>
    </row>
    <row r="120" spans="1:11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  <c r="G120">
        <f t="shared" si="5"/>
        <v>24</v>
      </c>
      <c r="H120">
        <f t="shared" si="6"/>
        <v>108</v>
      </c>
      <c r="I120">
        <f t="shared" si="7"/>
        <v>151</v>
      </c>
      <c r="J120">
        <f t="shared" si="8"/>
        <v>38</v>
      </c>
      <c r="K120">
        <f t="shared" si="9"/>
        <v>7</v>
      </c>
    </row>
    <row r="121" spans="1:11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  <c r="G121">
        <f t="shared" si="5"/>
        <v>24</v>
      </c>
      <c r="H121">
        <f t="shared" si="6"/>
        <v>89</v>
      </c>
      <c r="I121">
        <f t="shared" si="7"/>
        <v>151</v>
      </c>
      <c r="J121">
        <f t="shared" si="8"/>
        <v>38</v>
      </c>
      <c r="K121">
        <f t="shared" si="9"/>
        <v>7</v>
      </c>
    </row>
    <row r="122" spans="1:11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  <c r="G122">
        <f t="shared" si="5"/>
        <v>24</v>
      </c>
      <c r="H122">
        <f t="shared" si="6"/>
        <v>89</v>
      </c>
      <c r="I122">
        <f t="shared" si="7"/>
        <v>151</v>
      </c>
      <c r="J122">
        <f t="shared" si="8"/>
        <v>68</v>
      </c>
      <c r="K122">
        <f t="shared" si="9"/>
        <v>7</v>
      </c>
    </row>
    <row r="123" spans="1:11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  <c r="G123">
        <f t="shared" si="5"/>
        <v>24</v>
      </c>
      <c r="H123">
        <f t="shared" si="6"/>
        <v>89</v>
      </c>
      <c r="I123">
        <f t="shared" si="7"/>
        <v>151</v>
      </c>
      <c r="J123">
        <f t="shared" si="8"/>
        <v>68</v>
      </c>
      <c r="K123">
        <f t="shared" si="9"/>
        <v>1</v>
      </c>
    </row>
    <row r="124" spans="1:11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  <c r="G124">
        <f t="shared" si="5"/>
        <v>24</v>
      </c>
      <c r="H124">
        <f t="shared" si="6"/>
        <v>89</v>
      </c>
      <c r="I124">
        <f t="shared" si="7"/>
        <v>151</v>
      </c>
      <c r="J124">
        <f t="shared" si="8"/>
        <v>111</v>
      </c>
      <c r="K124">
        <f t="shared" si="9"/>
        <v>1</v>
      </c>
    </row>
    <row r="125" spans="1:11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  <c r="G125">
        <f t="shared" si="5"/>
        <v>24</v>
      </c>
      <c r="H125">
        <f t="shared" si="6"/>
        <v>89</v>
      </c>
      <c r="I125">
        <f t="shared" si="7"/>
        <v>151</v>
      </c>
      <c r="J125">
        <f t="shared" si="8"/>
        <v>111</v>
      </c>
      <c r="K125">
        <f t="shared" si="9"/>
        <v>0</v>
      </c>
    </row>
    <row r="126" spans="1:11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  <c r="G126">
        <f t="shared" si="5"/>
        <v>24</v>
      </c>
      <c r="H126">
        <f t="shared" si="6"/>
        <v>89</v>
      </c>
      <c r="I126">
        <f t="shared" si="7"/>
        <v>4</v>
      </c>
      <c r="J126">
        <f t="shared" si="8"/>
        <v>111</v>
      </c>
      <c r="K126">
        <f t="shared" si="9"/>
        <v>0</v>
      </c>
    </row>
    <row r="127" spans="1:11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  <c r="G127">
        <f t="shared" si="5"/>
        <v>39</v>
      </c>
      <c r="H127">
        <f t="shared" si="6"/>
        <v>89</v>
      </c>
      <c r="I127">
        <f t="shared" si="7"/>
        <v>4</v>
      </c>
      <c r="J127">
        <f t="shared" si="8"/>
        <v>111</v>
      </c>
      <c r="K127">
        <f t="shared" si="9"/>
        <v>0</v>
      </c>
    </row>
    <row r="128" spans="1:11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  <c r="G128">
        <f t="shared" si="5"/>
        <v>39</v>
      </c>
      <c r="H128">
        <f t="shared" si="6"/>
        <v>89</v>
      </c>
      <c r="I128">
        <f t="shared" si="7"/>
        <v>4</v>
      </c>
      <c r="J128">
        <f t="shared" si="8"/>
        <v>135</v>
      </c>
      <c r="K128">
        <f t="shared" si="9"/>
        <v>0</v>
      </c>
    </row>
    <row r="129" spans="1:11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  <c r="G129">
        <f t="shared" si="5"/>
        <v>39</v>
      </c>
      <c r="H129">
        <f t="shared" si="6"/>
        <v>108</v>
      </c>
      <c r="I129">
        <f t="shared" si="7"/>
        <v>4</v>
      </c>
      <c r="J129">
        <f t="shared" si="8"/>
        <v>135</v>
      </c>
      <c r="K129">
        <f t="shared" si="9"/>
        <v>0</v>
      </c>
    </row>
    <row r="130" spans="1:11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  <c r="G130">
        <f t="shared" si="5"/>
        <v>39</v>
      </c>
      <c r="H130">
        <f t="shared" si="6"/>
        <v>108</v>
      </c>
      <c r="I130">
        <f t="shared" si="7"/>
        <v>4</v>
      </c>
      <c r="J130">
        <f t="shared" si="8"/>
        <v>1</v>
      </c>
      <c r="K130">
        <f t="shared" si="9"/>
        <v>0</v>
      </c>
    </row>
    <row r="131" spans="1:11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  <c r="G131">
        <f t="shared" si="5"/>
        <v>39</v>
      </c>
      <c r="H131">
        <f t="shared" si="6"/>
        <v>108</v>
      </c>
      <c r="I131">
        <f t="shared" si="7"/>
        <v>4</v>
      </c>
      <c r="J131">
        <f t="shared" si="8"/>
        <v>1</v>
      </c>
      <c r="K131">
        <f t="shared" si="9"/>
        <v>12</v>
      </c>
    </row>
    <row r="132" spans="1:11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  <c r="G132">
        <f t="shared" ref="G132:G195" si="10">IF(C132="T1",IF(D132="Z",G131+E132,G131-E132),G131)</f>
        <v>39</v>
      </c>
      <c r="H132">
        <f t="shared" ref="H132:H195" si="11">IF($C132="T2",IF($D132="Z",H131+$E132,H131-$E132),H131)</f>
        <v>108</v>
      </c>
      <c r="I132">
        <f t="shared" ref="I132:I195" si="12">IF($C132="T3",IF($D132="Z",I131+$E132,I131-$E132),I131)</f>
        <v>0</v>
      </c>
      <c r="J132">
        <f t="shared" ref="J132:J195" si="13">IF($C132="T4",IF($D132="Z",J131+$E132,J131-$E132),J131)</f>
        <v>1</v>
      </c>
      <c r="K132">
        <f t="shared" ref="K132:K195" si="14">IF($C132="T5",IF($D132="Z",K131+$E132,K131-$E132),K131)</f>
        <v>12</v>
      </c>
    </row>
    <row r="133" spans="1:11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  <c r="G133">
        <f t="shared" si="10"/>
        <v>65</v>
      </c>
      <c r="H133">
        <f t="shared" si="11"/>
        <v>108</v>
      </c>
      <c r="I133">
        <f t="shared" si="12"/>
        <v>0</v>
      </c>
      <c r="J133">
        <f t="shared" si="13"/>
        <v>1</v>
      </c>
      <c r="K133">
        <f t="shared" si="14"/>
        <v>12</v>
      </c>
    </row>
    <row r="134" spans="1:11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  <c r="G134">
        <f t="shared" si="10"/>
        <v>65</v>
      </c>
      <c r="H134">
        <f t="shared" si="11"/>
        <v>108</v>
      </c>
      <c r="I134">
        <f t="shared" si="12"/>
        <v>0</v>
      </c>
      <c r="J134">
        <f t="shared" si="13"/>
        <v>39</v>
      </c>
      <c r="K134">
        <f t="shared" si="14"/>
        <v>12</v>
      </c>
    </row>
    <row r="135" spans="1:11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  <c r="G135">
        <f t="shared" si="10"/>
        <v>65</v>
      </c>
      <c r="H135">
        <f t="shared" si="11"/>
        <v>108</v>
      </c>
      <c r="I135">
        <f t="shared" si="12"/>
        <v>0</v>
      </c>
      <c r="J135">
        <f t="shared" si="13"/>
        <v>1</v>
      </c>
      <c r="K135">
        <f t="shared" si="14"/>
        <v>12</v>
      </c>
    </row>
    <row r="136" spans="1:11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  <c r="G136">
        <f t="shared" si="10"/>
        <v>65</v>
      </c>
      <c r="H136">
        <f t="shared" si="11"/>
        <v>64</v>
      </c>
      <c r="I136">
        <f t="shared" si="12"/>
        <v>0</v>
      </c>
      <c r="J136">
        <f t="shared" si="13"/>
        <v>1</v>
      </c>
      <c r="K136">
        <f t="shared" si="14"/>
        <v>12</v>
      </c>
    </row>
    <row r="137" spans="1:11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  <c r="G137">
        <f t="shared" si="10"/>
        <v>86</v>
      </c>
      <c r="H137">
        <f t="shared" si="11"/>
        <v>64</v>
      </c>
      <c r="I137">
        <f t="shared" si="12"/>
        <v>0</v>
      </c>
      <c r="J137">
        <f t="shared" si="13"/>
        <v>1</v>
      </c>
      <c r="K137">
        <f t="shared" si="14"/>
        <v>12</v>
      </c>
    </row>
    <row r="138" spans="1:11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  <c r="G138">
        <f t="shared" si="10"/>
        <v>86</v>
      </c>
      <c r="H138">
        <f t="shared" si="11"/>
        <v>64</v>
      </c>
      <c r="I138">
        <f t="shared" si="12"/>
        <v>0</v>
      </c>
      <c r="J138">
        <f t="shared" si="13"/>
        <v>1</v>
      </c>
      <c r="K138">
        <f t="shared" si="14"/>
        <v>22</v>
      </c>
    </row>
    <row r="139" spans="1:11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  <c r="G139">
        <f t="shared" si="10"/>
        <v>86</v>
      </c>
      <c r="H139">
        <f t="shared" si="11"/>
        <v>49</v>
      </c>
      <c r="I139">
        <f t="shared" si="12"/>
        <v>0</v>
      </c>
      <c r="J139">
        <f t="shared" si="13"/>
        <v>1</v>
      </c>
      <c r="K139">
        <f t="shared" si="14"/>
        <v>22</v>
      </c>
    </row>
    <row r="140" spans="1:11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  <c r="G140">
        <f t="shared" si="10"/>
        <v>86</v>
      </c>
      <c r="H140">
        <f t="shared" si="11"/>
        <v>49</v>
      </c>
      <c r="I140">
        <f t="shared" si="12"/>
        <v>0</v>
      </c>
      <c r="J140">
        <f t="shared" si="13"/>
        <v>1</v>
      </c>
      <c r="K140">
        <f t="shared" si="14"/>
        <v>0</v>
      </c>
    </row>
    <row r="141" spans="1:11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  <c r="G141">
        <f t="shared" si="10"/>
        <v>86</v>
      </c>
      <c r="H141">
        <f t="shared" si="11"/>
        <v>49</v>
      </c>
      <c r="I141">
        <f t="shared" si="12"/>
        <v>0</v>
      </c>
      <c r="J141">
        <f t="shared" si="13"/>
        <v>10</v>
      </c>
      <c r="K141">
        <f t="shared" si="14"/>
        <v>0</v>
      </c>
    </row>
    <row r="142" spans="1:11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  <c r="G142">
        <f t="shared" si="10"/>
        <v>86</v>
      </c>
      <c r="H142">
        <f t="shared" si="11"/>
        <v>49</v>
      </c>
      <c r="I142">
        <f t="shared" si="12"/>
        <v>6</v>
      </c>
      <c r="J142">
        <f t="shared" si="13"/>
        <v>10</v>
      </c>
      <c r="K142">
        <f t="shared" si="14"/>
        <v>0</v>
      </c>
    </row>
    <row r="143" spans="1:11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  <c r="G143">
        <f t="shared" si="10"/>
        <v>90</v>
      </c>
      <c r="H143">
        <f t="shared" si="11"/>
        <v>49</v>
      </c>
      <c r="I143">
        <f t="shared" si="12"/>
        <v>6</v>
      </c>
      <c r="J143">
        <f t="shared" si="13"/>
        <v>10</v>
      </c>
      <c r="K143">
        <f t="shared" si="14"/>
        <v>0</v>
      </c>
    </row>
    <row r="144" spans="1:11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  <c r="G144">
        <f t="shared" si="10"/>
        <v>90</v>
      </c>
      <c r="H144">
        <f t="shared" si="11"/>
        <v>49</v>
      </c>
      <c r="I144">
        <f t="shared" si="12"/>
        <v>0</v>
      </c>
      <c r="J144">
        <f t="shared" si="13"/>
        <v>10</v>
      </c>
      <c r="K144">
        <f t="shared" si="14"/>
        <v>0</v>
      </c>
    </row>
    <row r="145" spans="1:11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  <c r="G145">
        <f t="shared" si="10"/>
        <v>90</v>
      </c>
      <c r="H145">
        <f t="shared" si="11"/>
        <v>49</v>
      </c>
      <c r="I145">
        <f t="shared" si="12"/>
        <v>0</v>
      </c>
      <c r="J145">
        <f t="shared" si="13"/>
        <v>58</v>
      </c>
      <c r="K145">
        <f t="shared" si="14"/>
        <v>0</v>
      </c>
    </row>
    <row r="146" spans="1:11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  <c r="G146">
        <f t="shared" si="10"/>
        <v>90</v>
      </c>
      <c r="H146">
        <f t="shared" si="11"/>
        <v>49</v>
      </c>
      <c r="I146">
        <f t="shared" si="12"/>
        <v>0</v>
      </c>
      <c r="J146">
        <f t="shared" si="13"/>
        <v>58</v>
      </c>
      <c r="K146">
        <f t="shared" si="14"/>
        <v>34</v>
      </c>
    </row>
    <row r="147" spans="1:11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  <c r="G147">
        <f t="shared" si="10"/>
        <v>90</v>
      </c>
      <c r="H147">
        <f t="shared" si="11"/>
        <v>0</v>
      </c>
      <c r="I147">
        <f t="shared" si="12"/>
        <v>0</v>
      </c>
      <c r="J147">
        <f t="shared" si="13"/>
        <v>58</v>
      </c>
      <c r="K147">
        <f t="shared" si="14"/>
        <v>34</v>
      </c>
    </row>
    <row r="148" spans="1:11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  <c r="G148">
        <f t="shared" si="10"/>
        <v>100</v>
      </c>
      <c r="H148">
        <f t="shared" si="11"/>
        <v>0</v>
      </c>
      <c r="I148">
        <f t="shared" si="12"/>
        <v>0</v>
      </c>
      <c r="J148">
        <f t="shared" si="13"/>
        <v>58</v>
      </c>
      <c r="K148">
        <f t="shared" si="14"/>
        <v>34</v>
      </c>
    </row>
    <row r="149" spans="1:11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  <c r="G149">
        <f t="shared" si="10"/>
        <v>100</v>
      </c>
      <c r="H149">
        <f t="shared" si="11"/>
        <v>0</v>
      </c>
      <c r="I149">
        <f t="shared" si="12"/>
        <v>47</v>
      </c>
      <c r="J149">
        <f t="shared" si="13"/>
        <v>58</v>
      </c>
      <c r="K149">
        <f t="shared" si="14"/>
        <v>34</v>
      </c>
    </row>
    <row r="150" spans="1:11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  <c r="G150">
        <f t="shared" si="10"/>
        <v>100</v>
      </c>
      <c r="H150">
        <f t="shared" si="11"/>
        <v>0</v>
      </c>
      <c r="I150">
        <f t="shared" si="12"/>
        <v>47</v>
      </c>
      <c r="J150">
        <f t="shared" si="13"/>
        <v>106</v>
      </c>
      <c r="K150">
        <f t="shared" si="14"/>
        <v>34</v>
      </c>
    </row>
    <row r="151" spans="1:11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  <c r="G151">
        <f t="shared" si="10"/>
        <v>100</v>
      </c>
      <c r="H151">
        <f t="shared" si="11"/>
        <v>0</v>
      </c>
      <c r="I151">
        <f t="shared" si="12"/>
        <v>47</v>
      </c>
      <c r="J151">
        <f t="shared" si="13"/>
        <v>106</v>
      </c>
      <c r="K151">
        <f t="shared" si="14"/>
        <v>0</v>
      </c>
    </row>
    <row r="152" spans="1:11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  <c r="G152">
        <f t="shared" si="10"/>
        <v>105</v>
      </c>
      <c r="H152">
        <f t="shared" si="11"/>
        <v>0</v>
      </c>
      <c r="I152">
        <f t="shared" si="12"/>
        <v>47</v>
      </c>
      <c r="J152">
        <f t="shared" si="13"/>
        <v>106</v>
      </c>
      <c r="K152">
        <f t="shared" si="14"/>
        <v>0</v>
      </c>
    </row>
    <row r="153" spans="1:11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  <c r="G153">
        <f t="shared" si="10"/>
        <v>105</v>
      </c>
      <c r="H153">
        <f t="shared" si="11"/>
        <v>0</v>
      </c>
      <c r="I153">
        <f t="shared" si="12"/>
        <v>1</v>
      </c>
      <c r="J153">
        <f t="shared" si="13"/>
        <v>106</v>
      </c>
      <c r="K153">
        <f t="shared" si="14"/>
        <v>0</v>
      </c>
    </row>
    <row r="154" spans="1:11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  <c r="G154">
        <f t="shared" si="10"/>
        <v>105</v>
      </c>
      <c r="H154">
        <f t="shared" si="11"/>
        <v>0</v>
      </c>
      <c r="I154">
        <f t="shared" si="12"/>
        <v>1</v>
      </c>
      <c r="J154">
        <f t="shared" si="13"/>
        <v>155</v>
      </c>
      <c r="K154">
        <f t="shared" si="14"/>
        <v>0</v>
      </c>
    </row>
    <row r="155" spans="1:11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  <c r="G155">
        <f t="shared" si="10"/>
        <v>121</v>
      </c>
      <c r="H155">
        <f t="shared" si="11"/>
        <v>0</v>
      </c>
      <c r="I155">
        <f t="shared" si="12"/>
        <v>1</v>
      </c>
      <c r="J155">
        <f t="shared" si="13"/>
        <v>155</v>
      </c>
      <c r="K155">
        <f t="shared" si="14"/>
        <v>0</v>
      </c>
    </row>
    <row r="156" spans="1:11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  <c r="G156">
        <f t="shared" si="10"/>
        <v>121</v>
      </c>
      <c r="H156">
        <f t="shared" si="11"/>
        <v>0</v>
      </c>
      <c r="I156">
        <f t="shared" si="12"/>
        <v>1</v>
      </c>
      <c r="J156">
        <f t="shared" si="13"/>
        <v>155</v>
      </c>
      <c r="K156">
        <f t="shared" si="14"/>
        <v>5</v>
      </c>
    </row>
    <row r="157" spans="1:11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  <c r="G157">
        <f t="shared" si="10"/>
        <v>121</v>
      </c>
      <c r="H157">
        <f t="shared" si="11"/>
        <v>0</v>
      </c>
      <c r="I157">
        <f t="shared" si="12"/>
        <v>0</v>
      </c>
      <c r="J157">
        <f t="shared" si="13"/>
        <v>155</v>
      </c>
      <c r="K157">
        <f t="shared" si="14"/>
        <v>5</v>
      </c>
    </row>
    <row r="158" spans="1:11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  <c r="G158">
        <f t="shared" si="10"/>
        <v>155</v>
      </c>
      <c r="H158">
        <f t="shared" si="11"/>
        <v>0</v>
      </c>
      <c r="I158">
        <f t="shared" si="12"/>
        <v>0</v>
      </c>
      <c r="J158">
        <f t="shared" si="13"/>
        <v>155</v>
      </c>
      <c r="K158">
        <f t="shared" si="14"/>
        <v>5</v>
      </c>
    </row>
    <row r="159" spans="1:11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  <c r="G159">
        <f t="shared" si="10"/>
        <v>155</v>
      </c>
      <c r="H159">
        <f t="shared" si="11"/>
        <v>0</v>
      </c>
      <c r="I159">
        <f t="shared" si="12"/>
        <v>0</v>
      </c>
      <c r="J159">
        <f t="shared" si="13"/>
        <v>184</v>
      </c>
      <c r="K159">
        <f t="shared" si="14"/>
        <v>5</v>
      </c>
    </row>
    <row r="160" spans="1:11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  <c r="G160">
        <f t="shared" si="10"/>
        <v>155</v>
      </c>
      <c r="H160">
        <f t="shared" si="11"/>
        <v>34</v>
      </c>
      <c r="I160">
        <f t="shared" si="12"/>
        <v>0</v>
      </c>
      <c r="J160">
        <f t="shared" si="13"/>
        <v>184</v>
      </c>
      <c r="K160">
        <f t="shared" si="14"/>
        <v>5</v>
      </c>
    </row>
    <row r="161" spans="1:11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  <c r="G161">
        <f t="shared" si="10"/>
        <v>155</v>
      </c>
      <c r="H161">
        <f t="shared" si="11"/>
        <v>34</v>
      </c>
      <c r="I161">
        <f t="shared" si="12"/>
        <v>27</v>
      </c>
      <c r="J161">
        <f t="shared" si="13"/>
        <v>184</v>
      </c>
      <c r="K161">
        <f t="shared" si="14"/>
        <v>5</v>
      </c>
    </row>
    <row r="162" spans="1:11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  <c r="G162">
        <f t="shared" si="10"/>
        <v>195</v>
      </c>
      <c r="H162">
        <f t="shared" si="11"/>
        <v>34</v>
      </c>
      <c r="I162">
        <f t="shared" si="12"/>
        <v>27</v>
      </c>
      <c r="J162">
        <f t="shared" si="13"/>
        <v>184</v>
      </c>
      <c r="K162">
        <f t="shared" si="14"/>
        <v>5</v>
      </c>
    </row>
    <row r="163" spans="1:11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  <c r="G163">
        <f t="shared" si="10"/>
        <v>195</v>
      </c>
      <c r="H163">
        <f t="shared" si="11"/>
        <v>34</v>
      </c>
      <c r="I163">
        <f t="shared" si="12"/>
        <v>27</v>
      </c>
      <c r="J163">
        <f t="shared" si="13"/>
        <v>0</v>
      </c>
      <c r="K163">
        <f t="shared" si="14"/>
        <v>5</v>
      </c>
    </row>
    <row r="164" spans="1:11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  <c r="G164">
        <f t="shared" si="10"/>
        <v>195</v>
      </c>
      <c r="H164">
        <f t="shared" si="11"/>
        <v>34</v>
      </c>
      <c r="I164">
        <f t="shared" si="12"/>
        <v>27</v>
      </c>
      <c r="J164">
        <f t="shared" si="13"/>
        <v>0</v>
      </c>
      <c r="K164">
        <f t="shared" si="14"/>
        <v>53</v>
      </c>
    </row>
    <row r="165" spans="1:11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  <c r="G165">
        <f t="shared" si="10"/>
        <v>195</v>
      </c>
      <c r="H165">
        <f t="shared" si="11"/>
        <v>55</v>
      </c>
      <c r="I165">
        <f t="shared" si="12"/>
        <v>27</v>
      </c>
      <c r="J165">
        <f t="shared" si="13"/>
        <v>0</v>
      </c>
      <c r="K165">
        <f t="shared" si="14"/>
        <v>53</v>
      </c>
    </row>
    <row r="166" spans="1:11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  <c r="G166">
        <f t="shared" si="10"/>
        <v>195</v>
      </c>
      <c r="H166">
        <f t="shared" si="11"/>
        <v>55</v>
      </c>
      <c r="I166">
        <f t="shared" si="12"/>
        <v>27</v>
      </c>
      <c r="J166">
        <f t="shared" si="13"/>
        <v>47</v>
      </c>
      <c r="K166">
        <f t="shared" si="14"/>
        <v>53</v>
      </c>
    </row>
    <row r="167" spans="1:11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  <c r="G167">
        <f t="shared" si="10"/>
        <v>195</v>
      </c>
      <c r="H167">
        <f t="shared" si="11"/>
        <v>61</v>
      </c>
      <c r="I167">
        <f t="shared" si="12"/>
        <v>27</v>
      </c>
      <c r="J167">
        <f t="shared" si="13"/>
        <v>47</v>
      </c>
      <c r="K167">
        <f t="shared" si="14"/>
        <v>53</v>
      </c>
    </row>
    <row r="168" spans="1:11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  <c r="G168">
        <f t="shared" si="10"/>
        <v>195</v>
      </c>
      <c r="H168">
        <f t="shared" si="11"/>
        <v>61</v>
      </c>
      <c r="I168">
        <f t="shared" si="12"/>
        <v>27</v>
      </c>
      <c r="J168">
        <f t="shared" si="13"/>
        <v>47</v>
      </c>
      <c r="K168">
        <f t="shared" si="14"/>
        <v>100</v>
      </c>
    </row>
    <row r="169" spans="1:11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  <c r="G169">
        <f t="shared" si="10"/>
        <v>3</v>
      </c>
      <c r="H169">
        <f t="shared" si="11"/>
        <v>61</v>
      </c>
      <c r="I169">
        <f t="shared" si="12"/>
        <v>27</v>
      </c>
      <c r="J169">
        <f t="shared" si="13"/>
        <v>47</v>
      </c>
      <c r="K169">
        <f t="shared" si="14"/>
        <v>100</v>
      </c>
    </row>
    <row r="170" spans="1:11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  <c r="G170">
        <f t="shared" si="10"/>
        <v>3</v>
      </c>
      <c r="H170">
        <f t="shared" si="11"/>
        <v>13</v>
      </c>
      <c r="I170">
        <f t="shared" si="12"/>
        <v>27</v>
      </c>
      <c r="J170">
        <f t="shared" si="13"/>
        <v>47</v>
      </c>
      <c r="K170">
        <f t="shared" si="14"/>
        <v>100</v>
      </c>
    </row>
    <row r="171" spans="1:11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  <c r="G171">
        <f t="shared" si="10"/>
        <v>3</v>
      </c>
      <c r="H171">
        <f t="shared" si="11"/>
        <v>13</v>
      </c>
      <c r="I171">
        <f t="shared" si="12"/>
        <v>27</v>
      </c>
      <c r="J171">
        <f t="shared" si="13"/>
        <v>65</v>
      </c>
      <c r="K171">
        <f t="shared" si="14"/>
        <v>100</v>
      </c>
    </row>
    <row r="172" spans="1:11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  <c r="G172">
        <f t="shared" si="10"/>
        <v>3</v>
      </c>
      <c r="H172">
        <f t="shared" si="11"/>
        <v>13</v>
      </c>
      <c r="I172">
        <f t="shared" si="12"/>
        <v>27</v>
      </c>
      <c r="J172">
        <f t="shared" si="13"/>
        <v>65</v>
      </c>
      <c r="K172">
        <f t="shared" si="14"/>
        <v>125</v>
      </c>
    </row>
    <row r="173" spans="1:11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  <c r="G173">
        <f t="shared" si="10"/>
        <v>3</v>
      </c>
      <c r="H173">
        <f t="shared" si="11"/>
        <v>13</v>
      </c>
      <c r="I173">
        <f t="shared" si="12"/>
        <v>29</v>
      </c>
      <c r="J173">
        <f t="shared" si="13"/>
        <v>65</v>
      </c>
      <c r="K173">
        <f t="shared" si="14"/>
        <v>125</v>
      </c>
    </row>
    <row r="174" spans="1:11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  <c r="G174">
        <f t="shared" si="10"/>
        <v>3</v>
      </c>
      <c r="H174">
        <f t="shared" si="11"/>
        <v>0</v>
      </c>
      <c r="I174">
        <f t="shared" si="12"/>
        <v>29</v>
      </c>
      <c r="J174">
        <f t="shared" si="13"/>
        <v>65</v>
      </c>
      <c r="K174">
        <f t="shared" si="14"/>
        <v>125</v>
      </c>
    </row>
    <row r="175" spans="1:11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  <c r="G175">
        <f t="shared" si="10"/>
        <v>3</v>
      </c>
      <c r="H175">
        <f t="shared" si="11"/>
        <v>0</v>
      </c>
      <c r="I175">
        <f t="shared" si="12"/>
        <v>29</v>
      </c>
      <c r="J175">
        <f t="shared" si="13"/>
        <v>65</v>
      </c>
      <c r="K175">
        <f t="shared" si="14"/>
        <v>4</v>
      </c>
    </row>
    <row r="176" spans="1:11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  <c r="G176">
        <f t="shared" si="10"/>
        <v>3</v>
      </c>
      <c r="H176">
        <f t="shared" si="11"/>
        <v>0</v>
      </c>
      <c r="I176">
        <f t="shared" si="12"/>
        <v>59</v>
      </c>
      <c r="J176">
        <f t="shared" si="13"/>
        <v>65</v>
      </c>
      <c r="K176">
        <f t="shared" si="14"/>
        <v>4</v>
      </c>
    </row>
    <row r="177" spans="1:11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  <c r="G177">
        <f t="shared" si="10"/>
        <v>49</v>
      </c>
      <c r="H177">
        <f t="shared" si="11"/>
        <v>0</v>
      </c>
      <c r="I177">
        <f t="shared" si="12"/>
        <v>59</v>
      </c>
      <c r="J177">
        <f t="shared" si="13"/>
        <v>65</v>
      </c>
      <c r="K177">
        <f t="shared" si="14"/>
        <v>4</v>
      </c>
    </row>
    <row r="178" spans="1:11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  <c r="G178">
        <f t="shared" si="10"/>
        <v>0</v>
      </c>
      <c r="H178">
        <f t="shared" si="11"/>
        <v>0</v>
      </c>
      <c r="I178">
        <f t="shared" si="12"/>
        <v>59</v>
      </c>
      <c r="J178">
        <f t="shared" si="13"/>
        <v>65</v>
      </c>
      <c r="K178">
        <f t="shared" si="14"/>
        <v>4</v>
      </c>
    </row>
    <row r="179" spans="1:11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  <c r="G179">
        <f t="shared" si="10"/>
        <v>0</v>
      </c>
      <c r="H179">
        <f t="shared" si="11"/>
        <v>0</v>
      </c>
      <c r="I179">
        <f t="shared" si="12"/>
        <v>59</v>
      </c>
      <c r="J179">
        <f t="shared" si="13"/>
        <v>4</v>
      </c>
      <c r="K179">
        <f t="shared" si="14"/>
        <v>4</v>
      </c>
    </row>
    <row r="180" spans="1:11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  <c r="G180">
        <f t="shared" si="10"/>
        <v>0</v>
      </c>
      <c r="H180">
        <f t="shared" si="11"/>
        <v>0</v>
      </c>
      <c r="I180">
        <f t="shared" si="12"/>
        <v>78</v>
      </c>
      <c r="J180">
        <f t="shared" si="13"/>
        <v>4</v>
      </c>
      <c r="K180">
        <f t="shared" si="14"/>
        <v>4</v>
      </c>
    </row>
    <row r="181" spans="1:11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  <c r="G181">
        <f t="shared" si="10"/>
        <v>0</v>
      </c>
      <c r="H181">
        <f t="shared" si="11"/>
        <v>0</v>
      </c>
      <c r="I181">
        <f t="shared" si="12"/>
        <v>78</v>
      </c>
      <c r="J181">
        <f t="shared" si="13"/>
        <v>4</v>
      </c>
      <c r="K181">
        <f t="shared" si="14"/>
        <v>26</v>
      </c>
    </row>
    <row r="182" spans="1:11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  <c r="G182">
        <f t="shared" si="10"/>
        <v>0</v>
      </c>
      <c r="H182">
        <f t="shared" si="11"/>
        <v>9</v>
      </c>
      <c r="I182">
        <f t="shared" si="12"/>
        <v>78</v>
      </c>
      <c r="J182">
        <f t="shared" si="13"/>
        <v>4</v>
      </c>
      <c r="K182">
        <f t="shared" si="14"/>
        <v>26</v>
      </c>
    </row>
    <row r="183" spans="1:11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  <c r="G183">
        <f t="shared" si="10"/>
        <v>0</v>
      </c>
      <c r="H183">
        <f t="shared" si="11"/>
        <v>9</v>
      </c>
      <c r="I183">
        <f t="shared" si="12"/>
        <v>78</v>
      </c>
      <c r="J183">
        <f t="shared" si="13"/>
        <v>0</v>
      </c>
      <c r="K183">
        <f t="shared" si="14"/>
        <v>26</v>
      </c>
    </row>
    <row r="184" spans="1:11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  <c r="G184">
        <f t="shared" si="10"/>
        <v>0</v>
      </c>
      <c r="H184">
        <f t="shared" si="11"/>
        <v>9</v>
      </c>
      <c r="I184">
        <f t="shared" si="12"/>
        <v>86</v>
      </c>
      <c r="J184">
        <f t="shared" si="13"/>
        <v>0</v>
      </c>
      <c r="K184">
        <f t="shared" si="14"/>
        <v>26</v>
      </c>
    </row>
    <row r="185" spans="1:11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  <c r="G185">
        <f t="shared" si="10"/>
        <v>47</v>
      </c>
      <c r="H185">
        <f t="shared" si="11"/>
        <v>9</v>
      </c>
      <c r="I185">
        <f t="shared" si="12"/>
        <v>86</v>
      </c>
      <c r="J185">
        <f t="shared" si="13"/>
        <v>0</v>
      </c>
      <c r="K185">
        <f t="shared" si="14"/>
        <v>26</v>
      </c>
    </row>
    <row r="186" spans="1:11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  <c r="G186">
        <f t="shared" si="10"/>
        <v>47</v>
      </c>
      <c r="H186">
        <f t="shared" si="11"/>
        <v>9</v>
      </c>
      <c r="I186">
        <f t="shared" si="12"/>
        <v>4</v>
      </c>
      <c r="J186">
        <f t="shared" si="13"/>
        <v>0</v>
      </c>
      <c r="K186">
        <f t="shared" si="14"/>
        <v>26</v>
      </c>
    </row>
    <row r="187" spans="1:11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  <c r="G187">
        <f t="shared" si="10"/>
        <v>47</v>
      </c>
      <c r="H187">
        <f t="shared" si="11"/>
        <v>9</v>
      </c>
      <c r="I187">
        <f t="shared" si="12"/>
        <v>4</v>
      </c>
      <c r="J187">
        <f t="shared" si="13"/>
        <v>0</v>
      </c>
      <c r="K187">
        <f t="shared" si="14"/>
        <v>0</v>
      </c>
    </row>
    <row r="188" spans="1:11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  <c r="G188">
        <f t="shared" si="10"/>
        <v>71</v>
      </c>
      <c r="H188">
        <f t="shared" si="11"/>
        <v>9</v>
      </c>
      <c r="I188">
        <f t="shared" si="12"/>
        <v>4</v>
      </c>
      <c r="J188">
        <f t="shared" si="13"/>
        <v>0</v>
      </c>
      <c r="K188">
        <f t="shared" si="14"/>
        <v>0</v>
      </c>
    </row>
    <row r="189" spans="1:11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  <c r="G189">
        <f t="shared" si="10"/>
        <v>71</v>
      </c>
      <c r="H189">
        <f t="shared" si="11"/>
        <v>45</v>
      </c>
      <c r="I189">
        <f t="shared" si="12"/>
        <v>4</v>
      </c>
      <c r="J189">
        <f t="shared" si="13"/>
        <v>0</v>
      </c>
      <c r="K189">
        <f t="shared" si="14"/>
        <v>0</v>
      </c>
    </row>
    <row r="190" spans="1:11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  <c r="G190">
        <f t="shared" si="10"/>
        <v>71</v>
      </c>
      <c r="H190">
        <f t="shared" si="11"/>
        <v>45</v>
      </c>
      <c r="I190">
        <f t="shared" si="12"/>
        <v>4</v>
      </c>
      <c r="J190">
        <f t="shared" si="13"/>
        <v>6</v>
      </c>
      <c r="K190">
        <f t="shared" si="14"/>
        <v>0</v>
      </c>
    </row>
    <row r="191" spans="1:11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  <c r="G191">
        <f t="shared" si="10"/>
        <v>71</v>
      </c>
      <c r="H191">
        <f t="shared" si="11"/>
        <v>0</v>
      </c>
      <c r="I191">
        <f t="shared" si="12"/>
        <v>4</v>
      </c>
      <c r="J191">
        <f t="shared" si="13"/>
        <v>6</v>
      </c>
      <c r="K191">
        <f t="shared" si="14"/>
        <v>0</v>
      </c>
    </row>
    <row r="192" spans="1:11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  <c r="G192">
        <f t="shared" si="10"/>
        <v>89</v>
      </c>
      <c r="H192">
        <f t="shared" si="11"/>
        <v>0</v>
      </c>
      <c r="I192">
        <f t="shared" si="12"/>
        <v>4</v>
      </c>
      <c r="J192">
        <f t="shared" si="13"/>
        <v>6</v>
      </c>
      <c r="K192">
        <f t="shared" si="14"/>
        <v>0</v>
      </c>
    </row>
    <row r="193" spans="1:11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  <c r="G193">
        <f t="shared" si="10"/>
        <v>89</v>
      </c>
      <c r="H193">
        <f t="shared" si="11"/>
        <v>0</v>
      </c>
      <c r="I193">
        <f t="shared" si="12"/>
        <v>4</v>
      </c>
      <c r="J193">
        <f t="shared" si="13"/>
        <v>6</v>
      </c>
      <c r="K193">
        <f t="shared" si="14"/>
        <v>20</v>
      </c>
    </row>
    <row r="194" spans="1:11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  <c r="G194">
        <f t="shared" si="10"/>
        <v>89</v>
      </c>
      <c r="H194">
        <f t="shared" si="11"/>
        <v>0</v>
      </c>
      <c r="I194">
        <f t="shared" si="12"/>
        <v>0</v>
      </c>
      <c r="J194">
        <f t="shared" si="13"/>
        <v>6</v>
      </c>
      <c r="K194">
        <f t="shared" si="14"/>
        <v>20</v>
      </c>
    </row>
    <row r="195" spans="1:11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  <c r="G195">
        <f t="shared" si="10"/>
        <v>89</v>
      </c>
      <c r="H195">
        <f t="shared" si="11"/>
        <v>0</v>
      </c>
      <c r="I195">
        <f t="shared" si="12"/>
        <v>0</v>
      </c>
      <c r="J195">
        <f t="shared" si="13"/>
        <v>6</v>
      </c>
      <c r="K195">
        <f t="shared" si="14"/>
        <v>68</v>
      </c>
    </row>
    <row r="196" spans="1:11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  <c r="G196">
        <f t="shared" ref="G196:G203" si="15">IF(C196="T1",IF(D196="Z",G195+E196,G195-E196),G195)</f>
        <v>89</v>
      </c>
      <c r="H196">
        <f t="shared" ref="H196:H203" si="16">IF($C196="T2",IF($D196="Z",H195+$E196,H195-$E196),H195)</f>
        <v>0</v>
      </c>
      <c r="I196">
        <f t="shared" ref="I196:I203" si="17">IF($C196="T3",IF($D196="Z",I195+$E196,I195-$E196),I195)</f>
        <v>0</v>
      </c>
      <c r="J196">
        <f t="shared" ref="J196:J203" si="18">IF($C196="T4",IF($D196="Z",J195+$E196,J195-$E196),J195)</f>
        <v>6</v>
      </c>
      <c r="K196">
        <f t="shared" ref="K196:K203" si="19">IF($C196="T5",IF($D196="Z",K195+$E196,K195-$E196),K195)</f>
        <v>4</v>
      </c>
    </row>
    <row r="197" spans="1:11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  <c r="G197">
        <f t="shared" si="15"/>
        <v>89</v>
      </c>
      <c r="H197">
        <f t="shared" si="16"/>
        <v>0</v>
      </c>
      <c r="I197">
        <f t="shared" si="17"/>
        <v>0</v>
      </c>
      <c r="J197">
        <f t="shared" si="18"/>
        <v>49</v>
      </c>
      <c r="K197">
        <f t="shared" si="19"/>
        <v>4</v>
      </c>
    </row>
    <row r="198" spans="1:11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  <c r="G198">
        <f t="shared" si="15"/>
        <v>89</v>
      </c>
      <c r="H198">
        <f t="shared" si="16"/>
        <v>24</v>
      </c>
      <c r="I198">
        <f t="shared" si="17"/>
        <v>0</v>
      </c>
      <c r="J198">
        <f t="shared" si="18"/>
        <v>49</v>
      </c>
      <c r="K198">
        <f t="shared" si="19"/>
        <v>4</v>
      </c>
    </row>
    <row r="199" spans="1:11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  <c r="G199">
        <f t="shared" si="15"/>
        <v>89</v>
      </c>
      <c r="H199">
        <f t="shared" si="16"/>
        <v>24</v>
      </c>
      <c r="I199">
        <f t="shared" si="17"/>
        <v>0</v>
      </c>
      <c r="J199">
        <f t="shared" si="18"/>
        <v>49</v>
      </c>
      <c r="K199">
        <f t="shared" si="19"/>
        <v>0</v>
      </c>
    </row>
    <row r="200" spans="1:11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  <c r="G200">
        <f t="shared" si="15"/>
        <v>89</v>
      </c>
      <c r="H200">
        <f t="shared" si="16"/>
        <v>24</v>
      </c>
      <c r="I200">
        <f t="shared" si="17"/>
        <v>35</v>
      </c>
      <c r="J200">
        <f t="shared" si="18"/>
        <v>49</v>
      </c>
      <c r="K200">
        <f t="shared" si="19"/>
        <v>0</v>
      </c>
    </row>
    <row r="201" spans="1:11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  <c r="G201">
        <f t="shared" si="15"/>
        <v>130</v>
      </c>
      <c r="H201">
        <f t="shared" si="16"/>
        <v>24</v>
      </c>
      <c r="I201">
        <f t="shared" si="17"/>
        <v>35</v>
      </c>
      <c r="J201">
        <f t="shared" si="18"/>
        <v>49</v>
      </c>
      <c r="K201">
        <f t="shared" si="19"/>
        <v>0</v>
      </c>
    </row>
    <row r="202" spans="1:11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  <c r="G202">
        <f t="shared" si="15"/>
        <v>130</v>
      </c>
      <c r="H202">
        <f t="shared" si="16"/>
        <v>24</v>
      </c>
      <c r="I202">
        <f t="shared" si="17"/>
        <v>35</v>
      </c>
      <c r="J202">
        <f t="shared" si="18"/>
        <v>72</v>
      </c>
      <c r="K202">
        <f t="shared" si="19"/>
        <v>0</v>
      </c>
    </row>
    <row r="203" spans="1:11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  <c r="G203">
        <f t="shared" si="15"/>
        <v>130</v>
      </c>
      <c r="H203">
        <f t="shared" si="16"/>
        <v>70</v>
      </c>
      <c r="I203">
        <f t="shared" si="17"/>
        <v>35</v>
      </c>
      <c r="J203">
        <f t="shared" si="18"/>
        <v>72</v>
      </c>
      <c r="K203">
        <f t="shared" si="1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C0898-ED94-471F-B75C-F52787184F70}">
  <dimension ref="A1:S203"/>
  <sheetViews>
    <sheetView tabSelected="1" topLeftCell="F20" zoomScale="90" zoomScaleNormal="61" workbookViewId="0">
      <selection activeCell="P6" sqref="P6:S42"/>
    </sheetView>
  </sheetViews>
  <sheetFormatPr defaultRowHeight="14.5" x14ac:dyDescent="0.35"/>
  <cols>
    <col min="1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  <col min="10" max="10" width="15.26953125" bestFit="1" customWidth="1"/>
    <col min="11" max="11" width="17.08984375" bestFit="1" customWidth="1"/>
    <col min="12" max="12" width="17.26953125" bestFit="1" customWidth="1"/>
    <col min="13" max="13" width="3.90625" bestFit="1" customWidth="1"/>
    <col min="14" max="14" width="13.81640625" bestFit="1" customWidth="1"/>
    <col min="15" max="15" width="13.54296875" customWidth="1"/>
    <col min="16" max="16" width="13.54296875" bestFit="1" customWidth="1"/>
  </cols>
  <sheetData>
    <row r="1" spans="1:19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3" t="s">
        <v>29</v>
      </c>
      <c r="H1" s="13" t="s">
        <v>30</v>
      </c>
      <c r="I1" s="13" t="s">
        <v>32</v>
      </c>
      <c r="J1" s="13"/>
    </row>
    <row r="2" spans="1:19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  <c r="G2" s="17">
        <f>IF(C2="T5",E2,0)</f>
        <v>0</v>
      </c>
      <c r="H2">
        <f>MONTH(A2)</f>
        <v>1</v>
      </c>
      <c r="I2">
        <f>YEAR(A2)</f>
        <v>2016</v>
      </c>
    </row>
    <row r="3" spans="1:19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  <c r="G3" s="17">
        <f t="shared" ref="G3:G66" si="0">IF(C3="T5",E3,0)</f>
        <v>32</v>
      </c>
      <c r="H3">
        <f t="shared" ref="H3:H66" si="1">MONTH(A3)</f>
        <v>1</v>
      </c>
      <c r="I3">
        <f t="shared" ref="I3:I66" si="2">YEAR(A3)</f>
        <v>2016</v>
      </c>
      <c r="K3" s="15" t="s">
        <v>32</v>
      </c>
      <c r="L3" s="16">
        <v>2018</v>
      </c>
    </row>
    <row r="4" spans="1:19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  <c r="G4" s="17">
        <f t="shared" si="0"/>
        <v>0</v>
      </c>
      <c r="H4">
        <f t="shared" si="1"/>
        <v>1</v>
      </c>
      <c r="I4">
        <f t="shared" si="2"/>
        <v>2016</v>
      </c>
    </row>
    <row r="5" spans="1:19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  <c r="G5" s="17">
        <f t="shared" si="0"/>
        <v>0</v>
      </c>
      <c r="H5">
        <f t="shared" si="1"/>
        <v>1</v>
      </c>
      <c r="I5">
        <f t="shared" si="2"/>
        <v>2016</v>
      </c>
      <c r="K5" s="15" t="s">
        <v>31</v>
      </c>
      <c r="L5" s="15" t="s">
        <v>28</v>
      </c>
    </row>
    <row r="6" spans="1:19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  <c r="G6" s="17">
        <f t="shared" si="0"/>
        <v>0</v>
      </c>
      <c r="H6">
        <f t="shared" si="1"/>
        <v>1</v>
      </c>
      <c r="I6">
        <f t="shared" si="2"/>
        <v>2016</v>
      </c>
      <c r="K6" s="15" t="s">
        <v>23</v>
      </c>
      <c r="L6" t="s">
        <v>14</v>
      </c>
      <c r="M6" t="s">
        <v>8</v>
      </c>
      <c r="N6" t="s">
        <v>24</v>
      </c>
      <c r="P6" s="19" t="s">
        <v>0</v>
      </c>
      <c r="Q6" s="19"/>
      <c r="R6" t="s">
        <v>14</v>
      </c>
      <c r="S6" t="s">
        <v>8</v>
      </c>
    </row>
    <row r="7" spans="1:19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  <c r="G7" s="17">
        <f t="shared" si="0"/>
        <v>32</v>
      </c>
      <c r="H7">
        <f t="shared" si="1"/>
        <v>1</v>
      </c>
      <c r="I7">
        <f t="shared" si="2"/>
        <v>2016</v>
      </c>
      <c r="K7" s="16">
        <v>1</v>
      </c>
      <c r="L7" s="20">
        <v>22</v>
      </c>
      <c r="M7" s="20">
        <v>10</v>
      </c>
      <c r="N7" s="20">
        <v>32</v>
      </c>
      <c r="P7" s="19">
        <v>2016</v>
      </c>
      <c r="Q7" s="16">
        <v>1</v>
      </c>
      <c r="R7">
        <v>32</v>
      </c>
      <c r="S7">
        <v>76</v>
      </c>
    </row>
    <row r="8" spans="1:19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  <c r="G8" s="17">
        <f t="shared" si="0"/>
        <v>0</v>
      </c>
      <c r="H8">
        <f t="shared" si="1"/>
        <v>1</v>
      </c>
      <c r="I8">
        <f t="shared" si="2"/>
        <v>2016</v>
      </c>
      <c r="K8" s="16">
        <v>2</v>
      </c>
      <c r="L8" s="20">
        <v>0</v>
      </c>
      <c r="M8" s="20">
        <v>34</v>
      </c>
      <c r="N8" s="20">
        <v>34</v>
      </c>
      <c r="P8" s="19"/>
      <c r="Q8" s="16">
        <v>2</v>
      </c>
      <c r="R8">
        <v>0</v>
      </c>
      <c r="S8">
        <v>8</v>
      </c>
    </row>
    <row r="9" spans="1:19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  <c r="G9" s="17">
        <f t="shared" si="0"/>
        <v>44</v>
      </c>
      <c r="H9">
        <f t="shared" si="1"/>
        <v>1</v>
      </c>
      <c r="I9">
        <f t="shared" si="2"/>
        <v>2016</v>
      </c>
      <c r="K9" s="16">
        <v>3</v>
      </c>
      <c r="L9" s="20">
        <v>34</v>
      </c>
      <c r="M9" s="20">
        <v>0</v>
      </c>
      <c r="N9" s="20">
        <v>34</v>
      </c>
      <c r="P9" s="19"/>
      <c r="Q9" s="16">
        <v>3</v>
      </c>
      <c r="R9">
        <v>50</v>
      </c>
      <c r="S9">
        <v>0</v>
      </c>
    </row>
    <row r="10" spans="1:19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  <c r="G10" s="17">
        <f t="shared" si="0"/>
        <v>0</v>
      </c>
      <c r="H10">
        <f t="shared" si="1"/>
        <v>1</v>
      </c>
      <c r="I10">
        <f t="shared" si="2"/>
        <v>2016</v>
      </c>
      <c r="K10" s="16">
        <v>4</v>
      </c>
      <c r="L10" s="20">
        <v>0</v>
      </c>
      <c r="M10" s="20">
        <v>5</v>
      </c>
      <c r="N10" s="20">
        <v>5</v>
      </c>
      <c r="P10" s="19"/>
      <c r="Q10" s="16">
        <v>4</v>
      </c>
      <c r="R10">
        <v>0</v>
      </c>
      <c r="S10">
        <v>68</v>
      </c>
    </row>
    <row r="11" spans="1:19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  <c r="G11" s="17">
        <f t="shared" si="0"/>
        <v>0</v>
      </c>
      <c r="H11">
        <f t="shared" si="1"/>
        <v>1</v>
      </c>
      <c r="I11">
        <f t="shared" si="2"/>
        <v>2016</v>
      </c>
      <c r="K11" s="16">
        <v>5</v>
      </c>
      <c r="L11" s="20"/>
      <c r="M11" s="20">
        <v>0</v>
      </c>
      <c r="N11" s="20">
        <v>0</v>
      </c>
      <c r="P11" s="19"/>
      <c r="Q11" s="16">
        <v>5</v>
      </c>
      <c r="R11">
        <v>0</v>
      </c>
      <c r="S11">
        <v>0</v>
      </c>
    </row>
    <row r="12" spans="1:19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  <c r="G12" s="17">
        <f t="shared" si="0"/>
        <v>0</v>
      </c>
      <c r="H12">
        <f t="shared" si="1"/>
        <v>2</v>
      </c>
      <c r="I12">
        <f t="shared" si="2"/>
        <v>2016</v>
      </c>
      <c r="K12" s="16">
        <v>6</v>
      </c>
      <c r="L12" s="20">
        <v>0</v>
      </c>
      <c r="M12" s="20">
        <v>95</v>
      </c>
      <c r="N12" s="20">
        <v>95</v>
      </c>
      <c r="P12" s="19"/>
      <c r="Q12" s="16">
        <v>6</v>
      </c>
      <c r="R12">
        <v>0</v>
      </c>
      <c r="S12">
        <v>42</v>
      </c>
    </row>
    <row r="13" spans="1:19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  <c r="G13" s="17">
        <f t="shared" si="0"/>
        <v>0</v>
      </c>
      <c r="H13">
        <f t="shared" si="1"/>
        <v>2</v>
      </c>
      <c r="I13">
        <f t="shared" si="2"/>
        <v>2016</v>
      </c>
      <c r="K13" s="16">
        <v>7</v>
      </c>
      <c r="L13" s="20">
        <v>0</v>
      </c>
      <c r="M13" s="20">
        <v>25</v>
      </c>
      <c r="N13" s="20">
        <v>25</v>
      </c>
      <c r="P13" s="19"/>
      <c r="Q13" s="16">
        <v>7</v>
      </c>
      <c r="R13">
        <v>0</v>
      </c>
      <c r="S13">
        <v>83</v>
      </c>
    </row>
    <row r="14" spans="1:19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  <c r="G14" s="17">
        <f t="shared" si="0"/>
        <v>0</v>
      </c>
      <c r="H14">
        <f t="shared" si="1"/>
        <v>2</v>
      </c>
      <c r="I14">
        <f t="shared" si="2"/>
        <v>2016</v>
      </c>
      <c r="K14" s="16">
        <v>8</v>
      </c>
      <c r="L14" s="20">
        <v>121</v>
      </c>
      <c r="M14" s="20">
        <v>22</v>
      </c>
      <c r="N14" s="20">
        <v>143</v>
      </c>
      <c r="P14" s="19"/>
      <c r="Q14" s="16">
        <v>8</v>
      </c>
      <c r="R14">
        <v>191</v>
      </c>
      <c r="S14">
        <v>0</v>
      </c>
    </row>
    <row r="15" spans="1:19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  <c r="G15" s="17">
        <f t="shared" si="0"/>
        <v>8</v>
      </c>
      <c r="H15">
        <f t="shared" si="1"/>
        <v>2</v>
      </c>
      <c r="I15">
        <f t="shared" si="2"/>
        <v>2016</v>
      </c>
      <c r="K15" s="16">
        <v>9</v>
      </c>
      <c r="L15" s="20">
        <v>26</v>
      </c>
      <c r="M15" s="20">
        <v>0</v>
      </c>
      <c r="N15" s="20">
        <v>26</v>
      </c>
      <c r="P15" s="19"/>
      <c r="Q15" s="16">
        <v>9</v>
      </c>
      <c r="R15">
        <v>4</v>
      </c>
      <c r="S15">
        <v>44</v>
      </c>
    </row>
    <row r="16" spans="1:19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  <c r="G16" s="17">
        <f t="shared" si="0"/>
        <v>50</v>
      </c>
      <c r="H16">
        <f t="shared" si="1"/>
        <v>3</v>
      </c>
      <c r="I16">
        <f t="shared" si="2"/>
        <v>2016</v>
      </c>
      <c r="K16" s="16">
        <v>10</v>
      </c>
      <c r="L16" s="20">
        <v>0</v>
      </c>
      <c r="M16" s="20">
        <v>20</v>
      </c>
      <c r="N16" s="20">
        <v>20</v>
      </c>
      <c r="P16" s="19"/>
      <c r="Q16" s="16">
        <v>10</v>
      </c>
      <c r="R16">
        <v>0</v>
      </c>
      <c r="S16">
        <v>0</v>
      </c>
    </row>
    <row r="17" spans="1:19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  <c r="G17" s="17">
        <f t="shared" si="0"/>
        <v>0</v>
      </c>
      <c r="H17">
        <f t="shared" si="1"/>
        <v>3</v>
      </c>
      <c r="I17">
        <f t="shared" si="2"/>
        <v>2016</v>
      </c>
      <c r="K17" s="16">
        <v>11</v>
      </c>
      <c r="L17" s="20">
        <v>64</v>
      </c>
      <c r="M17" s="20">
        <v>48</v>
      </c>
      <c r="N17" s="20">
        <v>112</v>
      </c>
      <c r="P17" s="19"/>
      <c r="Q17" s="16">
        <v>11</v>
      </c>
      <c r="R17">
        <v>0</v>
      </c>
      <c r="S17">
        <v>30</v>
      </c>
    </row>
    <row r="18" spans="1:19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  <c r="G18" s="17">
        <f t="shared" si="0"/>
        <v>0</v>
      </c>
      <c r="H18">
        <f t="shared" si="1"/>
        <v>3</v>
      </c>
      <c r="I18">
        <f t="shared" si="2"/>
        <v>2016</v>
      </c>
      <c r="K18" s="16">
        <v>12</v>
      </c>
      <c r="L18" s="20">
        <v>4</v>
      </c>
      <c r="M18" s="20">
        <v>0</v>
      </c>
      <c r="N18" s="20">
        <v>4</v>
      </c>
      <c r="P18" s="19"/>
      <c r="Q18" s="16">
        <v>12</v>
      </c>
      <c r="R18">
        <v>0</v>
      </c>
      <c r="S18">
        <v>0</v>
      </c>
    </row>
    <row r="19" spans="1:19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  <c r="G19" s="17">
        <f t="shared" si="0"/>
        <v>0</v>
      </c>
      <c r="H19">
        <f t="shared" si="1"/>
        <v>3</v>
      </c>
      <c r="I19">
        <f t="shared" si="2"/>
        <v>2016</v>
      </c>
      <c r="K19" s="16" t="s">
        <v>24</v>
      </c>
      <c r="L19" s="20">
        <v>271</v>
      </c>
      <c r="M19" s="20">
        <v>259</v>
      </c>
      <c r="N19" s="20">
        <v>530</v>
      </c>
      <c r="P19" s="19">
        <v>2017</v>
      </c>
      <c r="Q19" s="16">
        <v>1</v>
      </c>
      <c r="R19">
        <v>112</v>
      </c>
      <c r="S19">
        <v>39</v>
      </c>
    </row>
    <row r="20" spans="1:19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  <c r="G20" s="17">
        <f t="shared" si="0"/>
        <v>0</v>
      </c>
      <c r="H20">
        <f t="shared" si="1"/>
        <v>4</v>
      </c>
      <c r="I20">
        <f t="shared" si="2"/>
        <v>2016</v>
      </c>
      <c r="P20" s="19"/>
      <c r="Q20" s="16">
        <v>2</v>
      </c>
      <c r="R20">
        <v>1</v>
      </c>
      <c r="S20">
        <v>0</v>
      </c>
    </row>
    <row r="21" spans="1:19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  <c r="G21" s="17">
        <f t="shared" si="0"/>
        <v>0</v>
      </c>
      <c r="H21">
        <f t="shared" si="1"/>
        <v>4</v>
      </c>
      <c r="I21">
        <f t="shared" si="2"/>
        <v>2016</v>
      </c>
      <c r="P21" s="19"/>
      <c r="Q21" s="16">
        <v>3</v>
      </c>
      <c r="R21">
        <v>0</v>
      </c>
      <c r="S21">
        <v>35</v>
      </c>
    </row>
    <row r="22" spans="1:19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  <c r="G22" s="17">
        <f t="shared" si="0"/>
        <v>33</v>
      </c>
      <c r="H22">
        <f t="shared" si="1"/>
        <v>4</v>
      </c>
      <c r="I22">
        <f t="shared" si="2"/>
        <v>2016</v>
      </c>
      <c r="P22" s="19"/>
      <c r="Q22" s="16">
        <v>4</v>
      </c>
      <c r="R22">
        <v>0</v>
      </c>
      <c r="S22">
        <v>1</v>
      </c>
    </row>
    <row r="23" spans="1:19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  <c r="G23" s="17">
        <f t="shared" si="0"/>
        <v>0</v>
      </c>
      <c r="H23">
        <f t="shared" si="1"/>
        <v>4</v>
      </c>
      <c r="I23">
        <f t="shared" si="2"/>
        <v>2016</v>
      </c>
      <c r="P23" s="19"/>
      <c r="Q23" s="16">
        <v>5</v>
      </c>
      <c r="R23">
        <v>68</v>
      </c>
      <c r="S23">
        <v>33</v>
      </c>
    </row>
    <row r="24" spans="1:19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  <c r="G24" s="17">
        <f t="shared" si="0"/>
        <v>0</v>
      </c>
      <c r="H24">
        <f t="shared" si="1"/>
        <v>4</v>
      </c>
      <c r="I24">
        <f t="shared" si="2"/>
        <v>2016</v>
      </c>
      <c r="P24" s="19"/>
      <c r="Q24" s="16">
        <v>6</v>
      </c>
      <c r="R24">
        <v>0</v>
      </c>
      <c r="S24">
        <v>8</v>
      </c>
    </row>
    <row r="25" spans="1:19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  <c r="G25" s="17">
        <f t="shared" si="0"/>
        <v>35</v>
      </c>
      <c r="H25">
        <f t="shared" si="1"/>
        <v>4</v>
      </c>
      <c r="I25">
        <f t="shared" si="2"/>
        <v>2016</v>
      </c>
      <c r="P25" s="19"/>
      <c r="Q25" s="16">
        <v>7</v>
      </c>
      <c r="R25">
        <v>0</v>
      </c>
      <c r="S25">
        <v>42</v>
      </c>
    </row>
    <row r="26" spans="1:19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  <c r="G26" s="17">
        <f t="shared" si="0"/>
        <v>0</v>
      </c>
      <c r="H26">
        <f t="shared" si="1"/>
        <v>5</v>
      </c>
      <c r="I26">
        <f t="shared" si="2"/>
        <v>2016</v>
      </c>
      <c r="P26" s="19"/>
      <c r="Q26" s="16">
        <v>8</v>
      </c>
      <c r="R26">
        <v>48</v>
      </c>
      <c r="S26">
        <v>4</v>
      </c>
    </row>
    <row r="27" spans="1:19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  <c r="G27" s="17">
        <f t="shared" si="0"/>
        <v>0</v>
      </c>
      <c r="H27">
        <f t="shared" si="1"/>
        <v>5</v>
      </c>
      <c r="I27">
        <f t="shared" si="2"/>
        <v>2016</v>
      </c>
      <c r="P27" s="19"/>
      <c r="Q27" s="16">
        <v>9</v>
      </c>
      <c r="R27">
        <v>0</v>
      </c>
      <c r="S27">
        <v>0</v>
      </c>
    </row>
    <row r="28" spans="1:19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  <c r="G28" s="17">
        <f t="shared" si="0"/>
        <v>0</v>
      </c>
      <c r="H28">
        <f t="shared" si="1"/>
        <v>6</v>
      </c>
      <c r="I28">
        <f t="shared" si="2"/>
        <v>2016</v>
      </c>
      <c r="P28" s="19"/>
      <c r="Q28" s="16">
        <v>10</v>
      </c>
      <c r="R28">
        <v>6</v>
      </c>
      <c r="S28">
        <v>0</v>
      </c>
    </row>
    <row r="29" spans="1:19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  <c r="G29" s="17">
        <f t="shared" si="0"/>
        <v>0</v>
      </c>
      <c r="H29">
        <f t="shared" si="1"/>
        <v>6</v>
      </c>
      <c r="I29">
        <f t="shared" si="2"/>
        <v>2016</v>
      </c>
      <c r="P29" s="19"/>
      <c r="Q29" s="16">
        <v>11</v>
      </c>
      <c r="R29">
        <v>1</v>
      </c>
      <c r="S29">
        <v>12</v>
      </c>
    </row>
    <row r="30" spans="1:19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  <c r="G30" s="17">
        <f t="shared" si="0"/>
        <v>0</v>
      </c>
      <c r="H30">
        <f t="shared" si="1"/>
        <v>6</v>
      </c>
      <c r="I30">
        <f t="shared" si="2"/>
        <v>2016</v>
      </c>
      <c r="P30" s="19"/>
      <c r="Q30" s="16">
        <v>12</v>
      </c>
      <c r="R30">
        <v>0</v>
      </c>
      <c r="S30">
        <v>0</v>
      </c>
    </row>
    <row r="31" spans="1:19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  <c r="G31" s="17">
        <f t="shared" si="0"/>
        <v>0</v>
      </c>
      <c r="H31">
        <f t="shared" si="1"/>
        <v>6</v>
      </c>
      <c r="I31">
        <f t="shared" si="2"/>
        <v>2016</v>
      </c>
      <c r="P31" s="19">
        <v>2018</v>
      </c>
      <c r="Q31" s="16">
        <v>1</v>
      </c>
      <c r="R31" s="20">
        <v>22</v>
      </c>
      <c r="S31" s="20">
        <v>10</v>
      </c>
    </row>
    <row r="32" spans="1:19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  <c r="G32" s="17">
        <f t="shared" si="0"/>
        <v>0</v>
      </c>
      <c r="H32">
        <f t="shared" si="1"/>
        <v>6</v>
      </c>
      <c r="I32">
        <f t="shared" si="2"/>
        <v>2016</v>
      </c>
      <c r="P32" s="19"/>
      <c r="Q32" s="16">
        <v>2</v>
      </c>
      <c r="R32" s="20">
        <v>0</v>
      </c>
      <c r="S32" s="20">
        <v>34</v>
      </c>
    </row>
    <row r="33" spans="1:19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  <c r="G33" s="17">
        <f t="shared" si="0"/>
        <v>0</v>
      </c>
      <c r="H33">
        <f t="shared" si="1"/>
        <v>6</v>
      </c>
      <c r="I33">
        <f t="shared" si="2"/>
        <v>2016</v>
      </c>
      <c r="P33" s="19"/>
      <c r="Q33" s="16">
        <v>3</v>
      </c>
      <c r="R33" s="20">
        <v>34</v>
      </c>
      <c r="S33" s="20">
        <v>0</v>
      </c>
    </row>
    <row r="34" spans="1:19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  <c r="G34" s="17">
        <f t="shared" si="0"/>
        <v>42</v>
      </c>
      <c r="H34">
        <f t="shared" si="1"/>
        <v>6</v>
      </c>
      <c r="I34">
        <f t="shared" si="2"/>
        <v>2016</v>
      </c>
      <c r="P34" s="19"/>
      <c r="Q34" s="16">
        <v>4</v>
      </c>
      <c r="R34" s="20">
        <v>0</v>
      </c>
      <c r="S34" s="20">
        <v>5</v>
      </c>
    </row>
    <row r="35" spans="1:19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  <c r="G35" s="17">
        <f t="shared" si="0"/>
        <v>0</v>
      </c>
      <c r="H35">
        <f t="shared" si="1"/>
        <v>6</v>
      </c>
      <c r="I35">
        <f t="shared" si="2"/>
        <v>2016</v>
      </c>
      <c r="P35" s="19"/>
      <c r="Q35" s="16">
        <v>5</v>
      </c>
      <c r="R35" s="20"/>
      <c r="S35" s="20">
        <v>0</v>
      </c>
    </row>
    <row r="36" spans="1:19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  <c r="G36" s="17">
        <f t="shared" si="0"/>
        <v>0</v>
      </c>
      <c r="H36">
        <f t="shared" si="1"/>
        <v>6</v>
      </c>
      <c r="I36">
        <f t="shared" si="2"/>
        <v>2016</v>
      </c>
      <c r="P36" s="19"/>
      <c r="Q36" s="16">
        <v>6</v>
      </c>
      <c r="R36" s="20">
        <v>0</v>
      </c>
      <c r="S36" s="20">
        <v>95</v>
      </c>
    </row>
    <row r="37" spans="1:19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  <c r="G37" s="17">
        <f t="shared" si="0"/>
        <v>0</v>
      </c>
      <c r="H37">
        <f t="shared" si="1"/>
        <v>7</v>
      </c>
      <c r="I37">
        <f t="shared" si="2"/>
        <v>2016</v>
      </c>
      <c r="P37" s="19"/>
      <c r="Q37" s="16">
        <v>7</v>
      </c>
      <c r="R37" s="20">
        <v>0</v>
      </c>
      <c r="S37" s="20">
        <v>25</v>
      </c>
    </row>
    <row r="38" spans="1:19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  <c r="G38" s="17">
        <f t="shared" si="0"/>
        <v>0</v>
      </c>
      <c r="H38">
        <f t="shared" si="1"/>
        <v>7</v>
      </c>
      <c r="I38">
        <f t="shared" si="2"/>
        <v>2016</v>
      </c>
      <c r="P38" s="19"/>
      <c r="Q38" s="16">
        <v>8</v>
      </c>
      <c r="R38" s="20">
        <v>121</v>
      </c>
      <c r="S38" s="20">
        <v>22</v>
      </c>
    </row>
    <row r="39" spans="1:19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  <c r="G39" s="17">
        <f t="shared" si="0"/>
        <v>35</v>
      </c>
      <c r="H39">
        <f t="shared" si="1"/>
        <v>7</v>
      </c>
      <c r="I39">
        <f t="shared" si="2"/>
        <v>2016</v>
      </c>
      <c r="P39" s="19"/>
      <c r="Q39" s="16">
        <v>9</v>
      </c>
      <c r="R39" s="20">
        <v>26</v>
      </c>
      <c r="S39" s="20">
        <v>0</v>
      </c>
    </row>
    <row r="40" spans="1:19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  <c r="G40" s="17">
        <f t="shared" si="0"/>
        <v>0</v>
      </c>
      <c r="H40">
        <f t="shared" si="1"/>
        <v>7</v>
      </c>
      <c r="I40">
        <f t="shared" si="2"/>
        <v>2016</v>
      </c>
      <c r="P40" s="19"/>
      <c r="Q40" s="16">
        <v>10</v>
      </c>
      <c r="R40" s="20">
        <v>0</v>
      </c>
      <c r="S40" s="20">
        <v>20</v>
      </c>
    </row>
    <row r="41" spans="1:19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  <c r="G41" s="17">
        <f t="shared" si="0"/>
        <v>0</v>
      </c>
      <c r="H41">
        <f t="shared" si="1"/>
        <v>7</v>
      </c>
      <c r="I41">
        <f t="shared" si="2"/>
        <v>2016</v>
      </c>
      <c r="P41" s="19"/>
      <c r="Q41" s="16">
        <v>11</v>
      </c>
      <c r="R41" s="20">
        <v>64</v>
      </c>
      <c r="S41" s="20">
        <v>48</v>
      </c>
    </row>
    <row r="42" spans="1:19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  <c r="G42" s="17">
        <f t="shared" si="0"/>
        <v>48</v>
      </c>
      <c r="H42">
        <f t="shared" si="1"/>
        <v>7</v>
      </c>
      <c r="I42">
        <f t="shared" si="2"/>
        <v>2016</v>
      </c>
      <c r="P42" s="19"/>
      <c r="Q42" s="16">
        <v>12</v>
      </c>
      <c r="R42" s="20">
        <v>4</v>
      </c>
      <c r="S42" s="20">
        <v>0</v>
      </c>
    </row>
    <row r="43" spans="1:19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  <c r="G43" s="17">
        <f t="shared" si="0"/>
        <v>191</v>
      </c>
      <c r="H43">
        <f t="shared" si="1"/>
        <v>8</v>
      </c>
      <c r="I43">
        <f t="shared" si="2"/>
        <v>2016</v>
      </c>
    </row>
    <row r="44" spans="1:19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  <c r="G44" s="17">
        <f t="shared" si="0"/>
        <v>0</v>
      </c>
      <c r="H44">
        <f t="shared" si="1"/>
        <v>8</v>
      </c>
      <c r="I44">
        <f t="shared" si="2"/>
        <v>2016</v>
      </c>
    </row>
    <row r="45" spans="1:19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  <c r="G45" s="17">
        <f t="shared" si="0"/>
        <v>0</v>
      </c>
      <c r="H45">
        <f t="shared" si="1"/>
        <v>8</v>
      </c>
      <c r="I45">
        <f t="shared" si="2"/>
        <v>2016</v>
      </c>
    </row>
    <row r="46" spans="1:19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  <c r="G46" s="17">
        <f t="shared" si="0"/>
        <v>0</v>
      </c>
      <c r="H46">
        <f t="shared" si="1"/>
        <v>9</v>
      </c>
      <c r="I46">
        <f t="shared" si="2"/>
        <v>2016</v>
      </c>
    </row>
    <row r="47" spans="1:19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  <c r="G47" s="17">
        <f t="shared" si="0"/>
        <v>4</v>
      </c>
      <c r="H47">
        <f t="shared" si="1"/>
        <v>9</v>
      </c>
      <c r="I47">
        <f t="shared" si="2"/>
        <v>2016</v>
      </c>
    </row>
    <row r="48" spans="1:19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  <c r="G48" s="17">
        <f t="shared" si="0"/>
        <v>0</v>
      </c>
      <c r="H48">
        <f t="shared" si="1"/>
        <v>9</v>
      </c>
      <c r="I48">
        <f t="shared" si="2"/>
        <v>2016</v>
      </c>
    </row>
    <row r="49" spans="1:9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  <c r="G49" s="17">
        <f t="shared" si="0"/>
        <v>0</v>
      </c>
      <c r="H49">
        <f t="shared" si="1"/>
        <v>9</v>
      </c>
      <c r="I49">
        <f t="shared" si="2"/>
        <v>2016</v>
      </c>
    </row>
    <row r="50" spans="1:9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  <c r="G50" s="17">
        <f t="shared" si="0"/>
        <v>0</v>
      </c>
      <c r="H50">
        <f t="shared" si="1"/>
        <v>9</v>
      </c>
      <c r="I50">
        <f t="shared" si="2"/>
        <v>2016</v>
      </c>
    </row>
    <row r="51" spans="1:9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  <c r="G51" s="17">
        <f t="shared" si="0"/>
        <v>44</v>
      </c>
      <c r="H51">
        <f t="shared" si="1"/>
        <v>9</v>
      </c>
      <c r="I51">
        <f t="shared" si="2"/>
        <v>2016</v>
      </c>
    </row>
    <row r="52" spans="1:9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  <c r="G52" s="17">
        <f t="shared" si="0"/>
        <v>0</v>
      </c>
      <c r="H52">
        <f t="shared" si="1"/>
        <v>9</v>
      </c>
      <c r="I52">
        <f t="shared" si="2"/>
        <v>2016</v>
      </c>
    </row>
    <row r="53" spans="1:9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  <c r="G53" s="17">
        <f t="shared" si="0"/>
        <v>0</v>
      </c>
      <c r="H53">
        <f t="shared" si="1"/>
        <v>9</v>
      </c>
      <c r="I53">
        <f t="shared" si="2"/>
        <v>2016</v>
      </c>
    </row>
    <row r="54" spans="1:9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  <c r="G54" s="17">
        <f t="shared" si="0"/>
        <v>0</v>
      </c>
      <c r="H54">
        <f t="shared" si="1"/>
        <v>9</v>
      </c>
      <c r="I54">
        <f t="shared" si="2"/>
        <v>2016</v>
      </c>
    </row>
    <row r="55" spans="1:9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  <c r="G55" s="17">
        <f t="shared" si="0"/>
        <v>0</v>
      </c>
      <c r="H55">
        <f t="shared" si="1"/>
        <v>9</v>
      </c>
      <c r="I55">
        <f t="shared" si="2"/>
        <v>2016</v>
      </c>
    </row>
    <row r="56" spans="1:9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  <c r="G56" s="17">
        <f t="shared" si="0"/>
        <v>0</v>
      </c>
      <c r="H56">
        <f t="shared" si="1"/>
        <v>10</v>
      </c>
      <c r="I56">
        <f t="shared" si="2"/>
        <v>2016</v>
      </c>
    </row>
    <row r="57" spans="1:9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  <c r="G57" s="17">
        <f t="shared" si="0"/>
        <v>0</v>
      </c>
      <c r="H57">
        <f t="shared" si="1"/>
        <v>10</v>
      </c>
      <c r="I57">
        <f t="shared" si="2"/>
        <v>2016</v>
      </c>
    </row>
    <row r="58" spans="1:9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  <c r="G58" s="17">
        <f t="shared" si="0"/>
        <v>0</v>
      </c>
      <c r="H58">
        <f t="shared" si="1"/>
        <v>10</v>
      </c>
      <c r="I58">
        <f t="shared" si="2"/>
        <v>2016</v>
      </c>
    </row>
    <row r="59" spans="1:9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  <c r="G59" s="17">
        <f t="shared" si="0"/>
        <v>0</v>
      </c>
      <c r="H59">
        <f t="shared" si="1"/>
        <v>11</v>
      </c>
      <c r="I59">
        <f t="shared" si="2"/>
        <v>2016</v>
      </c>
    </row>
    <row r="60" spans="1:9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  <c r="G60" s="17">
        <f t="shared" si="0"/>
        <v>0</v>
      </c>
      <c r="H60">
        <f t="shared" si="1"/>
        <v>11</v>
      </c>
      <c r="I60">
        <f t="shared" si="2"/>
        <v>2016</v>
      </c>
    </row>
    <row r="61" spans="1:9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  <c r="G61" s="17">
        <f t="shared" si="0"/>
        <v>30</v>
      </c>
      <c r="H61">
        <f t="shared" si="1"/>
        <v>11</v>
      </c>
      <c r="I61">
        <f t="shared" si="2"/>
        <v>2016</v>
      </c>
    </row>
    <row r="62" spans="1:9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  <c r="G62" s="17">
        <f t="shared" si="0"/>
        <v>0</v>
      </c>
      <c r="H62">
        <f t="shared" si="1"/>
        <v>11</v>
      </c>
      <c r="I62">
        <f t="shared" si="2"/>
        <v>2016</v>
      </c>
    </row>
    <row r="63" spans="1:9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  <c r="G63" s="17">
        <f t="shared" si="0"/>
        <v>0</v>
      </c>
      <c r="H63">
        <f t="shared" si="1"/>
        <v>11</v>
      </c>
      <c r="I63">
        <f t="shared" si="2"/>
        <v>2016</v>
      </c>
    </row>
    <row r="64" spans="1:9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  <c r="G64" s="17">
        <f t="shared" si="0"/>
        <v>0</v>
      </c>
      <c r="H64">
        <f t="shared" si="1"/>
        <v>11</v>
      </c>
      <c r="I64">
        <f t="shared" si="2"/>
        <v>2016</v>
      </c>
    </row>
    <row r="65" spans="1:9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  <c r="G65" s="17">
        <f t="shared" si="0"/>
        <v>0</v>
      </c>
      <c r="H65">
        <f t="shared" si="1"/>
        <v>11</v>
      </c>
      <c r="I65">
        <f t="shared" si="2"/>
        <v>2016</v>
      </c>
    </row>
    <row r="66" spans="1:9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  <c r="G66" s="17">
        <f t="shared" si="0"/>
        <v>0</v>
      </c>
      <c r="H66">
        <f t="shared" si="1"/>
        <v>12</v>
      </c>
      <c r="I66">
        <f t="shared" si="2"/>
        <v>2016</v>
      </c>
    </row>
    <row r="67" spans="1:9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  <c r="G67" s="17">
        <f t="shared" ref="G67:G130" si="3">IF(C67="T5",E67,0)</f>
        <v>0</v>
      </c>
      <c r="H67">
        <f t="shared" ref="H67:H130" si="4">MONTH(A67)</f>
        <v>12</v>
      </c>
      <c r="I67">
        <f t="shared" ref="I67:I130" si="5">YEAR(A67)</f>
        <v>2016</v>
      </c>
    </row>
    <row r="68" spans="1:9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  <c r="G68" s="17">
        <f t="shared" si="3"/>
        <v>0</v>
      </c>
      <c r="H68">
        <f t="shared" si="4"/>
        <v>12</v>
      </c>
      <c r="I68">
        <f t="shared" si="5"/>
        <v>2016</v>
      </c>
    </row>
    <row r="69" spans="1:9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  <c r="G69" s="17">
        <f t="shared" si="3"/>
        <v>0</v>
      </c>
      <c r="H69">
        <f t="shared" si="4"/>
        <v>1</v>
      </c>
      <c r="I69">
        <f t="shared" si="5"/>
        <v>2017</v>
      </c>
    </row>
    <row r="70" spans="1:9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  <c r="G70" s="17">
        <f t="shared" si="3"/>
        <v>0</v>
      </c>
      <c r="H70">
        <f t="shared" si="4"/>
        <v>1</v>
      </c>
      <c r="I70">
        <f t="shared" si="5"/>
        <v>2017</v>
      </c>
    </row>
    <row r="71" spans="1:9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  <c r="G71" s="17">
        <f t="shared" si="3"/>
        <v>0</v>
      </c>
      <c r="H71">
        <f t="shared" si="4"/>
        <v>1</v>
      </c>
      <c r="I71">
        <f t="shared" si="5"/>
        <v>2017</v>
      </c>
    </row>
    <row r="72" spans="1:9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  <c r="G72" s="17">
        <f t="shared" si="3"/>
        <v>0</v>
      </c>
      <c r="H72">
        <f t="shared" si="4"/>
        <v>1</v>
      </c>
      <c r="I72">
        <f t="shared" si="5"/>
        <v>2017</v>
      </c>
    </row>
    <row r="73" spans="1:9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  <c r="G73" s="17">
        <f t="shared" si="3"/>
        <v>39</v>
      </c>
      <c r="H73">
        <f t="shared" si="4"/>
        <v>1</v>
      </c>
      <c r="I73">
        <f t="shared" si="5"/>
        <v>2017</v>
      </c>
    </row>
    <row r="74" spans="1:9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  <c r="G74" s="17">
        <f t="shared" si="3"/>
        <v>112</v>
      </c>
      <c r="H74">
        <f t="shared" si="4"/>
        <v>1</v>
      </c>
      <c r="I74">
        <f t="shared" si="5"/>
        <v>2017</v>
      </c>
    </row>
    <row r="75" spans="1:9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  <c r="G75" s="17">
        <f t="shared" si="3"/>
        <v>0</v>
      </c>
      <c r="H75">
        <f t="shared" si="4"/>
        <v>1</v>
      </c>
      <c r="I75">
        <f t="shared" si="5"/>
        <v>2017</v>
      </c>
    </row>
    <row r="76" spans="1:9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  <c r="G76" s="17">
        <f t="shared" si="3"/>
        <v>0</v>
      </c>
      <c r="H76">
        <f t="shared" si="4"/>
        <v>1</v>
      </c>
      <c r="I76">
        <f t="shared" si="5"/>
        <v>2017</v>
      </c>
    </row>
    <row r="77" spans="1:9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  <c r="G77" s="17">
        <f t="shared" si="3"/>
        <v>0</v>
      </c>
      <c r="H77">
        <f t="shared" si="4"/>
        <v>2</v>
      </c>
      <c r="I77">
        <f t="shared" si="5"/>
        <v>2017</v>
      </c>
    </row>
    <row r="78" spans="1:9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  <c r="G78" s="17">
        <f t="shared" si="3"/>
        <v>0</v>
      </c>
      <c r="H78">
        <f t="shared" si="4"/>
        <v>2</v>
      </c>
      <c r="I78">
        <f t="shared" si="5"/>
        <v>2017</v>
      </c>
    </row>
    <row r="79" spans="1:9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  <c r="G79" s="17">
        <f t="shared" si="3"/>
        <v>1</v>
      </c>
      <c r="H79">
        <f t="shared" si="4"/>
        <v>2</v>
      </c>
      <c r="I79">
        <f t="shared" si="5"/>
        <v>2017</v>
      </c>
    </row>
    <row r="80" spans="1:9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  <c r="G80" s="17">
        <f t="shared" si="3"/>
        <v>0</v>
      </c>
      <c r="H80">
        <f t="shared" si="4"/>
        <v>2</v>
      </c>
      <c r="I80">
        <f t="shared" si="5"/>
        <v>2017</v>
      </c>
    </row>
    <row r="81" spans="1:9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  <c r="G81" s="17">
        <f t="shared" si="3"/>
        <v>0</v>
      </c>
      <c r="H81">
        <f t="shared" si="4"/>
        <v>2</v>
      </c>
      <c r="I81">
        <f t="shared" si="5"/>
        <v>2017</v>
      </c>
    </row>
    <row r="82" spans="1:9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  <c r="G82" s="17">
        <f t="shared" si="3"/>
        <v>0</v>
      </c>
      <c r="H82">
        <f t="shared" si="4"/>
        <v>2</v>
      </c>
      <c r="I82">
        <f t="shared" si="5"/>
        <v>2017</v>
      </c>
    </row>
    <row r="83" spans="1:9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  <c r="G83" s="17">
        <f t="shared" si="3"/>
        <v>0</v>
      </c>
      <c r="H83">
        <f t="shared" si="4"/>
        <v>3</v>
      </c>
      <c r="I83">
        <f t="shared" si="5"/>
        <v>2017</v>
      </c>
    </row>
    <row r="84" spans="1:9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  <c r="G84" s="17">
        <f t="shared" si="3"/>
        <v>35</v>
      </c>
      <c r="H84">
        <f t="shared" si="4"/>
        <v>3</v>
      </c>
      <c r="I84">
        <f t="shared" si="5"/>
        <v>2017</v>
      </c>
    </row>
    <row r="85" spans="1:9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  <c r="G85" s="17">
        <f t="shared" si="3"/>
        <v>0</v>
      </c>
      <c r="H85">
        <f t="shared" si="4"/>
        <v>3</v>
      </c>
      <c r="I85">
        <f t="shared" si="5"/>
        <v>2017</v>
      </c>
    </row>
    <row r="86" spans="1:9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  <c r="G86" s="17">
        <f t="shared" si="3"/>
        <v>0</v>
      </c>
      <c r="H86">
        <f t="shared" si="4"/>
        <v>4</v>
      </c>
      <c r="I86">
        <f t="shared" si="5"/>
        <v>2017</v>
      </c>
    </row>
    <row r="87" spans="1:9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  <c r="G87" s="17">
        <f t="shared" si="3"/>
        <v>0</v>
      </c>
      <c r="H87">
        <f t="shared" si="4"/>
        <v>4</v>
      </c>
      <c r="I87">
        <f t="shared" si="5"/>
        <v>2017</v>
      </c>
    </row>
    <row r="88" spans="1:9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  <c r="G88" s="17">
        <f t="shared" si="3"/>
        <v>0</v>
      </c>
      <c r="H88">
        <f t="shared" si="4"/>
        <v>4</v>
      </c>
      <c r="I88">
        <f t="shared" si="5"/>
        <v>2017</v>
      </c>
    </row>
    <row r="89" spans="1:9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  <c r="G89" s="17">
        <f t="shared" si="3"/>
        <v>0</v>
      </c>
      <c r="H89">
        <f t="shared" si="4"/>
        <v>4</v>
      </c>
      <c r="I89">
        <f t="shared" si="5"/>
        <v>2017</v>
      </c>
    </row>
    <row r="90" spans="1:9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  <c r="G90" s="17">
        <f t="shared" si="3"/>
        <v>1</v>
      </c>
      <c r="H90">
        <f t="shared" si="4"/>
        <v>4</v>
      </c>
      <c r="I90">
        <f t="shared" si="5"/>
        <v>2017</v>
      </c>
    </row>
    <row r="91" spans="1:9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  <c r="G91" s="17">
        <f t="shared" si="3"/>
        <v>0</v>
      </c>
      <c r="H91">
        <f t="shared" si="4"/>
        <v>5</v>
      </c>
      <c r="I91">
        <f t="shared" si="5"/>
        <v>2017</v>
      </c>
    </row>
    <row r="92" spans="1:9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  <c r="G92" s="17">
        <f t="shared" si="3"/>
        <v>0</v>
      </c>
      <c r="H92">
        <f t="shared" si="4"/>
        <v>5</v>
      </c>
      <c r="I92">
        <f t="shared" si="5"/>
        <v>2017</v>
      </c>
    </row>
    <row r="93" spans="1:9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  <c r="G93" s="17">
        <f t="shared" si="3"/>
        <v>33</v>
      </c>
      <c r="H93">
        <f t="shared" si="4"/>
        <v>5</v>
      </c>
      <c r="I93">
        <f t="shared" si="5"/>
        <v>2017</v>
      </c>
    </row>
    <row r="94" spans="1:9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  <c r="G94" s="17">
        <f t="shared" si="3"/>
        <v>0</v>
      </c>
      <c r="H94">
        <f t="shared" si="4"/>
        <v>5</v>
      </c>
      <c r="I94">
        <f t="shared" si="5"/>
        <v>2017</v>
      </c>
    </row>
    <row r="95" spans="1:9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  <c r="G95" s="17">
        <f t="shared" si="3"/>
        <v>0</v>
      </c>
      <c r="H95">
        <f t="shared" si="4"/>
        <v>5</v>
      </c>
      <c r="I95">
        <f t="shared" si="5"/>
        <v>2017</v>
      </c>
    </row>
    <row r="96" spans="1:9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  <c r="G96" s="17">
        <f t="shared" si="3"/>
        <v>0</v>
      </c>
      <c r="H96">
        <f t="shared" si="4"/>
        <v>5</v>
      </c>
      <c r="I96">
        <f t="shared" si="5"/>
        <v>2017</v>
      </c>
    </row>
    <row r="97" spans="1:9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  <c r="G97" s="17">
        <f t="shared" si="3"/>
        <v>68</v>
      </c>
      <c r="H97">
        <f t="shared" si="4"/>
        <v>5</v>
      </c>
      <c r="I97">
        <f t="shared" si="5"/>
        <v>2017</v>
      </c>
    </row>
    <row r="98" spans="1:9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  <c r="G98" s="17">
        <f t="shared" si="3"/>
        <v>0</v>
      </c>
      <c r="H98">
        <f t="shared" si="4"/>
        <v>5</v>
      </c>
      <c r="I98">
        <f t="shared" si="5"/>
        <v>2017</v>
      </c>
    </row>
    <row r="99" spans="1:9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  <c r="G99" s="17">
        <f t="shared" si="3"/>
        <v>0</v>
      </c>
      <c r="H99">
        <f t="shared" si="4"/>
        <v>5</v>
      </c>
      <c r="I99">
        <f t="shared" si="5"/>
        <v>2017</v>
      </c>
    </row>
    <row r="100" spans="1:9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  <c r="G100" s="17">
        <f t="shared" si="3"/>
        <v>0</v>
      </c>
      <c r="H100">
        <f t="shared" si="4"/>
        <v>5</v>
      </c>
      <c r="I100">
        <f t="shared" si="5"/>
        <v>2017</v>
      </c>
    </row>
    <row r="101" spans="1:9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  <c r="G101" s="17">
        <f t="shared" si="3"/>
        <v>0</v>
      </c>
      <c r="H101">
        <f t="shared" si="4"/>
        <v>6</v>
      </c>
      <c r="I101">
        <f t="shared" si="5"/>
        <v>2017</v>
      </c>
    </row>
    <row r="102" spans="1:9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  <c r="G102" s="17">
        <f t="shared" si="3"/>
        <v>0</v>
      </c>
      <c r="H102">
        <f t="shared" si="4"/>
        <v>6</v>
      </c>
      <c r="I102">
        <f t="shared" si="5"/>
        <v>2017</v>
      </c>
    </row>
    <row r="103" spans="1:9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  <c r="G103" s="17">
        <f t="shared" si="3"/>
        <v>0</v>
      </c>
      <c r="H103">
        <f t="shared" si="4"/>
        <v>6</v>
      </c>
      <c r="I103">
        <f t="shared" si="5"/>
        <v>2017</v>
      </c>
    </row>
    <row r="104" spans="1:9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  <c r="G104" s="17">
        <f t="shared" si="3"/>
        <v>8</v>
      </c>
      <c r="H104">
        <f t="shared" si="4"/>
        <v>6</v>
      </c>
      <c r="I104">
        <f t="shared" si="5"/>
        <v>2017</v>
      </c>
    </row>
    <row r="105" spans="1:9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  <c r="G105" s="17">
        <f t="shared" si="3"/>
        <v>0</v>
      </c>
      <c r="H105">
        <f t="shared" si="4"/>
        <v>6</v>
      </c>
      <c r="I105">
        <f t="shared" si="5"/>
        <v>2017</v>
      </c>
    </row>
    <row r="106" spans="1:9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  <c r="G106" s="17">
        <f t="shared" si="3"/>
        <v>0</v>
      </c>
      <c r="H106">
        <f t="shared" si="4"/>
        <v>7</v>
      </c>
      <c r="I106">
        <f t="shared" si="5"/>
        <v>2017</v>
      </c>
    </row>
    <row r="107" spans="1:9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  <c r="G107" s="17">
        <f t="shared" si="3"/>
        <v>0</v>
      </c>
      <c r="H107">
        <f t="shared" si="4"/>
        <v>7</v>
      </c>
      <c r="I107">
        <f t="shared" si="5"/>
        <v>2017</v>
      </c>
    </row>
    <row r="108" spans="1:9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  <c r="G108" s="17">
        <f t="shared" si="3"/>
        <v>0</v>
      </c>
      <c r="H108">
        <f t="shared" si="4"/>
        <v>7</v>
      </c>
      <c r="I108">
        <f t="shared" si="5"/>
        <v>2017</v>
      </c>
    </row>
    <row r="109" spans="1:9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  <c r="G109" s="17">
        <f t="shared" si="3"/>
        <v>0</v>
      </c>
      <c r="H109">
        <f t="shared" si="4"/>
        <v>7</v>
      </c>
      <c r="I109">
        <f t="shared" si="5"/>
        <v>2017</v>
      </c>
    </row>
    <row r="110" spans="1:9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  <c r="G110" s="17">
        <f t="shared" si="3"/>
        <v>0</v>
      </c>
      <c r="H110">
        <f t="shared" si="4"/>
        <v>7</v>
      </c>
      <c r="I110">
        <f t="shared" si="5"/>
        <v>2017</v>
      </c>
    </row>
    <row r="111" spans="1:9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  <c r="G111" s="17">
        <f t="shared" si="3"/>
        <v>0</v>
      </c>
      <c r="H111">
        <f t="shared" si="4"/>
        <v>7</v>
      </c>
      <c r="I111">
        <f t="shared" si="5"/>
        <v>2017</v>
      </c>
    </row>
    <row r="112" spans="1:9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  <c r="G112" s="17">
        <f t="shared" si="3"/>
        <v>42</v>
      </c>
      <c r="H112">
        <f t="shared" si="4"/>
        <v>7</v>
      </c>
      <c r="I112">
        <f t="shared" si="5"/>
        <v>2017</v>
      </c>
    </row>
    <row r="113" spans="1:9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  <c r="G113" s="17">
        <f t="shared" si="3"/>
        <v>0</v>
      </c>
      <c r="H113">
        <f t="shared" si="4"/>
        <v>8</v>
      </c>
      <c r="I113">
        <f t="shared" si="5"/>
        <v>2017</v>
      </c>
    </row>
    <row r="114" spans="1:9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  <c r="G114" s="17">
        <f t="shared" si="3"/>
        <v>48</v>
      </c>
      <c r="H114">
        <f t="shared" si="4"/>
        <v>8</v>
      </c>
      <c r="I114">
        <f t="shared" si="5"/>
        <v>2017</v>
      </c>
    </row>
    <row r="115" spans="1:9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  <c r="G115" s="17">
        <f t="shared" si="3"/>
        <v>0</v>
      </c>
      <c r="H115">
        <f t="shared" si="4"/>
        <v>8</v>
      </c>
      <c r="I115">
        <f t="shared" si="5"/>
        <v>2017</v>
      </c>
    </row>
    <row r="116" spans="1:9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  <c r="G116" s="17">
        <f t="shared" si="3"/>
        <v>0</v>
      </c>
      <c r="H116">
        <f t="shared" si="4"/>
        <v>8</v>
      </c>
      <c r="I116">
        <f t="shared" si="5"/>
        <v>2017</v>
      </c>
    </row>
    <row r="117" spans="1:9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  <c r="G117" s="17">
        <f t="shared" si="3"/>
        <v>0</v>
      </c>
      <c r="H117">
        <f t="shared" si="4"/>
        <v>8</v>
      </c>
      <c r="I117">
        <f t="shared" si="5"/>
        <v>2017</v>
      </c>
    </row>
    <row r="118" spans="1:9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  <c r="G118" s="17">
        <f t="shared" si="3"/>
        <v>0</v>
      </c>
      <c r="H118">
        <f t="shared" si="4"/>
        <v>8</v>
      </c>
      <c r="I118">
        <f t="shared" si="5"/>
        <v>2017</v>
      </c>
    </row>
    <row r="119" spans="1:9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  <c r="G119" s="17">
        <f t="shared" si="3"/>
        <v>0</v>
      </c>
      <c r="H119">
        <f t="shared" si="4"/>
        <v>8</v>
      </c>
      <c r="I119">
        <f t="shared" si="5"/>
        <v>2017</v>
      </c>
    </row>
    <row r="120" spans="1:9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  <c r="G120" s="17">
        <f t="shared" si="3"/>
        <v>4</v>
      </c>
      <c r="H120">
        <f t="shared" si="4"/>
        <v>8</v>
      </c>
      <c r="I120">
        <f t="shared" si="5"/>
        <v>2017</v>
      </c>
    </row>
    <row r="121" spans="1:9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  <c r="G121" s="17">
        <f t="shared" si="3"/>
        <v>0</v>
      </c>
      <c r="H121">
        <f t="shared" si="4"/>
        <v>9</v>
      </c>
      <c r="I121">
        <f t="shared" si="5"/>
        <v>2017</v>
      </c>
    </row>
    <row r="122" spans="1:9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  <c r="G122" s="17">
        <f t="shared" si="3"/>
        <v>0</v>
      </c>
      <c r="H122">
        <f t="shared" si="4"/>
        <v>9</v>
      </c>
      <c r="I122">
        <f t="shared" si="5"/>
        <v>2017</v>
      </c>
    </row>
    <row r="123" spans="1:9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  <c r="G123" s="17">
        <f t="shared" si="3"/>
        <v>6</v>
      </c>
      <c r="H123">
        <f t="shared" si="4"/>
        <v>10</v>
      </c>
      <c r="I123">
        <f t="shared" si="5"/>
        <v>2017</v>
      </c>
    </row>
    <row r="124" spans="1:9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  <c r="G124" s="17">
        <f t="shared" si="3"/>
        <v>0</v>
      </c>
      <c r="H124">
        <f t="shared" si="4"/>
        <v>10</v>
      </c>
      <c r="I124">
        <f t="shared" si="5"/>
        <v>2017</v>
      </c>
    </row>
    <row r="125" spans="1:9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  <c r="G125" s="17">
        <f t="shared" si="3"/>
        <v>1</v>
      </c>
      <c r="H125">
        <f t="shared" si="4"/>
        <v>11</v>
      </c>
      <c r="I125">
        <f t="shared" si="5"/>
        <v>2017</v>
      </c>
    </row>
    <row r="126" spans="1:9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  <c r="G126" s="17">
        <f t="shared" si="3"/>
        <v>0</v>
      </c>
      <c r="H126">
        <f t="shared" si="4"/>
        <v>11</v>
      </c>
      <c r="I126">
        <f t="shared" si="5"/>
        <v>2017</v>
      </c>
    </row>
    <row r="127" spans="1:9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  <c r="G127" s="17">
        <f t="shared" si="3"/>
        <v>0</v>
      </c>
      <c r="H127">
        <f t="shared" si="4"/>
        <v>11</v>
      </c>
      <c r="I127">
        <f t="shared" si="5"/>
        <v>2017</v>
      </c>
    </row>
    <row r="128" spans="1:9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  <c r="G128" s="17">
        <f t="shared" si="3"/>
        <v>0</v>
      </c>
      <c r="H128">
        <f t="shared" si="4"/>
        <v>11</v>
      </c>
      <c r="I128">
        <f t="shared" si="5"/>
        <v>2017</v>
      </c>
    </row>
    <row r="129" spans="1:9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  <c r="G129" s="17">
        <f t="shared" si="3"/>
        <v>0</v>
      </c>
      <c r="H129">
        <f t="shared" si="4"/>
        <v>11</v>
      </c>
      <c r="I129">
        <f t="shared" si="5"/>
        <v>2017</v>
      </c>
    </row>
    <row r="130" spans="1:9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  <c r="G130" s="17">
        <f t="shared" si="3"/>
        <v>0</v>
      </c>
      <c r="H130">
        <f t="shared" si="4"/>
        <v>11</v>
      </c>
      <c r="I130">
        <f t="shared" si="5"/>
        <v>2017</v>
      </c>
    </row>
    <row r="131" spans="1:9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  <c r="G131" s="17">
        <f t="shared" ref="G131:G194" si="6">IF(C131="T5",E131,0)</f>
        <v>12</v>
      </c>
      <c r="H131">
        <f t="shared" ref="H131:H194" si="7">MONTH(A131)</f>
        <v>11</v>
      </c>
      <c r="I131">
        <f t="shared" ref="I131:I194" si="8">YEAR(A131)</f>
        <v>2017</v>
      </c>
    </row>
    <row r="132" spans="1:9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  <c r="G132" s="17">
        <f t="shared" si="6"/>
        <v>0</v>
      </c>
      <c r="H132">
        <f t="shared" si="7"/>
        <v>12</v>
      </c>
      <c r="I132">
        <f t="shared" si="8"/>
        <v>2017</v>
      </c>
    </row>
    <row r="133" spans="1:9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  <c r="G133" s="17">
        <f t="shared" si="6"/>
        <v>0</v>
      </c>
      <c r="H133">
        <f t="shared" si="7"/>
        <v>12</v>
      </c>
      <c r="I133">
        <f t="shared" si="8"/>
        <v>2017</v>
      </c>
    </row>
    <row r="134" spans="1:9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  <c r="G134" s="17">
        <f t="shared" si="6"/>
        <v>0</v>
      </c>
      <c r="H134">
        <f t="shared" si="7"/>
        <v>12</v>
      </c>
      <c r="I134">
        <f t="shared" si="8"/>
        <v>2017</v>
      </c>
    </row>
    <row r="135" spans="1:9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  <c r="G135" s="17">
        <f t="shared" si="6"/>
        <v>0</v>
      </c>
      <c r="H135">
        <f t="shared" si="7"/>
        <v>1</v>
      </c>
      <c r="I135">
        <f t="shared" si="8"/>
        <v>2018</v>
      </c>
    </row>
    <row r="136" spans="1:9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  <c r="G136" s="17">
        <f t="shared" si="6"/>
        <v>0</v>
      </c>
      <c r="H136">
        <f t="shared" si="7"/>
        <v>1</v>
      </c>
      <c r="I136">
        <f t="shared" si="8"/>
        <v>2018</v>
      </c>
    </row>
    <row r="137" spans="1:9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  <c r="G137" s="17">
        <f t="shared" si="6"/>
        <v>0</v>
      </c>
      <c r="H137">
        <f t="shared" si="7"/>
        <v>1</v>
      </c>
      <c r="I137">
        <f t="shared" si="8"/>
        <v>2018</v>
      </c>
    </row>
    <row r="138" spans="1:9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  <c r="G138" s="17">
        <f t="shared" si="6"/>
        <v>10</v>
      </c>
      <c r="H138">
        <f t="shared" si="7"/>
        <v>1</v>
      </c>
      <c r="I138">
        <f t="shared" si="8"/>
        <v>2018</v>
      </c>
    </row>
    <row r="139" spans="1:9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  <c r="G139" s="17">
        <f t="shared" si="6"/>
        <v>0</v>
      </c>
      <c r="H139">
        <f t="shared" si="7"/>
        <v>1</v>
      </c>
      <c r="I139">
        <f t="shared" si="8"/>
        <v>2018</v>
      </c>
    </row>
    <row r="140" spans="1:9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  <c r="G140" s="17">
        <f t="shared" si="6"/>
        <v>22</v>
      </c>
      <c r="H140">
        <f t="shared" si="7"/>
        <v>1</v>
      </c>
      <c r="I140">
        <f t="shared" si="8"/>
        <v>2018</v>
      </c>
    </row>
    <row r="141" spans="1:9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  <c r="G141" s="17">
        <f t="shared" si="6"/>
        <v>0</v>
      </c>
      <c r="H141">
        <f t="shared" si="7"/>
        <v>1</v>
      </c>
      <c r="I141">
        <f t="shared" si="8"/>
        <v>2018</v>
      </c>
    </row>
    <row r="142" spans="1:9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  <c r="G142" s="17">
        <f t="shared" si="6"/>
        <v>0</v>
      </c>
      <c r="H142">
        <f t="shared" si="7"/>
        <v>1</v>
      </c>
      <c r="I142">
        <f t="shared" si="8"/>
        <v>2018</v>
      </c>
    </row>
    <row r="143" spans="1:9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  <c r="G143" s="17">
        <f t="shared" si="6"/>
        <v>0</v>
      </c>
      <c r="H143">
        <f t="shared" si="7"/>
        <v>1</v>
      </c>
      <c r="I143">
        <f t="shared" si="8"/>
        <v>2018</v>
      </c>
    </row>
    <row r="144" spans="1:9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  <c r="G144" s="17">
        <f t="shared" si="6"/>
        <v>0</v>
      </c>
      <c r="H144">
        <f t="shared" si="7"/>
        <v>1</v>
      </c>
      <c r="I144">
        <f t="shared" si="8"/>
        <v>2018</v>
      </c>
    </row>
    <row r="145" spans="1:9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  <c r="G145" s="17">
        <f t="shared" si="6"/>
        <v>0</v>
      </c>
      <c r="H145">
        <f t="shared" si="7"/>
        <v>1</v>
      </c>
      <c r="I145">
        <f t="shared" si="8"/>
        <v>2018</v>
      </c>
    </row>
    <row r="146" spans="1:9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  <c r="G146" s="17">
        <f t="shared" si="6"/>
        <v>34</v>
      </c>
      <c r="H146">
        <f t="shared" si="7"/>
        <v>2</v>
      </c>
      <c r="I146">
        <f t="shared" si="8"/>
        <v>2018</v>
      </c>
    </row>
    <row r="147" spans="1:9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  <c r="G147" s="17">
        <f t="shared" si="6"/>
        <v>0</v>
      </c>
      <c r="H147">
        <f t="shared" si="7"/>
        <v>2</v>
      </c>
      <c r="I147">
        <f t="shared" si="8"/>
        <v>2018</v>
      </c>
    </row>
    <row r="148" spans="1:9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  <c r="G148" s="17">
        <f t="shared" si="6"/>
        <v>0</v>
      </c>
      <c r="H148">
        <f t="shared" si="7"/>
        <v>2</v>
      </c>
      <c r="I148">
        <f t="shared" si="8"/>
        <v>2018</v>
      </c>
    </row>
    <row r="149" spans="1:9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  <c r="G149" s="17">
        <f t="shared" si="6"/>
        <v>0</v>
      </c>
      <c r="H149">
        <f t="shared" si="7"/>
        <v>2</v>
      </c>
      <c r="I149">
        <f t="shared" si="8"/>
        <v>2018</v>
      </c>
    </row>
    <row r="150" spans="1:9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  <c r="G150" s="17">
        <f t="shared" si="6"/>
        <v>0</v>
      </c>
      <c r="H150">
        <f t="shared" si="7"/>
        <v>2</v>
      </c>
      <c r="I150">
        <f t="shared" si="8"/>
        <v>2018</v>
      </c>
    </row>
    <row r="151" spans="1:9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  <c r="G151" s="17">
        <f t="shared" si="6"/>
        <v>34</v>
      </c>
      <c r="H151">
        <f t="shared" si="7"/>
        <v>3</v>
      </c>
      <c r="I151">
        <f t="shared" si="8"/>
        <v>2018</v>
      </c>
    </row>
    <row r="152" spans="1:9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  <c r="G152" s="17">
        <f t="shared" si="6"/>
        <v>0</v>
      </c>
      <c r="H152">
        <f t="shared" si="7"/>
        <v>3</v>
      </c>
      <c r="I152">
        <f t="shared" si="8"/>
        <v>2018</v>
      </c>
    </row>
    <row r="153" spans="1:9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  <c r="G153" s="17">
        <f t="shared" si="6"/>
        <v>0</v>
      </c>
      <c r="H153">
        <f t="shared" si="7"/>
        <v>3</v>
      </c>
      <c r="I153">
        <f t="shared" si="8"/>
        <v>2018</v>
      </c>
    </row>
    <row r="154" spans="1:9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  <c r="G154" s="17">
        <f t="shared" si="6"/>
        <v>0</v>
      </c>
      <c r="H154">
        <f t="shared" si="7"/>
        <v>3</v>
      </c>
      <c r="I154">
        <f t="shared" si="8"/>
        <v>2018</v>
      </c>
    </row>
    <row r="155" spans="1:9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  <c r="G155" s="17">
        <f t="shared" si="6"/>
        <v>0</v>
      </c>
      <c r="H155">
        <f t="shared" si="7"/>
        <v>3</v>
      </c>
      <c r="I155">
        <f t="shared" si="8"/>
        <v>2018</v>
      </c>
    </row>
    <row r="156" spans="1:9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  <c r="G156" s="17">
        <f t="shared" si="6"/>
        <v>5</v>
      </c>
      <c r="H156">
        <f t="shared" si="7"/>
        <v>4</v>
      </c>
      <c r="I156">
        <f t="shared" si="8"/>
        <v>2018</v>
      </c>
    </row>
    <row r="157" spans="1:9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  <c r="G157" s="17">
        <f t="shared" si="6"/>
        <v>0</v>
      </c>
      <c r="H157">
        <f t="shared" si="7"/>
        <v>4</v>
      </c>
      <c r="I157">
        <f t="shared" si="8"/>
        <v>2018</v>
      </c>
    </row>
    <row r="158" spans="1:9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  <c r="G158" s="17">
        <f t="shared" si="6"/>
        <v>0</v>
      </c>
      <c r="H158">
        <f t="shared" si="7"/>
        <v>4</v>
      </c>
      <c r="I158">
        <f t="shared" si="8"/>
        <v>2018</v>
      </c>
    </row>
    <row r="159" spans="1:9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  <c r="G159" s="17">
        <f t="shared" si="6"/>
        <v>0</v>
      </c>
      <c r="H159">
        <f t="shared" si="7"/>
        <v>4</v>
      </c>
      <c r="I159">
        <f t="shared" si="8"/>
        <v>2018</v>
      </c>
    </row>
    <row r="160" spans="1:9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  <c r="G160" s="17">
        <f t="shared" si="6"/>
        <v>0</v>
      </c>
      <c r="H160">
        <f t="shared" si="7"/>
        <v>5</v>
      </c>
      <c r="I160">
        <f t="shared" si="8"/>
        <v>2018</v>
      </c>
    </row>
    <row r="161" spans="1:9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  <c r="G161" s="17">
        <f t="shared" si="6"/>
        <v>0</v>
      </c>
      <c r="H161">
        <f t="shared" si="7"/>
        <v>5</v>
      </c>
      <c r="I161">
        <f t="shared" si="8"/>
        <v>2018</v>
      </c>
    </row>
    <row r="162" spans="1:9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  <c r="G162" s="17">
        <f t="shared" si="6"/>
        <v>0</v>
      </c>
      <c r="H162">
        <f t="shared" si="7"/>
        <v>5</v>
      </c>
      <c r="I162">
        <f t="shared" si="8"/>
        <v>2018</v>
      </c>
    </row>
    <row r="163" spans="1:9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  <c r="G163" s="17">
        <f t="shared" si="6"/>
        <v>0</v>
      </c>
      <c r="H163">
        <f t="shared" si="7"/>
        <v>6</v>
      </c>
      <c r="I163">
        <f t="shared" si="8"/>
        <v>2018</v>
      </c>
    </row>
    <row r="164" spans="1:9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  <c r="G164" s="17">
        <f t="shared" si="6"/>
        <v>48</v>
      </c>
      <c r="H164">
        <f t="shared" si="7"/>
        <v>6</v>
      </c>
      <c r="I164">
        <f t="shared" si="8"/>
        <v>2018</v>
      </c>
    </row>
    <row r="165" spans="1:9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  <c r="G165" s="17">
        <f t="shared" si="6"/>
        <v>0</v>
      </c>
      <c r="H165">
        <f t="shared" si="7"/>
        <v>6</v>
      </c>
      <c r="I165">
        <f t="shared" si="8"/>
        <v>2018</v>
      </c>
    </row>
    <row r="166" spans="1:9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  <c r="G166" s="17">
        <f t="shared" si="6"/>
        <v>0</v>
      </c>
      <c r="H166">
        <f t="shared" si="7"/>
        <v>6</v>
      </c>
      <c r="I166">
        <f t="shared" si="8"/>
        <v>2018</v>
      </c>
    </row>
    <row r="167" spans="1:9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  <c r="G167" s="17">
        <f t="shared" si="6"/>
        <v>0</v>
      </c>
      <c r="H167">
        <f t="shared" si="7"/>
        <v>6</v>
      </c>
      <c r="I167">
        <f t="shared" si="8"/>
        <v>2018</v>
      </c>
    </row>
    <row r="168" spans="1:9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  <c r="G168" s="17">
        <f t="shared" si="6"/>
        <v>47</v>
      </c>
      <c r="H168">
        <f t="shared" si="7"/>
        <v>6</v>
      </c>
      <c r="I168">
        <f t="shared" si="8"/>
        <v>2018</v>
      </c>
    </row>
    <row r="169" spans="1:9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  <c r="G169" s="17">
        <f t="shared" si="6"/>
        <v>0</v>
      </c>
      <c r="H169">
        <f t="shared" si="7"/>
        <v>7</v>
      </c>
      <c r="I169">
        <f t="shared" si="8"/>
        <v>2018</v>
      </c>
    </row>
    <row r="170" spans="1:9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  <c r="G170" s="17">
        <f t="shared" si="6"/>
        <v>0</v>
      </c>
      <c r="H170">
        <f t="shared" si="7"/>
        <v>7</v>
      </c>
      <c r="I170">
        <f t="shared" si="8"/>
        <v>2018</v>
      </c>
    </row>
    <row r="171" spans="1:9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  <c r="G171" s="17">
        <f t="shared" si="6"/>
        <v>0</v>
      </c>
      <c r="H171">
        <f t="shared" si="7"/>
        <v>7</v>
      </c>
      <c r="I171">
        <f t="shared" si="8"/>
        <v>2018</v>
      </c>
    </row>
    <row r="172" spans="1:9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  <c r="G172" s="17">
        <f t="shared" si="6"/>
        <v>25</v>
      </c>
      <c r="H172">
        <f t="shared" si="7"/>
        <v>7</v>
      </c>
      <c r="I172">
        <f t="shared" si="8"/>
        <v>2018</v>
      </c>
    </row>
    <row r="173" spans="1:9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  <c r="G173" s="17">
        <f t="shared" si="6"/>
        <v>0</v>
      </c>
      <c r="H173">
        <f t="shared" si="7"/>
        <v>7</v>
      </c>
      <c r="I173">
        <f t="shared" si="8"/>
        <v>2018</v>
      </c>
    </row>
    <row r="174" spans="1:9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  <c r="G174" s="17">
        <f t="shared" si="6"/>
        <v>0</v>
      </c>
      <c r="H174">
        <f t="shared" si="7"/>
        <v>8</v>
      </c>
      <c r="I174">
        <f t="shared" si="8"/>
        <v>2018</v>
      </c>
    </row>
    <row r="175" spans="1:9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  <c r="G175" s="17">
        <f t="shared" si="6"/>
        <v>121</v>
      </c>
      <c r="H175">
        <f t="shared" si="7"/>
        <v>8</v>
      </c>
      <c r="I175">
        <f t="shared" si="8"/>
        <v>2018</v>
      </c>
    </row>
    <row r="176" spans="1:9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  <c r="G176" s="17">
        <f t="shared" si="6"/>
        <v>0</v>
      </c>
      <c r="H176">
        <f t="shared" si="7"/>
        <v>8</v>
      </c>
      <c r="I176">
        <f t="shared" si="8"/>
        <v>2018</v>
      </c>
    </row>
    <row r="177" spans="1:9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  <c r="G177" s="17">
        <f t="shared" si="6"/>
        <v>0</v>
      </c>
      <c r="H177">
        <f t="shared" si="7"/>
        <v>8</v>
      </c>
      <c r="I177">
        <f t="shared" si="8"/>
        <v>2018</v>
      </c>
    </row>
    <row r="178" spans="1:9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  <c r="G178" s="17">
        <f t="shared" si="6"/>
        <v>0</v>
      </c>
      <c r="H178">
        <f t="shared" si="7"/>
        <v>8</v>
      </c>
      <c r="I178">
        <f t="shared" si="8"/>
        <v>2018</v>
      </c>
    </row>
    <row r="179" spans="1:9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  <c r="G179" s="17">
        <f t="shared" si="6"/>
        <v>0</v>
      </c>
      <c r="H179">
        <f t="shared" si="7"/>
        <v>8</v>
      </c>
      <c r="I179">
        <f t="shared" si="8"/>
        <v>2018</v>
      </c>
    </row>
    <row r="180" spans="1:9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  <c r="G180" s="17">
        <f t="shared" si="6"/>
        <v>0</v>
      </c>
      <c r="H180">
        <f t="shared" si="7"/>
        <v>8</v>
      </c>
      <c r="I180">
        <f t="shared" si="8"/>
        <v>2018</v>
      </c>
    </row>
    <row r="181" spans="1:9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  <c r="G181" s="17">
        <f t="shared" si="6"/>
        <v>22</v>
      </c>
      <c r="H181">
        <f t="shared" si="7"/>
        <v>8</v>
      </c>
      <c r="I181">
        <f t="shared" si="8"/>
        <v>2018</v>
      </c>
    </row>
    <row r="182" spans="1:9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  <c r="G182" s="17">
        <f t="shared" si="6"/>
        <v>0</v>
      </c>
      <c r="H182">
        <f t="shared" si="7"/>
        <v>9</v>
      </c>
      <c r="I182">
        <f t="shared" si="8"/>
        <v>2018</v>
      </c>
    </row>
    <row r="183" spans="1:9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  <c r="G183" s="17">
        <f t="shared" si="6"/>
        <v>0</v>
      </c>
      <c r="H183">
        <f t="shared" si="7"/>
        <v>9</v>
      </c>
      <c r="I183">
        <f t="shared" si="8"/>
        <v>2018</v>
      </c>
    </row>
    <row r="184" spans="1:9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  <c r="G184" s="17">
        <f t="shared" si="6"/>
        <v>0</v>
      </c>
      <c r="H184">
        <f t="shared" si="7"/>
        <v>9</v>
      </c>
      <c r="I184">
        <f t="shared" si="8"/>
        <v>2018</v>
      </c>
    </row>
    <row r="185" spans="1:9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  <c r="G185" s="17">
        <f t="shared" si="6"/>
        <v>0</v>
      </c>
      <c r="H185">
        <f t="shared" si="7"/>
        <v>9</v>
      </c>
      <c r="I185">
        <f t="shared" si="8"/>
        <v>2018</v>
      </c>
    </row>
    <row r="186" spans="1:9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  <c r="G186" s="17">
        <f t="shared" si="6"/>
        <v>0</v>
      </c>
      <c r="H186">
        <f t="shared" si="7"/>
        <v>9</v>
      </c>
      <c r="I186">
        <f t="shared" si="8"/>
        <v>2018</v>
      </c>
    </row>
    <row r="187" spans="1:9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  <c r="G187" s="17">
        <f t="shared" si="6"/>
        <v>26</v>
      </c>
      <c r="H187">
        <f t="shared" si="7"/>
        <v>9</v>
      </c>
      <c r="I187">
        <f t="shared" si="8"/>
        <v>2018</v>
      </c>
    </row>
    <row r="188" spans="1:9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  <c r="G188" s="17">
        <f t="shared" si="6"/>
        <v>0</v>
      </c>
      <c r="H188">
        <f t="shared" si="7"/>
        <v>9</v>
      </c>
      <c r="I188">
        <f t="shared" si="8"/>
        <v>2018</v>
      </c>
    </row>
    <row r="189" spans="1:9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  <c r="G189" s="17">
        <f t="shared" si="6"/>
        <v>0</v>
      </c>
      <c r="H189">
        <f t="shared" si="7"/>
        <v>9</v>
      </c>
      <c r="I189">
        <f t="shared" si="8"/>
        <v>2018</v>
      </c>
    </row>
    <row r="190" spans="1:9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  <c r="G190" s="17">
        <f t="shared" si="6"/>
        <v>0</v>
      </c>
      <c r="H190">
        <f t="shared" si="7"/>
        <v>9</v>
      </c>
      <c r="I190">
        <f t="shared" si="8"/>
        <v>2018</v>
      </c>
    </row>
    <row r="191" spans="1:9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  <c r="G191" s="17">
        <f t="shared" si="6"/>
        <v>0</v>
      </c>
      <c r="H191">
        <f t="shared" si="7"/>
        <v>10</v>
      </c>
      <c r="I191">
        <f t="shared" si="8"/>
        <v>2018</v>
      </c>
    </row>
    <row r="192" spans="1:9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  <c r="G192" s="17">
        <f t="shared" si="6"/>
        <v>0</v>
      </c>
      <c r="H192">
        <f t="shared" si="7"/>
        <v>10</v>
      </c>
      <c r="I192">
        <f t="shared" si="8"/>
        <v>2018</v>
      </c>
    </row>
    <row r="193" spans="1:9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  <c r="G193" s="17">
        <f t="shared" si="6"/>
        <v>20</v>
      </c>
      <c r="H193">
        <f t="shared" si="7"/>
        <v>10</v>
      </c>
      <c r="I193">
        <f t="shared" si="8"/>
        <v>2018</v>
      </c>
    </row>
    <row r="194" spans="1:9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  <c r="G194" s="17">
        <f t="shared" si="6"/>
        <v>0</v>
      </c>
      <c r="H194">
        <f t="shared" si="7"/>
        <v>11</v>
      </c>
      <c r="I194">
        <f t="shared" si="8"/>
        <v>2018</v>
      </c>
    </row>
    <row r="195" spans="1:9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  <c r="G195" s="17">
        <f t="shared" ref="G195:G203" si="9">IF(C195="T5",E195,0)</f>
        <v>48</v>
      </c>
      <c r="H195">
        <f t="shared" ref="H195:H203" si="10">MONTH(A195)</f>
        <v>11</v>
      </c>
      <c r="I195">
        <f t="shared" ref="I195:I203" si="11">YEAR(A195)</f>
        <v>2018</v>
      </c>
    </row>
    <row r="196" spans="1:9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  <c r="G196" s="17">
        <f t="shared" si="9"/>
        <v>64</v>
      </c>
      <c r="H196">
        <f t="shared" si="10"/>
        <v>11</v>
      </c>
      <c r="I196">
        <f t="shared" si="11"/>
        <v>2018</v>
      </c>
    </row>
    <row r="197" spans="1:9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  <c r="G197" s="17">
        <f t="shared" si="9"/>
        <v>0</v>
      </c>
      <c r="H197">
        <f t="shared" si="10"/>
        <v>11</v>
      </c>
      <c r="I197">
        <f t="shared" si="11"/>
        <v>2018</v>
      </c>
    </row>
    <row r="198" spans="1:9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  <c r="G198" s="17">
        <f t="shared" si="9"/>
        <v>0</v>
      </c>
      <c r="H198">
        <f t="shared" si="10"/>
        <v>11</v>
      </c>
      <c r="I198">
        <f t="shared" si="11"/>
        <v>2018</v>
      </c>
    </row>
    <row r="199" spans="1:9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  <c r="G199" s="17">
        <f t="shared" si="9"/>
        <v>4</v>
      </c>
      <c r="H199">
        <f t="shared" si="10"/>
        <v>12</v>
      </c>
      <c r="I199">
        <f t="shared" si="11"/>
        <v>2018</v>
      </c>
    </row>
    <row r="200" spans="1:9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  <c r="G200" s="17">
        <f t="shared" si="9"/>
        <v>0</v>
      </c>
      <c r="H200">
        <f t="shared" si="10"/>
        <v>12</v>
      </c>
      <c r="I200">
        <f t="shared" si="11"/>
        <v>2018</v>
      </c>
    </row>
    <row r="201" spans="1:9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  <c r="G201" s="17">
        <f t="shared" si="9"/>
        <v>0</v>
      </c>
      <c r="H201">
        <f t="shared" si="10"/>
        <v>12</v>
      </c>
      <c r="I201">
        <f t="shared" si="11"/>
        <v>2018</v>
      </c>
    </row>
    <row r="202" spans="1:9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  <c r="G202" s="17">
        <f t="shared" si="9"/>
        <v>0</v>
      </c>
      <c r="H202">
        <f t="shared" si="10"/>
        <v>12</v>
      </c>
      <c r="I202">
        <f t="shared" si="11"/>
        <v>2018</v>
      </c>
    </row>
    <row r="203" spans="1:9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  <c r="G203" s="17">
        <f t="shared" si="9"/>
        <v>0</v>
      </c>
      <c r="H203">
        <f t="shared" si="10"/>
        <v>12</v>
      </c>
      <c r="I203">
        <f t="shared" si="11"/>
        <v>2018</v>
      </c>
    </row>
  </sheetData>
  <mergeCells count="4">
    <mergeCell ref="P7:P18"/>
    <mergeCell ref="P19:P30"/>
    <mergeCell ref="P31:P42"/>
    <mergeCell ref="P6:Q6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4101-C8E7-4032-AB78-E17F02D5DD59}">
  <dimension ref="A1:G203"/>
  <sheetViews>
    <sheetView topLeftCell="A128" workbookViewId="0">
      <selection activeCell="G193" sqref="G193"/>
    </sheetView>
  </sheetViews>
  <sheetFormatPr defaultRowHeight="14.5" x14ac:dyDescent="0.35"/>
  <cols>
    <col min="1" max="1" width="9.90625" bestFit="1" customWidth="1"/>
    <col min="2" max="2" width="10.54296875" bestFit="1" customWidth="1"/>
    <col min="3" max="3" width="8.08984375" bestFit="1" customWidth="1"/>
    <col min="4" max="4" width="6.7265625" bestFit="1" customWidth="1"/>
    <col min="5" max="5" width="8.36328125" bestFit="1" customWidth="1"/>
    <col min="6" max="6" width="23" bestFit="1" customWidth="1"/>
    <col min="7" max="7" width="12.36328125" bestFit="1" customWidth="1"/>
  </cols>
  <sheetData>
    <row r="1" spans="1:7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3" t="s">
        <v>33</v>
      </c>
    </row>
    <row r="2" spans="1:7" x14ac:dyDescent="0.35">
      <c r="A2" s="6">
        <v>42370</v>
      </c>
      <c r="B2" s="7" t="s">
        <v>6</v>
      </c>
      <c r="C2" s="7" t="s">
        <v>7</v>
      </c>
      <c r="D2" s="7" t="s">
        <v>8</v>
      </c>
      <c r="E2" s="7">
        <v>3</v>
      </c>
      <c r="F2" s="8">
        <v>80</v>
      </c>
      <c r="G2" s="18">
        <v>499760</v>
      </c>
    </row>
    <row r="3" spans="1:7" x14ac:dyDescent="0.35">
      <c r="A3" s="9">
        <v>42370</v>
      </c>
      <c r="B3" s="10" t="s">
        <v>6</v>
      </c>
      <c r="C3" s="10" t="s">
        <v>9</v>
      </c>
      <c r="D3" s="10" t="s">
        <v>8</v>
      </c>
      <c r="E3" s="10">
        <v>32</v>
      </c>
      <c r="F3" s="11">
        <v>50</v>
      </c>
      <c r="G3">
        <f>IF(D3="W",F3*E3+G2,G2-(F3*E3))</f>
        <v>498160</v>
      </c>
    </row>
    <row r="4" spans="1:7" x14ac:dyDescent="0.35">
      <c r="A4" s="6">
        <v>42370</v>
      </c>
      <c r="B4" s="7" t="s">
        <v>6</v>
      </c>
      <c r="C4" s="7" t="s">
        <v>10</v>
      </c>
      <c r="D4" s="7" t="s">
        <v>8</v>
      </c>
      <c r="E4" s="7">
        <v>38</v>
      </c>
      <c r="F4" s="8">
        <v>10</v>
      </c>
      <c r="G4">
        <f t="shared" ref="G4:G67" si="0">IF(D4="W",F4*E4+G3,G3-(F4*E4))</f>
        <v>497780</v>
      </c>
    </row>
    <row r="5" spans="1:7" x14ac:dyDescent="0.35">
      <c r="A5" s="9">
        <v>42370</v>
      </c>
      <c r="B5" s="10" t="s">
        <v>6</v>
      </c>
      <c r="C5" s="10" t="s">
        <v>11</v>
      </c>
      <c r="D5" s="10" t="s">
        <v>8</v>
      </c>
      <c r="E5" s="10">
        <v>33</v>
      </c>
      <c r="F5" s="11">
        <v>30</v>
      </c>
      <c r="G5">
        <f t="shared" si="0"/>
        <v>496790</v>
      </c>
    </row>
    <row r="6" spans="1:7" x14ac:dyDescent="0.35">
      <c r="A6" s="6">
        <v>42370</v>
      </c>
      <c r="B6" s="7" t="s">
        <v>6</v>
      </c>
      <c r="C6" s="7" t="s">
        <v>12</v>
      </c>
      <c r="D6" s="7" t="s">
        <v>8</v>
      </c>
      <c r="E6" s="7">
        <v>43</v>
      </c>
      <c r="F6" s="8">
        <v>25</v>
      </c>
      <c r="G6">
        <f t="shared" si="0"/>
        <v>495715</v>
      </c>
    </row>
    <row r="7" spans="1:7" x14ac:dyDescent="0.35">
      <c r="A7" s="9">
        <v>42385</v>
      </c>
      <c r="B7" s="10" t="s">
        <v>13</v>
      </c>
      <c r="C7" s="10" t="s">
        <v>9</v>
      </c>
      <c r="D7" s="10" t="s">
        <v>14</v>
      </c>
      <c r="E7" s="10">
        <v>32</v>
      </c>
      <c r="F7" s="11">
        <v>58</v>
      </c>
      <c r="G7">
        <f t="shared" si="0"/>
        <v>497571</v>
      </c>
    </row>
    <row r="8" spans="1:7" x14ac:dyDescent="0.35">
      <c r="A8" s="6">
        <v>42385</v>
      </c>
      <c r="B8" s="7" t="s">
        <v>13</v>
      </c>
      <c r="C8" s="7" t="s">
        <v>11</v>
      </c>
      <c r="D8" s="7" t="s">
        <v>8</v>
      </c>
      <c r="E8" s="7">
        <v>14</v>
      </c>
      <c r="F8" s="8">
        <v>26</v>
      </c>
      <c r="G8">
        <f t="shared" si="0"/>
        <v>497207</v>
      </c>
    </row>
    <row r="9" spans="1:7" x14ac:dyDescent="0.35">
      <c r="A9" s="9">
        <v>42393</v>
      </c>
      <c r="B9" s="10" t="s">
        <v>15</v>
      </c>
      <c r="C9" s="10" t="s">
        <v>9</v>
      </c>
      <c r="D9" s="10" t="s">
        <v>8</v>
      </c>
      <c r="E9" s="10">
        <v>44</v>
      </c>
      <c r="F9" s="11">
        <v>46</v>
      </c>
      <c r="G9">
        <f t="shared" si="0"/>
        <v>495183</v>
      </c>
    </row>
    <row r="10" spans="1:7" x14ac:dyDescent="0.35">
      <c r="A10" s="6">
        <v>42393</v>
      </c>
      <c r="B10" s="7" t="s">
        <v>15</v>
      </c>
      <c r="C10" s="7" t="s">
        <v>11</v>
      </c>
      <c r="D10" s="7" t="s">
        <v>8</v>
      </c>
      <c r="E10" s="7">
        <v>1</v>
      </c>
      <c r="F10" s="8">
        <v>28</v>
      </c>
      <c r="G10">
        <f t="shared" si="0"/>
        <v>495155</v>
      </c>
    </row>
    <row r="11" spans="1:7" x14ac:dyDescent="0.35">
      <c r="A11" s="9">
        <v>42393</v>
      </c>
      <c r="B11" s="10" t="s">
        <v>15</v>
      </c>
      <c r="C11" s="10" t="s">
        <v>7</v>
      </c>
      <c r="D11" s="10" t="s">
        <v>8</v>
      </c>
      <c r="E11" s="10">
        <v>21</v>
      </c>
      <c r="F11" s="11">
        <v>74</v>
      </c>
      <c r="G11">
        <f t="shared" si="0"/>
        <v>493601</v>
      </c>
    </row>
    <row r="12" spans="1:7" x14ac:dyDescent="0.35">
      <c r="A12" s="6">
        <v>42419</v>
      </c>
      <c r="B12" s="7" t="s">
        <v>16</v>
      </c>
      <c r="C12" s="7" t="s">
        <v>12</v>
      </c>
      <c r="D12" s="7" t="s">
        <v>14</v>
      </c>
      <c r="E12" s="7">
        <v>43</v>
      </c>
      <c r="F12" s="8">
        <v>32</v>
      </c>
      <c r="G12">
        <f t="shared" si="0"/>
        <v>494977</v>
      </c>
    </row>
    <row r="13" spans="1:7" x14ac:dyDescent="0.35">
      <c r="A13" s="9">
        <v>42419</v>
      </c>
      <c r="B13" s="10" t="s">
        <v>16</v>
      </c>
      <c r="C13" s="10" t="s">
        <v>10</v>
      </c>
      <c r="D13" s="10" t="s">
        <v>14</v>
      </c>
      <c r="E13" s="10">
        <v>38</v>
      </c>
      <c r="F13" s="11">
        <v>13</v>
      </c>
      <c r="G13">
        <f t="shared" si="0"/>
        <v>495471</v>
      </c>
    </row>
    <row r="14" spans="1:7" x14ac:dyDescent="0.35">
      <c r="A14" s="6">
        <v>42419</v>
      </c>
      <c r="B14" s="7" t="s">
        <v>16</v>
      </c>
      <c r="C14" s="7" t="s">
        <v>7</v>
      </c>
      <c r="D14" s="7" t="s">
        <v>8</v>
      </c>
      <c r="E14" s="7">
        <v>9</v>
      </c>
      <c r="F14" s="8">
        <v>59</v>
      </c>
      <c r="G14">
        <f t="shared" si="0"/>
        <v>494940</v>
      </c>
    </row>
    <row r="15" spans="1:7" x14ac:dyDescent="0.35">
      <c r="A15" s="9">
        <v>42419</v>
      </c>
      <c r="B15" s="10" t="s">
        <v>16</v>
      </c>
      <c r="C15" s="10" t="s">
        <v>9</v>
      </c>
      <c r="D15" s="10" t="s">
        <v>8</v>
      </c>
      <c r="E15" s="10">
        <v>8</v>
      </c>
      <c r="F15" s="11">
        <v>37</v>
      </c>
      <c r="G15">
        <f t="shared" si="0"/>
        <v>494644</v>
      </c>
    </row>
    <row r="16" spans="1:7" x14ac:dyDescent="0.35">
      <c r="A16" s="6">
        <v>42440</v>
      </c>
      <c r="B16" s="7" t="s">
        <v>17</v>
      </c>
      <c r="C16" s="7" t="s">
        <v>9</v>
      </c>
      <c r="D16" s="7" t="s">
        <v>14</v>
      </c>
      <c r="E16" s="7">
        <v>50</v>
      </c>
      <c r="F16" s="8">
        <v>61</v>
      </c>
      <c r="G16">
        <f t="shared" si="0"/>
        <v>497694</v>
      </c>
    </row>
    <row r="17" spans="1:7" x14ac:dyDescent="0.35">
      <c r="A17" s="9">
        <v>42440</v>
      </c>
      <c r="B17" s="10" t="s">
        <v>17</v>
      </c>
      <c r="C17" s="10" t="s">
        <v>12</v>
      </c>
      <c r="D17" s="10" t="s">
        <v>8</v>
      </c>
      <c r="E17" s="10">
        <v>32</v>
      </c>
      <c r="F17" s="11">
        <v>20</v>
      </c>
      <c r="G17">
        <f t="shared" si="0"/>
        <v>497054</v>
      </c>
    </row>
    <row r="18" spans="1:7" x14ac:dyDescent="0.35">
      <c r="A18" s="6">
        <v>42440</v>
      </c>
      <c r="B18" s="7" t="s">
        <v>17</v>
      </c>
      <c r="C18" s="7" t="s">
        <v>10</v>
      </c>
      <c r="D18" s="7" t="s">
        <v>8</v>
      </c>
      <c r="E18" s="7">
        <v>7</v>
      </c>
      <c r="F18" s="8">
        <v>8</v>
      </c>
      <c r="G18">
        <f t="shared" si="0"/>
        <v>496998</v>
      </c>
    </row>
    <row r="19" spans="1:7" x14ac:dyDescent="0.35">
      <c r="A19" s="9">
        <v>42440</v>
      </c>
      <c r="B19" s="10" t="s">
        <v>17</v>
      </c>
      <c r="C19" s="10" t="s">
        <v>11</v>
      </c>
      <c r="D19" s="10" t="s">
        <v>8</v>
      </c>
      <c r="E19" s="10">
        <v>10</v>
      </c>
      <c r="F19" s="11">
        <v>24</v>
      </c>
      <c r="G19">
        <f t="shared" si="0"/>
        <v>496758</v>
      </c>
    </row>
    <row r="20" spans="1:7" x14ac:dyDescent="0.35">
      <c r="A20" s="6">
        <v>42464</v>
      </c>
      <c r="B20" s="7" t="s">
        <v>18</v>
      </c>
      <c r="C20" s="7" t="s">
        <v>10</v>
      </c>
      <c r="D20" s="7" t="s">
        <v>14</v>
      </c>
      <c r="E20" s="7">
        <v>7</v>
      </c>
      <c r="F20" s="8">
        <v>12</v>
      </c>
      <c r="G20">
        <f t="shared" si="0"/>
        <v>496842</v>
      </c>
    </row>
    <row r="21" spans="1:7" x14ac:dyDescent="0.35">
      <c r="A21" s="9">
        <v>42464</v>
      </c>
      <c r="B21" s="10" t="s">
        <v>18</v>
      </c>
      <c r="C21" s="10" t="s">
        <v>12</v>
      </c>
      <c r="D21" s="10" t="s">
        <v>8</v>
      </c>
      <c r="E21" s="10">
        <v>25</v>
      </c>
      <c r="F21" s="11">
        <v>19</v>
      </c>
      <c r="G21">
        <f t="shared" si="0"/>
        <v>496367</v>
      </c>
    </row>
    <row r="22" spans="1:7" x14ac:dyDescent="0.35">
      <c r="A22" s="6">
        <v>42464</v>
      </c>
      <c r="B22" s="7" t="s">
        <v>18</v>
      </c>
      <c r="C22" s="7" t="s">
        <v>9</v>
      </c>
      <c r="D22" s="7" t="s">
        <v>8</v>
      </c>
      <c r="E22" s="7">
        <v>33</v>
      </c>
      <c r="F22" s="8">
        <v>38</v>
      </c>
      <c r="G22">
        <f t="shared" si="0"/>
        <v>495113</v>
      </c>
    </row>
    <row r="23" spans="1:7" x14ac:dyDescent="0.35">
      <c r="A23" s="9">
        <v>42482</v>
      </c>
      <c r="B23" s="10" t="s">
        <v>19</v>
      </c>
      <c r="C23" s="10" t="s">
        <v>11</v>
      </c>
      <c r="D23" s="10" t="s">
        <v>14</v>
      </c>
      <c r="E23" s="10">
        <v>36</v>
      </c>
      <c r="F23" s="11">
        <v>35</v>
      </c>
      <c r="G23">
        <f t="shared" si="0"/>
        <v>496373</v>
      </c>
    </row>
    <row r="24" spans="1:7" x14ac:dyDescent="0.35">
      <c r="A24" s="6">
        <v>42482</v>
      </c>
      <c r="B24" s="7" t="s">
        <v>19</v>
      </c>
      <c r="C24" s="7" t="s">
        <v>7</v>
      </c>
      <c r="D24" s="7" t="s">
        <v>8</v>
      </c>
      <c r="E24" s="7">
        <v>5</v>
      </c>
      <c r="F24" s="8">
        <v>66</v>
      </c>
      <c r="G24">
        <f t="shared" si="0"/>
        <v>496043</v>
      </c>
    </row>
    <row r="25" spans="1:7" x14ac:dyDescent="0.35">
      <c r="A25" s="9">
        <v>42482</v>
      </c>
      <c r="B25" s="10" t="s">
        <v>19</v>
      </c>
      <c r="C25" s="10" t="s">
        <v>9</v>
      </c>
      <c r="D25" s="10" t="s">
        <v>8</v>
      </c>
      <c r="E25" s="10">
        <v>35</v>
      </c>
      <c r="F25" s="11">
        <v>41</v>
      </c>
      <c r="G25">
        <f t="shared" si="0"/>
        <v>494608</v>
      </c>
    </row>
    <row r="26" spans="1:7" x14ac:dyDescent="0.35">
      <c r="A26" s="6">
        <v>42504</v>
      </c>
      <c r="B26" s="7" t="s">
        <v>20</v>
      </c>
      <c r="C26" s="7" t="s">
        <v>7</v>
      </c>
      <c r="D26" s="7" t="s">
        <v>14</v>
      </c>
      <c r="E26" s="7">
        <v>38</v>
      </c>
      <c r="F26" s="8">
        <v>98</v>
      </c>
      <c r="G26">
        <f t="shared" si="0"/>
        <v>498332</v>
      </c>
    </row>
    <row r="27" spans="1:7" x14ac:dyDescent="0.35">
      <c r="A27" s="9">
        <v>42504</v>
      </c>
      <c r="B27" s="10" t="s">
        <v>20</v>
      </c>
      <c r="C27" s="10" t="s">
        <v>11</v>
      </c>
      <c r="D27" s="10" t="s">
        <v>8</v>
      </c>
      <c r="E27" s="10">
        <v>10</v>
      </c>
      <c r="F27" s="11">
        <v>23</v>
      </c>
      <c r="G27">
        <f t="shared" si="0"/>
        <v>498102</v>
      </c>
    </row>
    <row r="28" spans="1:7" x14ac:dyDescent="0.35">
      <c r="A28" s="6">
        <v>42529</v>
      </c>
      <c r="B28" s="7" t="s">
        <v>21</v>
      </c>
      <c r="C28" s="7" t="s">
        <v>11</v>
      </c>
      <c r="D28" s="7" t="s">
        <v>14</v>
      </c>
      <c r="E28" s="7">
        <v>4</v>
      </c>
      <c r="F28" s="8">
        <v>38</v>
      </c>
      <c r="G28">
        <f t="shared" si="0"/>
        <v>498254</v>
      </c>
    </row>
    <row r="29" spans="1:7" x14ac:dyDescent="0.35">
      <c r="A29" s="9">
        <v>42529</v>
      </c>
      <c r="B29" s="10" t="s">
        <v>21</v>
      </c>
      <c r="C29" s="10" t="s">
        <v>7</v>
      </c>
      <c r="D29" s="10" t="s">
        <v>8</v>
      </c>
      <c r="E29" s="10">
        <v>42</v>
      </c>
      <c r="F29" s="11">
        <v>60</v>
      </c>
      <c r="G29">
        <f t="shared" si="0"/>
        <v>495734</v>
      </c>
    </row>
    <row r="30" spans="1:7" x14ac:dyDescent="0.35">
      <c r="A30" s="6">
        <v>42529</v>
      </c>
      <c r="B30" s="7" t="s">
        <v>21</v>
      </c>
      <c r="C30" s="7" t="s">
        <v>10</v>
      </c>
      <c r="D30" s="7" t="s">
        <v>8</v>
      </c>
      <c r="E30" s="7">
        <v>28</v>
      </c>
      <c r="F30" s="8">
        <v>8</v>
      </c>
      <c r="G30">
        <f t="shared" si="0"/>
        <v>495510</v>
      </c>
    </row>
    <row r="31" spans="1:7" x14ac:dyDescent="0.35">
      <c r="A31" s="9">
        <v>42529</v>
      </c>
      <c r="B31" s="10" t="s">
        <v>21</v>
      </c>
      <c r="C31" s="10" t="s">
        <v>12</v>
      </c>
      <c r="D31" s="10" t="s">
        <v>8</v>
      </c>
      <c r="E31" s="10">
        <v>19</v>
      </c>
      <c r="F31" s="11">
        <v>19</v>
      </c>
      <c r="G31">
        <f t="shared" si="0"/>
        <v>495149</v>
      </c>
    </row>
    <row r="32" spans="1:7" x14ac:dyDescent="0.35">
      <c r="A32" s="6">
        <v>42542</v>
      </c>
      <c r="B32" s="7" t="s">
        <v>22</v>
      </c>
      <c r="C32" s="7" t="s">
        <v>12</v>
      </c>
      <c r="D32" s="7" t="s">
        <v>14</v>
      </c>
      <c r="E32" s="7">
        <v>72</v>
      </c>
      <c r="F32" s="8">
        <v>28</v>
      </c>
      <c r="G32">
        <f t="shared" si="0"/>
        <v>497165</v>
      </c>
    </row>
    <row r="33" spans="1:7" x14ac:dyDescent="0.35">
      <c r="A33" s="9">
        <v>42542</v>
      </c>
      <c r="B33" s="10" t="s">
        <v>22</v>
      </c>
      <c r="C33" s="10" t="s">
        <v>7</v>
      </c>
      <c r="D33" s="10" t="s">
        <v>14</v>
      </c>
      <c r="E33" s="10">
        <v>42</v>
      </c>
      <c r="F33" s="11">
        <v>90</v>
      </c>
      <c r="G33">
        <f t="shared" si="0"/>
        <v>500945</v>
      </c>
    </row>
    <row r="34" spans="1:7" x14ac:dyDescent="0.35">
      <c r="A34" s="6">
        <v>42542</v>
      </c>
      <c r="B34" s="7" t="s">
        <v>22</v>
      </c>
      <c r="C34" s="7" t="s">
        <v>9</v>
      </c>
      <c r="D34" s="7" t="s">
        <v>8</v>
      </c>
      <c r="E34" s="7">
        <v>42</v>
      </c>
      <c r="F34" s="8">
        <v>44</v>
      </c>
      <c r="G34">
        <f t="shared" si="0"/>
        <v>499097</v>
      </c>
    </row>
    <row r="35" spans="1:7" x14ac:dyDescent="0.35">
      <c r="A35" s="9">
        <v>42542</v>
      </c>
      <c r="B35" s="10" t="s">
        <v>22</v>
      </c>
      <c r="C35" s="10" t="s">
        <v>11</v>
      </c>
      <c r="D35" s="10" t="s">
        <v>8</v>
      </c>
      <c r="E35" s="10">
        <v>33</v>
      </c>
      <c r="F35" s="11">
        <v>26</v>
      </c>
      <c r="G35">
        <f t="shared" si="0"/>
        <v>498239</v>
      </c>
    </row>
    <row r="36" spans="1:7" x14ac:dyDescent="0.35">
      <c r="A36" s="6">
        <v>42542</v>
      </c>
      <c r="B36" s="7" t="s">
        <v>22</v>
      </c>
      <c r="C36" s="7" t="s">
        <v>10</v>
      </c>
      <c r="D36" s="7" t="s">
        <v>8</v>
      </c>
      <c r="E36" s="7">
        <v>9</v>
      </c>
      <c r="F36" s="8">
        <v>9</v>
      </c>
      <c r="G36">
        <f t="shared" si="0"/>
        <v>498158</v>
      </c>
    </row>
    <row r="37" spans="1:7" x14ac:dyDescent="0.35">
      <c r="A37" s="9">
        <v>42559</v>
      </c>
      <c r="B37" s="10" t="s">
        <v>6</v>
      </c>
      <c r="C37" s="10" t="s">
        <v>12</v>
      </c>
      <c r="D37" s="10" t="s">
        <v>14</v>
      </c>
      <c r="E37" s="10">
        <v>4</v>
      </c>
      <c r="F37" s="11">
        <v>29</v>
      </c>
      <c r="G37">
        <f t="shared" si="0"/>
        <v>498274</v>
      </c>
    </row>
    <row r="38" spans="1:7" x14ac:dyDescent="0.35">
      <c r="A38" s="6">
        <v>42559</v>
      </c>
      <c r="B38" s="7" t="s">
        <v>6</v>
      </c>
      <c r="C38" s="7" t="s">
        <v>10</v>
      </c>
      <c r="D38" s="7" t="s">
        <v>14</v>
      </c>
      <c r="E38" s="7">
        <v>37</v>
      </c>
      <c r="F38" s="8">
        <v>12</v>
      </c>
      <c r="G38">
        <f t="shared" si="0"/>
        <v>498718</v>
      </c>
    </row>
    <row r="39" spans="1:7" x14ac:dyDescent="0.35">
      <c r="A39" s="9">
        <v>42559</v>
      </c>
      <c r="B39" s="10" t="s">
        <v>6</v>
      </c>
      <c r="C39" s="10" t="s">
        <v>9</v>
      </c>
      <c r="D39" s="10" t="s">
        <v>8</v>
      </c>
      <c r="E39" s="10">
        <v>35</v>
      </c>
      <c r="F39" s="11">
        <v>42</v>
      </c>
      <c r="G39">
        <f t="shared" si="0"/>
        <v>497248</v>
      </c>
    </row>
    <row r="40" spans="1:7" x14ac:dyDescent="0.35">
      <c r="A40" s="6">
        <v>42559</v>
      </c>
      <c r="B40" s="7" t="s">
        <v>6</v>
      </c>
      <c r="C40" s="7" t="s">
        <v>7</v>
      </c>
      <c r="D40" s="7" t="s">
        <v>8</v>
      </c>
      <c r="E40" s="7">
        <v>32</v>
      </c>
      <c r="F40" s="8">
        <v>66</v>
      </c>
      <c r="G40">
        <f t="shared" si="0"/>
        <v>495136</v>
      </c>
    </row>
    <row r="41" spans="1:7" x14ac:dyDescent="0.35">
      <c r="A41" s="9">
        <v>42574</v>
      </c>
      <c r="B41" s="10" t="s">
        <v>13</v>
      </c>
      <c r="C41" s="10" t="s">
        <v>7</v>
      </c>
      <c r="D41" s="10" t="s">
        <v>14</v>
      </c>
      <c r="E41" s="10">
        <v>32</v>
      </c>
      <c r="F41" s="11">
        <v>92</v>
      </c>
      <c r="G41">
        <f t="shared" si="0"/>
        <v>498080</v>
      </c>
    </row>
    <row r="42" spans="1:7" x14ac:dyDescent="0.35">
      <c r="A42" s="6">
        <v>42574</v>
      </c>
      <c r="B42" s="7" t="s">
        <v>13</v>
      </c>
      <c r="C42" s="7" t="s">
        <v>9</v>
      </c>
      <c r="D42" s="7" t="s">
        <v>8</v>
      </c>
      <c r="E42" s="7">
        <v>48</v>
      </c>
      <c r="F42" s="8">
        <v>43</v>
      </c>
      <c r="G42">
        <f t="shared" si="0"/>
        <v>496016</v>
      </c>
    </row>
    <row r="43" spans="1:7" x14ac:dyDescent="0.35">
      <c r="A43" s="9">
        <v>42593</v>
      </c>
      <c r="B43" s="10" t="s">
        <v>15</v>
      </c>
      <c r="C43" s="10" t="s">
        <v>9</v>
      </c>
      <c r="D43" s="10" t="s">
        <v>14</v>
      </c>
      <c r="E43" s="10">
        <v>191</v>
      </c>
      <c r="F43" s="11">
        <v>60</v>
      </c>
      <c r="G43">
        <f t="shared" si="0"/>
        <v>507476</v>
      </c>
    </row>
    <row r="44" spans="1:7" x14ac:dyDescent="0.35">
      <c r="A44" s="6">
        <v>42593</v>
      </c>
      <c r="B44" s="7" t="s">
        <v>15</v>
      </c>
      <c r="C44" s="7" t="s">
        <v>11</v>
      </c>
      <c r="D44" s="7" t="s">
        <v>8</v>
      </c>
      <c r="E44" s="7">
        <v>9</v>
      </c>
      <c r="F44" s="8">
        <v>24</v>
      </c>
      <c r="G44">
        <f t="shared" si="0"/>
        <v>507260</v>
      </c>
    </row>
    <row r="45" spans="1:7" x14ac:dyDescent="0.35">
      <c r="A45" s="9">
        <v>42593</v>
      </c>
      <c r="B45" s="10" t="s">
        <v>15</v>
      </c>
      <c r="C45" s="10" t="s">
        <v>7</v>
      </c>
      <c r="D45" s="10" t="s">
        <v>8</v>
      </c>
      <c r="E45" s="10">
        <v>36</v>
      </c>
      <c r="F45" s="11">
        <v>65</v>
      </c>
      <c r="G45">
        <f t="shared" si="0"/>
        <v>504920</v>
      </c>
    </row>
    <row r="46" spans="1:7" x14ac:dyDescent="0.35">
      <c r="A46" s="6">
        <v>42619</v>
      </c>
      <c r="B46" s="7" t="s">
        <v>16</v>
      </c>
      <c r="C46" s="7" t="s">
        <v>10</v>
      </c>
      <c r="D46" s="7" t="s">
        <v>8</v>
      </c>
      <c r="E46" s="7">
        <v>47</v>
      </c>
      <c r="F46" s="8">
        <v>7</v>
      </c>
      <c r="G46">
        <f t="shared" si="0"/>
        <v>504591</v>
      </c>
    </row>
    <row r="47" spans="1:7" x14ac:dyDescent="0.35">
      <c r="A47" s="9">
        <v>42619</v>
      </c>
      <c r="B47" s="10" t="s">
        <v>16</v>
      </c>
      <c r="C47" s="10" t="s">
        <v>9</v>
      </c>
      <c r="D47" s="10" t="s">
        <v>14</v>
      </c>
      <c r="E47" s="10">
        <v>4</v>
      </c>
      <c r="F47" s="11">
        <v>63</v>
      </c>
      <c r="G47">
        <f t="shared" si="0"/>
        <v>504843</v>
      </c>
    </row>
    <row r="48" spans="1:7" x14ac:dyDescent="0.35">
      <c r="A48" s="6">
        <v>42619</v>
      </c>
      <c r="B48" s="7" t="s">
        <v>16</v>
      </c>
      <c r="C48" s="7" t="s">
        <v>12</v>
      </c>
      <c r="D48" s="7" t="s">
        <v>8</v>
      </c>
      <c r="E48" s="7">
        <v>8</v>
      </c>
      <c r="F48" s="8">
        <v>19</v>
      </c>
      <c r="G48">
        <f t="shared" si="0"/>
        <v>504691</v>
      </c>
    </row>
    <row r="49" spans="1:7" x14ac:dyDescent="0.35">
      <c r="A49" s="9">
        <v>42619</v>
      </c>
      <c r="B49" s="10" t="s">
        <v>16</v>
      </c>
      <c r="C49" s="10" t="s">
        <v>11</v>
      </c>
      <c r="D49" s="10" t="s">
        <v>8</v>
      </c>
      <c r="E49" s="10">
        <v>3</v>
      </c>
      <c r="F49" s="11">
        <v>22</v>
      </c>
      <c r="G49">
        <f t="shared" si="0"/>
        <v>504625</v>
      </c>
    </row>
    <row r="50" spans="1:7" x14ac:dyDescent="0.35">
      <c r="A50" s="6">
        <v>42619</v>
      </c>
      <c r="B50" s="7" t="s">
        <v>16</v>
      </c>
      <c r="C50" s="7" t="s">
        <v>7</v>
      </c>
      <c r="D50" s="7" t="s">
        <v>8</v>
      </c>
      <c r="E50" s="7">
        <v>41</v>
      </c>
      <c r="F50" s="8">
        <v>59</v>
      </c>
      <c r="G50">
        <f t="shared" si="0"/>
        <v>502206</v>
      </c>
    </row>
    <row r="51" spans="1:7" x14ac:dyDescent="0.35">
      <c r="A51" s="9">
        <v>42640</v>
      </c>
      <c r="B51" s="10" t="s">
        <v>17</v>
      </c>
      <c r="C51" s="10" t="s">
        <v>9</v>
      </c>
      <c r="D51" s="10" t="s">
        <v>8</v>
      </c>
      <c r="E51" s="10">
        <v>44</v>
      </c>
      <c r="F51" s="11">
        <v>40</v>
      </c>
      <c r="G51">
        <f t="shared" si="0"/>
        <v>500446</v>
      </c>
    </row>
    <row r="52" spans="1:7" x14ac:dyDescent="0.35">
      <c r="A52" s="6">
        <v>42640</v>
      </c>
      <c r="B52" s="7" t="s">
        <v>17</v>
      </c>
      <c r="C52" s="7" t="s">
        <v>10</v>
      </c>
      <c r="D52" s="7" t="s">
        <v>14</v>
      </c>
      <c r="E52" s="7">
        <v>45</v>
      </c>
      <c r="F52" s="8">
        <v>12</v>
      </c>
      <c r="G52">
        <f t="shared" si="0"/>
        <v>500986</v>
      </c>
    </row>
    <row r="53" spans="1:7" x14ac:dyDescent="0.35">
      <c r="A53" s="9">
        <v>42640</v>
      </c>
      <c r="B53" s="10" t="s">
        <v>17</v>
      </c>
      <c r="C53" s="10" t="s">
        <v>12</v>
      </c>
      <c r="D53" s="10" t="s">
        <v>8</v>
      </c>
      <c r="E53" s="10">
        <v>40</v>
      </c>
      <c r="F53" s="11">
        <v>20</v>
      </c>
      <c r="G53">
        <f t="shared" si="0"/>
        <v>500186</v>
      </c>
    </row>
    <row r="54" spans="1:7" x14ac:dyDescent="0.35">
      <c r="A54" s="6">
        <v>42640</v>
      </c>
      <c r="B54" s="7" t="s">
        <v>17</v>
      </c>
      <c r="C54" s="7" t="s">
        <v>7</v>
      </c>
      <c r="D54" s="7" t="s">
        <v>8</v>
      </c>
      <c r="E54" s="7">
        <v>3</v>
      </c>
      <c r="F54" s="8">
        <v>63</v>
      </c>
      <c r="G54">
        <f t="shared" si="0"/>
        <v>499997</v>
      </c>
    </row>
    <row r="55" spans="1:7" x14ac:dyDescent="0.35">
      <c r="A55" s="9">
        <v>42640</v>
      </c>
      <c r="B55" s="10" t="s">
        <v>17</v>
      </c>
      <c r="C55" s="10" t="s">
        <v>11</v>
      </c>
      <c r="D55" s="10" t="s">
        <v>8</v>
      </c>
      <c r="E55" s="10">
        <v>17</v>
      </c>
      <c r="F55" s="11">
        <v>24</v>
      </c>
      <c r="G55">
        <f t="shared" si="0"/>
        <v>499589</v>
      </c>
    </row>
    <row r="56" spans="1:7" x14ac:dyDescent="0.35">
      <c r="A56" s="6">
        <v>42664</v>
      </c>
      <c r="B56" s="7" t="s">
        <v>18</v>
      </c>
      <c r="C56" s="7" t="s">
        <v>10</v>
      </c>
      <c r="D56" s="7" t="s">
        <v>14</v>
      </c>
      <c r="E56" s="7">
        <v>2</v>
      </c>
      <c r="F56" s="8">
        <v>12</v>
      </c>
      <c r="G56">
        <f t="shared" si="0"/>
        <v>499613</v>
      </c>
    </row>
    <row r="57" spans="1:7" x14ac:dyDescent="0.35">
      <c r="A57" s="9">
        <v>42664</v>
      </c>
      <c r="B57" s="10" t="s">
        <v>18</v>
      </c>
      <c r="C57" s="10" t="s">
        <v>12</v>
      </c>
      <c r="D57" s="10" t="s">
        <v>8</v>
      </c>
      <c r="E57" s="10">
        <v>14</v>
      </c>
      <c r="F57" s="11">
        <v>19</v>
      </c>
      <c r="G57">
        <f t="shared" si="0"/>
        <v>499347</v>
      </c>
    </row>
    <row r="58" spans="1:7" x14ac:dyDescent="0.35">
      <c r="A58" s="6">
        <v>42664</v>
      </c>
      <c r="B58" s="7" t="s">
        <v>18</v>
      </c>
      <c r="C58" s="7" t="s">
        <v>11</v>
      </c>
      <c r="D58" s="7" t="s">
        <v>8</v>
      </c>
      <c r="E58" s="7">
        <v>23</v>
      </c>
      <c r="F58" s="8">
        <v>23</v>
      </c>
      <c r="G58">
        <f t="shared" si="0"/>
        <v>498818</v>
      </c>
    </row>
    <row r="59" spans="1:7" x14ac:dyDescent="0.35">
      <c r="A59" s="9">
        <v>42682</v>
      </c>
      <c r="B59" s="10" t="s">
        <v>19</v>
      </c>
      <c r="C59" s="10" t="s">
        <v>10</v>
      </c>
      <c r="D59" s="10" t="s">
        <v>8</v>
      </c>
      <c r="E59" s="10">
        <v>11</v>
      </c>
      <c r="F59" s="11">
        <v>8</v>
      </c>
      <c r="G59">
        <f t="shared" si="0"/>
        <v>498730</v>
      </c>
    </row>
    <row r="60" spans="1:7" x14ac:dyDescent="0.35">
      <c r="A60" s="6">
        <v>42682</v>
      </c>
      <c r="B60" s="7" t="s">
        <v>19</v>
      </c>
      <c r="C60" s="7" t="s">
        <v>7</v>
      </c>
      <c r="D60" s="7" t="s">
        <v>8</v>
      </c>
      <c r="E60" s="7">
        <v>17</v>
      </c>
      <c r="F60" s="8">
        <v>66</v>
      </c>
      <c r="G60">
        <f t="shared" si="0"/>
        <v>497608</v>
      </c>
    </row>
    <row r="61" spans="1:7" x14ac:dyDescent="0.35">
      <c r="A61" s="9">
        <v>42682</v>
      </c>
      <c r="B61" s="10" t="s">
        <v>19</v>
      </c>
      <c r="C61" s="10" t="s">
        <v>9</v>
      </c>
      <c r="D61" s="10" t="s">
        <v>8</v>
      </c>
      <c r="E61" s="10">
        <v>30</v>
      </c>
      <c r="F61" s="11">
        <v>41</v>
      </c>
      <c r="G61">
        <f t="shared" si="0"/>
        <v>496378</v>
      </c>
    </row>
    <row r="62" spans="1:7" x14ac:dyDescent="0.35">
      <c r="A62" s="6">
        <v>42704</v>
      </c>
      <c r="B62" s="7" t="s">
        <v>20</v>
      </c>
      <c r="C62" s="7" t="s">
        <v>7</v>
      </c>
      <c r="D62" s="7" t="s">
        <v>14</v>
      </c>
      <c r="E62" s="7">
        <v>97</v>
      </c>
      <c r="F62" s="8">
        <v>98</v>
      </c>
      <c r="G62">
        <f t="shared" si="0"/>
        <v>505884</v>
      </c>
    </row>
    <row r="63" spans="1:7" x14ac:dyDescent="0.35">
      <c r="A63" s="9">
        <v>42704</v>
      </c>
      <c r="B63" s="10" t="s">
        <v>20</v>
      </c>
      <c r="C63" s="10" t="s">
        <v>10</v>
      </c>
      <c r="D63" s="10" t="s">
        <v>14</v>
      </c>
      <c r="E63" s="10">
        <v>11</v>
      </c>
      <c r="F63" s="11">
        <v>12</v>
      </c>
      <c r="G63">
        <f t="shared" si="0"/>
        <v>506016</v>
      </c>
    </row>
    <row r="64" spans="1:7" x14ac:dyDescent="0.35">
      <c r="A64" s="6">
        <v>42704</v>
      </c>
      <c r="B64" s="7" t="s">
        <v>20</v>
      </c>
      <c r="C64" s="7" t="s">
        <v>12</v>
      </c>
      <c r="D64" s="7" t="s">
        <v>8</v>
      </c>
      <c r="E64" s="7">
        <v>17</v>
      </c>
      <c r="F64" s="8">
        <v>20</v>
      </c>
      <c r="G64">
        <f t="shared" si="0"/>
        <v>505676</v>
      </c>
    </row>
    <row r="65" spans="1:7" x14ac:dyDescent="0.35">
      <c r="A65" s="9">
        <v>42704</v>
      </c>
      <c r="B65" s="10" t="s">
        <v>20</v>
      </c>
      <c r="C65" s="10" t="s">
        <v>11</v>
      </c>
      <c r="D65" s="10" t="s">
        <v>8</v>
      </c>
      <c r="E65" s="10">
        <v>4</v>
      </c>
      <c r="F65" s="11">
        <v>23</v>
      </c>
      <c r="G65">
        <f t="shared" si="0"/>
        <v>505584</v>
      </c>
    </row>
    <row r="66" spans="1:7" x14ac:dyDescent="0.35">
      <c r="A66" s="6">
        <v>42729</v>
      </c>
      <c r="B66" s="7" t="s">
        <v>21</v>
      </c>
      <c r="C66" s="7" t="s">
        <v>12</v>
      </c>
      <c r="D66" s="7" t="s">
        <v>14</v>
      </c>
      <c r="E66" s="7">
        <v>79</v>
      </c>
      <c r="F66" s="8">
        <v>31</v>
      </c>
      <c r="G66">
        <f t="shared" si="0"/>
        <v>508033</v>
      </c>
    </row>
    <row r="67" spans="1:7" x14ac:dyDescent="0.35">
      <c r="A67" s="9">
        <v>42729</v>
      </c>
      <c r="B67" s="10" t="s">
        <v>21</v>
      </c>
      <c r="C67" s="10" t="s">
        <v>7</v>
      </c>
      <c r="D67" s="10" t="s">
        <v>8</v>
      </c>
      <c r="E67" s="10">
        <v>33</v>
      </c>
      <c r="F67" s="11">
        <v>60</v>
      </c>
      <c r="G67">
        <f t="shared" si="0"/>
        <v>506053</v>
      </c>
    </row>
    <row r="68" spans="1:7" x14ac:dyDescent="0.35">
      <c r="A68" s="6">
        <v>42729</v>
      </c>
      <c r="B68" s="7" t="s">
        <v>21</v>
      </c>
      <c r="C68" s="7" t="s">
        <v>11</v>
      </c>
      <c r="D68" s="7" t="s">
        <v>8</v>
      </c>
      <c r="E68" s="7">
        <v>26</v>
      </c>
      <c r="F68" s="8">
        <v>23</v>
      </c>
      <c r="G68">
        <f t="shared" ref="G68:G131" si="1">IF(D68="W",F68*E68+G67,G67-(F68*E68))</f>
        <v>505455</v>
      </c>
    </row>
    <row r="69" spans="1:7" x14ac:dyDescent="0.35">
      <c r="A69" s="9">
        <v>42742</v>
      </c>
      <c r="B69" s="10" t="s">
        <v>22</v>
      </c>
      <c r="C69" s="10" t="s">
        <v>12</v>
      </c>
      <c r="D69" s="10" t="s">
        <v>8</v>
      </c>
      <c r="E69" s="10">
        <v>40</v>
      </c>
      <c r="F69" s="11">
        <v>22</v>
      </c>
      <c r="G69">
        <f t="shared" si="1"/>
        <v>504575</v>
      </c>
    </row>
    <row r="70" spans="1:7" x14ac:dyDescent="0.35">
      <c r="A70" s="6">
        <v>42742</v>
      </c>
      <c r="B70" s="7" t="s">
        <v>22</v>
      </c>
      <c r="C70" s="7" t="s">
        <v>10</v>
      </c>
      <c r="D70" s="7" t="s">
        <v>8</v>
      </c>
      <c r="E70" s="7">
        <v>42</v>
      </c>
      <c r="F70" s="8">
        <v>9</v>
      </c>
      <c r="G70">
        <f t="shared" si="1"/>
        <v>504197</v>
      </c>
    </row>
    <row r="71" spans="1:7" x14ac:dyDescent="0.35">
      <c r="A71" s="9">
        <v>42742</v>
      </c>
      <c r="B71" s="10" t="s">
        <v>22</v>
      </c>
      <c r="C71" s="10" t="s">
        <v>11</v>
      </c>
      <c r="D71" s="10" t="s">
        <v>8</v>
      </c>
      <c r="E71" s="10">
        <v>42</v>
      </c>
      <c r="F71" s="11">
        <v>26</v>
      </c>
      <c r="G71">
        <f t="shared" si="1"/>
        <v>503105</v>
      </c>
    </row>
    <row r="72" spans="1:7" x14ac:dyDescent="0.35">
      <c r="A72" s="6">
        <v>42742</v>
      </c>
      <c r="B72" s="7" t="s">
        <v>22</v>
      </c>
      <c r="C72" s="7" t="s">
        <v>7</v>
      </c>
      <c r="D72" s="7" t="s">
        <v>8</v>
      </c>
      <c r="E72" s="7">
        <v>9</v>
      </c>
      <c r="F72" s="8">
        <v>70</v>
      </c>
      <c r="G72">
        <f t="shared" si="1"/>
        <v>502475</v>
      </c>
    </row>
    <row r="73" spans="1:7" x14ac:dyDescent="0.35">
      <c r="A73" s="9">
        <v>42742</v>
      </c>
      <c r="B73" s="10" t="s">
        <v>22</v>
      </c>
      <c r="C73" s="10" t="s">
        <v>9</v>
      </c>
      <c r="D73" s="10" t="s">
        <v>8</v>
      </c>
      <c r="E73" s="10">
        <v>39</v>
      </c>
      <c r="F73" s="11">
        <v>44</v>
      </c>
      <c r="G73">
        <f t="shared" si="1"/>
        <v>500759</v>
      </c>
    </row>
    <row r="74" spans="1:7" x14ac:dyDescent="0.35">
      <c r="A74" s="6">
        <v>42759</v>
      </c>
      <c r="B74" s="7" t="s">
        <v>6</v>
      </c>
      <c r="C74" s="7" t="s">
        <v>9</v>
      </c>
      <c r="D74" s="7" t="s">
        <v>14</v>
      </c>
      <c r="E74" s="7">
        <v>112</v>
      </c>
      <c r="F74" s="8">
        <v>59</v>
      </c>
      <c r="G74">
        <f t="shared" si="1"/>
        <v>507367</v>
      </c>
    </row>
    <row r="75" spans="1:7" x14ac:dyDescent="0.35">
      <c r="A75" s="9">
        <v>42759</v>
      </c>
      <c r="B75" s="10" t="s">
        <v>6</v>
      </c>
      <c r="C75" s="10" t="s">
        <v>7</v>
      </c>
      <c r="D75" s="10" t="s">
        <v>8</v>
      </c>
      <c r="E75" s="10">
        <v>34</v>
      </c>
      <c r="F75" s="11">
        <v>66</v>
      </c>
      <c r="G75">
        <f t="shared" si="1"/>
        <v>505123</v>
      </c>
    </row>
    <row r="76" spans="1:7" x14ac:dyDescent="0.35">
      <c r="A76" s="6">
        <v>42759</v>
      </c>
      <c r="B76" s="7" t="s">
        <v>6</v>
      </c>
      <c r="C76" s="7" t="s">
        <v>12</v>
      </c>
      <c r="D76" s="7" t="s">
        <v>8</v>
      </c>
      <c r="E76" s="7">
        <v>5</v>
      </c>
      <c r="F76" s="8">
        <v>21</v>
      </c>
      <c r="G76">
        <f t="shared" si="1"/>
        <v>505018</v>
      </c>
    </row>
    <row r="77" spans="1:7" x14ac:dyDescent="0.35">
      <c r="A77" s="9">
        <v>42774</v>
      </c>
      <c r="B77" s="10" t="s">
        <v>13</v>
      </c>
      <c r="C77" s="10" t="s">
        <v>7</v>
      </c>
      <c r="D77" s="10" t="s">
        <v>14</v>
      </c>
      <c r="E77" s="10">
        <v>74</v>
      </c>
      <c r="F77" s="11">
        <v>92</v>
      </c>
      <c r="G77">
        <f t="shared" si="1"/>
        <v>511826</v>
      </c>
    </row>
    <row r="78" spans="1:7" x14ac:dyDescent="0.35">
      <c r="A78" s="6">
        <v>42774</v>
      </c>
      <c r="B78" s="7" t="s">
        <v>13</v>
      </c>
      <c r="C78" s="7" t="s">
        <v>11</v>
      </c>
      <c r="D78" s="7" t="s">
        <v>8</v>
      </c>
      <c r="E78" s="7">
        <v>14</v>
      </c>
      <c r="F78" s="8">
        <v>26</v>
      </c>
      <c r="G78">
        <f t="shared" si="1"/>
        <v>511462</v>
      </c>
    </row>
    <row r="79" spans="1:7" x14ac:dyDescent="0.35">
      <c r="A79" s="9">
        <v>42793</v>
      </c>
      <c r="B79" s="10" t="s">
        <v>15</v>
      </c>
      <c r="C79" s="10" t="s">
        <v>9</v>
      </c>
      <c r="D79" s="10" t="s">
        <v>14</v>
      </c>
      <c r="E79" s="10">
        <v>1</v>
      </c>
      <c r="F79" s="11">
        <v>60</v>
      </c>
      <c r="G79">
        <f t="shared" si="1"/>
        <v>511522</v>
      </c>
    </row>
    <row r="80" spans="1:7" x14ac:dyDescent="0.35">
      <c r="A80" s="6">
        <v>42793</v>
      </c>
      <c r="B80" s="7" t="s">
        <v>15</v>
      </c>
      <c r="C80" s="7" t="s">
        <v>11</v>
      </c>
      <c r="D80" s="7" t="s">
        <v>14</v>
      </c>
      <c r="E80" s="7">
        <v>43</v>
      </c>
      <c r="F80" s="8">
        <v>36</v>
      </c>
      <c r="G80">
        <f t="shared" si="1"/>
        <v>513070</v>
      </c>
    </row>
    <row r="81" spans="1:7" x14ac:dyDescent="0.35">
      <c r="A81" s="9">
        <v>42793</v>
      </c>
      <c r="B81" s="10" t="s">
        <v>15</v>
      </c>
      <c r="C81" s="10" t="s">
        <v>10</v>
      </c>
      <c r="D81" s="10" t="s">
        <v>8</v>
      </c>
      <c r="E81" s="10">
        <v>30</v>
      </c>
      <c r="F81" s="11">
        <v>8</v>
      </c>
      <c r="G81">
        <f t="shared" si="1"/>
        <v>512830</v>
      </c>
    </row>
    <row r="82" spans="1:7" x14ac:dyDescent="0.35">
      <c r="A82" s="6">
        <v>42793</v>
      </c>
      <c r="B82" s="7" t="s">
        <v>15</v>
      </c>
      <c r="C82" s="7" t="s">
        <v>12</v>
      </c>
      <c r="D82" s="7" t="s">
        <v>8</v>
      </c>
      <c r="E82" s="7">
        <v>14</v>
      </c>
      <c r="F82" s="8">
        <v>20</v>
      </c>
      <c r="G82">
        <f t="shared" si="1"/>
        <v>512550</v>
      </c>
    </row>
    <row r="83" spans="1:7" x14ac:dyDescent="0.35">
      <c r="A83" s="9">
        <v>42819</v>
      </c>
      <c r="B83" s="10" t="s">
        <v>16</v>
      </c>
      <c r="C83" s="10" t="s">
        <v>11</v>
      </c>
      <c r="D83" s="10" t="s">
        <v>14</v>
      </c>
      <c r="E83" s="10">
        <v>33</v>
      </c>
      <c r="F83" s="11">
        <v>38</v>
      </c>
      <c r="G83">
        <f t="shared" si="1"/>
        <v>513804</v>
      </c>
    </row>
    <row r="84" spans="1:7" x14ac:dyDescent="0.35">
      <c r="A84" s="6">
        <v>42819</v>
      </c>
      <c r="B84" s="7" t="s">
        <v>16</v>
      </c>
      <c r="C84" s="7" t="s">
        <v>9</v>
      </c>
      <c r="D84" s="7" t="s">
        <v>8</v>
      </c>
      <c r="E84" s="7">
        <v>35</v>
      </c>
      <c r="F84" s="8">
        <v>37</v>
      </c>
      <c r="G84">
        <f t="shared" si="1"/>
        <v>512509</v>
      </c>
    </row>
    <row r="85" spans="1:7" x14ac:dyDescent="0.35">
      <c r="A85" s="9">
        <v>42819</v>
      </c>
      <c r="B85" s="10" t="s">
        <v>16</v>
      </c>
      <c r="C85" s="10" t="s">
        <v>12</v>
      </c>
      <c r="D85" s="10" t="s">
        <v>8</v>
      </c>
      <c r="E85" s="10">
        <v>40</v>
      </c>
      <c r="F85" s="11">
        <v>19</v>
      </c>
      <c r="G85">
        <f t="shared" si="1"/>
        <v>511749</v>
      </c>
    </row>
    <row r="86" spans="1:7" x14ac:dyDescent="0.35">
      <c r="A86" s="6">
        <v>42840</v>
      </c>
      <c r="B86" s="7" t="s">
        <v>17</v>
      </c>
      <c r="C86" s="7" t="s">
        <v>11</v>
      </c>
      <c r="D86" s="7" t="s">
        <v>14</v>
      </c>
      <c r="E86" s="7">
        <v>21</v>
      </c>
      <c r="F86" s="8">
        <v>36</v>
      </c>
      <c r="G86">
        <f t="shared" si="1"/>
        <v>512505</v>
      </c>
    </row>
    <row r="87" spans="1:7" x14ac:dyDescent="0.35">
      <c r="A87" s="9">
        <v>42840</v>
      </c>
      <c r="B87" s="10" t="s">
        <v>17</v>
      </c>
      <c r="C87" s="10" t="s">
        <v>7</v>
      </c>
      <c r="D87" s="10" t="s">
        <v>14</v>
      </c>
      <c r="E87" s="10">
        <v>2</v>
      </c>
      <c r="F87" s="11">
        <v>97</v>
      </c>
      <c r="G87">
        <f t="shared" si="1"/>
        <v>512699</v>
      </c>
    </row>
    <row r="88" spans="1:7" x14ac:dyDescent="0.35">
      <c r="A88" s="6">
        <v>42840</v>
      </c>
      <c r="B88" s="7" t="s">
        <v>17</v>
      </c>
      <c r="C88" s="7" t="s">
        <v>12</v>
      </c>
      <c r="D88" s="7" t="s">
        <v>8</v>
      </c>
      <c r="E88" s="7">
        <v>12</v>
      </c>
      <c r="F88" s="8">
        <v>20</v>
      </c>
      <c r="G88">
        <f t="shared" si="1"/>
        <v>512459</v>
      </c>
    </row>
    <row r="89" spans="1:7" x14ac:dyDescent="0.35">
      <c r="A89" s="9">
        <v>42840</v>
      </c>
      <c r="B89" s="10" t="s">
        <v>17</v>
      </c>
      <c r="C89" s="10" t="s">
        <v>10</v>
      </c>
      <c r="D89" s="10" t="s">
        <v>8</v>
      </c>
      <c r="E89" s="10">
        <v>15</v>
      </c>
      <c r="F89" s="11">
        <v>8</v>
      </c>
      <c r="G89">
        <f t="shared" si="1"/>
        <v>512339</v>
      </c>
    </row>
    <row r="90" spans="1:7" x14ac:dyDescent="0.35">
      <c r="A90" s="6">
        <v>42840</v>
      </c>
      <c r="B90" s="7" t="s">
        <v>17</v>
      </c>
      <c r="C90" s="7" t="s">
        <v>9</v>
      </c>
      <c r="D90" s="7" t="s">
        <v>8</v>
      </c>
      <c r="E90" s="7">
        <v>1</v>
      </c>
      <c r="F90" s="8">
        <v>40</v>
      </c>
      <c r="G90">
        <f t="shared" si="1"/>
        <v>512299</v>
      </c>
    </row>
    <row r="91" spans="1:7" x14ac:dyDescent="0.35">
      <c r="A91" s="9">
        <v>42864</v>
      </c>
      <c r="B91" s="10" t="s">
        <v>18</v>
      </c>
      <c r="C91" s="10" t="s">
        <v>10</v>
      </c>
      <c r="D91" s="10" t="s">
        <v>14</v>
      </c>
      <c r="E91" s="10">
        <v>86</v>
      </c>
      <c r="F91" s="11">
        <v>12</v>
      </c>
      <c r="G91">
        <f t="shared" si="1"/>
        <v>513331</v>
      </c>
    </row>
    <row r="92" spans="1:7" x14ac:dyDescent="0.35">
      <c r="A92" s="6">
        <v>42864</v>
      </c>
      <c r="B92" s="7" t="s">
        <v>18</v>
      </c>
      <c r="C92" s="7" t="s">
        <v>12</v>
      </c>
      <c r="D92" s="7" t="s">
        <v>14</v>
      </c>
      <c r="E92" s="7">
        <v>110</v>
      </c>
      <c r="F92" s="8">
        <v>31</v>
      </c>
      <c r="G92">
        <f t="shared" si="1"/>
        <v>516741</v>
      </c>
    </row>
    <row r="93" spans="1:7" x14ac:dyDescent="0.35">
      <c r="A93" s="9">
        <v>42864</v>
      </c>
      <c r="B93" s="10" t="s">
        <v>18</v>
      </c>
      <c r="C93" s="10" t="s">
        <v>9</v>
      </c>
      <c r="D93" s="10" t="s">
        <v>8</v>
      </c>
      <c r="E93" s="10">
        <v>33</v>
      </c>
      <c r="F93" s="11">
        <v>38</v>
      </c>
      <c r="G93">
        <f t="shared" si="1"/>
        <v>515487</v>
      </c>
    </row>
    <row r="94" spans="1:7" x14ac:dyDescent="0.35">
      <c r="A94" s="6">
        <v>42864</v>
      </c>
      <c r="B94" s="7" t="s">
        <v>18</v>
      </c>
      <c r="C94" s="7" t="s">
        <v>11</v>
      </c>
      <c r="D94" s="7" t="s">
        <v>8</v>
      </c>
      <c r="E94" s="7">
        <v>13</v>
      </c>
      <c r="F94" s="8">
        <v>23</v>
      </c>
      <c r="G94">
        <f t="shared" si="1"/>
        <v>515188</v>
      </c>
    </row>
    <row r="95" spans="1:7" x14ac:dyDescent="0.35">
      <c r="A95" s="9">
        <v>42864</v>
      </c>
      <c r="B95" s="10" t="s">
        <v>18</v>
      </c>
      <c r="C95" s="10" t="s">
        <v>7</v>
      </c>
      <c r="D95" s="10" t="s">
        <v>8</v>
      </c>
      <c r="E95" s="10">
        <v>37</v>
      </c>
      <c r="F95" s="11">
        <v>61</v>
      </c>
      <c r="G95">
        <f t="shared" si="1"/>
        <v>512931</v>
      </c>
    </row>
    <row r="96" spans="1:7" x14ac:dyDescent="0.35">
      <c r="A96" s="6">
        <v>42882</v>
      </c>
      <c r="B96" s="7" t="s">
        <v>19</v>
      </c>
      <c r="C96" s="7" t="s">
        <v>10</v>
      </c>
      <c r="D96" s="7" t="s">
        <v>14</v>
      </c>
      <c r="E96" s="7">
        <v>1</v>
      </c>
      <c r="F96" s="8">
        <v>12</v>
      </c>
      <c r="G96">
        <f t="shared" si="1"/>
        <v>512943</v>
      </c>
    </row>
    <row r="97" spans="1:7" x14ac:dyDescent="0.35">
      <c r="A97" s="9">
        <v>42882</v>
      </c>
      <c r="B97" s="10" t="s">
        <v>19</v>
      </c>
      <c r="C97" s="10" t="s">
        <v>9</v>
      </c>
      <c r="D97" s="10" t="s">
        <v>14</v>
      </c>
      <c r="E97" s="10">
        <v>68</v>
      </c>
      <c r="F97" s="11">
        <v>59</v>
      </c>
      <c r="G97">
        <f t="shared" si="1"/>
        <v>516955</v>
      </c>
    </row>
    <row r="98" spans="1:7" x14ac:dyDescent="0.35">
      <c r="A98" s="6">
        <v>42882</v>
      </c>
      <c r="B98" s="7" t="s">
        <v>19</v>
      </c>
      <c r="C98" s="7" t="s">
        <v>7</v>
      </c>
      <c r="D98" s="7" t="s">
        <v>8</v>
      </c>
      <c r="E98" s="7">
        <v>35</v>
      </c>
      <c r="F98" s="8">
        <v>66</v>
      </c>
      <c r="G98">
        <f t="shared" si="1"/>
        <v>514645</v>
      </c>
    </row>
    <row r="99" spans="1:7" x14ac:dyDescent="0.35">
      <c r="A99" s="9">
        <v>42882</v>
      </c>
      <c r="B99" s="10" t="s">
        <v>19</v>
      </c>
      <c r="C99" s="10" t="s">
        <v>12</v>
      </c>
      <c r="D99" s="10" t="s">
        <v>8</v>
      </c>
      <c r="E99" s="10">
        <v>25</v>
      </c>
      <c r="F99" s="11">
        <v>21</v>
      </c>
      <c r="G99">
        <f t="shared" si="1"/>
        <v>514120</v>
      </c>
    </row>
    <row r="100" spans="1:7" x14ac:dyDescent="0.35">
      <c r="A100" s="6">
        <v>42882</v>
      </c>
      <c r="B100" s="7" t="s">
        <v>19</v>
      </c>
      <c r="C100" s="7" t="s">
        <v>11</v>
      </c>
      <c r="D100" s="7" t="s">
        <v>8</v>
      </c>
      <c r="E100" s="7">
        <v>10</v>
      </c>
      <c r="F100" s="8">
        <v>25</v>
      </c>
      <c r="G100">
        <f t="shared" si="1"/>
        <v>513870</v>
      </c>
    </row>
    <row r="101" spans="1:7" x14ac:dyDescent="0.35">
      <c r="A101" s="9">
        <v>42904</v>
      </c>
      <c r="B101" s="10" t="s">
        <v>20</v>
      </c>
      <c r="C101" s="10" t="s">
        <v>11</v>
      </c>
      <c r="D101" s="10" t="s">
        <v>14</v>
      </c>
      <c r="E101" s="10">
        <v>38</v>
      </c>
      <c r="F101" s="11">
        <v>37</v>
      </c>
      <c r="G101">
        <f t="shared" si="1"/>
        <v>515276</v>
      </c>
    </row>
    <row r="102" spans="1:7" x14ac:dyDescent="0.35">
      <c r="A102" s="6">
        <v>42904</v>
      </c>
      <c r="B102" s="7" t="s">
        <v>20</v>
      </c>
      <c r="C102" s="7" t="s">
        <v>10</v>
      </c>
      <c r="D102" s="7" t="s">
        <v>8</v>
      </c>
      <c r="E102" s="7">
        <v>22</v>
      </c>
      <c r="F102" s="8">
        <v>8</v>
      </c>
      <c r="G102">
        <f t="shared" si="1"/>
        <v>515100</v>
      </c>
    </row>
    <row r="103" spans="1:7" x14ac:dyDescent="0.35">
      <c r="A103" s="9">
        <v>42904</v>
      </c>
      <c r="B103" s="10" t="s">
        <v>20</v>
      </c>
      <c r="C103" s="10" t="s">
        <v>12</v>
      </c>
      <c r="D103" s="10" t="s">
        <v>8</v>
      </c>
      <c r="E103" s="10">
        <v>25</v>
      </c>
      <c r="F103" s="11">
        <v>20</v>
      </c>
      <c r="G103">
        <f t="shared" si="1"/>
        <v>514600</v>
      </c>
    </row>
    <row r="104" spans="1:7" x14ac:dyDescent="0.35">
      <c r="A104" s="6">
        <v>42904</v>
      </c>
      <c r="B104" s="7" t="s">
        <v>20</v>
      </c>
      <c r="C104" s="7" t="s">
        <v>9</v>
      </c>
      <c r="D104" s="7" t="s">
        <v>8</v>
      </c>
      <c r="E104" s="7">
        <v>8</v>
      </c>
      <c r="F104" s="8">
        <v>39</v>
      </c>
      <c r="G104">
        <f t="shared" si="1"/>
        <v>514288</v>
      </c>
    </row>
    <row r="105" spans="1:7" x14ac:dyDescent="0.35">
      <c r="A105" s="9">
        <v>42904</v>
      </c>
      <c r="B105" s="10" t="s">
        <v>20</v>
      </c>
      <c r="C105" s="10" t="s">
        <v>7</v>
      </c>
      <c r="D105" s="10" t="s">
        <v>8</v>
      </c>
      <c r="E105" s="10">
        <v>45</v>
      </c>
      <c r="F105" s="11">
        <v>62</v>
      </c>
      <c r="G105">
        <f t="shared" si="1"/>
        <v>511498</v>
      </c>
    </row>
    <row r="106" spans="1:7" x14ac:dyDescent="0.35">
      <c r="A106" s="6">
        <v>42929</v>
      </c>
      <c r="B106" s="7" t="s">
        <v>21</v>
      </c>
      <c r="C106" s="7" t="s">
        <v>7</v>
      </c>
      <c r="D106" s="7" t="s">
        <v>14</v>
      </c>
      <c r="E106" s="7">
        <v>116</v>
      </c>
      <c r="F106" s="8">
        <v>100</v>
      </c>
      <c r="G106">
        <f t="shared" si="1"/>
        <v>523098</v>
      </c>
    </row>
    <row r="107" spans="1:7" x14ac:dyDescent="0.35">
      <c r="A107" s="9">
        <v>42929</v>
      </c>
      <c r="B107" s="10" t="s">
        <v>21</v>
      </c>
      <c r="C107" s="10" t="s">
        <v>12</v>
      </c>
      <c r="D107" s="10" t="s">
        <v>8</v>
      </c>
      <c r="E107" s="10">
        <v>29</v>
      </c>
      <c r="F107" s="11">
        <v>19</v>
      </c>
      <c r="G107">
        <f t="shared" si="1"/>
        <v>522547</v>
      </c>
    </row>
    <row r="108" spans="1:7" x14ac:dyDescent="0.35">
      <c r="A108" s="6">
        <v>42942</v>
      </c>
      <c r="B108" s="7" t="s">
        <v>22</v>
      </c>
      <c r="C108" s="7" t="s">
        <v>11</v>
      </c>
      <c r="D108" s="7" t="s">
        <v>14</v>
      </c>
      <c r="E108" s="7">
        <v>5</v>
      </c>
      <c r="F108" s="8">
        <v>34</v>
      </c>
      <c r="G108">
        <f t="shared" si="1"/>
        <v>522717</v>
      </c>
    </row>
    <row r="109" spans="1:7" x14ac:dyDescent="0.35">
      <c r="A109" s="9">
        <v>42942</v>
      </c>
      <c r="B109" s="10" t="s">
        <v>22</v>
      </c>
      <c r="C109" s="10" t="s">
        <v>10</v>
      </c>
      <c r="D109" s="10" t="s">
        <v>14</v>
      </c>
      <c r="E109" s="10">
        <v>22</v>
      </c>
      <c r="F109" s="11">
        <v>11</v>
      </c>
      <c r="G109">
        <f t="shared" si="1"/>
        <v>522959</v>
      </c>
    </row>
    <row r="110" spans="1:7" x14ac:dyDescent="0.35">
      <c r="A110" s="6">
        <v>42942</v>
      </c>
      <c r="B110" s="7" t="s">
        <v>22</v>
      </c>
      <c r="C110" s="7" t="s">
        <v>12</v>
      </c>
      <c r="D110" s="7" t="s">
        <v>8</v>
      </c>
      <c r="E110" s="7">
        <v>37</v>
      </c>
      <c r="F110" s="8">
        <v>22</v>
      </c>
      <c r="G110">
        <f t="shared" si="1"/>
        <v>522145</v>
      </c>
    </row>
    <row r="111" spans="1:7" x14ac:dyDescent="0.35">
      <c r="A111" s="9">
        <v>42942</v>
      </c>
      <c r="B111" s="10" t="s">
        <v>22</v>
      </c>
      <c r="C111" s="10" t="s">
        <v>7</v>
      </c>
      <c r="D111" s="10" t="s">
        <v>8</v>
      </c>
      <c r="E111" s="10">
        <v>10</v>
      </c>
      <c r="F111" s="11">
        <v>70</v>
      </c>
      <c r="G111">
        <f t="shared" si="1"/>
        <v>521445</v>
      </c>
    </row>
    <row r="112" spans="1:7" x14ac:dyDescent="0.35">
      <c r="A112" s="6">
        <v>42942</v>
      </c>
      <c r="B112" s="7" t="s">
        <v>22</v>
      </c>
      <c r="C112" s="7" t="s">
        <v>9</v>
      </c>
      <c r="D112" s="7" t="s">
        <v>8</v>
      </c>
      <c r="E112" s="7">
        <v>42</v>
      </c>
      <c r="F112" s="8">
        <v>44</v>
      </c>
      <c r="G112">
        <f t="shared" si="1"/>
        <v>519597</v>
      </c>
    </row>
    <row r="113" spans="1:7" x14ac:dyDescent="0.35">
      <c r="A113" s="9">
        <v>42959</v>
      </c>
      <c r="B113" s="10" t="s">
        <v>6</v>
      </c>
      <c r="C113" s="10" t="s">
        <v>7</v>
      </c>
      <c r="D113" s="10" t="s">
        <v>14</v>
      </c>
      <c r="E113" s="10">
        <v>11</v>
      </c>
      <c r="F113" s="11">
        <v>94</v>
      </c>
      <c r="G113">
        <f t="shared" si="1"/>
        <v>520631</v>
      </c>
    </row>
    <row r="114" spans="1:7" x14ac:dyDescent="0.35">
      <c r="A114" s="6">
        <v>42959</v>
      </c>
      <c r="B114" s="7" t="s">
        <v>6</v>
      </c>
      <c r="C114" s="7" t="s">
        <v>9</v>
      </c>
      <c r="D114" s="7" t="s">
        <v>14</v>
      </c>
      <c r="E114" s="7">
        <v>48</v>
      </c>
      <c r="F114" s="8">
        <v>59</v>
      </c>
      <c r="G114">
        <f t="shared" si="1"/>
        <v>523463</v>
      </c>
    </row>
    <row r="115" spans="1:7" x14ac:dyDescent="0.35">
      <c r="A115" s="9">
        <v>42959</v>
      </c>
      <c r="B115" s="10" t="s">
        <v>6</v>
      </c>
      <c r="C115" s="10" t="s">
        <v>12</v>
      </c>
      <c r="D115" s="10" t="s">
        <v>8</v>
      </c>
      <c r="E115" s="10">
        <v>20</v>
      </c>
      <c r="F115" s="11">
        <v>21</v>
      </c>
      <c r="G115">
        <f t="shared" si="1"/>
        <v>523043</v>
      </c>
    </row>
    <row r="116" spans="1:7" x14ac:dyDescent="0.35">
      <c r="A116" s="6">
        <v>42959</v>
      </c>
      <c r="B116" s="7" t="s">
        <v>6</v>
      </c>
      <c r="C116" s="7" t="s">
        <v>11</v>
      </c>
      <c r="D116" s="7" t="s">
        <v>8</v>
      </c>
      <c r="E116" s="7">
        <v>26</v>
      </c>
      <c r="F116" s="8">
        <v>25</v>
      </c>
      <c r="G116">
        <f t="shared" si="1"/>
        <v>522393</v>
      </c>
    </row>
    <row r="117" spans="1:7" x14ac:dyDescent="0.35">
      <c r="A117" s="9">
        <v>42974</v>
      </c>
      <c r="B117" s="10" t="s">
        <v>13</v>
      </c>
      <c r="C117" s="10" t="s">
        <v>10</v>
      </c>
      <c r="D117" s="10" t="s">
        <v>8</v>
      </c>
      <c r="E117" s="10">
        <v>24</v>
      </c>
      <c r="F117" s="11">
        <v>9</v>
      </c>
      <c r="G117">
        <f t="shared" si="1"/>
        <v>522177</v>
      </c>
    </row>
    <row r="118" spans="1:7" x14ac:dyDescent="0.35">
      <c r="A118" s="6">
        <v>42974</v>
      </c>
      <c r="B118" s="7" t="s">
        <v>13</v>
      </c>
      <c r="C118" s="7" t="s">
        <v>7</v>
      </c>
      <c r="D118" s="7" t="s">
        <v>8</v>
      </c>
      <c r="E118" s="7">
        <v>38</v>
      </c>
      <c r="F118" s="8">
        <v>68</v>
      </c>
      <c r="G118">
        <f t="shared" si="1"/>
        <v>519593</v>
      </c>
    </row>
    <row r="119" spans="1:7" x14ac:dyDescent="0.35">
      <c r="A119" s="9">
        <v>42974</v>
      </c>
      <c r="B119" s="10" t="s">
        <v>13</v>
      </c>
      <c r="C119" s="10" t="s">
        <v>12</v>
      </c>
      <c r="D119" s="10" t="s">
        <v>8</v>
      </c>
      <c r="E119" s="10">
        <v>14</v>
      </c>
      <c r="F119" s="11">
        <v>21</v>
      </c>
      <c r="G119">
        <f t="shared" si="1"/>
        <v>519299</v>
      </c>
    </row>
    <row r="120" spans="1:7" x14ac:dyDescent="0.35">
      <c r="A120" s="6">
        <v>42974</v>
      </c>
      <c r="B120" s="7" t="s">
        <v>13</v>
      </c>
      <c r="C120" s="7" t="s">
        <v>9</v>
      </c>
      <c r="D120" s="7" t="s">
        <v>8</v>
      </c>
      <c r="E120" s="7">
        <v>4</v>
      </c>
      <c r="F120" s="8">
        <v>43</v>
      </c>
      <c r="G120">
        <f t="shared" si="1"/>
        <v>519127</v>
      </c>
    </row>
    <row r="121" spans="1:7" x14ac:dyDescent="0.35">
      <c r="A121" s="9">
        <v>42993</v>
      </c>
      <c r="B121" s="10" t="s">
        <v>15</v>
      </c>
      <c r="C121" s="10" t="s">
        <v>11</v>
      </c>
      <c r="D121" s="10" t="s">
        <v>14</v>
      </c>
      <c r="E121" s="10">
        <v>19</v>
      </c>
      <c r="F121" s="11">
        <v>36</v>
      </c>
      <c r="G121">
        <f t="shared" si="1"/>
        <v>519811</v>
      </c>
    </row>
    <row r="122" spans="1:7" x14ac:dyDescent="0.35">
      <c r="A122" s="6">
        <v>42993</v>
      </c>
      <c r="B122" s="7" t="s">
        <v>15</v>
      </c>
      <c r="C122" s="7" t="s">
        <v>7</v>
      </c>
      <c r="D122" s="7" t="s">
        <v>8</v>
      </c>
      <c r="E122" s="7">
        <v>30</v>
      </c>
      <c r="F122" s="8">
        <v>65</v>
      </c>
      <c r="G122">
        <f t="shared" si="1"/>
        <v>517861</v>
      </c>
    </row>
    <row r="123" spans="1:7" x14ac:dyDescent="0.35">
      <c r="A123" s="9">
        <v>43019</v>
      </c>
      <c r="B123" s="10" t="s">
        <v>16</v>
      </c>
      <c r="C123" s="10" t="s">
        <v>9</v>
      </c>
      <c r="D123" s="10" t="s">
        <v>14</v>
      </c>
      <c r="E123" s="10">
        <v>6</v>
      </c>
      <c r="F123" s="11">
        <v>63</v>
      </c>
      <c r="G123">
        <f t="shared" si="1"/>
        <v>518239</v>
      </c>
    </row>
    <row r="124" spans="1:7" x14ac:dyDescent="0.35">
      <c r="A124" s="6">
        <v>43019</v>
      </c>
      <c r="B124" s="7" t="s">
        <v>16</v>
      </c>
      <c r="C124" s="7" t="s">
        <v>7</v>
      </c>
      <c r="D124" s="7" t="s">
        <v>8</v>
      </c>
      <c r="E124" s="7">
        <v>43</v>
      </c>
      <c r="F124" s="8">
        <v>59</v>
      </c>
      <c r="G124">
        <f t="shared" si="1"/>
        <v>515702</v>
      </c>
    </row>
    <row r="125" spans="1:7" x14ac:dyDescent="0.35">
      <c r="A125" s="9">
        <v>43040</v>
      </c>
      <c r="B125" s="10" t="s">
        <v>17</v>
      </c>
      <c r="C125" s="10" t="s">
        <v>9</v>
      </c>
      <c r="D125" s="10" t="s">
        <v>14</v>
      </c>
      <c r="E125" s="10">
        <v>1</v>
      </c>
      <c r="F125" s="11">
        <v>61</v>
      </c>
      <c r="G125">
        <f t="shared" si="1"/>
        <v>515763</v>
      </c>
    </row>
    <row r="126" spans="1:7" x14ac:dyDescent="0.35">
      <c r="A126" s="6">
        <v>43040</v>
      </c>
      <c r="B126" s="7" t="s">
        <v>17</v>
      </c>
      <c r="C126" s="7" t="s">
        <v>12</v>
      </c>
      <c r="D126" s="7" t="s">
        <v>14</v>
      </c>
      <c r="E126" s="7">
        <v>147</v>
      </c>
      <c r="F126" s="8">
        <v>30</v>
      </c>
      <c r="G126">
        <f t="shared" si="1"/>
        <v>520173</v>
      </c>
    </row>
    <row r="127" spans="1:7" x14ac:dyDescent="0.35">
      <c r="A127" s="9">
        <v>43040</v>
      </c>
      <c r="B127" s="10" t="s">
        <v>17</v>
      </c>
      <c r="C127" s="10" t="s">
        <v>10</v>
      </c>
      <c r="D127" s="10" t="s">
        <v>8</v>
      </c>
      <c r="E127" s="10">
        <v>15</v>
      </c>
      <c r="F127" s="11">
        <v>8</v>
      </c>
      <c r="G127">
        <f t="shared" si="1"/>
        <v>520053</v>
      </c>
    </row>
    <row r="128" spans="1:7" x14ac:dyDescent="0.35">
      <c r="A128" s="6">
        <v>43040</v>
      </c>
      <c r="B128" s="7" t="s">
        <v>17</v>
      </c>
      <c r="C128" s="7" t="s">
        <v>7</v>
      </c>
      <c r="D128" s="7" t="s">
        <v>8</v>
      </c>
      <c r="E128" s="7">
        <v>24</v>
      </c>
      <c r="F128" s="8">
        <v>63</v>
      </c>
      <c r="G128">
        <f t="shared" si="1"/>
        <v>518541</v>
      </c>
    </row>
    <row r="129" spans="1:7" x14ac:dyDescent="0.35">
      <c r="A129" s="9">
        <v>43040</v>
      </c>
      <c r="B129" s="10" t="s">
        <v>17</v>
      </c>
      <c r="C129" s="10" t="s">
        <v>11</v>
      </c>
      <c r="D129" s="10" t="s">
        <v>8</v>
      </c>
      <c r="E129" s="10">
        <v>19</v>
      </c>
      <c r="F129" s="11">
        <v>24</v>
      </c>
      <c r="G129">
        <f t="shared" si="1"/>
        <v>518085</v>
      </c>
    </row>
    <row r="130" spans="1:7" x14ac:dyDescent="0.35">
      <c r="A130" s="6">
        <v>43064</v>
      </c>
      <c r="B130" s="7" t="s">
        <v>18</v>
      </c>
      <c r="C130" s="7" t="s">
        <v>7</v>
      </c>
      <c r="D130" s="7" t="s">
        <v>14</v>
      </c>
      <c r="E130" s="7">
        <v>134</v>
      </c>
      <c r="F130" s="8">
        <v>99</v>
      </c>
      <c r="G130">
        <f t="shared" si="1"/>
        <v>531351</v>
      </c>
    </row>
    <row r="131" spans="1:7" x14ac:dyDescent="0.35">
      <c r="A131" s="9">
        <v>43064</v>
      </c>
      <c r="B131" s="10" t="s">
        <v>18</v>
      </c>
      <c r="C131" s="10" t="s">
        <v>9</v>
      </c>
      <c r="D131" s="10" t="s">
        <v>8</v>
      </c>
      <c r="E131" s="10">
        <v>12</v>
      </c>
      <c r="F131" s="11">
        <v>38</v>
      </c>
      <c r="G131">
        <f t="shared" si="1"/>
        <v>530895</v>
      </c>
    </row>
    <row r="132" spans="1:7" x14ac:dyDescent="0.35">
      <c r="A132" s="6">
        <v>43082</v>
      </c>
      <c r="B132" s="7" t="s">
        <v>19</v>
      </c>
      <c r="C132" s="7" t="s">
        <v>12</v>
      </c>
      <c r="D132" s="7" t="s">
        <v>14</v>
      </c>
      <c r="E132" s="7">
        <v>4</v>
      </c>
      <c r="F132" s="8">
        <v>30</v>
      </c>
      <c r="G132">
        <f t="shared" ref="G132:G195" si="2">IF(D132="W",F132*E132+G131,G131-(F132*E132))</f>
        <v>531015</v>
      </c>
    </row>
    <row r="133" spans="1:7" x14ac:dyDescent="0.35">
      <c r="A133" s="9">
        <v>43082</v>
      </c>
      <c r="B133" s="10" t="s">
        <v>19</v>
      </c>
      <c r="C133" s="10" t="s">
        <v>10</v>
      </c>
      <c r="D133" s="10" t="s">
        <v>8</v>
      </c>
      <c r="E133" s="10">
        <v>26</v>
      </c>
      <c r="F133" s="11">
        <v>8</v>
      </c>
      <c r="G133">
        <f t="shared" si="2"/>
        <v>530807</v>
      </c>
    </row>
    <row r="134" spans="1:7" x14ac:dyDescent="0.35">
      <c r="A134" s="6">
        <v>43082</v>
      </c>
      <c r="B134" s="7" t="s">
        <v>19</v>
      </c>
      <c r="C134" s="7" t="s">
        <v>7</v>
      </c>
      <c r="D134" s="7" t="s">
        <v>8</v>
      </c>
      <c r="E134" s="7">
        <v>38</v>
      </c>
      <c r="F134" s="8">
        <v>66</v>
      </c>
      <c r="G134">
        <f t="shared" si="2"/>
        <v>528299</v>
      </c>
    </row>
    <row r="135" spans="1:7" x14ac:dyDescent="0.35">
      <c r="A135" s="9">
        <v>43104</v>
      </c>
      <c r="B135" s="10" t="s">
        <v>20</v>
      </c>
      <c r="C135" s="10" t="s">
        <v>7</v>
      </c>
      <c r="D135" s="10" t="s">
        <v>14</v>
      </c>
      <c r="E135" s="10">
        <v>38</v>
      </c>
      <c r="F135" s="11">
        <v>98</v>
      </c>
      <c r="G135">
        <f t="shared" si="2"/>
        <v>532023</v>
      </c>
    </row>
    <row r="136" spans="1:7" x14ac:dyDescent="0.35">
      <c r="A136" s="6">
        <v>43104</v>
      </c>
      <c r="B136" s="7" t="s">
        <v>20</v>
      </c>
      <c r="C136" s="7" t="s">
        <v>11</v>
      </c>
      <c r="D136" s="7" t="s">
        <v>14</v>
      </c>
      <c r="E136" s="7">
        <v>44</v>
      </c>
      <c r="F136" s="8">
        <v>37</v>
      </c>
      <c r="G136">
        <f t="shared" si="2"/>
        <v>533651</v>
      </c>
    </row>
    <row r="137" spans="1:7" x14ac:dyDescent="0.35">
      <c r="A137" s="9">
        <v>43104</v>
      </c>
      <c r="B137" s="10" t="s">
        <v>20</v>
      </c>
      <c r="C137" s="10" t="s">
        <v>10</v>
      </c>
      <c r="D137" s="10" t="s">
        <v>8</v>
      </c>
      <c r="E137" s="10">
        <v>21</v>
      </c>
      <c r="F137" s="11">
        <v>8</v>
      </c>
      <c r="G137">
        <f t="shared" si="2"/>
        <v>533483</v>
      </c>
    </row>
    <row r="138" spans="1:7" x14ac:dyDescent="0.35">
      <c r="A138" s="6">
        <v>43104</v>
      </c>
      <c r="B138" s="7" t="s">
        <v>20</v>
      </c>
      <c r="C138" s="7" t="s">
        <v>9</v>
      </c>
      <c r="D138" s="7" t="s">
        <v>8</v>
      </c>
      <c r="E138" s="7">
        <v>10</v>
      </c>
      <c r="F138" s="8">
        <v>39</v>
      </c>
      <c r="G138">
        <f t="shared" si="2"/>
        <v>533093</v>
      </c>
    </row>
    <row r="139" spans="1:7" x14ac:dyDescent="0.35">
      <c r="A139" s="9">
        <v>43129</v>
      </c>
      <c r="B139" s="10" t="s">
        <v>21</v>
      </c>
      <c r="C139" s="10" t="s">
        <v>11</v>
      </c>
      <c r="D139" s="10" t="s">
        <v>14</v>
      </c>
      <c r="E139" s="10">
        <v>15</v>
      </c>
      <c r="F139" s="11">
        <v>38</v>
      </c>
      <c r="G139">
        <f t="shared" si="2"/>
        <v>533663</v>
      </c>
    </row>
    <row r="140" spans="1:7" x14ac:dyDescent="0.35">
      <c r="A140" s="6">
        <v>43129</v>
      </c>
      <c r="B140" s="7" t="s">
        <v>21</v>
      </c>
      <c r="C140" s="7" t="s">
        <v>9</v>
      </c>
      <c r="D140" s="7" t="s">
        <v>14</v>
      </c>
      <c r="E140" s="7">
        <v>22</v>
      </c>
      <c r="F140" s="8">
        <v>63</v>
      </c>
      <c r="G140">
        <f t="shared" si="2"/>
        <v>535049</v>
      </c>
    </row>
    <row r="141" spans="1:7" x14ac:dyDescent="0.35">
      <c r="A141" s="9">
        <v>43129</v>
      </c>
      <c r="B141" s="10" t="s">
        <v>21</v>
      </c>
      <c r="C141" s="10" t="s">
        <v>7</v>
      </c>
      <c r="D141" s="10" t="s">
        <v>8</v>
      </c>
      <c r="E141" s="10">
        <v>9</v>
      </c>
      <c r="F141" s="11">
        <v>60</v>
      </c>
      <c r="G141">
        <f t="shared" si="2"/>
        <v>534509</v>
      </c>
    </row>
    <row r="142" spans="1:7" x14ac:dyDescent="0.35">
      <c r="A142" s="6">
        <v>43129</v>
      </c>
      <c r="B142" s="7" t="s">
        <v>21</v>
      </c>
      <c r="C142" s="7" t="s">
        <v>12</v>
      </c>
      <c r="D142" s="7" t="s">
        <v>8</v>
      </c>
      <c r="E142" s="7">
        <v>6</v>
      </c>
      <c r="F142" s="8">
        <v>19</v>
      </c>
      <c r="G142">
        <f t="shared" si="2"/>
        <v>534395</v>
      </c>
    </row>
    <row r="143" spans="1:7" x14ac:dyDescent="0.35">
      <c r="A143" s="9">
        <v>43129</v>
      </c>
      <c r="B143" s="10" t="s">
        <v>21</v>
      </c>
      <c r="C143" s="10" t="s">
        <v>10</v>
      </c>
      <c r="D143" s="10" t="s">
        <v>8</v>
      </c>
      <c r="E143" s="10">
        <v>4</v>
      </c>
      <c r="F143" s="11">
        <v>8</v>
      </c>
      <c r="G143">
        <f t="shared" si="2"/>
        <v>534363</v>
      </c>
    </row>
    <row r="144" spans="1:7" x14ac:dyDescent="0.35">
      <c r="A144" s="6">
        <v>43130</v>
      </c>
      <c r="B144" s="7" t="s">
        <v>22</v>
      </c>
      <c r="C144" s="7" t="s">
        <v>12</v>
      </c>
      <c r="D144" s="7" t="s">
        <v>14</v>
      </c>
      <c r="E144" s="7">
        <v>6</v>
      </c>
      <c r="F144" s="8">
        <v>25</v>
      </c>
      <c r="G144">
        <f t="shared" si="2"/>
        <v>534513</v>
      </c>
    </row>
    <row r="145" spans="1:7" x14ac:dyDescent="0.35">
      <c r="A145" s="9">
        <v>43130</v>
      </c>
      <c r="B145" s="10" t="s">
        <v>22</v>
      </c>
      <c r="C145" s="10" t="s">
        <v>7</v>
      </c>
      <c r="D145" s="10" t="s">
        <v>8</v>
      </c>
      <c r="E145" s="10">
        <v>48</v>
      </c>
      <c r="F145" s="11">
        <v>79</v>
      </c>
      <c r="G145">
        <f t="shared" si="2"/>
        <v>530721</v>
      </c>
    </row>
    <row r="146" spans="1:7" x14ac:dyDescent="0.35">
      <c r="A146" s="6">
        <v>43147</v>
      </c>
      <c r="B146" s="7" t="s">
        <v>6</v>
      </c>
      <c r="C146" s="7" t="s">
        <v>9</v>
      </c>
      <c r="D146" s="7" t="s">
        <v>8</v>
      </c>
      <c r="E146" s="7">
        <v>34</v>
      </c>
      <c r="F146" s="8">
        <v>42</v>
      </c>
      <c r="G146">
        <f t="shared" si="2"/>
        <v>529293</v>
      </c>
    </row>
    <row r="147" spans="1:7" x14ac:dyDescent="0.35">
      <c r="A147" s="9">
        <v>43147</v>
      </c>
      <c r="B147" s="10" t="s">
        <v>6</v>
      </c>
      <c r="C147" s="10" t="s">
        <v>11</v>
      </c>
      <c r="D147" s="10" t="s">
        <v>14</v>
      </c>
      <c r="E147" s="10">
        <v>49</v>
      </c>
      <c r="F147" s="11">
        <v>35</v>
      </c>
      <c r="G147">
        <f t="shared" si="2"/>
        <v>531008</v>
      </c>
    </row>
    <row r="148" spans="1:7" x14ac:dyDescent="0.35">
      <c r="A148" s="6">
        <v>43147</v>
      </c>
      <c r="B148" s="7" t="s">
        <v>6</v>
      </c>
      <c r="C148" s="7" t="s">
        <v>10</v>
      </c>
      <c r="D148" s="7" t="s">
        <v>8</v>
      </c>
      <c r="E148" s="7">
        <v>10</v>
      </c>
      <c r="F148" s="8">
        <v>8</v>
      </c>
      <c r="G148">
        <f t="shared" si="2"/>
        <v>530928</v>
      </c>
    </row>
    <row r="149" spans="1:7" x14ac:dyDescent="0.35">
      <c r="A149" s="9">
        <v>43147</v>
      </c>
      <c r="B149" s="10" t="s">
        <v>6</v>
      </c>
      <c r="C149" s="10" t="s">
        <v>12</v>
      </c>
      <c r="D149" s="10" t="s">
        <v>8</v>
      </c>
      <c r="E149" s="10">
        <v>47</v>
      </c>
      <c r="F149" s="11">
        <v>21</v>
      </c>
      <c r="G149">
        <f t="shared" si="2"/>
        <v>529941</v>
      </c>
    </row>
    <row r="150" spans="1:7" x14ac:dyDescent="0.35">
      <c r="A150" s="6">
        <v>43147</v>
      </c>
      <c r="B150" s="7" t="s">
        <v>6</v>
      </c>
      <c r="C150" s="7" t="s">
        <v>7</v>
      </c>
      <c r="D150" s="7" t="s">
        <v>8</v>
      </c>
      <c r="E150" s="7">
        <v>48</v>
      </c>
      <c r="F150" s="8">
        <v>66</v>
      </c>
      <c r="G150">
        <f t="shared" si="2"/>
        <v>526773</v>
      </c>
    </row>
    <row r="151" spans="1:7" x14ac:dyDescent="0.35">
      <c r="A151" s="9">
        <v>43162</v>
      </c>
      <c r="B151" s="10" t="s">
        <v>13</v>
      </c>
      <c r="C151" s="10" t="s">
        <v>9</v>
      </c>
      <c r="D151" s="10" t="s">
        <v>14</v>
      </c>
      <c r="E151" s="10">
        <v>34</v>
      </c>
      <c r="F151" s="11">
        <v>58</v>
      </c>
      <c r="G151">
        <f t="shared" si="2"/>
        <v>528745</v>
      </c>
    </row>
    <row r="152" spans="1:7" x14ac:dyDescent="0.35">
      <c r="A152" s="6">
        <v>43162</v>
      </c>
      <c r="B152" s="7" t="s">
        <v>13</v>
      </c>
      <c r="C152" s="7" t="s">
        <v>10</v>
      </c>
      <c r="D152" s="7" t="s">
        <v>8</v>
      </c>
      <c r="E152" s="7">
        <v>5</v>
      </c>
      <c r="F152" s="8">
        <v>9</v>
      </c>
      <c r="G152">
        <f t="shared" si="2"/>
        <v>528700</v>
      </c>
    </row>
    <row r="153" spans="1:7" x14ac:dyDescent="0.35">
      <c r="A153" s="9">
        <v>43181</v>
      </c>
      <c r="B153" s="10" t="s">
        <v>15</v>
      </c>
      <c r="C153" s="10" t="s">
        <v>12</v>
      </c>
      <c r="D153" s="10" t="s">
        <v>14</v>
      </c>
      <c r="E153" s="10">
        <v>46</v>
      </c>
      <c r="F153" s="11">
        <v>30</v>
      </c>
      <c r="G153">
        <f t="shared" si="2"/>
        <v>530080</v>
      </c>
    </row>
    <row r="154" spans="1:7" x14ac:dyDescent="0.35">
      <c r="A154" s="6">
        <v>43181</v>
      </c>
      <c r="B154" s="7" t="s">
        <v>15</v>
      </c>
      <c r="C154" s="7" t="s">
        <v>7</v>
      </c>
      <c r="D154" s="7" t="s">
        <v>8</v>
      </c>
      <c r="E154" s="7">
        <v>49</v>
      </c>
      <c r="F154" s="8">
        <v>65</v>
      </c>
      <c r="G154">
        <f t="shared" si="2"/>
        <v>526895</v>
      </c>
    </row>
    <row r="155" spans="1:7" x14ac:dyDescent="0.35">
      <c r="A155" s="9">
        <v>43181</v>
      </c>
      <c r="B155" s="10" t="s">
        <v>15</v>
      </c>
      <c r="C155" s="10" t="s">
        <v>10</v>
      </c>
      <c r="D155" s="10" t="s">
        <v>8</v>
      </c>
      <c r="E155" s="10">
        <v>16</v>
      </c>
      <c r="F155" s="11">
        <v>8</v>
      </c>
      <c r="G155">
        <f t="shared" si="2"/>
        <v>526767</v>
      </c>
    </row>
    <row r="156" spans="1:7" x14ac:dyDescent="0.35">
      <c r="A156" s="6">
        <v>43207</v>
      </c>
      <c r="B156" s="7" t="s">
        <v>16</v>
      </c>
      <c r="C156" s="7" t="s">
        <v>9</v>
      </c>
      <c r="D156" s="7" t="s">
        <v>8</v>
      </c>
      <c r="E156" s="7">
        <v>5</v>
      </c>
      <c r="F156" s="8">
        <v>37</v>
      </c>
      <c r="G156">
        <f t="shared" si="2"/>
        <v>526582</v>
      </c>
    </row>
    <row r="157" spans="1:7" x14ac:dyDescent="0.35">
      <c r="A157" s="9">
        <v>43207</v>
      </c>
      <c r="B157" s="10" t="s">
        <v>16</v>
      </c>
      <c r="C157" s="10" t="s">
        <v>12</v>
      </c>
      <c r="D157" s="10" t="s">
        <v>14</v>
      </c>
      <c r="E157" s="10">
        <v>1</v>
      </c>
      <c r="F157" s="11">
        <v>32</v>
      </c>
      <c r="G157">
        <f t="shared" si="2"/>
        <v>526614</v>
      </c>
    </row>
    <row r="158" spans="1:7" x14ac:dyDescent="0.35">
      <c r="A158" s="6">
        <v>43207</v>
      </c>
      <c r="B158" s="7" t="s">
        <v>16</v>
      </c>
      <c r="C158" s="7" t="s">
        <v>10</v>
      </c>
      <c r="D158" s="7" t="s">
        <v>8</v>
      </c>
      <c r="E158" s="7">
        <v>34</v>
      </c>
      <c r="F158" s="8">
        <v>7</v>
      </c>
      <c r="G158">
        <f t="shared" si="2"/>
        <v>526376</v>
      </c>
    </row>
    <row r="159" spans="1:7" x14ac:dyDescent="0.35">
      <c r="A159" s="9">
        <v>43207</v>
      </c>
      <c r="B159" s="10" t="s">
        <v>16</v>
      </c>
      <c r="C159" s="10" t="s">
        <v>7</v>
      </c>
      <c r="D159" s="10" t="s">
        <v>8</v>
      </c>
      <c r="E159" s="10">
        <v>29</v>
      </c>
      <c r="F159" s="11">
        <v>59</v>
      </c>
      <c r="G159">
        <f t="shared" si="2"/>
        <v>524665</v>
      </c>
    </row>
    <row r="160" spans="1:7" x14ac:dyDescent="0.35">
      <c r="A160" s="6">
        <v>43228</v>
      </c>
      <c r="B160" s="7" t="s">
        <v>17</v>
      </c>
      <c r="C160" s="7" t="s">
        <v>11</v>
      </c>
      <c r="D160" s="7" t="s">
        <v>8</v>
      </c>
      <c r="E160" s="7">
        <v>34</v>
      </c>
      <c r="F160" s="8">
        <v>24</v>
      </c>
      <c r="G160">
        <f t="shared" si="2"/>
        <v>523849</v>
      </c>
    </row>
    <row r="161" spans="1:7" x14ac:dyDescent="0.35">
      <c r="A161" s="9">
        <v>43228</v>
      </c>
      <c r="B161" s="10" t="s">
        <v>17</v>
      </c>
      <c r="C161" s="10" t="s">
        <v>12</v>
      </c>
      <c r="D161" s="10" t="s">
        <v>8</v>
      </c>
      <c r="E161" s="10">
        <v>27</v>
      </c>
      <c r="F161" s="11">
        <v>20</v>
      </c>
      <c r="G161">
        <f t="shared" si="2"/>
        <v>523309</v>
      </c>
    </row>
    <row r="162" spans="1:7" x14ac:dyDescent="0.35">
      <c r="A162" s="6">
        <v>43228</v>
      </c>
      <c r="B162" s="7" t="s">
        <v>17</v>
      </c>
      <c r="C162" s="7" t="s">
        <v>10</v>
      </c>
      <c r="D162" s="7" t="s">
        <v>8</v>
      </c>
      <c r="E162" s="7">
        <v>40</v>
      </c>
      <c r="F162" s="8">
        <v>8</v>
      </c>
      <c r="G162">
        <f t="shared" si="2"/>
        <v>522989</v>
      </c>
    </row>
    <row r="163" spans="1:7" x14ac:dyDescent="0.35">
      <c r="A163" s="9">
        <v>43252</v>
      </c>
      <c r="B163" s="10" t="s">
        <v>18</v>
      </c>
      <c r="C163" s="10" t="s">
        <v>7</v>
      </c>
      <c r="D163" s="10" t="s">
        <v>14</v>
      </c>
      <c r="E163" s="10">
        <v>184</v>
      </c>
      <c r="F163" s="11">
        <v>99</v>
      </c>
      <c r="G163">
        <f t="shared" si="2"/>
        <v>541205</v>
      </c>
    </row>
    <row r="164" spans="1:7" x14ac:dyDescent="0.35">
      <c r="A164" s="6">
        <v>43252</v>
      </c>
      <c r="B164" s="7" t="s">
        <v>18</v>
      </c>
      <c r="C164" s="7" t="s">
        <v>9</v>
      </c>
      <c r="D164" s="7" t="s">
        <v>8</v>
      </c>
      <c r="E164" s="7">
        <v>48</v>
      </c>
      <c r="F164" s="8">
        <v>38</v>
      </c>
      <c r="G164">
        <f t="shared" si="2"/>
        <v>539381</v>
      </c>
    </row>
    <row r="165" spans="1:7" x14ac:dyDescent="0.35">
      <c r="A165" s="9">
        <v>43252</v>
      </c>
      <c r="B165" s="10" t="s">
        <v>18</v>
      </c>
      <c r="C165" s="10" t="s">
        <v>11</v>
      </c>
      <c r="D165" s="10" t="s">
        <v>8</v>
      </c>
      <c r="E165" s="10">
        <v>21</v>
      </c>
      <c r="F165" s="11">
        <v>23</v>
      </c>
      <c r="G165">
        <f t="shared" si="2"/>
        <v>538898</v>
      </c>
    </row>
    <row r="166" spans="1:7" x14ac:dyDescent="0.35">
      <c r="A166" s="6">
        <v>43270</v>
      </c>
      <c r="B166" s="7" t="s">
        <v>19</v>
      </c>
      <c r="C166" s="7" t="s">
        <v>7</v>
      </c>
      <c r="D166" s="7" t="s">
        <v>8</v>
      </c>
      <c r="E166" s="7">
        <v>47</v>
      </c>
      <c r="F166" s="8">
        <v>66</v>
      </c>
      <c r="G166">
        <f t="shared" si="2"/>
        <v>535796</v>
      </c>
    </row>
    <row r="167" spans="1:7" x14ac:dyDescent="0.35">
      <c r="A167" s="9">
        <v>43270</v>
      </c>
      <c r="B167" s="10" t="s">
        <v>19</v>
      </c>
      <c r="C167" s="10" t="s">
        <v>11</v>
      </c>
      <c r="D167" s="10" t="s">
        <v>8</v>
      </c>
      <c r="E167" s="10">
        <v>6</v>
      </c>
      <c r="F167" s="11">
        <v>25</v>
      </c>
      <c r="G167">
        <f t="shared" si="2"/>
        <v>535646</v>
      </c>
    </row>
    <row r="168" spans="1:7" x14ac:dyDescent="0.35">
      <c r="A168" s="6">
        <v>43270</v>
      </c>
      <c r="B168" s="7" t="s">
        <v>19</v>
      </c>
      <c r="C168" s="7" t="s">
        <v>9</v>
      </c>
      <c r="D168" s="7" t="s">
        <v>8</v>
      </c>
      <c r="E168" s="7">
        <v>47</v>
      </c>
      <c r="F168" s="8">
        <v>41</v>
      </c>
      <c r="G168">
        <f t="shared" si="2"/>
        <v>533719</v>
      </c>
    </row>
    <row r="169" spans="1:7" x14ac:dyDescent="0.35">
      <c r="A169" s="9">
        <v>43292</v>
      </c>
      <c r="B169" s="10" t="s">
        <v>20</v>
      </c>
      <c r="C169" s="10" t="s">
        <v>10</v>
      </c>
      <c r="D169" s="10" t="s">
        <v>14</v>
      </c>
      <c r="E169" s="10">
        <v>192</v>
      </c>
      <c r="F169" s="11">
        <v>12</v>
      </c>
      <c r="G169">
        <f t="shared" si="2"/>
        <v>536023</v>
      </c>
    </row>
    <row r="170" spans="1:7" x14ac:dyDescent="0.35">
      <c r="A170" s="6">
        <v>43292</v>
      </c>
      <c r="B170" s="7" t="s">
        <v>20</v>
      </c>
      <c r="C170" s="7" t="s">
        <v>11</v>
      </c>
      <c r="D170" s="7" t="s">
        <v>14</v>
      </c>
      <c r="E170" s="7">
        <v>48</v>
      </c>
      <c r="F170" s="8">
        <v>37</v>
      </c>
      <c r="G170">
        <f t="shared" si="2"/>
        <v>537799</v>
      </c>
    </row>
    <row r="171" spans="1:7" x14ac:dyDescent="0.35">
      <c r="A171" s="9">
        <v>43292</v>
      </c>
      <c r="B171" s="10" t="s">
        <v>20</v>
      </c>
      <c r="C171" s="10" t="s">
        <v>7</v>
      </c>
      <c r="D171" s="10" t="s">
        <v>8</v>
      </c>
      <c r="E171" s="10">
        <v>18</v>
      </c>
      <c r="F171" s="11">
        <v>62</v>
      </c>
      <c r="G171">
        <f t="shared" si="2"/>
        <v>536683</v>
      </c>
    </row>
    <row r="172" spans="1:7" x14ac:dyDescent="0.35">
      <c r="A172" s="6">
        <v>43292</v>
      </c>
      <c r="B172" s="7" t="s">
        <v>20</v>
      </c>
      <c r="C172" s="7" t="s">
        <v>9</v>
      </c>
      <c r="D172" s="7" t="s">
        <v>8</v>
      </c>
      <c r="E172" s="7">
        <v>25</v>
      </c>
      <c r="F172" s="8">
        <v>39</v>
      </c>
      <c r="G172">
        <f t="shared" si="2"/>
        <v>535708</v>
      </c>
    </row>
    <row r="173" spans="1:7" x14ac:dyDescent="0.35">
      <c r="A173" s="9">
        <v>43292</v>
      </c>
      <c r="B173" s="10" t="s">
        <v>20</v>
      </c>
      <c r="C173" s="10" t="s">
        <v>12</v>
      </c>
      <c r="D173" s="10" t="s">
        <v>8</v>
      </c>
      <c r="E173" s="10">
        <v>2</v>
      </c>
      <c r="F173" s="11">
        <v>20</v>
      </c>
      <c r="G173">
        <f t="shared" si="2"/>
        <v>535668</v>
      </c>
    </row>
    <row r="174" spans="1:7" x14ac:dyDescent="0.35">
      <c r="A174" s="6">
        <v>43317</v>
      </c>
      <c r="B174" s="7" t="s">
        <v>21</v>
      </c>
      <c r="C174" s="7" t="s">
        <v>11</v>
      </c>
      <c r="D174" s="7" t="s">
        <v>14</v>
      </c>
      <c r="E174" s="7">
        <v>13</v>
      </c>
      <c r="F174" s="8">
        <v>38</v>
      </c>
      <c r="G174">
        <f t="shared" si="2"/>
        <v>536162</v>
      </c>
    </row>
    <row r="175" spans="1:7" x14ac:dyDescent="0.35">
      <c r="A175" s="9">
        <v>43317</v>
      </c>
      <c r="B175" s="10" t="s">
        <v>21</v>
      </c>
      <c r="C175" s="10" t="s">
        <v>9</v>
      </c>
      <c r="D175" s="10" t="s">
        <v>14</v>
      </c>
      <c r="E175" s="10">
        <v>121</v>
      </c>
      <c r="F175" s="11">
        <v>63</v>
      </c>
      <c r="G175">
        <f t="shared" si="2"/>
        <v>543785</v>
      </c>
    </row>
    <row r="176" spans="1:7" x14ac:dyDescent="0.35">
      <c r="A176" s="6">
        <v>43317</v>
      </c>
      <c r="B176" s="7" t="s">
        <v>21</v>
      </c>
      <c r="C176" s="7" t="s">
        <v>12</v>
      </c>
      <c r="D176" s="7" t="s">
        <v>8</v>
      </c>
      <c r="E176" s="7">
        <v>30</v>
      </c>
      <c r="F176" s="8">
        <v>19</v>
      </c>
      <c r="G176">
        <f t="shared" si="2"/>
        <v>543215</v>
      </c>
    </row>
    <row r="177" spans="1:7" x14ac:dyDescent="0.35">
      <c r="A177" s="9">
        <v>43317</v>
      </c>
      <c r="B177" s="10" t="s">
        <v>21</v>
      </c>
      <c r="C177" s="10" t="s">
        <v>10</v>
      </c>
      <c r="D177" s="10" t="s">
        <v>8</v>
      </c>
      <c r="E177" s="10">
        <v>46</v>
      </c>
      <c r="F177" s="11">
        <v>8</v>
      </c>
      <c r="G177">
        <f t="shared" si="2"/>
        <v>542847</v>
      </c>
    </row>
    <row r="178" spans="1:7" x14ac:dyDescent="0.35">
      <c r="A178" s="6">
        <v>43330</v>
      </c>
      <c r="B178" s="7" t="s">
        <v>22</v>
      </c>
      <c r="C178" s="7" t="s">
        <v>10</v>
      </c>
      <c r="D178" s="7" t="s">
        <v>14</v>
      </c>
      <c r="E178" s="7">
        <v>49</v>
      </c>
      <c r="F178" s="8">
        <v>11</v>
      </c>
      <c r="G178">
        <f t="shared" si="2"/>
        <v>543386</v>
      </c>
    </row>
    <row r="179" spans="1:7" x14ac:dyDescent="0.35">
      <c r="A179" s="9">
        <v>43330</v>
      </c>
      <c r="B179" s="10" t="s">
        <v>22</v>
      </c>
      <c r="C179" s="10" t="s">
        <v>7</v>
      </c>
      <c r="D179" s="10" t="s">
        <v>14</v>
      </c>
      <c r="E179" s="10">
        <v>61</v>
      </c>
      <c r="F179" s="11">
        <v>90</v>
      </c>
      <c r="G179">
        <f t="shared" si="2"/>
        <v>548876</v>
      </c>
    </row>
    <row r="180" spans="1:7" x14ac:dyDescent="0.35">
      <c r="A180" s="6">
        <v>43330</v>
      </c>
      <c r="B180" s="7" t="s">
        <v>22</v>
      </c>
      <c r="C180" s="7" t="s">
        <v>12</v>
      </c>
      <c r="D180" s="7" t="s">
        <v>8</v>
      </c>
      <c r="E180" s="7">
        <v>19</v>
      </c>
      <c r="F180" s="8">
        <v>22</v>
      </c>
      <c r="G180">
        <f t="shared" si="2"/>
        <v>548458</v>
      </c>
    </row>
    <row r="181" spans="1:7" x14ac:dyDescent="0.35">
      <c r="A181" s="9">
        <v>43330</v>
      </c>
      <c r="B181" s="10" t="s">
        <v>22</v>
      </c>
      <c r="C181" s="10" t="s">
        <v>9</v>
      </c>
      <c r="D181" s="10" t="s">
        <v>8</v>
      </c>
      <c r="E181" s="10">
        <v>22</v>
      </c>
      <c r="F181" s="11">
        <v>44</v>
      </c>
      <c r="G181">
        <f t="shared" si="2"/>
        <v>547490</v>
      </c>
    </row>
    <row r="182" spans="1:7" x14ac:dyDescent="0.35">
      <c r="A182" s="6">
        <v>43347</v>
      </c>
      <c r="B182" s="7" t="s">
        <v>6</v>
      </c>
      <c r="C182" s="7" t="s">
        <v>11</v>
      </c>
      <c r="D182" s="7" t="s">
        <v>8</v>
      </c>
      <c r="E182" s="7">
        <v>9</v>
      </c>
      <c r="F182" s="8">
        <v>25</v>
      </c>
      <c r="G182">
        <f t="shared" si="2"/>
        <v>547265</v>
      </c>
    </row>
    <row r="183" spans="1:7" x14ac:dyDescent="0.35">
      <c r="A183" s="9">
        <v>43347</v>
      </c>
      <c r="B183" s="10" t="s">
        <v>6</v>
      </c>
      <c r="C183" s="10" t="s">
        <v>7</v>
      </c>
      <c r="D183" s="10" t="s">
        <v>14</v>
      </c>
      <c r="E183" s="10">
        <v>4</v>
      </c>
      <c r="F183" s="11">
        <v>94</v>
      </c>
      <c r="G183">
        <f t="shared" si="2"/>
        <v>547641</v>
      </c>
    </row>
    <row r="184" spans="1:7" x14ac:dyDescent="0.35">
      <c r="A184" s="6">
        <v>43347</v>
      </c>
      <c r="B184" s="7" t="s">
        <v>6</v>
      </c>
      <c r="C184" s="7" t="s">
        <v>12</v>
      </c>
      <c r="D184" s="7" t="s">
        <v>8</v>
      </c>
      <c r="E184" s="7">
        <v>8</v>
      </c>
      <c r="F184" s="8">
        <v>21</v>
      </c>
      <c r="G184">
        <f t="shared" si="2"/>
        <v>547473</v>
      </c>
    </row>
    <row r="185" spans="1:7" x14ac:dyDescent="0.35">
      <c r="A185" s="9">
        <v>43347</v>
      </c>
      <c r="B185" s="10" t="s">
        <v>6</v>
      </c>
      <c r="C185" s="10" t="s">
        <v>10</v>
      </c>
      <c r="D185" s="10" t="s">
        <v>8</v>
      </c>
      <c r="E185" s="10">
        <v>47</v>
      </c>
      <c r="F185" s="11">
        <v>8</v>
      </c>
      <c r="G185">
        <f t="shared" si="2"/>
        <v>547097</v>
      </c>
    </row>
    <row r="186" spans="1:7" x14ac:dyDescent="0.35">
      <c r="A186" s="6">
        <v>43362</v>
      </c>
      <c r="B186" s="7" t="s">
        <v>13</v>
      </c>
      <c r="C186" s="7" t="s">
        <v>12</v>
      </c>
      <c r="D186" s="7" t="s">
        <v>14</v>
      </c>
      <c r="E186" s="7">
        <v>82</v>
      </c>
      <c r="F186" s="8">
        <v>29</v>
      </c>
      <c r="G186">
        <f t="shared" si="2"/>
        <v>549475</v>
      </c>
    </row>
    <row r="187" spans="1:7" x14ac:dyDescent="0.35">
      <c r="A187" s="9">
        <v>43362</v>
      </c>
      <c r="B187" s="10" t="s">
        <v>13</v>
      </c>
      <c r="C187" s="10" t="s">
        <v>9</v>
      </c>
      <c r="D187" s="10" t="s">
        <v>14</v>
      </c>
      <c r="E187" s="10">
        <v>26</v>
      </c>
      <c r="F187" s="11">
        <v>58</v>
      </c>
      <c r="G187">
        <f t="shared" si="2"/>
        <v>550983</v>
      </c>
    </row>
    <row r="188" spans="1:7" x14ac:dyDescent="0.35">
      <c r="A188" s="6">
        <v>43362</v>
      </c>
      <c r="B188" s="7" t="s">
        <v>13</v>
      </c>
      <c r="C188" s="7" t="s">
        <v>10</v>
      </c>
      <c r="D188" s="7" t="s">
        <v>8</v>
      </c>
      <c r="E188" s="7">
        <v>24</v>
      </c>
      <c r="F188" s="8">
        <v>9</v>
      </c>
      <c r="G188">
        <f t="shared" si="2"/>
        <v>550767</v>
      </c>
    </row>
    <row r="189" spans="1:7" x14ac:dyDescent="0.35">
      <c r="A189" s="9">
        <v>43362</v>
      </c>
      <c r="B189" s="10" t="s">
        <v>13</v>
      </c>
      <c r="C189" s="10" t="s">
        <v>11</v>
      </c>
      <c r="D189" s="10" t="s">
        <v>8</v>
      </c>
      <c r="E189" s="10">
        <v>36</v>
      </c>
      <c r="F189" s="11">
        <v>26</v>
      </c>
      <c r="G189">
        <f t="shared" si="2"/>
        <v>549831</v>
      </c>
    </row>
    <row r="190" spans="1:7" x14ac:dyDescent="0.35">
      <c r="A190" s="6">
        <v>43362</v>
      </c>
      <c r="B190" s="7" t="s">
        <v>13</v>
      </c>
      <c r="C190" s="7" t="s">
        <v>7</v>
      </c>
      <c r="D190" s="7" t="s">
        <v>8</v>
      </c>
      <c r="E190" s="7">
        <v>6</v>
      </c>
      <c r="F190" s="8">
        <v>68</v>
      </c>
      <c r="G190">
        <f t="shared" si="2"/>
        <v>549423</v>
      </c>
    </row>
    <row r="191" spans="1:7" x14ac:dyDescent="0.35">
      <c r="A191" s="9">
        <v>43381</v>
      </c>
      <c r="B191" s="10" t="s">
        <v>15</v>
      </c>
      <c r="C191" s="10" t="s">
        <v>11</v>
      </c>
      <c r="D191" s="10" t="s">
        <v>14</v>
      </c>
      <c r="E191" s="10">
        <v>45</v>
      </c>
      <c r="F191" s="11">
        <v>36</v>
      </c>
      <c r="G191">
        <f t="shared" si="2"/>
        <v>551043</v>
      </c>
    </row>
    <row r="192" spans="1:7" x14ac:dyDescent="0.35">
      <c r="A192" s="6">
        <v>43381</v>
      </c>
      <c r="B192" s="7" t="s">
        <v>15</v>
      </c>
      <c r="C192" s="7" t="s">
        <v>10</v>
      </c>
      <c r="D192" s="7" t="s">
        <v>8</v>
      </c>
      <c r="E192" s="7">
        <v>18</v>
      </c>
      <c r="F192" s="8">
        <v>8</v>
      </c>
      <c r="G192">
        <f t="shared" si="2"/>
        <v>550899</v>
      </c>
    </row>
    <row r="193" spans="1:7" x14ac:dyDescent="0.35">
      <c r="A193" s="9">
        <v>43381</v>
      </c>
      <c r="B193" s="10" t="s">
        <v>15</v>
      </c>
      <c r="C193" s="10" t="s">
        <v>9</v>
      </c>
      <c r="D193" s="10" t="s">
        <v>8</v>
      </c>
      <c r="E193" s="10">
        <v>20</v>
      </c>
      <c r="F193" s="11">
        <v>41</v>
      </c>
      <c r="G193">
        <f t="shared" si="2"/>
        <v>550079</v>
      </c>
    </row>
    <row r="194" spans="1:7" x14ac:dyDescent="0.35">
      <c r="A194" s="6">
        <v>43407</v>
      </c>
      <c r="B194" s="7" t="s">
        <v>16</v>
      </c>
      <c r="C194" s="7" t="s">
        <v>12</v>
      </c>
      <c r="D194" s="7" t="s">
        <v>14</v>
      </c>
      <c r="E194" s="7">
        <v>4</v>
      </c>
      <c r="F194" s="8">
        <v>32</v>
      </c>
      <c r="G194">
        <f t="shared" si="2"/>
        <v>550207</v>
      </c>
    </row>
    <row r="195" spans="1:7" x14ac:dyDescent="0.35">
      <c r="A195" s="9">
        <v>43407</v>
      </c>
      <c r="B195" s="10" t="s">
        <v>16</v>
      </c>
      <c r="C195" s="10" t="s">
        <v>9</v>
      </c>
      <c r="D195" s="10" t="s">
        <v>8</v>
      </c>
      <c r="E195" s="10">
        <v>48</v>
      </c>
      <c r="F195" s="11">
        <v>37</v>
      </c>
      <c r="G195">
        <f t="shared" si="2"/>
        <v>548431</v>
      </c>
    </row>
    <row r="196" spans="1:7" x14ac:dyDescent="0.35">
      <c r="A196" s="6">
        <v>43428</v>
      </c>
      <c r="B196" s="7" t="s">
        <v>17</v>
      </c>
      <c r="C196" s="7" t="s">
        <v>9</v>
      </c>
      <c r="D196" s="7" t="s">
        <v>14</v>
      </c>
      <c r="E196" s="7">
        <v>64</v>
      </c>
      <c r="F196" s="8">
        <v>61</v>
      </c>
      <c r="G196">
        <f t="shared" ref="G196:G203" si="3">IF(D196="W",F196*E196+G195,G195-(F196*E196))</f>
        <v>552335</v>
      </c>
    </row>
    <row r="197" spans="1:7" x14ac:dyDescent="0.35">
      <c r="A197" s="9">
        <v>43428</v>
      </c>
      <c r="B197" s="10" t="s">
        <v>17</v>
      </c>
      <c r="C197" s="10" t="s">
        <v>7</v>
      </c>
      <c r="D197" s="10" t="s">
        <v>8</v>
      </c>
      <c r="E197" s="10">
        <v>43</v>
      </c>
      <c r="F197" s="11">
        <v>63</v>
      </c>
      <c r="G197">
        <f t="shared" si="3"/>
        <v>549626</v>
      </c>
    </row>
    <row r="198" spans="1:7" x14ac:dyDescent="0.35">
      <c r="A198" s="6">
        <v>43428</v>
      </c>
      <c r="B198" s="7" t="s">
        <v>17</v>
      </c>
      <c r="C198" s="7" t="s">
        <v>11</v>
      </c>
      <c r="D198" s="7" t="s">
        <v>8</v>
      </c>
      <c r="E198" s="7">
        <v>24</v>
      </c>
      <c r="F198" s="8">
        <v>24</v>
      </c>
      <c r="G198">
        <f t="shared" si="3"/>
        <v>549050</v>
      </c>
    </row>
    <row r="199" spans="1:7" x14ac:dyDescent="0.35">
      <c r="A199" s="9">
        <v>43452</v>
      </c>
      <c r="B199" s="10" t="s">
        <v>18</v>
      </c>
      <c r="C199" s="10" t="s">
        <v>9</v>
      </c>
      <c r="D199" s="10" t="s">
        <v>14</v>
      </c>
      <c r="E199" s="10">
        <v>4</v>
      </c>
      <c r="F199" s="11">
        <v>62</v>
      </c>
      <c r="G199">
        <f t="shared" si="3"/>
        <v>549298</v>
      </c>
    </row>
    <row r="200" spans="1:7" x14ac:dyDescent="0.35">
      <c r="A200" s="6">
        <v>43452</v>
      </c>
      <c r="B200" s="7" t="s">
        <v>18</v>
      </c>
      <c r="C200" s="7" t="s">
        <v>12</v>
      </c>
      <c r="D200" s="7" t="s">
        <v>8</v>
      </c>
      <c r="E200" s="7">
        <v>35</v>
      </c>
      <c r="F200" s="8">
        <v>19</v>
      </c>
      <c r="G200">
        <f t="shared" si="3"/>
        <v>548633</v>
      </c>
    </row>
    <row r="201" spans="1:7" x14ac:dyDescent="0.35">
      <c r="A201" s="9">
        <v>43452</v>
      </c>
      <c r="B201" s="10" t="s">
        <v>18</v>
      </c>
      <c r="C201" s="10" t="s">
        <v>10</v>
      </c>
      <c r="D201" s="10" t="s">
        <v>8</v>
      </c>
      <c r="E201" s="10">
        <v>41</v>
      </c>
      <c r="F201" s="11">
        <v>8</v>
      </c>
      <c r="G201">
        <f t="shared" si="3"/>
        <v>548305</v>
      </c>
    </row>
    <row r="202" spans="1:7" x14ac:dyDescent="0.35">
      <c r="A202" s="6">
        <v>43452</v>
      </c>
      <c r="B202" s="7" t="s">
        <v>18</v>
      </c>
      <c r="C202" s="7" t="s">
        <v>7</v>
      </c>
      <c r="D202" s="7" t="s">
        <v>8</v>
      </c>
      <c r="E202" s="7">
        <v>23</v>
      </c>
      <c r="F202" s="8">
        <v>61</v>
      </c>
      <c r="G202">
        <f t="shared" si="3"/>
        <v>546902</v>
      </c>
    </row>
    <row r="203" spans="1:7" x14ac:dyDescent="0.35">
      <c r="A203" s="12">
        <v>43452</v>
      </c>
      <c r="B203" s="1" t="s">
        <v>18</v>
      </c>
      <c r="C203" s="1" t="s">
        <v>11</v>
      </c>
      <c r="D203" s="1" t="s">
        <v>8</v>
      </c>
      <c r="E203" s="1">
        <v>46</v>
      </c>
      <c r="F203" s="2">
        <v>23</v>
      </c>
      <c r="G203">
        <f t="shared" si="3"/>
        <v>545844</v>
      </c>
    </row>
  </sheetData>
  <autoFilter ref="A1:G203" xr:uid="{7E9B4101-C8E7-4032-AB78-E17F02D5DD5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9ADB38-6CDF-4976-BB0A-805B0991A0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6.1</vt:lpstr>
      <vt:lpstr>dane</vt:lpstr>
      <vt:lpstr>6.2</vt:lpstr>
      <vt:lpstr>6.3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2024-10-05T18:13:07Z</dcterms:created>
  <dcterms:modified xsi:type="dcterms:W3CDTF">2024-10-15T18:37:30Z</dcterms:modified>
</cp:coreProperties>
</file>