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18\czerwiec\"/>
    </mc:Choice>
  </mc:AlternateContent>
  <xr:revisionPtr revIDLastSave="0" documentId="13_ncr:1_{62DE3021-70ED-4DA6-8BE8-B2914AC71AF1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ne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9" i="7" l="1"/>
  <c r="Q47" i="7"/>
  <c r="Q111" i="7"/>
  <c r="Q167" i="7"/>
  <c r="Q175" i="7"/>
  <c r="O6" i="7"/>
  <c r="P32" i="7"/>
  <c r="P56" i="7"/>
  <c r="N3" i="7"/>
  <c r="N4" i="7"/>
  <c r="N5" i="7"/>
  <c r="N6" i="7"/>
  <c r="N7" i="7"/>
  <c r="N8" i="7"/>
  <c r="Q8" i="7" s="1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Q52" i="7" s="1"/>
  <c r="N53" i="7"/>
  <c r="N54" i="7"/>
  <c r="N55" i="7"/>
  <c r="N56" i="7"/>
  <c r="N57" i="7"/>
  <c r="N58" i="7"/>
  <c r="N59" i="7"/>
  <c r="N60" i="7"/>
  <c r="Q60" i="7" s="1"/>
  <c r="N61" i="7"/>
  <c r="N62" i="7"/>
  <c r="N63" i="7"/>
  <c r="Q63" i="7" s="1"/>
  <c r="N64" i="7"/>
  <c r="Q64" i="7" s="1"/>
  <c r="N65" i="7"/>
  <c r="N66" i="7"/>
  <c r="N67" i="7"/>
  <c r="N68" i="7"/>
  <c r="N69" i="7"/>
  <c r="N70" i="7"/>
  <c r="N71" i="7"/>
  <c r="N72" i="7"/>
  <c r="Q72" i="7" s="1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Q88" i="7" s="1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Q102" i="7" s="1"/>
  <c r="N103" i="7"/>
  <c r="Q103" i="7" s="1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Q116" i="7" s="1"/>
  <c r="N117" i="7"/>
  <c r="N118" i="7"/>
  <c r="N119" i="7"/>
  <c r="N120" i="7"/>
  <c r="N121" i="7"/>
  <c r="N122" i="7"/>
  <c r="N123" i="7"/>
  <c r="N124" i="7"/>
  <c r="Q124" i="7" s="1"/>
  <c r="N125" i="7"/>
  <c r="N126" i="7"/>
  <c r="N127" i="7"/>
  <c r="N128" i="7"/>
  <c r="N129" i="7"/>
  <c r="N130" i="7"/>
  <c r="N131" i="7"/>
  <c r="N132" i="7"/>
  <c r="N133" i="7"/>
  <c r="N134" i="7"/>
  <c r="N135" i="7"/>
  <c r="N136" i="7"/>
  <c r="Q136" i="7" s="1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Q166" i="7" s="1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Q188" i="7" s="1"/>
  <c r="N189" i="7"/>
  <c r="N190" i="7"/>
  <c r="N191" i="7"/>
  <c r="Q191" i="7" s="1"/>
  <c r="N192" i="7"/>
  <c r="N193" i="7"/>
  <c r="N194" i="7"/>
  <c r="N195" i="7"/>
  <c r="N196" i="7"/>
  <c r="N197" i="7"/>
  <c r="N198" i="7"/>
  <c r="N199" i="7"/>
  <c r="N200" i="7"/>
  <c r="N201" i="7"/>
  <c r="M3" i="7"/>
  <c r="M4" i="7"/>
  <c r="O4" i="7" s="1"/>
  <c r="M5" i="7"/>
  <c r="P5" i="7" s="1"/>
  <c r="M6" i="7"/>
  <c r="P6" i="7" s="1"/>
  <c r="M7" i="7"/>
  <c r="M8" i="7"/>
  <c r="M9" i="7"/>
  <c r="M10" i="7"/>
  <c r="M11" i="7"/>
  <c r="M12" i="7"/>
  <c r="M13" i="7"/>
  <c r="M14" i="7"/>
  <c r="P14" i="7" s="1"/>
  <c r="M15" i="7"/>
  <c r="M16" i="7"/>
  <c r="O16" i="7" s="1"/>
  <c r="M17" i="7"/>
  <c r="O17" i="7" s="1"/>
  <c r="M18" i="7"/>
  <c r="M19" i="7"/>
  <c r="M20" i="7"/>
  <c r="P20" i="7" s="1"/>
  <c r="M21" i="7"/>
  <c r="P21" i="7" s="1"/>
  <c r="M22" i="7"/>
  <c r="M23" i="7"/>
  <c r="M24" i="7"/>
  <c r="P24" i="7" s="1"/>
  <c r="M25" i="7"/>
  <c r="O25" i="7" s="1"/>
  <c r="M26" i="7"/>
  <c r="M27" i="7"/>
  <c r="M28" i="7"/>
  <c r="P28" i="7" s="1"/>
  <c r="M29" i="7"/>
  <c r="P29" i="7" s="1"/>
  <c r="M30" i="7"/>
  <c r="P30" i="7" s="1"/>
  <c r="M31" i="7"/>
  <c r="R31" i="7" s="1"/>
  <c r="M32" i="7"/>
  <c r="M33" i="7"/>
  <c r="M34" i="7"/>
  <c r="M35" i="7"/>
  <c r="M36" i="7"/>
  <c r="P36" i="7" s="1"/>
  <c r="M37" i="7"/>
  <c r="P37" i="7" s="1"/>
  <c r="M38" i="7"/>
  <c r="M39" i="7"/>
  <c r="R39" i="7" s="1"/>
  <c r="M40" i="7"/>
  <c r="M41" i="7"/>
  <c r="O41" i="7" s="1"/>
  <c r="M42" i="7"/>
  <c r="M43" i="7"/>
  <c r="M44" i="7"/>
  <c r="O44" i="7" s="1"/>
  <c r="M45" i="7"/>
  <c r="M46" i="7"/>
  <c r="O46" i="7" s="1"/>
  <c r="M47" i="7"/>
  <c r="M48" i="7"/>
  <c r="M49" i="7"/>
  <c r="M50" i="7"/>
  <c r="M51" i="7"/>
  <c r="M52" i="7"/>
  <c r="O52" i="7" s="1"/>
  <c r="M53" i="7"/>
  <c r="P53" i="7" s="1"/>
  <c r="M54" i="7"/>
  <c r="M55" i="7"/>
  <c r="M56" i="7"/>
  <c r="O56" i="7" s="1"/>
  <c r="M57" i="7"/>
  <c r="M58" i="7"/>
  <c r="M59" i="7"/>
  <c r="M60" i="7"/>
  <c r="P60" i="7" s="1"/>
  <c r="M61" i="7"/>
  <c r="P61" i="7" s="1"/>
  <c r="M62" i="7"/>
  <c r="O62" i="7" s="1"/>
  <c r="M63" i="7"/>
  <c r="M64" i="7"/>
  <c r="O64" i="7" s="1"/>
  <c r="M65" i="7"/>
  <c r="M66" i="7"/>
  <c r="M67" i="7"/>
  <c r="M68" i="7"/>
  <c r="O68" i="7" s="1"/>
  <c r="M69" i="7"/>
  <c r="P69" i="7" s="1"/>
  <c r="M70" i="7"/>
  <c r="P70" i="7" s="1"/>
  <c r="M71" i="7"/>
  <c r="M72" i="7"/>
  <c r="M73" i="7"/>
  <c r="M74" i="7"/>
  <c r="M75" i="7"/>
  <c r="M76" i="7"/>
  <c r="M77" i="7"/>
  <c r="M78" i="7"/>
  <c r="P78" i="7" s="1"/>
  <c r="M79" i="7"/>
  <c r="M80" i="7"/>
  <c r="O80" i="7" s="1"/>
  <c r="M81" i="7"/>
  <c r="O81" i="7" s="1"/>
  <c r="M82" i="7"/>
  <c r="M83" i="7"/>
  <c r="M84" i="7"/>
  <c r="P84" i="7" s="1"/>
  <c r="M85" i="7"/>
  <c r="P85" i="7" s="1"/>
  <c r="M86" i="7"/>
  <c r="M87" i="7"/>
  <c r="M88" i="7"/>
  <c r="M89" i="7"/>
  <c r="O89" i="7" s="1"/>
  <c r="M90" i="7"/>
  <c r="M91" i="7"/>
  <c r="P91" i="7" s="1"/>
  <c r="M92" i="7"/>
  <c r="P92" i="7" s="1"/>
  <c r="M93" i="7"/>
  <c r="R93" i="7" s="1"/>
  <c r="M94" i="7"/>
  <c r="P94" i="7" s="1"/>
  <c r="M95" i="7"/>
  <c r="O95" i="7" s="1"/>
  <c r="M96" i="7"/>
  <c r="M97" i="7"/>
  <c r="R97" i="7" s="1"/>
  <c r="M98" i="7"/>
  <c r="M99" i="7"/>
  <c r="P99" i="7" s="1"/>
  <c r="M100" i="7"/>
  <c r="M101" i="7"/>
  <c r="R101" i="7" s="1"/>
  <c r="M102" i="7"/>
  <c r="M103" i="7"/>
  <c r="O103" i="7" s="1"/>
  <c r="M104" i="7"/>
  <c r="M105" i="7"/>
  <c r="O105" i="7" s="1"/>
  <c r="M106" i="7"/>
  <c r="M107" i="7"/>
  <c r="P107" i="7" s="1"/>
  <c r="M108" i="7"/>
  <c r="O108" i="7" s="1"/>
  <c r="M109" i="7"/>
  <c r="R109" i="7" s="1"/>
  <c r="M110" i="7"/>
  <c r="O110" i="7" s="1"/>
  <c r="M111" i="7"/>
  <c r="P111" i="7" s="1"/>
  <c r="M112" i="7"/>
  <c r="P112" i="7" s="1"/>
  <c r="M113" i="7"/>
  <c r="R113" i="7" s="1"/>
  <c r="M114" i="7"/>
  <c r="M115" i="7"/>
  <c r="P115" i="7" s="1"/>
  <c r="M116" i="7"/>
  <c r="O116" i="7" s="1"/>
  <c r="M117" i="7"/>
  <c r="R117" i="7" s="1"/>
  <c r="M118" i="7"/>
  <c r="O118" i="7" s="1"/>
  <c r="M119" i="7"/>
  <c r="O119" i="7" s="1"/>
  <c r="M120" i="7"/>
  <c r="O120" i="7" s="1"/>
  <c r="M121" i="7"/>
  <c r="R121" i="7" s="1"/>
  <c r="M122" i="7"/>
  <c r="M123" i="7"/>
  <c r="P123" i="7" s="1"/>
  <c r="M124" i="7"/>
  <c r="P124" i="7" s="1"/>
  <c r="M125" i="7"/>
  <c r="R125" i="7" s="1"/>
  <c r="M126" i="7"/>
  <c r="P126" i="7" s="1"/>
  <c r="M127" i="7"/>
  <c r="M128" i="7"/>
  <c r="O128" i="7" s="1"/>
  <c r="M129" i="7"/>
  <c r="O129" i="7" s="1"/>
  <c r="M130" i="7"/>
  <c r="M131" i="7"/>
  <c r="P131" i="7" s="1"/>
  <c r="M132" i="7"/>
  <c r="M133" i="7"/>
  <c r="R133" i="7" s="1"/>
  <c r="M134" i="7"/>
  <c r="P134" i="7" s="1"/>
  <c r="M135" i="7"/>
  <c r="M136" i="7"/>
  <c r="O136" i="7" s="1"/>
  <c r="M137" i="7"/>
  <c r="R137" i="7" s="1"/>
  <c r="M138" i="7"/>
  <c r="M139" i="7"/>
  <c r="P139" i="7" s="1"/>
  <c r="M140" i="7"/>
  <c r="P140" i="7" s="1"/>
  <c r="M141" i="7"/>
  <c r="R141" i="7" s="1"/>
  <c r="M142" i="7"/>
  <c r="P142" i="7" s="1"/>
  <c r="M143" i="7"/>
  <c r="P143" i="7" s="1"/>
  <c r="M144" i="7"/>
  <c r="O144" i="7" s="1"/>
  <c r="M145" i="7"/>
  <c r="O145" i="7" s="1"/>
  <c r="M146" i="7"/>
  <c r="M147" i="7"/>
  <c r="P147" i="7" s="1"/>
  <c r="M148" i="7"/>
  <c r="P148" i="7" s="1"/>
  <c r="M149" i="7"/>
  <c r="R149" i="7" s="1"/>
  <c r="M150" i="7"/>
  <c r="P150" i="7" s="1"/>
  <c r="M151" i="7"/>
  <c r="M152" i="7"/>
  <c r="O152" i="7" s="1"/>
  <c r="M153" i="7"/>
  <c r="O153" i="7" s="1"/>
  <c r="M154" i="7"/>
  <c r="M155" i="7"/>
  <c r="P155" i="7" s="1"/>
  <c r="M156" i="7"/>
  <c r="P156" i="7" s="1"/>
  <c r="M157" i="7"/>
  <c r="R157" i="7" s="1"/>
  <c r="M158" i="7"/>
  <c r="P158" i="7" s="1"/>
  <c r="M159" i="7"/>
  <c r="M160" i="7"/>
  <c r="O160" i="7" s="1"/>
  <c r="M161" i="7"/>
  <c r="R161" i="7" s="1"/>
  <c r="M162" i="7"/>
  <c r="M163" i="7"/>
  <c r="P163" i="7" s="1"/>
  <c r="M164" i="7"/>
  <c r="M165" i="7"/>
  <c r="R165" i="7" s="1"/>
  <c r="M166" i="7"/>
  <c r="P166" i="7" s="1"/>
  <c r="M167" i="7"/>
  <c r="M168" i="7"/>
  <c r="O168" i="7" s="1"/>
  <c r="M169" i="7"/>
  <c r="R169" i="7" s="1"/>
  <c r="M170" i="7"/>
  <c r="M171" i="7"/>
  <c r="P171" i="7" s="1"/>
  <c r="M172" i="7"/>
  <c r="P172" i="7" s="1"/>
  <c r="M173" i="7"/>
  <c r="R173" i="7" s="1"/>
  <c r="M174" i="7"/>
  <c r="P174" i="7" s="1"/>
  <c r="M175" i="7"/>
  <c r="P175" i="7" s="1"/>
  <c r="M176" i="7"/>
  <c r="O176" i="7" s="1"/>
  <c r="M177" i="7"/>
  <c r="R177" i="7" s="1"/>
  <c r="M178" i="7"/>
  <c r="M179" i="7"/>
  <c r="P179" i="7" s="1"/>
  <c r="M180" i="7"/>
  <c r="P180" i="7" s="1"/>
  <c r="M181" i="7"/>
  <c r="R181" i="7" s="1"/>
  <c r="M182" i="7"/>
  <c r="P182" i="7" s="1"/>
  <c r="M183" i="7"/>
  <c r="M184" i="7"/>
  <c r="O184" i="7" s="1"/>
  <c r="M185" i="7"/>
  <c r="O185" i="7" s="1"/>
  <c r="M186" i="7"/>
  <c r="M187" i="7"/>
  <c r="P187" i="7" s="1"/>
  <c r="M188" i="7"/>
  <c r="P188" i="7" s="1"/>
  <c r="M189" i="7"/>
  <c r="R189" i="7" s="1"/>
  <c r="M190" i="7"/>
  <c r="P190" i="7" s="1"/>
  <c r="M191" i="7"/>
  <c r="M192" i="7"/>
  <c r="O192" i="7" s="1"/>
  <c r="M193" i="7"/>
  <c r="O193" i="7" s="1"/>
  <c r="M194" i="7"/>
  <c r="M195" i="7"/>
  <c r="P195" i="7" s="1"/>
  <c r="M196" i="7"/>
  <c r="M197" i="7"/>
  <c r="R197" i="7" s="1"/>
  <c r="M198" i="7"/>
  <c r="P198" i="7" s="1"/>
  <c r="M199" i="7"/>
  <c r="M200" i="7"/>
  <c r="O200" i="7" s="1"/>
  <c r="M201" i="7"/>
  <c r="R201" i="7" s="1"/>
  <c r="N2" i="7"/>
  <c r="M2" i="7"/>
  <c r="AJ4" i="6"/>
  <c r="AI4" i="6"/>
  <c r="W3" i="6"/>
  <c r="X3" i="6"/>
  <c r="Y3" i="6"/>
  <c r="Z3" i="6"/>
  <c r="AA3" i="6"/>
  <c r="AB3" i="6"/>
  <c r="AC3" i="6"/>
  <c r="AD3" i="6"/>
  <c r="AE3" i="6"/>
  <c r="AF3" i="6"/>
  <c r="W4" i="6"/>
  <c r="X4" i="6"/>
  <c r="Y4" i="6"/>
  <c r="Z4" i="6"/>
  <c r="AA4" i="6"/>
  <c r="AB4" i="6"/>
  <c r="AC4" i="6"/>
  <c r="AD4" i="6"/>
  <c r="AE4" i="6"/>
  <c r="AF4" i="6"/>
  <c r="W5" i="6"/>
  <c r="X5" i="6"/>
  <c r="Y5" i="6"/>
  <c r="Z5" i="6"/>
  <c r="AA5" i="6"/>
  <c r="AB5" i="6"/>
  <c r="AC5" i="6"/>
  <c r="AD5" i="6"/>
  <c r="AE5" i="6"/>
  <c r="AF5" i="6"/>
  <c r="W6" i="6"/>
  <c r="X6" i="6"/>
  <c r="Y6" i="6"/>
  <c r="Z6" i="6"/>
  <c r="AA6" i="6"/>
  <c r="AB6" i="6"/>
  <c r="AC6" i="6"/>
  <c r="AD6" i="6"/>
  <c r="AE6" i="6"/>
  <c r="AF6" i="6"/>
  <c r="W7" i="6"/>
  <c r="X7" i="6"/>
  <c r="Y7" i="6"/>
  <c r="Z7" i="6"/>
  <c r="AA7" i="6"/>
  <c r="AB7" i="6"/>
  <c r="AC7" i="6"/>
  <c r="AD7" i="6"/>
  <c r="AE7" i="6"/>
  <c r="AF7" i="6"/>
  <c r="W8" i="6"/>
  <c r="X8" i="6"/>
  <c r="Y8" i="6"/>
  <c r="Z8" i="6"/>
  <c r="AA8" i="6"/>
  <c r="AB8" i="6"/>
  <c r="AC8" i="6"/>
  <c r="AD8" i="6"/>
  <c r="AE8" i="6"/>
  <c r="AF8" i="6"/>
  <c r="W9" i="6"/>
  <c r="X9" i="6"/>
  <c r="Y9" i="6"/>
  <c r="Z9" i="6"/>
  <c r="AA9" i="6"/>
  <c r="AB9" i="6"/>
  <c r="AC9" i="6"/>
  <c r="AD9" i="6"/>
  <c r="AE9" i="6"/>
  <c r="AF9" i="6"/>
  <c r="W10" i="6"/>
  <c r="X10" i="6"/>
  <c r="Y10" i="6"/>
  <c r="Z10" i="6"/>
  <c r="AA10" i="6"/>
  <c r="AB10" i="6"/>
  <c r="AC10" i="6"/>
  <c r="AD10" i="6"/>
  <c r="AE10" i="6"/>
  <c r="AF10" i="6"/>
  <c r="W11" i="6"/>
  <c r="X11" i="6"/>
  <c r="Y11" i="6"/>
  <c r="Z11" i="6"/>
  <c r="AA11" i="6"/>
  <c r="AB11" i="6"/>
  <c r="AC11" i="6"/>
  <c r="AD11" i="6"/>
  <c r="AE11" i="6"/>
  <c r="AF11" i="6"/>
  <c r="W12" i="6"/>
  <c r="X12" i="6"/>
  <c r="Y12" i="6"/>
  <c r="Z12" i="6"/>
  <c r="AA12" i="6"/>
  <c r="AB12" i="6"/>
  <c r="AC12" i="6"/>
  <c r="AD12" i="6"/>
  <c r="AE12" i="6"/>
  <c r="AF12" i="6"/>
  <c r="W13" i="6"/>
  <c r="X13" i="6"/>
  <c r="Y13" i="6"/>
  <c r="Z13" i="6"/>
  <c r="AA13" i="6"/>
  <c r="AB13" i="6"/>
  <c r="AC13" i="6"/>
  <c r="AD13" i="6"/>
  <c r="AE13" i="6"/>
  <c r="AF13" i="6"/>
  <c r="W14" i="6"/>
  <c r="X14" i="6"/>
  <c r="Y14" i="6"/>
  <c r="Z14" i="6"/>
  <c r="AA14" i="6"/>
  <c r="AB14" i="6"/>
  <c r="AC14" i="6"/>
  <c r="AD14" i="6"/>
  <c r="AE14" i="6"/>
  <c r="AF14" i="6"/>
  <c r="W15" i="6"/>
  <c r="X15" i="6"/>
  <c r="Y15" i="6"/>
  <c r="Z15" i="6"/>
  <c r="AA15" i="6"/>
  <c r="AB15" i="6"/>
  <c r="AC15" i="6"/>
  <c r="AD15" i="6"/>
  <c r="AE15" i="6"/>
  <c r="AF15" i="6"/>
  <c r="W16" i="6"/>
  <c r="X16" i="6"/>
  <c r="Y16" i="6"/>
  <c r="Z16" i="6"/>
  <c r="AA16" i="6"/>
  <c r="AB16" i="6"/>
  <c r="AC16" i="6"/>
  <c r="AD16" i="6"/>
  <c r="AE16" i="6"/>
  <c r="AF16" i="6"/>
  <c r="W17" i="6"/>
  <c r="X17" i="6"/>
  <c r="Y17" i="6"/>
  <c r="Z17" i="6"/>
  <c r="AA17" i="6"/>
  <c r="AB17" i="6"/>
  <c r="AC17" i="6"/>
  <c r="AD17" i="6"/>
  <c r="AE17" i="6"/>
  <c r="AF17" i="6"/>
  <c r="W18" i="6"/>
  <c r="X18" i="6"/>
  <c r="Y18" i="6"/>
  <c r="Z18" i="6"/>
  <c r="AA18" i="6"/>
  <c r="AB18" i="6"/>
  <c r="AC18" i="6"/>
  <c r="AD18" i="6"/>
  <c r="AE18" i="6"/>
  <c r="AF18" i="6"/>
  <c r="W19" i="6"/>
  <c r="X19" i="6"/>
  <c r="Y19" i="6"/>
  <c r="Z19" i="6"/>
  <c r="AA19" i="6"/>
  <c r="AB19" i="6"/>
  <c r="AC19" i="6"/>
  <c r="AD19" i="6"/>
  <c r="AE19" i="6"/>
  <c r="AF19" i="6"/>
  <c r="W20" i="6"/>
  <c r="X20" i="6"/>
  <c r="Y20" i="6"/>
  <c r="Z20" i="6"/>
  <c r="AA20" i="6"/>
  <c r="AB20" i="6"/>
  <c r="AC20" i="6"/>
  <c r="AD20" i="6"/>
  <c r="AE20" i="6"/>
  <c r="AF20" i="6"/>
  <c r="W21" i="6"/>
  <c r="X21" i="6"/>
  <c r="Y21" i="6"/>
  <c r="Z21" i="6"/>
  <c r="AA21" i="6"/>
  <c r="AB21" i="6"/>
  <c r="AC21" i="6"/>
  <c r="AD21" i="6"/>
  <c r="AE21" i="6"/>
  <c r="AF21" i="6"/>
  <c r="W22" i="6"/>
  <c r="X22" i="6"/>
  <c r="Y22" i="6"/>
  <c r="Z22" i="6"/>
  <c r="AA22" i="6"/>
  <c r="AB22" i="6"/>
  <c r="AC22" i="6"/>
  <c r="AD22" i="6"/>
  <c r="AE22" i="6"/>
  <c r="AF22" i="6"/>
  <c r="W23" i="6"/>
  <c r="X23" i="6"/>
  <c r="Y23" i="6"/>
  <c r="Z23" i="6"/>
  <c r="AA23" i="6"/>
  <c r="AB23" i="6"/>
  <c r="AC23" i="6"/>
  <c r="AD23" i="6"/>
  <c r="AE23" i="6"/>
  <c r="AF23" i="6"/>
  <c r="W24" i="6"/>
  <c r="X24" i="6"/>
  <c r="Y24" i="6"/>
  <c r="Z24" i="6"/>
  <c r="AA24" i="6"/>
  <c r="AB24" i="6"/>
  <c r="AC24" i="6"/>
  <c r="AD24" i="6"/>
  <c r="AE24" i="6"/>
  <c r="AF24" i="6"/>
  <c r="W25" i="6"/>
  <c r="X25" i="6"/>
  <c r="Y25" i="6"/>
  <c r="Z25" i="6"/>
  <c r="AA25" i="6"/>
  <c r="AB25" i="6"/>
  <c r="AC25" i="6"/>
  <c r="AD25" i="6"/>
  <c r="AE25" i="6"/>
  <c r="AF25" i="6"/>
  <c r="W26" i="6"/>
  <c r="X26" i="6"/>
  <c r="Y26" i="6"/>
  <c r="Z26" i="6"/>
  <c r="AA26" i="6"/>
  <c r="AB26" i="6"/>
  <c r="AC26" i="6"/>
  <c r="AD26" i="6"/>
  <c r="AE26" i="6"/>
  <c r="AF26" i="6"/>
  <c r="W27" i="6"/>
  <c r="X27" i="6"/>
  <c r="Y27" i="6"/>
  <c r="Z27" i="6"/>
  <c r="AA27" i="6"/>
  <c r="AB27" i="6"/>
  <c r="AC27" i="6"/>
  <c r="AD27" i="6"/>
  <c r="AE27" i="6"/>
  <c r="AF27" i="6"/>
  <c r="W28" i="6"/>
  <c r="X28" i="6"/>
  <c r="Y28" i="6"/>
  <c r="Z28" i="6"/>
  <c r="AA28" i="6"/>
  <c r="AB28" i="6"/>
  <c r="AC28" i="6"/>
  <c r="AD28" i="6"/>
  <c r="AE28" i="6"/>
  <c r="AF28" i="6"/>
  <c r="W29" i="6"/>
  <c r="X29" i="6"/>
  <c r="Y29" i="6"/>
  <c r="Z29" i="6"/>
  <c r="AA29" i="6"/>
  <c r="AB29" i="6"/>
  <c r="AC29" i="6"/>
  <c r="AD29" i="6"/>
  <c r="AE29" i="6"/>
  <c r="AF29" i="6"/>
  <c r="W30" i="6"/>
  <c r="X30" i="6"/>
  <c r="Y30" i="6"/>
  <c r="Z30" i="6"/>
  <c r="AA30" i="6"/>
  <c r="AB30" i="6"/>
  <c r="AC30" i="6"/>
  <c r="AD30" i="6"/>
  <c r="AE30" i="6"/>
  <c r="AF30" i="6"/>
  <c r="W31" i="6"/>
  <c r="X31" i="6"/>
  <c r="Y31" i="6"/>
  <c r="Z31" i="6"/>
  <c r="AA31" i="6"/>
  <c r="AB31" i="6"/>
  <c r="AC31" i="6"/>
  <c r="AD31" i="6"/>
  <c r="AE31" i="6"/>
  <c r="AF31" i="6"/>
  <c r="W32" i="6"/>
  <c r="X32" i="6"/>
  <c r="Y32" i="6"/>
  <c r="Z32" i="6"/>
  <c r="AA32" i="6"/>
  <c r="AB32" i="6"/>
  <c r="AC32" i="6"/>
  <c r="AD32" i="6"/>
  <c r="AE32" i="6"/>
  <c r="AF32" i="6"/>
  <c r="W33" i="6"/>
  <c r="X33" i="6"/>
  <c r="Y33" i="6"/>
  <c r="Z33" i="6"/>
  <c r="AA33" i="6"/>
  <c r="AB33" i="6"/>
  <c r="AC33" i="6"/>
  <c r="AD33" i="6"/>
  <c r="AE33" i="6"/>
  <c r="AF33" i="6"/>
  <c r="W34" i="6"/>
  <c r="X34" i="6"/>
  <c r="Y34" i="6"/>
  <c r="Z34" i="6"/>
  <c r="AA34" i="6"/>
  <c r="AB34" i="6"/>
  <c r="AC34" i="6"/>
  <c r="AD34" i="6"/>
  <c r="AE34" i="6"/>
  <c r="AF34" i="6"/>
  <c r="W35" i="6"/>
  <c r="X35" i="6"/>
  <c r="Y35" i="6"/>
  <c r="Z35" i="6"/>
  <c r="AA35" i="6"/>
  <c r="AB35" i="6"/>
  <c r="AC35" i="6"/>
  <c r="AD35" i="6"/>
  <c r="AE35" i="6"/>
  <c r="AF35" i="6"/>
  <c r="W36" i="6"/>
  <c r="X36" i="6"/>
  <c r="Y36" i="6"/>
  <c r="Z36" i="6"/>
  <c r="AA36" i="6"/>
  <c r="AB36" i="6"/>
  <c r="AC36" i="6"/>
  <c r="AD36" i="6"/>
  <c r="AE36" i="6"/>
  <c r="AF36" i="6"/>
  <c r="W37" i="6"/>
  <c r="X37" i="6"/>
  <c r="Y37" i="6"/>
  <c r="Z37" i="6"/>
  <c r="AA37" i="6"/>
  <c r="AB37" i="6"/>
  <c r="AC37" i="6"/>
  <c r="AD37" i="6"/>
  <c r="AE37" i="6"/>
  <c r="AF37" i="6"/>
  <c r="W38" i="6"/>
  <c r="X38" i="6"/>
  <c r="Y38" i="6"/>
  <c r="Z38" i="6"/>
  <c r="AA38" i="6"/>
  <c r="AB38" i="6"/>
  <c r="AC38" i="6"/>
  <c r="AD38" i="6"/>
  <c r="AE38" i="6"/>
  <c r="AF38" i="6"/>
  <c r="W39" i="6"/>
  <c r="X39" i="6"/>
  <c r="Y39" i="6"/>
  <c r="Z39" i="6"/>
  <c r="AA39" i="6"/>
  <c r="AB39" i="6"/>
  <c r="AC39" i="6"/>
  <c r="AD39" i="6"/>
  <c r="AE39" i="6"/>
  <c r="AF39" i="6"/>
  <c r="W40" i="6"/>
  <c r="X40" i="6"/>
  <c r="Y40" i="6"/>
  <c r="Z40" i="6"/>
  <c r="AA40" i="6"/>
  <c r="AB40" i="6"/>
  <c r="AC40" i="6"/>
  <c r="AD40" i="6"/>
  <c r="AE40" i="6"/>
  <c r="AF40" i="6"/>
  <c r="W41" i="6"/>
  <c r="X41" i="6"/>
  <c r="Y41" i="6"/>
  <c r="Z41" i="6"/>
  <c r="AA41" i="6"/>
  <c r="AB41" i="6"/>
  <c r="AC41" i="6"/>
  <c r="AD41" i="6"/>
  <c r="AE41" i="6"/>
  <c r="AF41" i="6"/>
  <c r="W42" i="6"/>
  <c r="X42" i="6"/>
  <c r="Y42" i="6"/>
  <c r="Z42" i="6"/>
  <c r="AA42" i="6"/>
  <c r="AB42" i="6"/>
  <c r="AC42" i="6"/>
  <c r="AD42" i="6"/>
  <c r="AE42" i="6"/>
  <c r="AF42" i="6"/>
  <c r="W43" i="6"/>
  <c r="X43" i="6"/>
  <c r="Y43" i="6"/>
  <c r="Z43" i="6"/>
  <c r="AA43" i="6"/>
  <c r="AB43" i="6"/>
  <c r="AC43" i="6"/>
  <c r="AD43" i="6"/>
  <c r="AE43" i="6"/>
  <c r="AF43" i="6"/>
  <c r="W44" i="6"/>
  <c r="X44" i="6"/>
  <c r="Y44" i="6"/>
  <c r="Z44" i="6"/>
  <c r="AA44" i="6"/>
  <c r="AB44" i="6"/>
  <c r="AC44" i="6"/>
  <c r="AD44" i="6"/>
  <c r="AE44" i="6"/>
  <c r="AF44" i="6"/>
  <c r="W45" i="6"/>
  <c r="X45" i="6"/>
  <c r="Y45" i="6"/>
  <c r="Z45" i="6"/>
  <c r="AA45" i="6"/>
  <c r="AB45" i="6"/>
  <c r="AC45" i="6"/>
  <c r="AD45" i="6"/>
  <c r="AE45" i="6"/>
  <c r="AF45" i="6"/>
  <c r="W46" i="6"/>
  <c r="X46" i="6"/>
  <c r="Y46" i="6"/>
  <c r="Z46" i="6"/>
  <c r="AA46" i="6"/>
  <c r="AB46" i="6"/>
  <c r="AC46" i="6"/>
  <c r="AD46" i="6"/>
  <c r="AE46" i="6"/>
  <c r="AF46" i="6"/>
  <c r="W47" i="6"/>
  <c r="X47" i="6"/>
  <c r="Y47" i="6"/>
  <c r="Z47" i="6"/>
  <c r="AA47" i="6"/>
  <c r="AB47" i="6"/>
  <c r="AC47" i="6"/>
  <c r="AD47" i="6"/>
  <c r="AE47" i="6"/>
  <c r="AF47" i="6"/>
  <c r="W48" i="6"/>
  <c r="X48" i="6"/>
  <c r="Y48" i="6"/>
  <c r="Z48" i="6"/>
  <c r="AA48" i="6"/>
  <c r="AB48" i="6"/>
  <c r="AC48" i="6"/>
  <c r="AD48" i="6"/>
  <c r="AE48" i="6"/>
  <c r="AF48" i="6"/>
  <c r="W49" i="6"/>
  <c r="X49" i="6"/>
  <c r="Y49" i="6"/>
  <c r="Z49" i="6"/>
  <c r="AA49" i="6"/>
  <c r="AB49" i="6"/>
  <c r="AC49" i="6"/>
  <c r="AD49" i="6"/>
  <c r="AE49" i="6"/>
  <c r="AF49" i="6"/>
  <c r="W50" i="6"/>
  <c r="X50" i="6"/>
  <c r="Y50" i="6"/>
  <c r="Z50" i="6"/>
  <c r="AA50" i="6"/>
  <c r="AB50" i="6"/>
  <c r="AC50" i="6"/>
  <c r="AD50" i="6"/>
  <c r="AE50" i="6"/>
  <c r="AF50" i="6"/>
  <c r="W51" i="6"/>
  <c r="X51" i="6"/>
  <c r="Y51" i="6"/>
  <c r="Z51" i="6"/>
  <c r="AA51" i="6"/>
  <c r="AB51" i="6"/>
  <c r="AC51" i="6"/>
  <c r="AD51" i="6"/>
  <c r="AE51" i="6"/>
  <c r="AF51" i="6"/>
  <c r="W52" i="6"/>
  <c r="X52" i="6"/>
  <c r="Y52" i="6"/>
  <c r="Z52" i="6"/>
  <c r="AA52" i="6"/>
  <c r="AB52" i="6"/>
  <c r="AC52" i="6"/>
  <c r="AD52" i="6"/>
  <c r="AE52" i="6"/>
  <c r="AF52" i="6"/>
  <c r="W53" i="6"/>
  <c r="X53" i="6"/>
  <c r="Y53" i="6"/>
  <c r="Z53" i="6"/>
  <c r="AA53" i="6"/>
  <c r="AB53" i="6"/>
  <c r="AC53" i="6"/>
  <c r="AD53" i="6"/>
  <c r="AE53" i="6"/>
  <c r="AF53" i="6"/>
  <c r="W54" i="6"/>
  <c r="X54" i="6"/>
  <c r="Y54" i="6"/>
  <c r="Z54" i="6"/>
  <c r="AA54" i="6"/>
  <c r="AB54" i="6"/>
  <c r="AC54" i="6"/>
  <c r="AD54" i="6"/>
  <c r="AE54" i="6"/>
  <c r="AF54" i="6"/>
  <c r="W55" i="6"/>
  <c r="X55" i="6"/>
  <c r="Y55" i="6"/>
  <c r="Z55" i="6"/>
  <c r="AA55" i="6"/>
  <c r="AB55" i="6"/>
  <c r="AC55" i="6"/>
  <c r="AD55" i="6"/>
  <c r="AE55" i="6"/>
  <c r="AF55" i="6"/>
  <c r="W56" i="6"/>
  <c r="X56" i="6"/>
  <c r="Y56" i="6"/>
  <c r="Z56" i="6"/>
  <c r="AA56" i="6"/>
  <c r="AB56" i="6"/>
  <c r="AC56" i="6"/>
  <c r="AD56" i="6"/>
  <c r="AE56" i="6"/>
  <c r="AF56" i="6"/>
  <c r="W57" i="6"/>
  <c r="X57" i="6"/>
  <c r="Y57" i="6"/>
  <c r="Z57" i="6"/>
  <c r="AA57" i="6"/>
  <c r="AB57" i="6"/>
  <c r="AC57" i="6"/>
  <c r="AD57" i="6"/>
  <c r="AE57" i="6"/>
  <c r="AF57" i="6"/>
  <c r="W58" i="6"/>
  <c r="X58" i="6"/>
  <c r="Y58" i="6"/>
  <c r="Z58" i="6"/>
  <c r="AA58" i="6"/>
  <c r="AB58" i="6"/>
  <c r="AC58" i="6"/>
  <c r="AD58" i="6"/>
  <c r="AE58" i="6"/>
  <c r="AF58" i="6"/>
  <c r="W59" i="6"/>
  <c r="X59" i="6"/>
  <c r="Y59" i="6"/>
  <c r="Z59" i="6"/>
  <c r="AA59" i="6"/>
  <c r="AB59" i="6"/>
  <c r="AC59" i="6"/>
  <c r="AD59" i="6"/>
  <c r="AE59" i="6"/>
  <c r="AF59" i="6"/>
  <c r="W60" i="6"/>
  <c r="X60" i="6"/>
  <c r="Y60" i="6"/>
  <c r="Z60" i="6"/>
  <c r="AA60" i="6"/>
  <c r="AB60" i="6"/>
  <c r="AC60" i="6"/>
  <c r="AD60" i="6"/>
  <c r="AE60" i="6"/>
  <c r="AF60" i="6"/>
  <c r="W61" i="6"/>
  <c r="X61" i="6"/>
  <c r="Y61" i="6"/>
  <c r="Z61" i="6"/>
  <c r="AA61" i="6"/>
  <c r="AB61" i="6"/>
  <c r="AC61" i="6"/>
  <c r="AD61" i="6"/>
  <c r="AE61" i="6"/>
  <c r="AF61" i="6"/>
  <c r="W62" i="6"/>
  <c r="X62" i="6"/>
  <c r="Y62" i="6"/>
  <c r="Z62" i="6"/>
  <c r="AA62" i="6"/>
  <c r="AB62" i="6"/>
  <c r="AC62" i="6"/>
  <c r="AD62" i="6"/>
  <c r="AE62" i="6"/>
  <c r="AF62" i="6"/>
  <c r="W63" i="6"/>
  <c r="X63" i="6"/>
  <c r="Y63" i="6"/>
  <c r="Z63" i="6"/>
  <c r="AA63" i="6"/>
  <c r="AB63" i="6"/>
  <c r="AC63" i="6"/>
  <c r="AD63" i="6"/>
  <c r="AE63" i="6"/>
  <c r="AF63" i="6"/>
  <c r="W64" i="6"/>
  <c r="X64" i="6"/>
  <c r="Y64" i="6"/>
  <c r="Z64" i="6"/>
  <c r="AA64" i="6"/>
  <c r="AB64" i="6"/>
  <c r="AC64" i="6"/>
  <c r="AD64" i="6"/>
  <c r="AE64" i="6"/>
  <c r="AF64" i="6"/>
  <c r="W65" i="6"/>
  <c r="X65" i="6"/>
  <c r="Y65" i="6"/>
  <c r="Z65" i="6"/>
  <c r="AA65" i="6"/>
  <c r="AB65" i="6"/>
  <c r="AC65" i="6"/>
  <c r="AD65" i="6"/>
  <c r="AE65" i="6"/>
  <c r="AF65" i="6"/>
  <c r="W66" i="6"/>
  <c r="X66" i="6"/>
  <c r="Y66" i="6"/>
  <c r="Z66" i="6"/>
  <c r="AA66" i="6"/>
  <c r="AB66" i="6"/>
  <c r="AC66" i="6"/>
  <c r="AD66" i="6"/>
  <c r="AE66" i="6"/>
  <c r="AF66" i="6"/>
  <c r="W67" i="6"/>
  <c r="X67" i="6"/>
  <c r="Y67" i="6"/>
  <c r="Z67" i="6"/>
  <c r="AA67" i="6"/>
  <c r="AB67" i="6"/>
  <c r="AC67" i="6"/>
  <c r="AD67" i="6"/>
  <c r="AE67" i="6"/>
  <c r="AF67" i="6"/>
  <c r="W68" i="6"/>
  <c r="X68" i="6"/>
  <c r="Y68" i="6"/>
  <c r="Z68" i="6"/>
  <c r="AA68" i="6"/>
  <c r="AB68" i="6"/>
  <c r="AC68" i="6"/>
  <c r="AD68" i="6"/>
  <c r="AE68" i="6"/>
  <c r="AF68" i="6"/>
  <c r="W69" i="6"/>
  <c r="X69" i="6"/>
  <c r="Y69" i="6"/>
  <c r="Z69" i="6"/>
  <c r="AA69" i="6"/>
  <c r="AB69" i="6"/>
  <c r="AC69" i="6"/>
  <c r="AD69" i="6"/>
  <c r="AE69" i="6"/>
  <c r="AF69" i="6"/>
  <c r="W70" i="6"/>
  <c r="X70" i="6"/>
  <c r="Y70" i="6"/>
  <c r="Z70" i="6"/>
  <c r="AA70" i="6"/>
  <c r="AB70" i="6"/>
  <c r="AC70" i="6"/>
  <c r="AD70" i="6"/>
  <c r="AE70" i="6"/>
  <c r="AF70" i="6"/>
  <c r="W71" i="6"/>
  <c r="X71" i="6"/>
  <c r="Y71" i="6"/>
  <c r="Z71" i="6"/>
  <c r="AA71" i="6"/>
  <c r="AB71" i="6"/>
  <c r="AC71" i="6"/>
  <c r="AD71" i="6"/>
  <c r="AE71" i="6"/>
  <c r="AF71" i="6"/>
  <c r="W72" i="6"/>
  <c r="X72" i="6"/>
  <c r="Y72" i="6"/>
  <c r="Z72" i="6"/>
  <c r="AA72" i="6"/>
  <c r="AB72" i="6"/>
  <c r="AC72" i="6"/>
  <c r="AD72" i="6"/>
  <c r="AE72" i="6"/>
  <c r="AF72" i="6"/>
  <c r="W73" i="6"/>
  <c r="X73" i="6"/>
  <c r="Y73" i="6"/>
  <c r="Z73" i="6"/>
  <c r="AA73" i="6"/>
  <c r="AB73" i="6"/>
  <c r="AC73" i="6"/>
  <c r="AD73" i="6"/>
  <c r="AE73" i="6"/>
  <c r="AF73" i="6"/>
  <c r="W74" i="6"/>
  <c r="X74" i="6"/>
  <c r="Y74" i="6"/>
  <c r="Z74" i="6"/>
  <c r="AA74" i="6"/>
  <c r="AB74" i="6"/>
  <c r="AC74" i="6"/>
  <c r="AD74" i="6"/>
  <c r="AE74" i="6"/>
  <c r="AF74" i="6"/>
  <c r="W75" i="6"/>
  <c r="X75" i="6"/>
  <c r="Y75" i="6"/>
  <c r="Z75" i="6"/>
  <c r="AA75" i="6"/>
  <c r="AB75" i="6"/>
  <c r="AC75" i="6"/>
  <c r="AD75" i="6"/>
  <c r="AE75" i="6"/>
  <c r="AF75" i="6"/>
  <c r="W76" i="6"/>
  <c r="X76" i="6"/>
  <c r="Y76" i="6"/>
  <c r="Z76" i="6"/>
  <c r="AA76" i="6"/>
  <c r="AB76" i="6"/>
  <c r="AC76" i="6"/>
  <c r="AD76" i="6"/>
  <c r="AE76" i="6"/>
  <c r="AF76" i="6"/>
  <c r="W77" i="6"/>
  <c r="X77" i="6"/>
  <c r="Y77" i="6"/>
  <c r="Z77" i="6"/>
  <c r="AA77" i="6"/>
  <c r="AB77" i="6"/>
  <c r="AC77" i="6"/>
  <c r="AD77" i="6"/>
  <c r="AE77" i="6"/>
  <c r="AF77" i="6"/>
  <c r="W78" i="6"/>
  <c r="X78" i="6"/>
  <c r="Y78" i="6"/>
  <c r="Z78" i="6"/>
  <c r="AA78" i="6"/>
  <c r="AB78" i="6"/>
  <c r="AC78" i="6"/>
  <c r="AD78" i="6"/>
  <c r="AE78" i="6"/>
  <c r="AF78" i="6"/>
  <c r="W79" i="6"/>
  <c r="X79" i="6"/>
  <c r="Y79" i="6"/>
  <c r="Z79" i="6"/>
  <c r="AA79" i="6"/>
  <c r="AB79" i="6"/>
  <c r="AC79" i="6"/>
  <c r="AD79" i="6"/>
  <c r="AE79" i="6"/>
  <c r="AF79" i="6"/>
  <c r="W80" i="6"/>
  <c r="X80" i="6"/>
  <c r="Y80" i="6"/>
  <c r="Z80" i="6"/>
  <c r="AA80" i="6"/>
  <c r="AB80" i="6"/>
  <c r="AC80" i="6"/>
  <c r="AD80" i="6"/>
  <c r="AE80" i="6"/>
  <c r="AF80" i="6"/>
  <c r="W81" i="6"/>
  <c r="X81" i="6"/>
  <c r="Y81" i="6"/>
  <c r="Z81" i="6"/>
  <c r="AA81" i="6"/>
  <c r="AB81" i="6"/>
  <c r="AC81" i="6"/>
  <c r="AD81" i="6"/>
  <c r="AE81" i="6"/>
  <c r="AF81" i="6"/>
  <c r="W82" i="6"/>
  <c r="X82" i="6"/>
  <c r="Y82" i="6"/>
  <c r="Z82" i="6"/>
  <c r="AA82" i="6"/>
  <c r="AB82" i="6"/>
  <c r="AC82" i="6"/>
  <c r="AD82" i="6"/>
  <c r="AE82" i="6"/>
  <c r="AF82" i="6"/>
  <c r="W83" i="6"/>
  <c r="X83" i="6"/>
  <c r="Y83" i="6"/>
  <c r="Z83" i="6"/>
  <c r="AA83" i="6"/>
  <c r="AB83" i="6"/>
  <c r="AC83" i="6"/>
  <c r="AD83" i="6"/>
  <c r="AE83" i="6"/>
  <c r="AF83" i="6"/>
  <c r="W84" i="6"/>
  <c r="X84" i="6"/>
  <c r="Y84" i="6"/>
  <c r="Z84" i="6"/>
  <c r="AA84" i="6"/>
  <c r="AB84" i="6"/>
  <c r="AC84" i="6"/>
  <c r="AD84" i="6"/>
  <c r="AE84" i="6"/>
  <c r="AF84" i="6"/>
  <c r="W85" i="6"/>
  <c r="X85" i="6"/>
  <c r="Y85" i="6"/>
  <c r="Z85" i="6"/>
  <c r="AA85" i="6"/>
  <c r="AB85" i="6"/>
  <c r="AC85" i="6"/>
  <c r="AD85" i="6"/>
  <c r="AE85" i="6"/>
  <c r="AF85" i="6"/>
  <c r="W86" i="6"/>
  <c r="X86" i="6"/>
  <c r="Y86" i="6"/>
  <c r="Z86" i="6"/>
  <c r="AA86" i="6"/>
  <c r="AB86" i="6"/>
  <c r="AC86" i="6"/>
  <c r="AD86" i="6"/>
  <c r="AE86" i="6"/>
  <c r="AF86" i="6"/>
  <c r="W87" i="6"/>
  <c r="X87" i="6"/>
  <c r="Y87" i="6"/>
  <c r="Z87" i="6"/>
  <c r="AA87" i="6"/>
  <c r="AB87" i="6"/>
  <c r="AC87" i="6"/>
  <c r="AD87" i="6"/>
  <c r="AE87" i="6"/>
  <c r="AF87" i="6"/>
  <c r="W88" i="6"/>
  <c r="X88" i="6"/>
  <c r="Y88" i="6"/>
  <c r="Z88" i="6"/>
  <c r="AA88" i="6"/>
  <c r="AB88" i="6"/>
  <c r="AC88" i="6"/>
  <c r="AD88" i="6"/>
  <c r="AE88" i="6"/>
  <c r="AF88" i="6"/>
  <c r="W89" i="6"/>
  <c r="X89" i="6"/>
  <c r="Y89" i="6"/>
  <c r="Z89" i="6"/>
  <c r="AA89" i="6"/>
  <c r="AB89" i="6"/>
  <c r="AC89" i="6"/>
  <c r="AD89" i="6"/>
  <c r="AE89" i="6"/>
  <c r="AF89" i="6"/>
  <c r="W90" i="6"/>
  <c r="X90" i="6"/>
  <c r="Y90" i="6"/>
  <c r="Z90" i="6"/>
  <c r="AA90" i="6"/>
  <c r="AB90" i="6"/>
  <c r="AC90" i="6"/>
  <c r="AD90" i="6"/>
  <c r="AE90" i="6"/>
  <c r="AF90" i="6"/>
  <c r="W91" i="6"/>
  <c r="X91" i="6"/>
  <c r="Y91" i="6"/>
  <c r="Z91" i="6"/>
  <c r="AA91" i="6"/>
  <c r="AB91" i="6"/>
  <c r="AC91" i="6"/>
  <c r="AD91" i="6"/>
  <c r="AE91" i="6"/>
  <c r="AF91" i="6"/>
  <c r="W92" i="6"/>
  <c r="X92" i="6"/>
  <c r="Y92" i="6"/>
  <c r="Z92" i="6"/>
  <c r="AA92" i="6"/>
  <c r="AB92" i="6"/>
  <c r="AC92" i="6"/>
  <c r="AD92" i="6"/>
  <c r="AE92" i="6"/>
  <c r="AF92" i="6"/>
  <c r="W93" i="6"/>
  <c r="X93" i="6"/>
  <c r="Y93" i="6"/>
  <c r="Z93" i="6"/>
  <c r="AA93" i="6"/>
  <c r="AB93" i="6"/>
  <c r="AC93" i="6"/>
  <c r="AD93" i="6"/>
  <c r="AE93" i="6"/>
  <c r="AF93" i="6"/>
  <c r="W94" i="6"/>
  <c r="X94" i="6"/>
  <c r="Y94" i="6"/>
  <c r="Z94" i="6"/>
  <c r="AA94" i="6"/>
  <c r="AB94" i="6"/>
  <c r="AC94" i="6"/>
  <c r="AD94" i="6"/>
  <c r="AE94" i="6"/>
  <c r="AF94" i="6"/>
  <c r="W95" i="6"/>
  <c r="X95" i="6"/>
  <c r="Y95" i="6"/>
  <c r="Z95" i="6"/>
  <c r="AA95" i="6"/>
  <c r="AB95" i="6"/>
  <c r="AC95" i="6"/>
  <c r="AD95" i="6"/>
  <c r="AE95" i="6"/>
  <c r="AF95" i="6"/>
  <c r="W96" i="6"/>
  <c r="X96" i="6"/>
  <c r="Y96" i="6"/>
  <c r="Z96" i="6"/>
  <c r="AA96" i="6"/>
  <c r="AB96" i="6"/>
  <c r="AC96" i="6"/>
  <c r="AD96" i="6"/>
  <c r="AE96" i="6"/>
  <c r="AF96" i="6"/>
  <c r="W97" i="6"/>
  <c r="X97" i="6"/>
  <c r="Y97" i="6"/>
  <c r="Z97" i="6"/>
  <c r="AA97" i="6"/>
  <c r="AB97" i="6"/>
  <c r="AC97" i="6"/>
  <c r="AD97" i="6"/>
  <c r="AE97" i="6"/>
  <c r="AF97" i="6"/>
  <c r="W98" i="6"/>
  <c r="X98" i="6"/>
  <c r="Y98" i="6"/>
  <c r="Z98" i="6"/>
  <c r="AA98" i="6"/>
  <c r="AB98" i="6"/>
  <c r="AC98" i="6"/>
  <c r="AD98" i="6"/>
  <c r="AE98" i="6"/>
  <c r="AF98" i="6"/>
  <c r="W99" i="6"/>
  <c r="X99" i="6"/>
  <c r="Y99" i="6"/>
  <c r="Z99" i="6"/>
  <c r="AA99" i="6"/>
  <c r="AB99" i="6"/>
  <c r="AC99" i="6"/>
  <c r="AD99" i="6"/>
  <c r="AE99" i="6"/>
  <c r="AF99" i="6"/>
  <c r="W100" i="6"/>
  <c r="X100" i="6"/>
  <c r="Y100" i="6"/>
  <c r="Z100" i="6"/>
  <c r="AA100" i="6"/>
  <c r="AB100" i="6"/>
  <c r="AC100" i="6"/>
  <c r="AD100" i="6"/>
  <c r="AE100" i="6"/>
  <c r="AF100" i="6"/>
  <c r="W101" i="6"/>
  <c r="X101" i="6"/>
  <c r="Y101" i="6"/>
  <c r="Z101" i="6"/>
  <c r="AA101" i="6"/>
  <c r="AB101" i="6"/>
  <c r="AC101" i="6"/>
  <c r="AD101" i="6"/>
  <c r="AE101" i="6"/>
  <c r="AF101" i="6"/>
  <c r="W102" i="6"/>
  <c r="X102" i="6"/>
  <c r="Y102" i="6"/>
  <c r="Z102" i="6"/>
  <c r="AA102" i="6"/>
  <c r="AB102" i="6"/>
  <c r="AC102" i="6"/>
  <c r="AD102" i="6"/>
  <c r="AE102" i="6"/>
  <c r="AF102" i="6"/>
  <c r="W103" i="6"/>
  <c r="X103" i="6"/>
  <c r="Y103" i="6"/>
  <c r="Z103" i="6"/>
  <c r="AA103" i="6"/>
  <c r="AB103" i="6"/>
  <c r="AC103" i="6"/>
  <c r="AD103" i="6"/>
  <c r="AE103" i="6"/>
  <c r="AF103" i="6"/>
  <c r="W104" i="6"/>
  <c r="X104" i="6"/>
  <c r="Y104" i="6"/>
  <c r="Z104" i="6"/>
  <c r="AA104" i="6"/>
  <c r="AB104" i="6"/>
  <c r="AC104" i="6"/>
  <c r="AD104" i="6"/>
  <c r="AE104" i="6"/>
  <c r="AF104" i="6"/>
  <c r="W105" i="6"/>
  <c r="X105" i="6"/>
  <c r="Y105" i="6"/>
  <c r="Z105" i="6"/>
  <c r="AA105" i="6"/>
  <c r="AB105" i="6"/>
  <c r="AC105" i="6"/>
  <c r="AD105" i="6"/>
  <c r="AE105" i="6"/>
  <c r="AF105" i="6"/>
  <c r="W106" i="6"/>
  <c r="X106" i="6"/>
  <c r="Y106" i="6"/>
  <c r="Z106" i="6"/>
  <c r="AA106" i="6"/>
  <c r="AB106" i="6"/>
  <c r="AC106" i="6"/>
  <c r="AD106" i="6"/>
  <c r="AE106" i="6"/>
  <c r="AF106" i="6"/>
  <c r="W107" i="6"/>
  <c r="X107" i="6"/>
  <c r="Y107" i="6"/>
  <c r="Z107" i="6"/>
  <c r="AA107" i="6"/>
  <c r="AB107" i="6"/>
  <c r="AC107" i="6"/>
  <c r="AD107" i="6"/>
  <c r="AE107" i="6"/>
  <c r="AF107" i="6"/>
  <c r="W108" i="6"/>
  <c r="X108" i="6"/>
  <c r="Y108" i="6"/>
  <c r="Z108" i="6"/>
  <c r="AA108" i="6"/>
  <c r="AB108" i="6"/>
  <c r="AC108" i="6"/>
  <c r="AD108" i="6"/>
  <c r="AE108" i="6"/>
  <c r="AF108" i="6"/>
  <c r="W109" i="6"/>
  <c r="X109" i="6"/>
  <c r="Y109" i="6"/>
  <c r="Z109" i="6"/>
  <c r="AA109" i="6"/>
  <c r="AB109" i="6"/>
  <c r="AC109" i="6"/>
  <c r="AD109" i="6"/>
  <c r="AE109" i="6"/>
  <c r="AF109" i="6"/>
  <c r="W110" i="6"/>
  <c r="X110" i="6"/>
  <c r="Y110" i="6"/>
  <c r="Z110" i="6"/>
  <c r="AA110" i="6"/>
  <c r="AB110" i="6"/>
  <c r="AC110" i="6"/>
  <c r="AD110" i="6"/>
  <c r="AE110" i="6"/>
  <c r="AF110" i="6"/>
  <c r="W111" i="6"/>
  <c r="X111" i="6"/>
  <c r="Y111" i="6"/>
  <c r="Z111" i="6"/>
  <c r="AA111" i="6"/>
  <c r="AB111" i="6"/>
  <c r="AC111" i="6"/>
  <c r="AD111" i="6"/>
  <c r="AE111" i="6"/>
  <c r="AF111" i="6"/>
  <c r="W112" i="6"/>
  <c r="X112" i="6"/>
  <c r="Y112" i="6"/>
  <c r="Z112" i="6"/>
  <c r="AA112" i="6"/>
  <c r="AB112" i="6"/>
  <c r="AC112" i="6"/>
  <c r="AD112" i="6"/>
  <c r="AE112" i="6"/>
  <c r="AF112" i="6"/>
  <c r="W113" i="6"/>
  <c r="X113" i="6"/>
  <c r="Y113" i="6"/>
  <c r="Z113" i="6"/>
  <c r="AA113" i="6"/>
  <c r="AB113" i="6"/>
  <c r="AC113" i="6"/>
  <c r="AD113" i="6"/>
  <c r="AE113" i="6"/>
  <c r="AF113" i="6"/>
  <c r="W114" i="6"/>
  <c r="X114" i="6"/>
  <c r="Y114" i="6"/>
  <c r="Z114" i="6"/>
  <c r="AA114" i="6"/>
  <c r="AB114" i="6"/>
  <c r="AC114" i="6"/>
  <c r="AD114" i="6"/>
  <c r="AE114" i="6"/>
  <c r="AF114" i="6"/>
  <c r="W115" i="6"/>
  <c r="X115" i="6"/>
  <c r="Y115" i="6"/>
  <c r="Z115" i="6"/>
  <c r="AA115" i="6"/>
  <c r="AB115" i="6"/>
  <c r="AC115" i="6"/>
  <c r="AD115" i="6"/>
  <c r="AE115" i="6"/>
  <c r="AF115" i="6"/>
  <c r="W116" i="6"/>
  <c r="X116" i="6"/>
  <c r="Y116" i="6"/>
  <c r="Z116" i="6"/>
  <c r="AA116" i="6"/>
  <c r="AB116" i="6"/>
  <c r="AC116" i="6"/>
  <c r="AD116" i="6"/>
  <c r="AE116" i="6"/>
  <c r="AF116" i="6"/>
  <c r="W117" i="6"/>
  <c r="X117" i="6"/>
  <c r="Y117" i="6"/>
  <c r="Z117" i="6"/>
  <c r="AA117" i="6"/>
  <c r="AB117" i="6"/>
  <c r="AC117" i="6"/>
  <c r="AD117" i="6"/>
  <c r="AE117" i="6"/>
  <c r="AF117" i="6"/>
  <c r="W118" i="6"/>
  <c r="X118" i="6"/>
  <c r="Y118" i="6"/>
  <c r="Z118" i="6"/>
  <c r="AA118" i="6"/>
  <c r="AB118" i="6"/>
  <c r="AC118" i="6"/>
  <c r="AD118" i="6"/>
  <c r="AE118" i="6"/>
  <c r="AF118" i="6"/>
  <c r="W119" i="6"/>
  <c r="X119" i="6"/>
  <c r="Y119" i="6"/>
  <c r="Z119" i="6"/>
  <c r="AA119" i="6"/>
  <c r="AB119" i="6"/>
  <c r="AC119" i="6"/>
  <c r="AD119" i="6"/>
  <c r="AE119" i="6"/>
  <c r="AF119" i="6"/>
  <c r="W120" i="6"/>
  <c r="X120" i="6"/>
  <c r="Y120" i="6"/>
  <c r="Z120" i="6"/>
  <c r="AA120" i="6"/>
  <c r="AB120" i="6"/>
  <c r="AC120" i="6"/>
  <c r="AD120" i="6"/>
  <c r="AE120" i="6"/>
  <c r="AF120" i="6"/>
  <c r="W121" i="6"/>
  <c r="X121" i="6"/>
  <c r="Y121" i="6"/>
  <c r="Z121" i="6"/>
  <c r="AA121" i="6"/>
  <c r="AB121" i="6"/>
  <c r="AC121" i="6"/>
  <c r="AD121" i="6"/>
  <c r="AE121" i="6"/>
  <c r="AF121" i="6"/>
  <c r="W122" i="6"/>
  <c r="X122" i="6"/>
  <c r="Y122" i="6"/>
  <c r="Z122" i="6"/>
  <c r="AA122" i="6"/>
  <c r="AB122" i="6"/>
  <c r="AC122" i="6"/>
  <c r="AD122" i="6"/>
  <c r="AE122" i="6"/>
  <c r="AF122" i="6"/>
  <c r="W123" i="6"/>
  <c r="X123" i="6"/>
  <c r="Y123" i="6"/>
  <c r="Z123" i="6"/>
  <c r="AA123" i="6"/>
  <c r="AB123" i="6"/>
  <c r="AC123" i="6"/>
  <c r="AD123" i="6"/>
  <c r="AE123" i="6"/>
  <c r="AF123" i="6"/>
  <c r="W124" i="6"/>
  <c r="X124" i="6"/>
  <c r="Y124" i="6"/>
  <c r="Z124" i="6"/>
  <c r="AA124" i="6"/>
  <c r="AB124" i="6"/>
  <c r="AC124" i="6"/>
  <c r="AD124" i="6"/>
  <c r="AE124" i="6"/>
  <c r="AF124" i="6"/>
  <c r="W125" i="6"/>
  <c r="X125" i="6"/>
  <c r="Y125" i="6"/>
  <c r="Z125" i="6"/>
  <c r="AA125" i="6"/>
  <c r="AB125" i="6"/>
  <c r="AC125" i="6"/>
  <c r="AD125" i="6"/>
  <c r="AE125" i="6"/>
  <c r="AF125" i="6"/>
  <c r="W126" i="6"/>
  <c r="X126" i="6"/>
  <c r="Y126" i="6"/>
  <c r="Z126" i="6"/>
  <c r="AA126" i="6"/>
  <c r="AB126" i="6"/>
  <c r="AC126" i="6"/>
  <c r="AD126" i="6"/>
  <c r="AE126" i="6"/>
  <c r="AF126" i="6"/>
  <c r="W127" i="6"/>
  <c r="X127" i="6"/>
  <c r="Y127" i="6"/>
  <c r="Z127" i="6"/>
  <c r="AA127" i="6"/>
  <c r="AB127" i="6"/>
  <c r="AC127" i="6"/>
  <c r="AD127" i="6"/>
  <c r="AE127" i="6"/>
  <c r="AF127" i="6"/>
  <c r="W128" i="6"/>
  <c r="X128" i="6"/>
  <c r="Y128" i="6"/>
  <c r="Z128" i="6"/>
  <c r="AA128" i="6"/>
  <c r="AB128" i="6"/>
  <c r="AC128" i="6"/>
  <c r="AD128" i="6"/>
  <c r="AE128" i="6"/>
  <c r="AF128" i="6"/>
  <c r="W129" i="6"/>
  <c r="X129" i="6"/>
  <c r="Y129" i="6"/>
  <c r="Z129" i="6"/>
  <c r="AA129" i="6"/>
  <c r="AB129" i="6"/>
  <c r="AC129" i="6"/>
  <c r="AD129" i="6"/>
  <c r="AE129" i="6"/>
  <c r="AF129" i="6"/>
  <c r="W130" i="6"/>
  <c r="X130" i="6"/>
  <c r="Y130" i="6"/>
  <c r="Z130" i="6"/>
  <c r="AA130" i="6"/>
  <c r="AB130" i="6"/>
  <c r="AC130" i="6"/>
  <c r="AD130" i="6"/>
  <c r="AE130" i="6"/>
  <c r="AF130" i="6"/>
  <c r="W131" i="6"/>
  <c r="X131" i="6"/>
  <c r="Y131" i="6"/>
  <c r="Z131" i="6"/>
  <c r="AA131" i="6"/>
  <c r="AB131" i="6"/>
  <c r="AC131" i="6"/>
  <c r="AD131" i="6"/>
  <c r="AE131" i="6"/>
  <c r="AF131" i="6"/>
  <c r="W132" i="6"/>
  <c r="X132" i="6"/>
  <c r="Y132" i="6"/>
  <c r="Z132" i="6"/>
  <c r="AA132" i="6"/>
  <c r="AB132" i="6"/>
  <c r="AC132" i="6"/>
  <c r="AD132" i="6"/>
  <c r="AE132" i="6"/>
  <c r="AF132" i="6"/>
  <c r="W133" i="6"/>
  <c r="X133" i="6"/>
  <c r="Y133" i="6"/>
  <c r="Z133" i="6"/>
  <c r="AA133" i="6"/>
  <c r="AB133" i="6"/>
  <c r="AC133" i="6"/>
  <c r="AD133" i="6"/>
  <c r="AE133" i="6"/>
  <c r="AF133" i="6"/>
  <c r="W134" i="6"/>
  <c r="X134" i="6"/>
  <c r="Y134" i="6"/>
  <c r="Z134" i="6"/>
  <c r="AA134" i="6"/>
  <c r="AB134" i="6"/>
  <c r="AC134" i="6"/>
  <c r="AD134" i="6"/>
  <c r="AE134" i="6"/>
  <c r="AF134" i="6"/>
  <c r="W135" i="6"/>
  <c r="X135" i="6"/>
  <c r="Y135" i="6"/>
  <c r="Z135" i="6"/>
  <c r="AA135" i="6"/>
  <c r="AB135" i="6"/>
  <c r="AC135" i="6"/>
  <c r="AD135" i="6"/>
  <c r="AE135" i="6"/>
  <c r="AF135" i="6"/>
  <c r="W136" i="6"/>
  <c r="X136" i="6"/>
  <c r="Y136" i="6"/>
  <c r="Z136" i="6"/>
  <c r="AA136" i="6"/>
  <c r="AB136" i="6"/>
  <c r="AC136" i="6"/>
  <c r="AD136" i="6"/>
  <c r="AE136" i="6"/>
  <c r="AF136" i="6"/>
  <c r="W137" i="6"/>
  <c r="X137" i="6"/>
  <c r="Y137" i="6"/>
  <c r="Z137" i="6"/>
  <c r="AA137" i="6"/>
  <c r="AB137" i="6"/>
  <c r="AC137" i="6"/>
  <c r="AD137" i="6"/>
  <c r="AE137" i="6"/>
  <c r="AF137" i="6"/>
  <c r="W138" i="6"/>
  <c r="X138" i="6"/>
  <c r="Y138" i="6"/>
  <c r="Z138" i="6"/>
  <c r="AA138" i="6"/>
  <c r="AB138" i="6"/>
  <c r="AC138" i="6"/>
  <c r="AD138" i="6"/>
  <c r="AE138" i="6"/>
  <c r="AF138" i="6"/>
  <c r="W139" i="6"/>
  <c r="X139" i="6"/>
  <c r="Y139" i="6"/>
  <c r="Z139" i="6"/>
  <c r="AA139" i="6"/>
  <c r="AB139" i="6"/>
  <c r="AC139" i="6"/>
  <c r="AD139" i="6"/>
  <c r="AE139" i="6"/>
  <c r="AF139" i="6"/>
  <c r="W140" i="6"/>
  <c r="X140" i="6"/>
  <c r="Y140" i="6"/>
  <c r="Z140" i="6"/>
  <c r="AA140" i="6"/>
  <c r="AB140" i="6"/>
  <c r="AC140" i="6"/>
  <c r="AD140" i="6"/>
  <c r="AE140" i="6"/>
  <c r="AF140" i="6"/>
  <c r="W141" i="6"/>
  <c r="X141" i="6"/>
  <c r="Y141" i="6"/>
  <c r="Z141" i="6"/>
  <c r="AA141" i="6"/>
  <c r="AB141" i="6"/>
  <c r="AC141" i="6"/>
  <c r="AD141" i="6"/>
  <c r="AE141" i="6"/>
  <c r="AF141" i="6"/>
  <c r="W142" i="6"/>
  <c r="X142" i="6"/>
  <c r="Y142" i="6"/>
  <c r="Z142" i="6"/>
  <c r="AA142" i="6"/>
  <c r="AB142" i="6"/>
  <c r="AC142" i="6"/>
  <c r="AD142" i="6"/>
  <c r="AE142" i="6"/>
  <c r="AF142" i="6"/>
  <c r="W143" i="6"/>
  <c r="X143" i="6"/>
  <c r="Y143" i="6"/>
  <c r="Z143" i="6"/>
  <c r="AA143" i="6"/>
  <c r="AB143" i="6"/>
  <c r="AC143" i="6"/>
  <c r="AD143" i="6"/>
  <c r="AE143" i="6"/>
  <c r="AF143" i="6"/>
  <c r="W144" i="6"/>
  <c r="X144" i="6"/>
  <c r="Y144" i="6"/>
  <c r="Z144" i="6"/>
  <c r="AA144" i="6"/>
  <c r="AB144" i="6"/>
  <c r="AC144" i="6"/>
  <c r="AD144" i="6"/>
  <c r="AE144" i="6"/>
  <c r="AF144" i="6"/>
  <c r="W145" i="6"/>
  <c r="X145" i="6"/>
  <c r="Y145" i="6"/>
  <c r="Z145" i="6"/>
  <c r="AA145" i="6"/>
  <c r="AB145" i="6"/>
  <c r="AC145" i="6"/>
  <c r="AD145" i="6"/>
  <c r="AE145" i="6"/>
  <c r="AF145" i="6"/>
  <c r="W146" i="6"/>
  <c r="X146" i="6"/>
  <c r="Y146" i="6"/>
  <c r="Z146" i="6"/>
  <c r="AA146" i="6"/>
  <c r="AB146" i="6"/>
  <c r="AC146" i="6"/>
  <c r="AD146" i="6"/>
  <c r="AE146" i="6"/>
  <c r="AF146" i="6"/>
  <c r="W147" i="6"/>
  <c r="X147" i="6"/>
  <c r="Y147" i="6"/>
  <c r="Z147" i="6"/>
  <c r="AA147" i="6"/>
  <c r="AB147" i="6"/>
  <c r="AC147" i="6"/>
  <c r="AD147" i="6"/>
  <c r="AE147" i="6"/>
  <c r="AF147" i="6"/>
  <c r="W148" i="6"/>
  <c r="X148" i="6"/>
  <c r="Y148" i="6"/>
  <c r="Z148" i="6"/>
  <c r="AA148" i="6"/>
  <c r="AB148" i="6"/>
  <c r="AC148" i="6"/>
  <c r="AD148" i="6"/>
  <c r="AE148" i="6"/>
  <c r="AF148" i="6"/>
  <c r="W149" i="6"/>
  <c r="X149" i="6"/>
  <c r="Y149" i="6"/>
  <c r="Z149" i="6"/>
  <c r="AA149" i="6"/>
  <c r="AB149" i="6"/>
  <c r="AC149" i="6"/>
  <c r="AD149" i="6"/>
  <c r="AE149" i="6"/>
  <c r="AF149" i="6"/>
  <c r="W150" i="6"/>
  <c r="X150" i="6"/>
  <c r="Y150" i="6"/>
  <c r="Z150" i="6"/>
  <c r="AA150" i="6"/>
  <c r="AB150" i="6"/>
  <c r="AC150" i="6"/>
  <c r="AD150" i="6"/>
  <c r="AE150" i="6"/>
  <c r="AF150" i="6"/>
  <c r="W151" i="6"/>
  <c r="X151" i="6"/>
  <c r="Y151" i="6"/>
  <c r="Z151" i="6"/>
  <c r="AA151" i="6"/>
  <c r="AB151" i="6"/>
  <c r="AC151" i="6"/>
  <c r="AD151" i="6"/>
  <c r="AE151" i="6"/>
  <c r="AF151" i="6"/>
  <c r="W152" i="6"/>
  <c r="X152" i="6"/>
  <c r="Y152" i="6"/>
  <c r="Z152" i="6"/>
  <c r="AA152" i="6"/>
  <c r="AB152" i="6"/>
  <c r="AC152" i="6"/>
  <c r="AD152" i="6"/>
  <c r="AE152" i="6"/>
  <c r="AF152" i="6"/>
  <c r="W153" i="6"/>
  <c r="X153" i="6"/>
  <c r="Y153" i="6"/>
  <c r="Z153" i="6"/>
  <c r="AA153" i="6"/>
  <c r="AB153" i="6"/>
  <c r="AC153" i="6"/>
  <c r="AD153" i="6"/>
  <c r="AE153" i="6"/>
  <c r="AF153" i="6"/>
  <c r="W154" i="6"/>
  <c r="X154" i="6"/>
  <c r="Y154" i="6"/>
  <c r="Z154" i="6"/>
  <c r="AA154" i="6"/>
  <c r="AB154" i="6"/>
  <c r="AC154" i="6"/>
  <c r="AD154" i="6"/>
  <c r="AE154" i="6"/>
  <c r="AF154" i="6"/>
  <c r="W155" i="6"/>
  <c r="X155" i="6"/>
  <c r="Y155" i="6"/>
  <c r="Z155" i="6"/>
  <c r="AA155" i="6"/>
  <c r="AB155" i="6"/>
  <c r="AC155" i="6"/>
  <c r="AD155" i="6"/>
  <c r="AE155" i="6"/>
  <c r="AF155" i="6"/>
  <c r="W156" i="6"/>
  <c r="X156" i="6"/>
  <c r="Y156" i="6"/>
  <c r="Z156" i="6"/>
  <c r="AA156" i="6"/>
  <c r="AB156" i="6"/>
  <c r="AC156" i="6"/>
  <c r="AD156" i="6"/>
  <c r="AE156" i="6"/>
  <c r="AF156" i="6"/>
  <c r="W157" i="6"/>
  <c r="X157" i="6"/>
  <c r="Y157" i="6"/>
  <c r="Z157" i="6"/>
  <c r="AA157" i="6"/>
  <c r="AB157" i="6"/>
  <c r="AC157" i="6"/>
  <c r="AD157" i="6"/>
  <c r="AE157" i="6"/>
  <c r="AF157" i="6"/>
  <c r="W158" i="6"/>
  <c r="X158" i="6"/>
  <c r="Y158" i="6"/>
  <c r="Z158" i="6"/>
  <c r="AA158" i="6"/>
  <c r="AB158" i="6"/>
  <c r="AC158" i="6"/>
  <c r="AD158" i="6"/>
  <c r="AE158" i="6"/>
  <c r="AF158" i="6"/>
  <c r="W159" i="6"/>
  <c r="X159" i="6"/>
  <c r="Y159" i="6"/>
  <c r="Z159" i="6"/>
  <c r="AA159" i="6"/>
  <c r="AB159" i="6"/>
  <c r="AC159" i="6"/>
  <c r="AD159" i="6"/>
  <c r="AE159" i="6"/>
  <c r="AF159" i="6"/>
  <c r="W160" i="6"/>
  <c r="X160" i="6"/>
  <c r="Y160" i="6"/>
  <c r="Z160" i="6"/>
  <c r="AA160" i="6"/>
  <c r="AB160" i="6"/>
  <c r="AC160" i="6"/>
  <c r="AD160" i="6"/>
  <c r="AE160" i="6"/>
  <c r="AF160" i="6"/>
  <c r="W161" i="6"/>
  <c r="X161" i="6"/>
  <c r="Y161" i="6"/>
  <c r="Z161" i="6"/>
  <c r="AA161" i="6"/>
  <c r="AB161" i="6"/>
  <c r="AC161" i="6"/>
  <c r="AD161" i="6"/>
  <c r="AE161" i="6"/>
  <c r="AF161" i="6"/>
  <c r="W162" i="6"/>
  <c r="X162" i="6"/>
  <c r="Y162" i="6"/>
  <c r="Z162" i="6"/>
  <c r="AA162" i="6"/>
  <c r="AB162" i="6"/>
  <c r="AC162" i="6"/>
  <c r="AD162" i="6"/>
  <c r="AE162" i="6"/>
  <c r="AF162" i="6"/>
  <c r="W163" i="6"/>
  <c r="X163" i="6"/>
  <c r="Y163" i="6"/>
  <c r="Z163" i="6"/>
  <c r="AA163" i="6"/>
  <c r="AB163" i="6"/>
  <c r="AC163" i="6"/>
  <c r="AD163" i="6"/>
  <c r="AE163" i="6"/>
  <c r="AF163" i="6"/>
  <c r="W164" i="6"/>
  <c r="X164" i="6"/>
  <c r="Y164" i="6"/>
  <c r="Z164" i="6"/>
  <c r="AA164" i="6"/>
  <c r="AB164" i="6"/>
  <c r="AC164" i="6"/>
  <c r="AD164" i="6"/>
  <c r="AE164" i="6"/>
  <c r="AF164" i="6"/>
  <c r="W165" i="6"/>
  <c r="X165" i="6"/>
  <c r="Y165" i="6"/>
  <c r="Z165" i="6"/>
  <c r="AA165" i="6"/>
  <c r="AB165" i="6"/>
  <c r="AC165" i="6"/>
  <c r="AD165" i="6"/>
  <c r="AE165" i="6"/>
  <c r="AF165" i="6"/>
  <c r="W166" i="6"/>
  <c r="X166" i="6"/>
  <c r="Y166" i="6"/>
  <c r="Z166" i="6"/>
  <c r="AA166" i="6"/>
  <c r="AB166" i="6"/>
  <c r="AC166" i="6"/>
  <c r="AD166" i="6"/>
  <c r="AE166" i="6"/>
  <c r="AF166" i="6"/>
  <c r="W167" i="6"/>
  <c r="X167" i="6"/>
  <c r="Y167" i="6"/>
  <c r="Z167" i="6"/>
  <c r="AA167" i="6"/>
  <c r="AB167" i="6"/>
  <c r="AC167" i="6"/>
  <c r="AD167" i="6"/>
  <c r="AE167" i="6"/>
  <c r="AF167" i="6"/>
  <c r="W168" i="6"/>
  <c r="X168" i="6"/>
  <c r="Y168" i="6"/>
  <c r="Z168" i="6"/>
  <c r="AA168" i="6"/>
  <c r="AB168" i="6"/>
  <c r="AC168" i="6"/>
  <c r="AD168" i="6"/>
  <c r="AE168" i="6"/>
  <c r="AF168" i="6"/>
  <c r="W169" i="6"/>
  <c r="X169" i="6"/>
  <c r="Y169" i="6"/>
  <c r="Z169" i="6"/>
  <c r="AA169" i="6"/>
  <c r="AB169" i="6"/>
  <c r="AC169" i="6"/>
  <c r="AD169" i="6"/>
  <c r="AE169" i="6"/>
  <c r="AF169" i="6"/>
  <c r="W170" i="6"/>
  <c r="X170" i="6"/>
  <c r="Y170" i="6"/>
  <c r="Z170" i="6"/>
  <c r="AA170" i="6"/>
  <c r="AB170" i="6"/>
  <c r="AC170" i="6"/>
  <c r="AD170" i="6"/>
  <c r="AE170" i="6"/>
  <c r="AF170" i="6"/>
  <c r="W171" i="6"/>
  <c r="X171" i="6"/>
  <c r="Y171" i="6"/>
  <c r="Z171" i="6"/>
  <c r="AA171" i="6"/>
  <c r="AB171" i="6"/>
  <c r="AC171" i="6"/>
  <c r="AD171" i="6"/>
  <c r="AE171" i="6"/>
  <c r="AF171" i="6"/>
  <c r="W172" i="6"/>
  <c r="X172" i="6"/>
  <c r="Y172" i="6"/>
  <c r="Z172" i="6"/>
  <c r="AA172" i="6"/>
  <c r="AB172" i="6"/>
  <c r="AC172" i="6"/>
  <c r="AD172" i="6"/>
  <c r="AE172" i="6"/>
  <c r="AF172" i="6"/>
  <c r="W173" i="6"/>
  <c r="X173" i="6"/>
  <c r="Y173" i="6"/>
  <c r="Z173" i="6"/>
  <c r="AA173" i="6"/>
  <c r="AB173" i="6"/>
  <c r="AC173" i="6"/>
  <c r="AD173" i="6"/>
  <c r="AE173" i="6"/>
  <c r="AF173" i="6"/>
  <c r="W174" i="6"/>
  <c r="X174" i="6"/>
  <c r="Y174" i="6"/>
  <c r="Z174" i="6"/>
  <c r="AA174" i="6"/>
  <c r="AB174" i="6"/>
  <c r="AC174" i="6"/>
  <c r="AD174" i="6"/>
  <c r="AE174" i="6"/>
  <c r="AF174" i="6"/>
  <c r="W175" i="6"/>
  <c r="X175" i="6"/>
  <c r="Y175" i="6"/>
  <c r="Z175" i="6"/>
  <c r="AA175" i="6"/>
  <c r="AB175" i="6"/>
  <c r="AC175" i="6"/>
  <c r="AD175" i="6"/>
  <c r="AE175" i="6"/>
  <c r="AF175" i="6"/>
  <c r="W176" i="6"/>
  <c r="X176" i="6"/>
  <c r="Y176" i="6"/>
  <c r="Z176" i="6"/>
  <c r="AA176" i="6"/>
  <c r="AB176" i="6"/>
  <c r="AC176" i="6"/>
  <c r="AD176" i="6"/>
  <c r="AE176" i="6"/>
  <c r="AF176" i="6"/>
  <c r="W177" i="6"/>
  <c r="X177" i="6"/>
  <c r="Y177" i="6"/>
  <c r="Z177" i="6"/>
  <c r="AA177" i="6"/>
  <c r="AB177" i="6"/>
  <c r="AC177" i="6"/>
  <c r="AD177" i="6"/>
  <c r="AE177" i="6"/>
  <c r="AF177" i="6"/>
  <c r="W178" i="6"/>
  <c r="X178" i="6"/>
  <c r="Y178" i="6"/>
  <c r="Z178" i="6"/>
  <c r="AA178" i="6"/>
  <c r="AB178" i="6"/>
  <c r="AC178" i="6"/>
  <c r="AD178" i="6"/>
  <c r="AE178" i="6"/>
  <c r="AF178" i="6"/>
  <c r="W179" i="6"/>
  <c r="X179" i="6"/>
  <c r="Y179" i="6"/>
  <c r="Z179" i="6"/>
  <c r="AA179" i="6"/>
  <c r="AB179" i="6"/>
  <c r="AC179" i="6"/>
  <c r="AD179" i="6"/>
  <c r="AE179" i="6"/>
  <c r="AF179" i="6"/>
  <c r="W180" i="6"/>
  <c r="X180" i="6"/>
  <c r="Y180" i="6"/>
  <c r="Z180" i="6"/>
  <c r="AA180" i="6"/>
  <c r="AB180" i="6"/>
  <c r="AC180" i="6"/>
  <c r="AD180" i="6"/>
  <c r="AE180" i="6"/>
  <c r="AF180" i="6"/>
  <c r="W181" i="6"/>
  <c r="X181" i="6"/>
  <c r="Y181" i="6"/>
  <c r="Z181" i="6"/>
  <c r="AA181" i="6"/>
  <c r="AB181" i="6"/>
  <c r="AC181" i="6"/>
  <c r="AD181" i="6"/>
  <c r="AE181" i="6"/>
  <c r="AF181" i="6"/>
  <c r="W182" i="6"/>
  <c r="X182" i="6"/>
  <c r="Y182" i="6"/>
  <c r="Z182" i="6"/>
  <c r="AA182" i="6"/>
  <c r="AB182" i="6"/>
  <c r="AC182" i="6"/>
  <c r="AD182" i="6"/>
  <c r="AE182" i="6"/>
  <c r="AF182" i="6"/>
  <c r="W183" i="6"/>
  <c r="X183" i="6"/>
  <c r="Y183" i="6"/>
  <c r="Z183" i="6"/>
  <c r="AA183" i="6"/>
  <c r="AB183" i="6"/>
  <c r="AC183" i="6"/>
  <c r="AD183" i="6"/>
  <c r="AE183" i="6"/>
  <c r="AF183" i="6"/>
  <c r="W184" i="6"/>
  <c r="X184" i="6"/>
  <c r="Y184" i="6"/>
  <c r="Z184" i="6"/>
  <c r="AA184" i="6"/>
  <c r="AB184" i="6"/>
  <c r="AC184" i="6"/>
  <c r="AD184" i="6"/>
  <c r="AE184" i="6"/>
  <c r="AF184" i="6"/>
  <c r="W185" i="6"/>
  <c r="X185" i="6"/>
  <c r="Y185" i="6"/>
  <c r="Z185" i="6"/>
  <c r="AA185" i="6"/>
  <c r="AB185" i="6"/>
  <c r="AC185" i="6"/>
  <c r="AD185" i="6"/>
  <c r="AE185" i="6"/>
  <c r="AF185" i="6"/>
  <c r="W186" i="6"/>
  <c r="X186" i="6"/>
  <c r="Y186" i="6"/>
  <c r="Z186" i="6"/>
  <c r="AA186" i="6"/>
  <c r="AB186" i="6"/>
  <c r="AC186" i="6"/>
  <c r="AD186" i="6"/>
  <c r="AE186" i="6"/>
  <c r="AF186" i="6"/>
  <c r="W187" i="6"/>
  <c r="X187" i="6"/>
  <c r="Y187" i="6"/>
  <c r="Z187" i="6"/>
  <c r="AA187" i="6"/>
  <c r="AB187" i="6"/>
  <c r="AC187" i="6"/>
  <c r="AD187" i="6"/>
  <c r="AE187" i="6"/>
  <c r="AF187" i="6"/>
  <c r="W188" i="6"/>
  <c r="X188" i="6"/>
  <c r="Y188" i="6"/>
  <c r="Z188" i="6"/>
  <c r="AA188" i="6"/>
  <c r="AB188" i="6"/>
  <c r="AC188" i="6"/>
  <c r="AD188" i="6"/>
  <c r="AE188" i="6"/>
  <c r="AF188" i="6"/>
  <c r="W189" i="6"/>
  <c r="X189" i="6"/>
  <c r="Y189" i="6"/>
  <c r="Z189" i="6"/>
  <c r="AA189" i="6"/>
  <c r="AB189" i="6"/>
  <c r="AC189" i="6"/>
  <c r="AD189" i="6"/>
  <c r="AE189" i="6"/>
  <c r="AF189" i="6"/>
  <c r="W190" i="6"/>
  <c r="X190" i="6"/>
  <c r="Y190" i="6"/>
  <c r="Z190" i="6"/>
  <c r="AA190" i="6"/>
  <c r="AB190" i="6"/>
  <c r="AC190" i="6"/>
  <c r="AD190" i="6"/>
  <c r="AE190" i="6"/>
  <c r="AF190" i="6"/>
  <c r="W191" i="6"/>
  <c r="X191" i="6"/>
  <c r="Y191" i="6"/>
  <c r="Z191" i="6"/>
  <c r="AA191" i="6"/>
  <c r="AB191" i="6"/>
  <c r="AC191" i="6"/>
  <c r="AD191" i="6"/>
  <c r="AE191" i="6"/>
  <c r="AF191" i="6"/>
  <c r="W192" i="6"/>
  <c r="X192" i="6"/>
  <c r="Y192" i="6"/>
  <c r="Z192" i="6"/>
  <c r="AA192" i="6"/>
  <c r="AB192" i="6"/>
  <c r="AC192" i="6"/>
  <c r="AD192" i="6"/>
  <c r="AE192" i="6"/>
  <c r="AF192" i="6"/>
  <c r="W193" i="6"/>
  <c r="X193" i="6"/>
  <c r="Y193" i="6"/>
  <c r="Z193" i="6"/>
  <c r="AA193" i="6"/>
  <c r="AB193" i="6"/>
  <c r="AC193" i="6"/>
  <c r="AD193" i="6"/>
  <c r="AE193" i="6"/>
  <c r="AF193" i="6"/>
  <c r="W194" i="6"/>
  <c r="X194" i="6"/>
  <c r="Y194" i="6"/>
  <c r="Z194" i="6"/>
  <c r="AA194" i="6"/>
  <c r="AB194" i="6"/>
  <c r="AC194" i="6"/>
  <c r="AD194" i="6"/>
  <c r="AE194" i="6"/>
  <c r="AF194" i="6"/>
  <c r="W195" i="6"/>
  <c r="X195" i="6"/>
  <c r="Y195" i="6"/>
  <c r="Z195" i="6"/>
  <c r="AA195" i="6"/>
  <c r="AB195" i="6"/>
  <c r="AC195" i="6"/>
  <c r="AD195" i="6"/>
  <c r="AE195" i="6"/>
  <c r="AF195" i="6"/>
  <c r="W196" i="6"/>
  <c r="X196" i="6"/>
  <c r="Y196" i="6"/>
  <c r="Z196" i="6"/>
  <c r="AA196" i="6"/>
  <c r="AB196" i="6"/>
  <c r="AC196" i="6"/>
  <c r="AD196" i="6"/>
  <c r="AE196" i="6"/>
  <c r="AF196" i="6"/>
  <c r="W197" i="6"/>
  <c r="X197" i="6"/>
  <c r="Y197" i="6"/>
  <c r="Z197" i="6"/>
  <c r="AA197" i="6"/>
  <c r="AB197" i="6"/>
  <c r="AC197" i="6"/>
  <c r="AD197" i="6"/>
  <c r="AE197" i="6"/>
  <c r="AF197" i="6"/>
  <c r="W198" i="6"/>
  <c r="X198" i="6"/>
  <c r="Y198" i="6"/>
  <c r="Z198" i="6"/>
  <c r="AA198" i="6"/>
  <c r="AB198" i="6"/>
  <c r="AC198" i="6"/>
  <c r="AD198" i="6"/>
  <c r="AE198" i="6"/>
  <c r="AF198" i="6"/>
  <c r="W199" i="6"/>
  <c r="X199" i="6"/>
  <c r="Y199" i="6"/>
  <c r="Z199" i="6"/>
  <c r="AA199" i="6"/>
  <c r="AB199" i="6"/>
  <c r="AC199" i="6"/>
  <c r="AD199" i="6"/>
  <c r="AE199" i="6"/>
  <c r="AF199" i="6"/>
  <c r="W200" i="6"/>
  <c r="X200" i="6"/>
  <c r="Y200" i="6"/>
  <c r="Z200" i="6"/>
  <c r="AA200" i="6"/>
  <c r="AB200" i="6"/>
  <c r="AC200" i="6"/>
  <c r="AD200" i="6"/>
  <c r="AE200" i="6"/>
  <c r="AF200" i="6"/>
  <c r="W201" i="6"/>
  <c r="X201" i="6"/>
  <c r="Y201" i="6"/>
  <c r="Z201" i="6"/>
  <c r="AA201" i="6"/>
  <c r="AB201" i="6"/>
  <c r="AC201" i="6"/>
  <c r="AD201" i="6"/>
  <c r="AE201" i="6"/>
  <c r="AF201" i="6"/>
  <c r="X2" i="6"/>
  <c r="Y2" i="6"/>
  <c r="Z2" i="6"/>
  <c r="AA2" i="6"/>
  <c r="AB2" i="6"/>
  <c r="AC2" i="6"/>
  <c r="AD2" i="6"/>
  <c r="AE2" i="6"/>
  <c r="AF2" i="6"/>
  <c r="W2" i="6"/>
  <c r="M3" i="6"/>
  <c r="N3" i="6"/>
  <c r="O3" i="6"/>
  <c r="P3" i="6"/>
  <c r="Q3" i="6"/>
  <c r="R3" i="6"/>
  <c r="S3" i="6"/>
  <c r="T3" i="6"/>
  <c r="U3" i="6"/>
  <c r="V3" i="6"/>
  <c r="M4" i="6"/>
  <c r="N4" i="6"/>
  <c r="O4" i="6"/>
  <c r="P4" i="6"/>
  <c r="Q4" i="6"/>
  <c r="R4" i="6"/>
  <c r="S4" i="6"/>
  <c r="T4" i="6"/>
  <c r="U4" i="6"/>
  <c r="V4" i="6"/>
  <c r="M5" i="6"/>
  <c r="N5" i="6"/>
  <c r="O5" i="6"/>
  <c r="P5" i="6"/>
  <c r="Q5" i="6"/>
  <c r="R5" i="6"/>
  <c r="S5" i="6"/>
  <c r="T5" i="6"/>
  <c r="U5" i="6"/>
  <c r="V5" i="6"/>
  <c r="M6" i="6"/>
  <c r="N6" i="6"/>
  <c r="O6" i="6"/>
  <c r="P6" i="6"/>
  <c r="Q6" i="6"/>
  <c r="R6" i="6"/>
  <c r="S6" i="6"/>
  <c r="T6" i="6"/>
  <c r="U6" i="6"/>
  <c r="V6" i="6"/>
  <c r="M7" i="6"/>
  <c r="N7" i="6"/>
  <c r="O7" i="6"/>
  <c r="P7" i="6"/>
  <c r="Q7" i="6"/>
  <c r="R7" i="6"/>
  <c r="S7" i="6"/>
  <c r="T7" i="6"/>
  <c r="U7" i="6"/>
  <c r="V7" i="6"/>
  <c r="M8" i="6"/>
  <c r="N8" i="6"/>
  <c r="O8" i="6"/>
  <c r="P8" i="6"/>
  <c r="Q8" i="6"/>
  <c r="R8" i="6"/>
  <c r="S8" i="6"/>
  <c r="T8" i="6"/>
  <c r="U8" i="6"/>
  <c r="V8" i="6"/>
  <c r="M9" i="6"/>
  <c r="N9" i="6"/>
  <c r="O9" i="6"/>
  <c r="P9" i="6"/>
  <c r="Q9" i="6"/>
  <c r="R9" i="6"/>
  <c r="S9" i="6"/>
  <c r="T9" i="6"/>
  <c r="U9" i="6"/>
  <c r="V9" i="6"/>
  <c r="M10" i="6"/>
  <c r="N10" i="6"/>
  <c r="O10" i="6"/>
  <c r="P10" i="6"/>
  <c r="Q10" i="6"/>
  <c r="R10" i="6"/>
  <c r="S10" i="6"/>
  <c r="T10" i="6"/>
  <c r="U10" i="6"/>
  <c r="V10" i="6"/>
  <c r="M11" i="6"/>
  <c r="N11" i="6"/>
  <c r="O11" i="6"/>
  <c r="P11" i="6"/>
  <c r="Q11" i="6"/>
  <c r="R11" i="6"/>
  <c r="S11" i="6"/>
  <c r="T11" i="6"/>
  <c r="U11" i="6"/>
  <c r="V11" i="6"/>
  <c r="M12" i="6"/>
  <c r="N12" i="6"/>
  <c r="O12" i="6"/>
  <c r="P12" i="6"/>
  <c r="Q12" i="6"/>
  <c r="R12" i="6"/>
  <c r="S12" i="6"/>
  <c r="T12" i="6"/>
  <c r="U12" i="6"/>
  <c r="V12" i="6"/>
  <c r="M13" i="6"/>
  <c r="N13" i="6"/>
  <c r="O13" i="6"/>
  <c r="P13" i="6"/>
  <c r="Q13" i="6"/>
  <c r="R13" i="6"/>
  <c r="S13" i="6"/>
  <c r="T13" i="6"/>
  <c r="U13" i="6"/>
  <c r="V13" i="6"/>
  <c r="M14" i="6"/>
  <c r="N14" i="6"/>
  <c r="O14" i="6"/>
  <c r="P14" i="6"/>
  <c r="Q14" i="6"/>
  <c r="R14" i="6"/>
  <c r="S14" i="6"/>
  <c r="T14" i="6"/>
  <c r="U14" i="6"/>
  <c r="V14" i="6"/>
  <c r="M15" i="6"/>
  <c r="N15" i="6"/>
  <c r="O15" i="6"/>
  <c r="P15" i="6"/>
  <c r="Q15" i="6"/>
  <c r="R15" i="6"/>
  <c r="S15" i="6"/>
  <c r="T15" i="6"/>
  <c r="U15" i="6"/>
  <c r="V15" i="6"/>
  <c r="M16" i="6"/>
  <c r="N16" i="6"/>
  <c r="O16" i="6"/>
  <c r="P16" i="6"/>
  <c r="Q16" i="6"/>
  <c r="R16" i="6"/>
  <c r="S16" i="6"/>
  <c r="T16" i="6"/>
  <c r="U16" i="6"/>
  <c r="V16" i="6"/>
  <c r="M17" i="6"/>
  <c r="N17" i="6"/>
  <c r="O17" i="6"/>
  <c r="P17" i="6"/>
  <c r="Q17" i="6"/>
  <c r="R17" i="6"/>
  <c r="S17" i="6"/>
  <c r="T17" i="6"/>
  <c r="U17" i="6"/>
  <c r="V17" i="6"/>
  <c r="M18" i="6"/>
  <c r="N18" i="6"/>
  <c r="O18" i="6"/>
  <c r="P18" i="6"/>
  <c r="Q18" i="6"/>
  <c r="R18" i="6"/>
  <c r="S18" i="6"/>
  <c r="T18" i="6"/>
  <c r="U18" i="6"/>
  <c r="V18" i="6"/>
  <c r="M19" i="6"/>
  <c r="N19" i="6"/>
  <c r="O19" i="6"/>
  <c r="P19" i="6"/>
  <c r="Q19" i="6"/>
  <c r="R19" i="6"/>
  <c r="S19" i="6"/>
  <c r="T19" i="6"/>
  <c r="U19" i="6"/>
  <c r="V19" i="6"/>
  <c r="M20" i="6"/>
  <c r="N20" i="6"/>
  <c r="O20" i="6"/>
  <c r="P20" i="6"/>
  <c r="Q20" i="6"/>
  <c r="R20" i="6"/>
  <c r="S20" i="6"/>
  <c r="T20" i="6"/>
  <c r="U20" i="6"/>
  <c r="V20" i="6"/>
  <c r="M21" i="6"/>
  <c r="N21" i="6"/>
  <c r="O21" i="6"/>
  <c r="P21" i="6"/>
  <c r="Q21" i="6"/>
  <c r="R21" i="6"/>
  <c r="S21" i="6"/>
  <c r="T21" i="6"/>
  <c r="U21" i="6"/>
  <c r="V21" i="6"/>
  <c r="M22" i="6"/>
  <c r="N22" i="6"/>
  <c r="O22" i="6"/>
  <c r="P22" i="6"/>
  <c r="Q22" i="6"/>
  <c r="R22" i="6"/>
  <c r="S22" i="6"/>
  <c r="T22" i="6"/>
  <c r="U22" i="6"/>
  <c r="V22" i="6"/>
  <c r="M23" i="6"/>
  <c r="N23" i="6"/>
  <c r="O23" i="6"/>
  <c r="P23" i="6"/>
  <c r="Q23" i="6"/>
  <c r="R23" i="6"/>
  <c r="S23" i="6"/>
  <c r="T23" i="6"/>
  <c r="U23" i="6"/>
  <c r="V23" i="6"/>
  <c r="M24" i="6"/>
  <c r="N24" i="6"/>
  <c r="O24" i="6"/>
  <c r="P24" i="6"/>
  <c r="Q24" i="6"/>
  <c r="R24" i="6"/>
  <c r="S24" i="6"/>
  <c r="T24" i="6"/>
  <c r="U24" i="6"/>
  <c r="V24" i="6"/>
  <c r="M25" i="6"/>
  <c r="N25" i="6"/>
  <c r="O25" i="6"/>
  <c r="P25" i="6"/>
  <c r="Q25" i="6"/>
  <c r="R25" i="6"/>
  <c r="S25" i="6"/>
  <c r="T25" i="6"/>
  <c r="U25" i="6"/>
  <c r="V25" i="6"/>
  <c r="M26" i="6"/>
  <c r="N26" i="6"/>
  <c r="O26" i="6"/>
  <c r="P26" i="6"/>
  <c r="Q26" i="6"/>
  <c r="R26" i="6"/>
  <c r="S26" i="6"/>
  <c r="T26" i="6"/>
  <c r="U26" i="6"/>
  <c r="V26" i="6"/>
  <c r="M27" i="6"/>
  <c r="N27" i="6"/>
  <c r="O27" i="6"/>
  <c r="P27" i="6"/>
  <c r="Q27" i="6"/>
  <c r="R27" i="6"/>
  <c r="S27" i="6"/>
  <c r="T27" i="6"/>
  <c r="U27" i="6"/>
  <c r="V27" i="6"/>
  <c r="M28" i="6"/>
  <c r="N28" i="6"/>
  <c r="O28" i="6"/>
  <c r="P28" i="6"/>
  <c r="Q28" i="6"/>
  <c r="R28" i="6"/>
  <c r="S28" i="6"/>
  <c r="T28" i="6"/>
  <c r="U28" i="6"/>
  <c r="V28" i="6"/>
  <c r="M29" i="6"/>
  <c r="N29" i="6"/>
  <c r="O29" i="6"/>
  <c r="P29" i="6"/>
  <c r="Q29" i="6"/>
  <c r="R29" i="6"/>
  <c r="S29" i="6"/>
  <c r="T29" i="6"/>
  <c r="U29" i="6"/>
  <c r="V29" i="6"/>
  <c r="M30" i="6"/>
  <c r="N30" i="6"/>
  <c r="O30" i="6"/>
  <c r="P30" i="6"/>
  <c r="Q30" i="6"/>
  <c r="R30" i="6"/>
  <c r="S30" i="6"/>
  <c r="T30" i="6"/>
  <c r="U30" i="6"/>
  <c r="V30" i="6"/>
  <c r="M31" i="6"/>
  <c r="N31" i="6"/>
  <c r="O31" i="6"/>
  <c r="P31" i="6"/>
  <c r="Q31" i="6"/>
  <c r="R31" i="6"/>
  <c r="S31" i="6"/>
  <c r="T31" i="6"/>
  <c r="U31" i="6"/>
  <c r="V31" i="6"/>
  <c r="M32" i="6"/>
  <c r="N32" i="6"/>
  <c r="O32" i="6"/>
  <c r="P32" i="6"/>
  <c r="Q32" i="6"/>
  <c r="R32" i="6"/>
  <c r="S32" i="6"/>
  <c r="T32" i="6"/>
  <c r="U32" i="6"/>
  <c r="V32" i="6"/>
  <c r="M33" i="6"/>
  <c r="N33" i="6"/>
  <c r="O33" i="6"/>
  <c r="P33" i="6"/>
  <c r="Q33" i="6"/>
  <c r="R33" i="6"/>
  <c r="S33" i="6"/>
  <c r="T33" i="6"/>
  <c r="U33" i="6"/>
  <c r="V33" i="6"/>
  <c r="M34" i="6"/>
  <c r="N34" i="6"/>
  <c r="O34" i="6"/>
  <c r="P34" i="6"/>
  <c r="Q34" i="6"/>
  <c r="R34" i="6"/>
  <c r="S34" i="6"/>
  <c r="T34" i="6"/>
  <c r="U34" i="6"/>
  <c r="V34" i="6"/>
  <c r="M35" i="6"/>
  <c r="N35" i="6"/>
  <c r="O35" i="6"/>
  <c r="P35" i="6"/>
  <c r="Q35" i="6"/>
  <c r="R35" i="6"/>
  <c r="S35" i="6"/>
  <c r="T35" i="6"/>
  <c r="U35" i="6"/>
  <c r="V35" i="6"/>
  <c r="M36" i="6"/>
  <c r="N36" i="6"/>
  <c r="O36" i="6"/>
  <c r="P36" i="6"/>
  <c r="Q36" i="6"/>
  <c r="R36" i="6"/>
  <c r="S36" i="6"/>
  <c r="T36" i="6"/>
  <c r="U36" i="6"/>
  <c r="V36" i="6"/>
  <c r="M37" i="6"/>
  <c r="N37" i="6"/>
  <c r="O37" i="6"/>
  <c r="P37" i="6"/>
  <c r="Q37" i="6"/>
  <c r="R37" i="6"/>
  <c r="S37" i="6"/>
  <c r="T37" i="6"/>
  <c r="U37" i="6"/>
  <c r="V37" i="6"/>
  <c r="M38" i="6"/>
  <c r="N38" i="6"/>
  <c r="O38" i="6"/>
  <c r="P38" i="6"/>
  <c r="Q38" i="6"/>
  <c r="R38" i="6"/>
  <c r="S38" i="6"/>
  <c r="T38" i="6"/>
  <c r="U38" i="6"/>
  <c r="V38" i="6"/>
  <c r="M39" i="6"/>
  <c r="N39" i="6"/>
  <c r="O39" i="6"/>
  <c r="P39" i="6"/>
  <c r="Q39" i="6"/>
  <c r="R39" i="6"/>
  <c r="S39" i="6"/>
  <c r="T39" i="6"/>
  <c r="U39" i="6"/>
  <c r="V39" i="6"/>
  <c r="M40" i="6"/>
  <c r="N40" i="6"/>
  <c r="O40" i="6"/>
  <c r="P40" i="6"/>
  <c r="Q40" i="6"/>
  <c r="R40" i="6"/>
  <c r="S40" i="6"/>
  <c r="T40" i="6"/>
  <c r="U40" i="6"/>
  <c r="V40" i="6"/>
  <c r="M41" i="6"/>
  <c r="N41" i="6"/>
  <c r="O41" i="6"/>
  <c r="P41" i="6"/>
  <c r="Q41" i="6"/>
  <c r="R41" i="6"/>
  <c r="S41" i="6"/>
  <c r="T41" i="6"/>
  <c r="U41" i="6"/>
  <c r="V41" i="6"/>
  <c r="M42" i="6"/>
  <c r="N42" i="6"/>
  <c r="O42" i="6"/>
  <c r="P42" i="6"/>
  <c r="Q42" i="6"/>
  <c r="R42" i="6"/>
  <c r="S42" i="6"/>
  <c r="T42" i="6"/>
  <c r="U42" i="6"/>
  <c r="V42" i="6"/>
  <c r="M43" i="6"/>
  <c r="N43" i="6"/>
  <c r="O43" i="6"/>
  <c r="P43" i="6"/>
  <c r="Q43" i="6"/>
  <c r="R43" i="6"/>
  <c r="S43" i="6"/>
  <c r="T43" i="6"/>
  <c r="U43" i="6"/>
  <c r="V43" i="6"/>
  <c r="M44" i="6"/>
  <c r="N44" i="6"/>
  <c r="O44" i="6"/>
  <c r="P44" i="6"/>
  <c r="Q44" i="6"/>
  <c r="R44" i="6"/>
  <c r="S44" i="6"/>
  <c r="T44" i="6"/>
  <c r="U44" i="6"/>
  <c r="V44" i="6"/>
  <c r="M45" i="6"/>
  <c r="N45" i="6"/>
  <c r="O45" i="6"/>
  <c r="P45" i="6"/>
  <c r="Q45" i="6"/>
  <c r="R45" i="6"/>
  <c r="S45" i="6"/>
  <c r="T45" i="6"/>
  <c r="U45" i="6"/>
  <c r="V45" i="6"/>
  <c r="M46" i="6"/>
  <c r="N46" i="6"/>
  <c r="O46" i="6"/>
  <c r="P46" i="6"/>
  <c r="Q46" i="6"/>
  <c r="R46" i="6"/>
  <c r="S46" i="6"/>
  <c r="T46" i="6"/>
  <c r="U46" i="6"/>
  <c r="V46" i="6"/>
  <c r="M47" i="6"/>
  <c r="N47" i="6"/>
  <c r="O47" i="6"/>
  <c r="P47" i="6"/>
  <c r="Q47" i="6"/>
  <c r="R47" i="6"/>
  <c r="S47" i="6"/>
  <c r="T47" i="6"/>
  <c r="U47" i="6"/>
  <c r="V47" i="6"/>
  <c r="M48" i="6"/>
  <c r="N48" i="6"/>
  <c r="O48" i="6"/>
  <c r="P48" i="6"/>
  <c r="Q48" i="6"/>
  <c r="R48" i="6"/>
  <c r="S48" i="6"/>
  <c r="T48" i="6"/>
  <c r="U48" i="6"/>
  <c r="V48" i="6"/>
  <c r="M49" i="6"/>
  <c r="N49" i="6"/>
  <c r="O49" i="6"/>
  <c r="P49" i="6"/>
  <c r="Q49" i="6"/>
  <c r="R49" i="6"/>
  <c r="S49" i="6"/>
  <c r="T49" i="6"/>
  <c r="U49" i="6"/>
  <c r="V49" i="6"/>
  <c r="M50" i="6"/>
  <c r="N50" i="6"/>
  <c r="O50" i="6"/>
  <c r="P50" i="6"/>
  <c r="Q50" i="6"/>
  <c r="R50" i="6"/>
  <c r="S50" i="6"/>
  <c r="T50" i="6"/>
  <c r="U50" i="6"/>
  <c r="V50" i="6"/>
  <c r="M51" i="6"/>
  <c r="N51" i="6"/>
  <c r="O51" i="6"/>
  <c r="P51" i="6"/>
  <c r="Q51" i="6"/>
  <c r="R51" i="6"/>
  <c r="S51" i="6"/>
  <c r="T51" i="6"/>
  <c r="U51" i="6"/>
  <c r="V51" i="6"/>
  <c r="M52" i="6"/>
  <c r="N52" i="6"/>
  <c r="O52" i="6"/>
  <c r="P52" i="6"/>
  <c r="Q52" i="6"/>
  <c r="R52" i="6"/>
  <c r="S52" i="6"/>
  <c r="T52" i="6"/>
  <c r="U52" i="6"/>
  <c r="V52" i="6"/>
  <c r="M53" i="6"/>
  <c r="N53" i="6"/>
  <c r="O53" i="6"/>
  <c r="P53" i="6"/>
  <c r="Q53" i="6"/>
  <c r="R53" i="6"/>
  <c r="S53" i="6"/>
  <c r="T53" i="6"/>
  <c r="U53" i="6"/>
  <c r="V53" i="6"/>
  <c r="M54" i="6"/>
  <c r="N54" i="6"/>
  <c r="O54" i="6"/>
  <c r="P54" i="6"/>
  <c r="Q54" i="6"/>
  <c r="R54" i="6"/>
  <c r="S54" i="6"/>
  <c r="T54" i="6"/>
  <c r="U54" i="6"/>
  <c r="V54" i="6"/>
  <c r="M55" i="6"/>
  <c r="N55" i="6"/>
  <c r="O55" i="6"/>
  <c r="P55" i="6"/>
  <c r="Q55" i="6"/>
  <c r="R55" i="6"/>
  <c r="S55" i="6"/>
  <c r="T55" i="6"/>
  <c r="U55" i="6"/>
  <c r="V55" i="6"/>
  <c r="M56" i="6"/>
  <c r="N56" i="6"/>
  <c r="O56" i="6"/>
  <c r="P56" i="6"/>
  <c r="Q56" i="6"/>
  <c r="R56" i="6"/>
  <c r="S56" i="6"/>
  <c r="T56" i="6"/>
  <c r="U56" i="6"/>
  <c r="V56" i="6"/>
  <c r="M57" i="6"/>
  <c r="N57" i="6"/>
  <c r="O57" i="6"/>
  <c r="P57" i="6"/>
  <c r="Q57" i="6"/>
  <c r="R57" i="6"/>
  <c r="S57" i="6"/>
  <c r="T57" i="6"/>
  <c r="U57" i="6"/>
  <c r="V57" i="6"/>
  <c r="M58" i="6"/>
  <c r="N58" i="6"/>
  <c r="O58" i="6"/>
  <c r="P58" i="6"/>
  <c r="Q58" i="6"/>
  <c r="R58" i="6"/>
  <c r="S58" i="6"/>
  <c r="T58" i="6"/>
  <c r="U58" i="6"/>
  <c r="V58" i="6"/>
  <c r="M59" i="6"/>
  <c r="N59" i="6"/>
  <c r="O59" i="6"/>
  <c r="P59" i="6"/>
  <c r="Q59" i="6"/>
  <c r="R59" i="6"/>
  <c r="S59" i="6"/>
  <c r="T59" i="6"/>
  <c r="U59" i="6"/>
  <c r="V59" i="6"/>
  <c r="M60" i="6"/>
  <c r="N60" i="6"/>
  <c r="O60" i="6"/>
  <c r="P60" i="6"/>
  <c r="Q60" i="6"/>
  <c r="R60" i="6"/>
  <c r="S60" i="6"/>
  <c r="T60" i="6"/>
  <c r="U60" i="6"/>
  <c r="V60" i="6"/>
  <c r="M61" i="6"/>
  <c r="N61" i="6"/>
  <c r="O61" i="6"/>
  <c r="P61" i="6"/>
  <c r="Q61" i="6"/>
  <c r="R61" i="6"/>
  <c r="S61" i="6"/>
  <c r="T61" i="6"/>
  <c r="U61" i="6"/>
  <c r="V61" i="6"/>
  <c r="M62" i="6"/>
  <c r="N62" i="6"/>
  <c r="O62" i="6"/>
  <c r="P62" i="6"/>
  <c r="Q62" i="6"/>
  <c r="R62" i="6"/>
  <c r="S62" i="6"/>
  <c r="T62" i="6"/>
  <c r="U62" i="6"/>
  <c r="V62" i="6"/>
  <c r="M63" i="6"/>
  <c r="N63" i="6"/>
  <c r="O63" i="6"/>
  <c r="P63" i="6"/>
  <c r="Q63" i="6"/>
  <c r="R63" i="6"/>
  <c r="S63" i="6"/>
  <c r="T63" i="6"/>
  <c r="U63" i="6"/>
  <c r="V63" i="6"/>
  <c r="M64" i="6"/>
  <c r="N64" i="6"/>
  <c r="O64" i="6"/>
  <c r="P64" i="6"/>
  <c r="Q64" i="6"/>
  <c r="R64" i="6"/>
  <c r="S64" i="6"/>
  <c r="T64" i="6"/>
  <c r="U64" i="6"/>
  <c r="V64" i="6"/>
  <c r="M65" i="6"/>
  <c r="N65" i="6"/>
  <c r="O65" i="6"/>
  <c r="P65" i="6"/>
  <c r="Q65" i="6"/>
  <c r="R65" i="6"/>
  <c r="S65" i="6"/>
  <c r="T65" i="6"/>
  <c r="U65" i="6"/>
  <c r="V65" i="6"/>
  <c r="M66" i="6"/>
  <c r="N66" i="6"/>
  <c r="O66" i="6"/>
  <c r="P66" i="6"/>
  <c r="Q66" i="6"/>
  <c r="R66" i="6"/>
  <c r="S66" i="6"/>
  <c r="T66" i="6"/>
  <c r="U66" i="6"/>
  <c r="V66" i="6"/>
  <c r="M67" i="6"/>
  <c r="N67" i="6"/>
  <c r="O67" i="6"/>
  <c r="P67" i="6"/>
  <c r="Q67" i="6"/>
  <c r="R67" i="6"/>
  <c r="S67" i="6"/>
  <c r="T67" i="6"/>
  <c r="U67" i="6"/>
  <c r="V67" i="6"/>
  <c r="M68" i="6"/>
  <c r="N68" i="6"/>
  <c r="O68" i="6"/>
  <c r="P68" i="6"/>
  <c r="Q68" i="6"/>
  <c r="R68" i="6"/>
  <c r="S68" i="6"/>
  <c r="T68" i="6"/>
  <c r="U68" i="6"/>
  <c r="V68" i="6"/>
  <c r="M69" i="6"/>
  <c r="N69" i="6"/>
  <c r="O69" i="6"/>
  <c r="P69" i="6"/>
  <c r="Q69" i="6"/>
  <c r="R69" i="6"/>
  <c r="S69" i="6"/>
  <c r="T69" i="6"/>
  <c r="U69" i="6"/>
  <c r="V69" i="6"/>
  <c r="M70" i="6"/>
  <c r="N70" i="6"/>
  <c r="O70" i="6"/>
  <c r="P70" i="6"/>
  <c r="Q70" i="6"/>
  <c r="R70" i="6"/>
  <c r="S70" i="6"/>
  <c r="T70" i="6"/>
  <c r="U70" i="6"/>
  <c r="V70" i="6"/>
  <c r="M71" i="6"/>
  <c r="N71" i="6"/>
  <c r="O71" i="6"/>
  <c r="P71" i="6"/>
  <c r="Q71" i="6"/>
  <c r="R71" i="6"/>
  <c r="S71" i="6"/>
  <c r="T71" i="6"/>
  <c r="U71" i="6"/>
  <c r="V71" i="6"/>
  <c r="M72" i="6"/>
  <c r="N72" i="6"/>
  <c r="O72" i="6"/>
  <c r="P72" i="6"/>
  <c r="Q72" i="6"/>
  <c r="R72" i="6"/>
  <c r="S72" i="6"/>
  <c r="T72" i="6"/>
  <c r="U72" i="6"/>
  <c r="V72" i="6"/>
  <c r="M73" i="6"/>
  <c r="N73" i="6"/>
  <c r="O73" i="6"/>
  <c r="P73" i="6"/>
  <c r="Q73" i="6"/>
  <c r="R73" i="6"/>
  <c r="S73" i="6"/>
  <c r="T73" i="6"/>
  <c r="U73" i="6"/>
  <c r="V73" i="6"/>
  <c r="M74" i="6"/>
  <c r="N74" i="6"/>
  <c r="O74" i="6"/>
  <c r="P74" i="6"/>
  <c r="Q74" i="6"/>
  <c r="R74" i="6"/>
  <c r="S74" i="6"/>
  <c r="T74" i="6"/>
  <c r="U74" i="6"/>
  <c r="V74" i="6"/>
  <c r="M75" i="6"/>
  <c r="N75" i="6"/>
  <c r="O75" i="6"/>
  <c r="P75" i="6"/>
  <c r="Q75" i="6"/>
  <c r="R75" i="6"/>
  <c r="S75" i="6"/>
  <c r="T75" i="6"/>
  <c r="U75" i="6"/>
  <c r="V75" i="6"/>
  <c r="M76" i="6"/>
  <c r="N76" i="6"/>
  <c r="O76" i="6"/>
  <c r="P76" i="6"/>
  <c r="Q76" i="6"/>
  <c r="R76" i="6"/>
  <c r="S76" i="6"/>
  <c r="T76" i="6"/>
  <c r="U76" i="6"/>
  <c r="V76" i="6"/>
  <c r="M77" i="6"/>
  <c r="N77" i="6"/>
  <c r="O77" i="6"/>
  <c r="P77" i="6"/>
  <c r="Q77" i="6"/>
  <c r="R77" i="6"/>
  <c r="S77" i="6"/>
  <c r="T77" i="6"/>
  <c r="U77" i="6"/>
  <c r="V77" i="6"/>
  <c r="M78" i="6"/>
  <c r="N78" i="6"/>
  <c r="O78" i="6"/>
  <c r="P78" i="6"/>
  <c r="Q78" i="6"/>
  <c r="R78" i="6"/>
  <c r="S78" i="6"/>
  <c r="T78" i="6"/>
  <c r="U78" i="6"/>
  <c r="V78" i="6"/>
  <c r="M79" i="6"/>
  <c r="N79" i="6"/>
  <c r="O79" i="6"/>
  <c r="P79" i="6"/>
  <c r="Q79" i="6"/>
  <c r="R79" i="6"/>
  <c r="S79" i="6"/>
  <c r="T79" i="6"/>
  <c r="U79" i="6"/>
  <c r="V79" i="6"/>
  <c r="M80" i="6"/>
  <c r="N80" i="6"/>
  <c r="O80" i="6"/>
  <c r="P80" i="6"/>
  <c r="Q80" i="6"/>
  <c r="R80" i="6"/>
  <c r="S80" i="6"/>
  <c r="T80" i="6"/>
  <c r="U80" i="6"/>
  <c r="V80" i="6"/>
  <c r="M81" i="6"/>
  <c r="N81" i="6"/>
  <c r="O81" i="6"/>
  <c r="P81" i="6"/>
  <c r="Q81" i="6"/>
  <c r="R81" i="6"/>
  <c r="S81" i="6"/>
  <c r="T81" i="6"/>
  <c r="U81" i="6"/>
  <c r="V81" i="6"/>
  <c r="M82" i="6"/>
  <c r="N82" i="6"/>
  <c r="O82" i="6"/>
  <c r="P82" i="6"/>
  <c r="Q82" i="6"/>
  <c r="R82" i="6"/>
  <c r="S82" i="6"/>
  <c r="T82" i="6"/>
  <c r="U82" i="6"/>
  <c r="V82" i="6"/>
  <c r="M83" i="6"/>
  <c r="N83" i="6"/>
  <c r="O83" i="6"/>
  <c r="P83" i="6"/>
  <c r="Q83" i="6"/>
  <c r="R83" i="6"/>
  <c r="S83" i="6"/>
  <c r="T83" i="6"/>
  <c r="U83" i="6"/>
  <c r="V83" i="6"/>
  <c r="M84" i="6"/>
  <c r="N84" i="6"/>
  <c r="O84" i="6"/>
  <c r="P84" i="6"/>
  <c r="Q84" i="6"/>
  <c r="R84" i="6"/>
  <c r="S84" i="6"/>
  <c r="T84" i="6"/>
  <c r="U84" i="6"/>
  <c r="V84" i="6"/>
  <c r="M85" i="6"/>
  <c r="N85" i="6"/>
  <c r="O85" i="6"/>
  <c r="P85" i="6"/>
  <c r="Q85" i="6"/>
  <c r="R85" i="6"/>
  <c r="S85" i="6"/>
  <c r="T85" i="6"/>
  <c r="U85" i="6"/>
  <c r="V85" i="6"/>
  <c r="M86" i="6"/>
  <c r="N86" i="6"/>
  <c r="O86" i="6"/>
  <c r="P86" i="6"/>
  <c r="Q86" i="6"/>
  <c r="R86" i="6"/>
  <c r="S86" i="6"/>
  <c r="T86" i="6"/>
  <c r="U86" i="6"/>
  <c r="V86" i="6"/>
  <c r="M87" i="6"/>
  <c r="N87" i="6"/>
  <c r="O87" i="6"/>
  <c r="P87" i="6"/>
  <c r="Q87" i="6"/>
  <c r="R87" i="6"/>
  <c r="S87" i="6"/>
  <c r="T87" i="6"/>
  <c r="U87" i="6"/>
  <c r="V87" i="6"/>
  <c r="M88" i="6"/>
  <c r="N88" i="6"/>
  <c r="O88" i="6"/>
  <c r="P88" i="6"/>
  <c r="Q88" i="6"/>
  <c r="R88" i="6"/>
  <c r="S88" i="6"/>
  <c r="T88" i="6"/>
  <c r="U88" i="6"/>
  <c r="V88" i="6"/>
  <c r="M89" i="6"/>
  <c r="N89" i="6"/>
  <c r="O89" i="6"/>
  <c r="P89" i="6"/>
  <c r="Q89" i="6"/>
  <c r="R89" i="6"/>
  <c r="S89" i="6"/>
  <c r="T89" i="6"/>
  <c r="U89" i="6"/>
  <c r="V89" i="6"/>
  <c r="M90" i="6"/>
  <c r="N90" i="6"/>
  <c r="O90" i="6"/>
  <c r="P90" i="6"/>
  <c r="Q90" i="6"/>
  <c r="R90" i="6"/>
  <c r="S90" i="6"/>
  <c r="T90" i="6"/>
  <c r="U90" i="6"/>
  <c r="V90" i="6"/>
  <c r="M91" i="6"/>
  <c r="N91" i="6"/>
  <c r="O91" i="6"/>
  <c r="P91" i="6"/>
  <c r="Q91" i="6"/>
  <c r="R91" i="6"/>
  <c r="S91" i="6"/>
  <c r="T91" i="6"/>
  <c r="U91" i="6"/>
  <c r="V91" i="6"/>
  <c r="M92" i="6"/>
  <c r="N92" i="6"/>
  <c r="O92" i="6"/>
  <c r="P92" i="6"/>
  <c r="Q92" i="6"/>
  <c r="R92" i="6"/>
  <c r="S92" i="6"/>
  <c r="T92" i="6"/>
  <c r="U92" i="6"/>
  <c r="V92" i="6"/>
  <c r="M93" i="6"/>
  <c r="N93" i="6"/>
  <c r="O93" i="6"/>
  <c r="P93" i="6"/>
  <c r="Q93" i="6"/>
  <c r="R93" i="6"/>
  <c r="S93" i="6"/>
  <c r="T93" i="6"/>
  <c r="U93" i="6"/>
  <c r="V93" i="6"/>
  <c r="M94" i="6"/>
  <c r="N94" i="6"/>
  <c r="O94" i="6"/>
  <c r="P94" i="6"/>
  <c r="Q94" i="6"/>
  <c r="R94" i="6"/>
  <c r="S94" i="6"/>
  <c r="T94" i="6"/>
  <c r="U94" i="6"/>
  <c r="V94" i="6"/>
  <c r="M95" i="6"/>
  <c r="N95" i="6"/>
  <c r="O95" i="6"/>
  <c r="P95" i="6"/>
  <c r="Q95" i="6"/>
  <c r="R95" i="6"/>
  <c r="S95" i="6"/>
  <c r="T95" i="6"/>
  <c r="U95" i="6"/>
  <c r="V95" i="6"/>
  <c r="M96" i="6"/>
  <c r="N96" i="6"/>
  <c r="O96" i="6"/>
  <c r="P96" i="6"/>
  <c r="Q96" i="6"/>
  <c r="R96" i="6"/>
  <c r="S96" i="6"/>
  <c r="T96" i="6"/>
  <c r="U96" i="6"/>
  <c r="V96" i="6"/>
  <c r="M97" i="6"/>
  <c r="N97" i="6"/>
  <c r="O97" i="6"/>
  <c r="P97" i="6"/>
  <c r="Q97" i="6"/>
  <c r="R97" i="6"/>
  <c r="S97" i="6"/>
  <c r="T97" i="6"/>
  <c r="U97" i="6"/>
  <c r="V97" i="6"/>
  <c r="M98" i="6"/>
  <c r="N98" i="6"/>
  <c r="O98" i="6"/>
  <c r="P98" i="6"/>
  <c r="Q98" i="6"/>
  <c r="R98" i="6"/>
  <c r="S98" i="6"/>
  <c r="T98" i="6"/>
  <c r="U98" i="6"/>
  <c r="V98" i="6"/>
  <c r="M99" i="6"/>
  <c r="N99" i="6"/>
  <c r="O99" i="6"/>
  <c r="P99" i="6"/>
  <c r="Q99" i="6"/>
  <c r="R99" i="6"/>
  <c r="S99" i="6"/>
  <c r="T99" i="6"/>
  <c r="U99" i="6"/>
  <c r="V99" i="6"/>
  <c r="M100" i="6"/>
  <c r="N100" i="6"/>
  <c r="O100" i="6"/>
  <c r="P100" i="6"/>
  <c r="Q100" i="6"/>
  <c r="R100" i="6"/>
  <c r="S100" i="6"/>
  <c r="T100" i="6"/>
  <c r="U100" i="6"/>
  <c r="V100" i="6"/>
  <c r="M101" i="6"/>
  <c r="N101" i="6"/>
  <c r="O101" i="6"/>
  <c r="P101" i="6"/>
  <c r="Q101" i="6"/>
  <c r="R101" i="6"/>
  <c r="S101" i="6"/>
  <c r="T101" i="6"/>
  <c r="U101" i="6"/>
  <c r="V101" i="6"/>
  <c r="M102" i="6"/>
  <c r="N102" i="6"/>
  <c r="O102" i="6"/>
  <c r="P102" i="6"/>
  <c r="Q102" i="6"/>
  <c r="R102" i="6"/>
  <c r="S102" i="6"/>
  <c r="T102" i="6"/>
  <c r="U102" i="6"/>
  <c r="V102" i="6"/>
  <c r="M103" i="6"/>
  <c r="N103" i="6"/>
  <c r="O103" i="6"/>
  <c r="P103" i="6"/>
  <c r="Q103" i="6"/>
  <c r="R103" i="6"/>
  <c r="S103" i="6"/>
  <c r="T103" i="6"/>
  <c r="U103" i="6"/>
  <c r="V103" i="6"/>
  <c r="M104" i="6"/>
  <c r="N104" i="6"/>
  <c r="O104" i="6"/>
  <c r="P104" i="6"/>
  <c r="Q104" i="6"/>
  <c r="R104" i="6"/>
  <c r="S104" i="6"/>
  <c r="T104" i="6"/>
  <c r="U104" i="6"/>
  <c r="V104" i="6"/>
  <c r="M105" i="6"/>
  <c r="N105" i="6"/>
  <c r="O105" i="6"/>
  <c r="P105" i="6"/>
  <c r="Q105" i="6"/>
  <c r="R105" i="6"/>
  <c r="S105" i="6"/>
  <c r="T105" i="6"/>
  <c r="U105" i="6"/>
  <c r="V105" i="6"/>
  <c r="M106" i="6"/>
  <c r="N106" i="6"/>
  <c r="O106" i="6"/>
  <c r="P106" i="6"/>
  <c r="Q106" i="6"/>
  <c r="R106" i="6"/>
  <c r="S106" i="6"/>
  <c r="T106" i="6"/>
  <c r="U106" i="6"/>
  <c r="V106" i="6"/>
  <c r="M107" i="6"/>
  <c r="N107" i="6"/>
  <c r="O107" i="6"/>
  <c r="P107" i="6"/>
  <c r="Q107" i="6"/>
  <c r="R107" i="6"/>
  <c r="S107" i="6"/>
  <c r="T107" i="6"/>
  <c r="U107" i="6"/>
  <c r="V107" i="6"/>
  <c r="M108" i="6"/>
  <c r="N108" i="6"/>
  <c r="O108" i="6"/>
  <c r="P108" i="6"/>
  <c r="Q108" i="6"/>
  <c r="R108" i="6"/>
  <c r="S108" i="6"/>
  <c r="T108" i="6"/>
  <c r="U108" i="6"/>
  <c r="V108" i="6"/>
  <c r="M109" i="6"/>
  <c r="N109" i="6"/>
  <c r="O109" i="6"/>
  <c r="P109" i="6"/>
  <c r="Q109" i="6"/>
  <c r="R109" i="6"/>
  <c r="S109" i="6"/>
  <c r="T109" i="6"/>
  <c r="U109" i="6"/>
  <c r="V109" i="6"/>
  <c r="M110" i="6"/>
  <c r="N110" i="6"/>
  <c r="O110" i="6"/>
  <c r="P110" i="6"/>
  <c r="Q110" i="6"/>
  <c r="R110" i="6"/>
  <c r="S110" i="6"/>
  <c r="T110" i="6"/>
  <c r="U110" i="6"/>
  <c r="V110" i="6"/>
  <c r="M111" i="6"/>
  <c r="N111" i="6"/>
  <c r="O111" i="6"/>
  <c r="P111" i="6"/>
  <c r="Q111" i="6"/>
  <c r="R111" i="6"/>
  <c r="S111" i="6"/>
  <c r="T111" i="6"/>
  <c r="U111" i="6"/>
  <c r="V111" i="6"/>
  <c r="M112" i="6"/>
  <c r="N112" i="6"/>
  <c r="O112" i="6"/>
  <c r="P112" i="6"/>
  <c r="Q112" i="6"/>
  <c r="R112" i="6"/>
  <c r="S112" i="6"/>
  <c r="T112" i="6"/>
  <c r="U112" i="6"/>
  <c r="V112" i="6"/>
  <c r="M113" i="6"/>
  <c r="N113" i="6"/>
  <c r="O113" i="6"/>
  <c r="P113" i="6"/>
  <c r="Q113" i="6"/>
  <c r="R113" i="6"/>
  <c r="S113" i="6"/>
  <c r="T113" i="6"/>
  <c r="U113" i="6"/>
  <c r="V113" i="6"/>
  <c r="M114" i="6"/>
  <c r="N114" i="6"/>
  <c r="O114" i="6"/>
  <c r="P114" i="6"/>
  <c r="Q114" i="6"/>
  <c r="R114" i="6"/>
  <c r="S114" i="6"/>
  <c r="T114" i="6"/>
  <c r="U114" i="6"/>
  <c r="V114" i="6"/>
  <c r="M115" i="6"/>
  <c r="N115" i="6"/>
  <c r="O115" i="6"/>
  <c r="P115" i="6"/>
  <c r="Q115" i="6"/>
  <c r="R115" i="6"/>
  <c r="S115" i="6"/>
  <c r="T115" i="6"/>
  <c r="U115" i="6"/>
  <c r="V115" i="6"/>
  <c r="M116" i="6"/>
  <c r="N116" i="6"/>
  <c r="O116" i="6"/>
  <c r="P116" i="6"/>
  <c r="Q116" i="6"/>
  <c r="R116" i="6"/>
  <c r="S116" i="6"/>
  <c r="T116" i="6"/>
  <c r="U116" i="6"/>
  <c r="V116" i="6"/>
  <c r="M117" i="6"/>
  <c r="N117" i="6"/>
  <c r="O117" i="6"/>
  <c r="P117" i="6"/>
  <c r="Q117" i="6"/>
  <c r="R117" i="6"/>
  <c r="S117" i="6"/>
  <c r="T117" i="6"/>
  <c r="U117" i="6"/>
  <c r="V117" i="6"/>
  <c r="M118" i="6"/>
  <c r="N118" i="6"/>
  <c r="O118" i="6"/>
  <c r="P118" i="6"/>
  <c r="Q118" i="6"/>
  <c r="R118" i="6"/>
  <c r="S118" i="6"/>
  <c r="T118" i="6"/>
  <c r="U118" i="6"/>
  <c r="V118" i="6"/>
  <c r="M119" i="6"/>
  <c r="N119" i="6"/>
  <c r="O119" i="6"/>
  <c r="P119" i="6"/>
  <c r="Q119" i="6"/>
  <c r="R119" i="6"/>
  <c r="S119" i="6"/>
  <c r="T119" i="6"/>
  <c r="U119" i="6"/>
  <c r="V119" i="6"/>
  <c r="M120" i="6"/>
  <c r="N120" i="6"/>
  <c r="O120" i="6"/>
  <c r="P120" i="6"/>
  <c r="Q120" i="6"/>
  <c r="R120" i="6"/>
  <c r="S120" i="6"/>
  <c r="T120" i="6"/>
  <c r="U120" i="6"/>
  <c r="V120" i="6"/>
  <c r="M121" i="6"/>
  <c r="N121" i="6"/>
  <c r="O121" i="6"/>
  <c r="P121" i="6"/>
  <c r="Q121" i="6"/>
  <c r="R121" i="6"/>
  <c r="S121" i="6"/>
  <c r="T121" i="6"/>
  <c r="U121" i="6"/>
  <c r="V121" i="6"/>
  <c r="M122" i="6"/>
  <c r="N122" i="6"/>
  <c r="O122" i="6"/>
  <c r="P122" i="6"/>
  <c r="Q122" i="6"/>
  <c r="R122" i="6"/>
  <c r="S122" i="6"/>
  <c r="T122" i="6"/>
  <c r="U122" i="6"/>
  <c r="V122" i="6"/>
  <c r="M123" i="6"/>
  <c r="N123" i="6"/>
  <c r="O123" i="6"/>
  <c r="P123" i="6"/>
  <c r="Q123" i="6"/>
  <c r="R123" i="6"/>
  <c r="S123" i="6"/>
  <c r="T123" i="6"/>
  <c r="U123" i="6"/>
  <c r="V123" i="6"/>
  <c r="M124" i="6"/>
  <c r="N124" i="6"/>
  <c r="O124" i="6"/>
  <c r="P124" i="6"/>
  <c r="Q124" i="6"/>
  <c r="R124" i="6"/>
  <c r="S124" i="6"/>
  <c r="T124" i="6"/>
  <c r="U124" i="6"/>
  <c r="V124" i="6"/>
  <c r="M125" i="6"/>
  <c r="N125" i="6"/>
  <c r="O125" i="6"/>
  <c r="P125" i="6"/>
  <c r="Q125" i="6"/>
  <c r="R125" i="6"/>
  <c r="S125" i="6"/>
  <c r="T125" i="6"/>
  <c r="U125" i="6"/>
  <c r="V125" i="6"/>
  <c r="M126" i="6"/>
  <c r="N126" i="6"/>
  <c r="O126" i="6"/>
  <c r="P126" i="6"/>
  <c r="Q126" i="6"/>
  <c r="R126" i="6"/>
  <c r="S126" i="6"/>
  <c r="T126" i="6"/>
  <c r="U126" i="6"/>
  <c r="V126" i="6"/>
  <c r="M127" i="6"/>
  <c r="N127" i="6"/>
  <c r="O127" i="6"/>
  <c r="P127" i="6"/>
  <c r="Q127" i="6"/>
  <c r="R127" i="6"/>
  <c r="S127" i="6"/>
  <c r="T127" i="6"/>
  <c r="U127" i="6"/>
  <c r="V127" i="6"/>
  <c r="M128" i="6"/>
  <c r="N128" i="6"/>
  <c r="O128" i="6"/>
  <c r="P128" i="6"/>
  <c r="Q128" i="6"/>
  <c r="R128" i="6"/>
  <c r="S128" i="6"/>
  <c r="T128" i="6"/>
  <c r="U128" i="6"/>
  <c r="V128" i="6"/>
  <c r="M129" i="6"/>
  <c r="N129" i="6"/>
  <c r="O129" i="6"/>
  <c r="P129" i="6"/>
  <c r="Q129" i="6"/>
  <c r="R129" i="6"/>
  <c r="S129" i="6"/>
  <c r="T129" i="6"/>
  <c r="U129" i="6"/>
  <c r="V129" i="6"/>
  <c r="M130" i="6"/>
  <c r="N130" i="6"/>
  <c r="O130" i="6"/>
  <c r="P130" i="6"/>
  <c r="Q130" i="6"/>
  <c r="R130" i="6"/>
  <c r="S130" i="6"/>
  <c r="T130" i="6"/>
  <c r="U130" i="6"/>
  <c r="V130" i="6"/>
  <c r="M131" i="6"/>
  <c r="N131" i="6"/>
  <c r="O131" i="6"/>
  <c r="P131" i="6"/>
  <c r="Q131" i="6"/>
  <c r="R131" i="6"/>
  <c r="S131" i="6"/>
  <c r="T131" i="6"/>
  <c r="U131" i="6"/>
  <c r="V131" i="6"/>
  <c r="M132" i="6"/>
  <c r="N132" i="6"/>
  <c r="O132" i="6"/>
  <c r="P132" i="6"/>
  <c r="Q132" i="6"/>
  <c r="R132" i="6"/>
  <c r="S132" i="6"/>
  <c r="T132" i="6"/>
  <c r="U132" i="6"/>
  <c r="V132" i="6"/>
  <c r="M133" i="6"/>
  <c r="N133" i="6"/>
  <c r="O133" i="6"/>
  <c r="P133" i="6"/>
  <c r="Q133" i="6"/>
  <c r="R133" i="6"/>
  <c r="S133" i="6"/>
  <c r="T133" i="6"/>
  <c r="U133" i="6"/>
  <c r="V133" i="6"/>
  <c r="M134" i="6"/>
  <c r="N134" i="6"/>
  <c r="O134" i="6"/>
  <c r="P134" i="6"/>
  <c r="Q134" i="6"/>
  <c r="R134" i="6"/>
  <c r="S134" i="6"/>
  <c r="T134" i="6"/>
  <c r="U134" i="6"/>
  <c r="V134" i="6"/>
  <c r="M135" i="6"/>
  <c r="N135" i="6"/>
  <c r="O135" i="6"/>
  <c r="P135" i="6"/>
  <c r="Q135" i="6"/>
  <c r="R135" i="6"/>
  <c r="S135" i="6"/>
  <c r="T135" i="6"/>
  <c r="U135" i="6"/>
  <c r="V135" i="6"/>
  <c r="M136" i="6"/>
  <c r="N136" i="6"/>
  <c r="O136" i="6"/>
  <c r="P136" i="6"/>
  <c r="Q136" i="6"/>
  <c r="R136" i="6"/>
  <c r="S136" i="6"/>
  <c r="T136" i="6"/>
  <c r="U136" i="6"/>
  <c r="V136" i="6"/>
  <c r="M137" i="6"/>
  <c r="N137" i="6"/>
  <c r="O137" i="6"/>
  <c r="P137" i="6"/>
  <c r="Q137" i="6"/>
  <c r="R137" i="6"/>
  <c r="S137" i="6"/>
  <c r="T137" i="6"/>
  <c r="U137" i="6"/>
  <c r="V137" i="6"/>
  <c r="M138" i="6"/>
  <c r="N138" i="6"/>
  <c r="O138" i="6"/>
  <c r="P138" i="6"/>
  <c r="Q138" i="6"/>
  <c r="R138" i="6"/>
  <c r="S138" i="6"/>
  <c r="T138" i="6"/>
  <c r="U138" i="6"/>
  <c r="V138" i="6"/>
  <c r="M139" i="6"/>
  <c r="N139" i="6"/>
  <c r="O139" i="6"/>
  <c r="P139" i="6"/>
  <c r="Q139" i="6"/>
  <c r="R139" i="6"/>
  <c r="S139" i="6"/>
  <c r="T139" i="6"/>
  <c r="U139" i="6"/>
  <c r="V139" i="6"/>
  <c r="M140" i="6"/>
  <c r="N140" i="6"/>
  <c r="O140" i="6"/>
  <c r="P140" i="6"/>
  <c r="Q140" i="6"/>
  <c r="R140" i="6"/>
  <c r="S140" i="6"/>
  <c r="T140" i="6"/>
  <c r="U140" i="6"/>
  <c r="V140" i="6"/>
  <c r="M141" i="6"/>
  <c r="N141" i="6"/>
  <c r="O141" i="6"/>
  <c r="P141" i="6"/>
  <c r="Q141" i="6"/>
  <c r="R141" i="6"/>
  <c r="S141" i="6"/>
  <c r="T141" i="6"/>
  <c r="U141" i="6"/>
  <c r="V141" i="6"/>
  <c r="M142" i="6"/>
  <c r="N142" i="6"/>
  <c r="O142" i="6"/>
  <c r="P142" i="6"/>
  <c r="Q142" i="6"/>
  <c r="R142" i="6"/>
  <c r="S142" i="6"/>
  <c r="T142" i="6"/>
  <c r="U142" i="6"/>
  <c r="V142" i="6"/>
  <c r="M143" i="6"/>
  <c r="N143" i="6"/>
  <c r="O143" i="6"/>
  <c r="P143" i="6"/>
  <c r="Q143" i="6"/>
  <c r="R143" i="6"/>
  <c r="S143" i="6"/>
  <c r="T143" i="6"/>
  <c r="U143" i="6"/>
  <c r="V143" i="6"/>
  <c r="M144" i="6"/>
  <c r="N144" i="6"/>
  <c r="O144" i="6"/>
  <c r="P144" i="6"/>
  <c r="Q144" i="6"/>
  <c r="R144" i="6"/>
  <c r="S144" i="6"/>
  <c r="T144" i="6"/>
  <c r="U144" i="6"/>
  <c r="V144" i="6"/>
  <c r="M145" i="6"/>
  <c r="N145" i="6"/>
  <c r="O145" i="6"/>
  <c r="P145" i="6"/>
  <c r="Q145" i="6"/>
  <c r="R145" i="6"/>
  <c r="S145" i="6"/>
  <c r="T145" i="6"/>
  <c r="U145" i="6"/>
  <c r="V145" i="6"/>
  <c r="M146" i="6"/>
  <c r="N146" i="6"/>
  <c r="O146" i="6"/>
  <c r="P146" i="6"/>
  <c r="Q146" i="6"/>
  <c r="R146" i="6"/>
  <c r="S146" i="6"/>
  <c r="T146" i="6"/>
  <c r="U146" i="6"/>
  <c r="V146" i="6"/>
  <c r="M147" i="6"/>
  <c r="N147" i="6"/>
  <c r="O147" i="6"/>
  <c r="P147" i="6"/>
  <c r="Q147" i="6"/>
  <c r="R147" i="6"/>
  <c r="S147" i="6"/>
  <c r="T147" i="6"/>
  <c r="U147" i="6"/>
  <c r="V147" i="6"/>
  <c r="M148" i="6"/>
  <c r="N148" i="6"/>
  <c r="O148" i="6"/>
  <c r="P148" i="6"/>
  <c r="Q148" i="6"/>
  <c r="R148" i="6"/>
  <c r="S148" i="6"/>
  <c r="T148" i="6"/>
  <c r="U148" i="6"/>
  <c r="V148" i="6"/>
  <c r="M149" i="6"/>
  <c r="N149" i="6"/>
  <c r="O149" i="6"/>
  <c r="P149" i="6"/>
  <c r="Q149" i="6"/>
  <c r="R149" i="6"/>
  <c r="S149" i="6"/>
  <c r="T149" i="6"/>
  <c r="U149" i="6"/>
  <c r="V149" i="6"/>
  <c r="M150" i="6"/>
  <c r="N150" i="6"/>
  <c r="O150" i="6"/>
  <c r="P150" i="6"/>
  <c r="Q150" i="6"/>
  <c r="R150" i="6"/>
  <c r="S150" i="6"/>
  <c r="T150" i="6"/>
  <c r="U150" i="6"/>
  <c r="V150" i="6"/>
  <c r="M151" i="6"/>
  <c r="N151" i="6"/>
  <c r="O151" i="6"/>
  <c r="P151" i="6"/>
  <c r="Q151" i="6"/>
  <c r="R151" i="6"/>
  <c r="S151" i="6"/>
  <c r="T151" i="6"/>
  <c r="U151" i="6"/>
  <c r="V151" i="6"/>
  <c r="M152" i="6"/>
  <c r="N152" i="6"/>
  <c r="O152" i="6"/>
  <c r="P152" i="6"/>
  <c r="Q152" i="6"/>
  <c r="R152" i="6"/>
  <c r="S152" i="6"/>
  <c r="T152" i="6"/>
  <c r="U152" i="6"/>
  <c r="V152" i="6"/>
  <c r="M153" i="6"/>
  <c r="N153" i="6"/>
  <c r="O153" i="6"/>
  <c r="P153" i="6"/>
  <c r="Q153" i="6"/>
  <c r="R153" i="6"/>
  <c r="S153" i="6"/>
  <c r="T153" i="6"/>
  <c r="U153" i="6"/>
  <c r="V153" i="6"/>
  <c r="M154" i="6"/>
  <c r="N154" i="6"/>
  <c r="O154" i="6"/>
  <c r="P154" i="6"/>
  <c r="Q154" i="6"/>
  <c r="R154" i="6"/>
  <c r="S154" i="6"/>
  <c r="T154" i="6"/>
  <c r="U154" i="6"/>
  <c r="V154" i="6"/>
  <c r="M155" i="6"/>
  <c r="N155" i="6"/>
  <c r="O155" i="6"/>
  <c r="P155" i="6"/>
  <c r="Q155" i="6"/>
  <c r="R155" i="6"/>
  <c r="S155" i="6"/>
  <c r="T155" i="6"/>
  <c r="U155" i="6"/>
  <c r="V155" i="6"/>
  <c r="M156" i="6"/>
  <c r="N156" i="6"/>
  <c r="O156" i="6"/>
  <c r="P156" i="6"/>
  <c r="Q156" i="6"/>
  <c r="R156" i="6"/>
  <c r="S156" i="6"/>
  <c r="T156" i="6"/>
  <c r="U156" i="6"/>
  <c r="V156" i="6"/>
  <c r="M157" i="6"/>
  <c r="N157" i="6"/>
  <c r="O157" i="6"/>
  <c r="P157" i="6"/>
  <c r="Q157" i="6"/>
  <c r="R157" i="6"/>
  <c r="S157" i="6"/>
  <c r="T157" i="6"/>
  <c r="U157" i="6"/>
  <c r="V157" i="6"/>
  <c r="M158" i="6"/>
  <c r="N158" i="6"/>
  <c r="O158" i="6"/>
  <c r="P158" i="6"/>
  <c r="Q158" i="6"/>
  <c r="R158" i="6"/>
  <c r="S158" i="6"/>
  <c r="T158" i="6"/>
  <c r="U158" i="6"/>
  <c r="V158" i="6"/>
  <c r="M159" i="6"/>
  <c r="N159" i="6"/>
  <c r="O159" i="6"/>
  <c r="P159" i="6"/>
  <c r="Q159" i="6"/>
  <c r="R159" i="6"/>
  <c r="S159" i="6"/>
  <c r="T159" i="6"/>
  <c r="U159" i="6"/>
  <c r="V159" i="6"/>
  <c r="M160" i="6"/>
  <c r="N160" i="6"/>
  <c r="O160" i="6"/>
  <c r="P160" i="6"/>
  <c r="Q160" i="6"/>
  <c r="R160" i="6"/>
  <c r="S160" i="6"/>
  <c r="T160" i="6"/>
  <c r="U160" i="6"/>
  <c r="V160" i="6"/>
  <c r="M161" i="6"/>
  <c r="N161" i="6"/>
  <c r="O161" i="6"/>
  <c r="P161" i="6"/>
  <c r="Q161" i="6"/>
  <c r="R161" i="6"/>
  <c r="S161" i="6"/>
  <c r="T161" i="6"/>
  <c r="U161" i="6"/>
  <c r="V161" i="6"/>
  <c r="M162" i="6"/>
  <c r="N162" i="6"/>
  <c r="O162" i="6"/>
  <c r="P162" i="6"/>
  <c r="Q162" i="6"/>
  <c r="R162" i="6"/>
  <c r="S162" i="6"/>
  <c r="T162" i="6"/>
  <c r="U162" i="6"/>
  <c r="V162" i="6"/>
  <c r="M163" i="6"/>
  <c r="N163" i="6"/>
  <c r="O163" i="6"/>
  <c r="P163" i="6"/>
  <c r="Q163" i="6"/>
  <c r="R163" i="6"/>
  <c r="S163" i="6"/>
  <c r="T163" i="6"/>
  <c r="U163" i="6"/>
  <c r="V163" i="6"/>
  <c r="M164" i="6"/>
  <c r="N164" i="6"/>
  <c r="O164" i="6"/>
  <c r="P164" i="6"/>
  <c r="Q164" i="6"/>
  <c r="R164" i="6"/>
  <c r="S164" i="6"/>
  <c r="T164" i="6"/>
  <c r="U164" i="6"/>
  <c r="V164" i="6"/>
  <c r="M165" i="6"/>
  <c r="N165" i="6"/>
  <c r="O165" i="6"/>
  <c r="P165" i="6"/>
  <c r="Q165" i="6"/>
  <c r="R165" i="6"/>
  <c r="S165" i="6"/>
  <c r="T165" i="6"/>
  <c r="U165" i="6"/>
  <c r="V165" i="6"/>
  <c r="M166" i="6"/>
  <c r="N166" i="6"/>
  <c r="O166" i="6"/>
  <c r="P166" i="6"/>
  <c r="Q166" i="6"/>
  <c r="R166" i="6"/>
  <c r="S166" i="6"/>
  <c r="T166" i="6"/>
  <c r="U166" i="6"/>
  <c r="V166" i="6"/>
  <c r="M167" i="6"/>
  <c r="N167" i="6"/>
  <c r="O167" i="6"/>
  <c r="P167" i="6"/>
  <c r="Q167" i="6"/>
  <c r="R167" i="6"/>
  <c r="S167" i="6"/>
  <c r="T167" i="6"/>
  <c r="U167" i="6"/>
  <c r="V167" i="6"/>
  <c r="M168" i="6"/>
  <c r="N168" i="6"/>
  <c r="O168" i="6"/>
  <c r="P168" i="6"/>
  <c r="Q168" i="6"/>
  <c r="R168" i="6"/>
  <c r="S168" i="6"/>
  <c r="T168" i="6"/>
  <c r="U168" i="6"/>
  <c r="V168" i="6"/>
  <c r="M169" i="6"/>
  <c r="N169" i="6"/>
  <c r="O169" i="6"/>
  <c r="P169" i="6"/>
  <c r="Q169" i="6"/>
  <c r="R169" i="6"/>
  <c r="S169" i="6"/>
  <c r="T169" i="6"/>
  <c r="U169" i="6"/>
  <c r="V169" i="6"/>
  <c r="M170" i="6"/>
  <c r="N170" i="6"/>
  <c r="O170" i="6"/>
  <c r="P170" i="6"/>
  <c r="Q170" i="6"/>
  <c r="R170" i="6"/>
  <c r="S170" i="6"/>
  <c r="T170" i="6"/>
  <c r="U170" i="6"/>
  <c r="V170" i="6"/>
  <c r="M171" i="6"/>
  <c r="N171" i="6"/>
  <c r="O171" i="6"/>
  <c r="P171" i="6"/>
  <c r="Q171" i="6"/>
  <c r="R171" i="6"/>
  <c r="S171" i="6"/>
  <c r="T171" i="6"/>
  <c r="U171" i="6"/>
  <c r="V171" i="6"/>
  <c r="M172" i="6"/>
  <c r="N172" i="6"/>
  <c r="O172" i="6"/>
  <c r="P172" i="6"/>
  <c r="Q172" i="6"/>
  <c r="R172" i="6"/>
  <c r="S172" i="6"/>
  <c r="T172" i="6"/>
  <c r="U172" i="6"/>
  <c r="V172" i="6"/>
  <c r="M173" i="6"/>
  <c r="N173" i="6"/>
  <c r="O173" i="6"/>
  <c r="P173" i="6"/>
  <c r="Q173" i="6"/>
  <c r="R173" i="6"/>
  <c r="S173" i="6"/>
  <c r="T173" i="6"/>
  <c r="U173" i="6"/>
  <c r="V173" i="6"/>
  <c r="M174" i="6"/>
  <c r="N174" i="6"/>
  <c r="O174" i="6"/>
  <c r="P174" i="6"/>
  <c r="Q174" i="6"/>
  <c r="R174" i="6"/>
  <c r="S174" i="6"/>
  <c r="T174" i="6"/>
  <c r="U174" i="6"/>
  <c r="V174" i="6"/>
  <c r="M175" i="6"/>
  <c r="N175" i="6"/>
  <c r="O175" i="6"/>
  <c r="P175" i="6"/>
  <c r="Q175" i="6"/>
  <c r="R175" i="6"/>
  <c r="S175" i="6"/>
  <c r="T175" i="6"/>
  <c r="U175" i="6"/>
  <c r="V175" i="6"/>
  <c r="M176" i="6"/>
  <c r="N176" i="6"/>
  <c r="O176" i="6"/>
  <c r="P176" i="6"/>
  <c r="Q176" i="6"/>
  <c r="R176" i="6"/>
  <c r="S176" i="6"/>
  <c r="T176" i="6"/>
  <c r="U176" i="6"/>
  <c r="V176" i="6"/>
  <c r="M177" i="6"/>
  <c r="N177" i="6"/>
  <c r="O177" i="6"/>
  <c r="P177" i="6"/>
  <c r="Q177" i="6"/>
  <c r="R177" i="6"/>
  <c r="S177" i="6"/>
  <c r="T177" i="6"/>
  <c r="U177" i="6"/>
  <c r="V177" i="6"/>
  <c r="M178" i="6"/>
  <c r="N178" i="6"/>
  <c r="O178" i="6"/>
  <c r="P178" i="6"/>
  <c r="Q178" i="6"/>
  <c r="R178" i="6"/>
  <c r="S178" i="6"/>
  <c r="T178" i="6"/>
  <c r="U178" i="6"/>
  <c r="V178" i="6"/>
  <c r="M179" i="6"/>
  <c r="N179" i="6"/>
  <c r="O179" i="6"/>
  <c r="P179" i="6"/>
  <c r="Q179" i="6"/>
  <c r="R179" i="6"/>
  <c r="S179" i="6"/>
  <c r="T179" i="6"/>
  <c r="U179" i="6"/>
  <c r="V179" i="6"/>
  <c r="M180" i="6"/>
  <c r="N180" i="6"/>
  <c r="O180" i="6"/>
  <c r="P180" i="6"/>
  <c r="Q180" i="6"/>
  <c r="R180" i="6"/>
  <c r="S180" i="6"/>
  <c r="T180" i="6"/>
  <c r="U180" i="6"/>
  <c r="V180" i="6"/>
  <c r="M181" i="6"/>
  <c r="N181" i="6"/>
  <c r="O181" i="6"/>
  <c r="P181" i="6"/>
  <c r="Q181" i="6"/>
  <c r="R181" i="6"/>
  <c r="S181" i="6"/>
  <c r="T181" i="6"/>
  <c r="U181" i="6"/>
  <c r="V181" i="6"/>
  <c r="M182" i="6"/>
  <c r="N182" i="6"/>
  <c r="O182" i="6"/>
  <c r="P182" i="6"/>
  <c r="Q182" i="6"/>
  <c r="R182" i="6"/>
  <c r="S182" i="6"/>
  <c r="T182" i="6"/>
  <c r="U182" i="6"/>
  <c r="V182" i="6"/>
  <c r="M183" i="6"/>
  <c r="N183" i="6"/>
  <c r="O183" i="6"/>
  <c r="P183" i="6"/>
  <c r="Q183" i="6"/>
  <c r="R183" i="6"/>
  <c r="S183" i="6"/>
  <c r="T183" i="6"/>
  <c r="U183" i="6"/>
  <c r="V183" i="6"/>
  <c r="M184" i="6"/>
  <c r="N184" i="6"/>
  <c r="O184" i="6"/>
  <c r="P184" i="6"/>
  <c r="Q184" i="6"/>
  <c r="R184" i="6"/>
  <c r="S184" i="6"/>
  <c r="T184" i="6"/>
  <c r="U184" i="6"/>
  <c r="V184" i="6"/>
  <c r="M185" i="6"/>
  <c r="N185" i="6"/>
  <c r="O185" i="6"/>
  <c r="P185" i="6"/>
  <c r="Q185" i="6"/>
  <c r="R185" i="6"/>
  <c r="S185" i="6"/>
  <c r="T185" i="6"/>
  <c r="U185" i="6"/>
  <c r="V185" i="6"/>
  <c r="M186" i="6"/>
  <c r="N186" i="6"/>
  <c r="O186" i="6"/>
  <c r="P186" i="6"/>
  <c r="Q186" i="6"/>
  <c r="R186" i="6"/>
  <c r="S186" i="6"/>
  <c r="T186" i="6"/>
  <c r="U186" i="6"/>
  <c r="V186" i="6"/>
  <c r="M187" i="6"/>
  <c r="N187" i="6"/>
  <c r="O187" i="6"/>
  <c r="P187" i="6"/>
  <c r="Q187" i="6"/>
  <c r="R187" i="6"/>
  <c r="S187" i="6"/>
  <c r="T187" i="6"/>
  <c r="U187" i="6"/>
  <c r="V187" i="6"/>
  <c r="M188" i="6"/>
  <c r="N188" i="6"/>
  <c r="O188" i="6"/>
  <c r="P188" i="6"/>
  <c r="Q188" i="6"/>
  <c r="R188" i="6"/>
  <c r="S188" i="6"/>
  <c r="T188" i="6"/>
  <c r="U188" i="6"/>
  <c r="V188" i="6"/>
  <c r="M189" i="6"/>
  <c r="N189" i="6"/>
  <c r="O189" i="6"/>
  <c r="P189" i="6"/>
  <c r="Q189" i="6"/>
  <c r="R189" i="6"/>
  <c r="S189" i="6"/>
  <c r="T189" i="6"/>
  <c r="U189" i="6"/>
  <c r="V189" i="6"/>
  <c r="M190" i="6"/>
  <c r="N190" i="6"/>
  <c r="O190" i="6"/>
  <c r="P190" i="6"/>
  <c r="Q190" i="6"/>
  <c r="R190" i="6"/>
  <c r="S190" i="6"/>
  <c r="T190" i="6"/>
  <c r="U190" i="6"/>
  <c r="V190" i="6"/>
  <c r="M191" i="6"/>
  <c r="N191" i="6"/>
  <c r="O191" i="6"/>
  <c r="P191" i="6"/>
  <c r="Q191" i="6"/>
  <c r="R191" i="6"/>
  <c r="S191" i="6"/>
  <c r="T191" i="6"/>
  <c r="U191" i="6"/>
  <c r="V191" i="6"/>
  <c r="M192" i="6"/>
  <c r="N192" i="6"/>
  <c r="O192" i="6"/>
  <c r="P192" i="6"/>
  <c r="Q192" i="6"/>
  <c r="R192" i="6"/>
  <c r="S192" i="6"/>
  <c r="T192" i="6"/>
  <c r="U192" i="6"/>
  <c r="V192" i="6"/>
  <c r="M193" i="6"/>
  <c r="N193" i="6"/>
  <c r="O193" i="6"/>
  <c r="P193" i="6"/>
  <c r="Q193" i="6"/>
  <c r="R193" i="6"/>
  <c r="S193" i="6"/>
  <c r="T193" i="6"/>
  <c r="U193" i="6"/>
  <c r="V193" i="6"/>
  <c r="M194" i="6"/>
  <c r="N194" i="6"/>
  <c r="O194" i="6"/>
  <c r="P194" i="6"/>
  <c r="Q194" i="6"/>
  <c r="R194" i="6"/>
  <c r="S194" i="6"/>
  <c r="T194" i="6"/>
  <c r="U194" i="6"/>
  <c r="V194" i="6"/>
  <c r="M195" i="6"/>
  <c r="N195" i="6"/>
  <c r="O195" i="6"/>
  <c r="P195" i="6"/>
  <c r="Q195" i="6"/>
  <c r="R195" i="6"/>
  <c r="S195" i="6"/>
  <c r="T195" i="6"/>
  <c r="U195" i="6"/>
  <c r="V195" i="6"/>
  <c r="M196" i="6"/>
  <c r="N196" i="6"/>
  <c r="O196" i="6"/>
  <c r="P196" i="6"/>
  <c r="Q196" i="6"/>
  <c r="R196" i="6"/>
  <c r="S196" i="6"/>
  <c r="T196" i="6"/>
  <c r="U196" i="6"/>
  <c r="V196" i="6"/>
  <c r="M197" i="6"/>
  <c r="N197" i="6"/>
  <c r="O197" i="6"/>
  <c r="P197" i="6"/>
  <c r="Q197" i="6"/>
  <c r="R197" i="6"/>
  <c r="S197" i="6"/>
  <c r="T197" i="6"/>
  <c r="U197" i="6"/>
  <c r="V197" i="6"/>
  <c r="M198" i="6"/>
  <c r="N198" i="6"/>
  <c r="O198" i="6"/>
  <c r="P198" i="6"/>
  <c r="Q198" i="6"/>
  <c r="R198" i="6"/>
  <c r="S198" i="6"/>
  <c r="T198" i="6"/>
  <c r="U198" i="6"/>
  <c r="V198" i="6"/>
  <c r="M199" i="6"/>
  <c r="N199" i="6"/>
  <c r="O199" i="6"/>
  <c r="P199" i="6"/>
  <c r="Q199" i="6"/>
  <c r="R199" i="6"/>
  <c r="S199" i="6"/>
  <c r="T199" i="6"/>
  <c r="U199" i="6"/>
  <c r="V199" i="6"/>
  <c r="M200" i="6"/>
  <c r="N200" i="6"/>
  <c r="O200" i="6"/>
  <c r="P200" i="6"/>
  <c r="Q200" i="6"/>
  <c r="R200" i="6"/>
  <c r="S200" i="6"/>
  <c r="T200" i="6"/>
  <c r="U200" i="6"/>
  <c r="V200" i="6"/>
  <c r="M201" i="6"/>
  <c r="N201" i="6"/>
  <c r="O201" i="6"/>
  <c r="P201" i="6"/>
  <c r="Q201" i="6"/>
  <c r="R201" i="6"/>
  <c r="S201" i="6"/>
  <c r="T201" i="6"/>
  <c r="U201" i="6"/>
  <c r="V201" i="6"/>
  <c r="N2" i="6"/>
  <c r="O2" i="6"/>
  <c r="P2" i="6"/>
  <c r="Q2" i="6"/>
  <c r="R2" i="6"/>
  <c r="S2" i="6"/>
  <c r="T2" i="6"/>
  <c r="U2" i="6"/>
  <c r="V2" i="6"/>
  <c r="M2" i="6"/>
  <c r="R22" i="5"/>
  <c r="R21" i="5"/>
  <c r="R20" i="5"/>
  <c r="R19" i="5"/>
  <c r="R18" i="5"/>
  <c r="R17" i="5"/>
  <c r="R16" i="5"/>
  <c r="R15" i="5"/>
  <c r="R14" i="5"/>
  <c r="R13" i="5"/>
  <c r="R12" i="5"/>
  <c r="R11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" i="5"/>
  <c r="AF2" i="4"/>
  <c r="AG2" i="4"/>
  <c r="AH2" i="4"/>
  <c r="Z2" i="4"/>
  <c r="AA2" i="4"/>
  <c r="AB2" i="4"/>
  <c r="AC2" i="4"/>
  <c r="AD2" i="4"/>
  <c r="AE2" i="4"/>
  <c r="Y2" i="4"/>
  <c r="M201" i="4"/>
  <c r="N201" i="4"/>
  <c r="O201" i="4"/>
  <c r="P201" i="4"/>
  <c r="Q201" i="4"/>
  <c r="R201" i="4"/>
  <c r="S201" i="4"/>
  <c r="T201" i="4"/>
  <c r="U201" i="4"/>
  <c r="V201" i="4"/>
  <c r="M3" i="4"/>
  <c r="N3" i="4"/>
  <c r="O3" i="4"/>
  <c r="P3" i="4"/>
  <c r="Q3" i="4"/>
  <c r="R3" i="4"/>
  <c r="S3" i="4"/>
  <c r="T3" i="4"/>
  <c r="U3" i="4"/>
  <c r="V3" i="4"/>
  <c r="M4" i="4"/>
  <c r="N4" i="4"/>
  <c r="O4" i="4"/>
  <c r="P4" i="4"/>
  <c r="Q4" i="4"/>
  <c r="R4" i="4"/>
  <c r="S4" i="4"/>
  <c r="T4" i="4"/>
  <c r="U4" i="4"/>
  <c r="V4" i="4"/>
  <c r="M5" i="4"/>
  <c r="N5" i="4"/>
  <c r="O5" i="4"/>
  <c r="P5" i="4"/>
  <c r="Q5" i="4"/>
  <c r="R5" i="4"/>
  <c r="S5" i="4"/>
  <c r="T5" i="4"/>
  <c r="U5" i="4"/>
  <c r="V5" i="4"/>
  <c r="M6" i="4"/>
  <c r="N6" i="4"/>
  <c r="O6" i="4"/>
  <c r="P6" i="4"/>
  <c r="Q6" i="4"/>
  <c r="R6" i="4"/>
  <c r="S6" i="4"/>
  <c r="T6" i="4"/>
  <c r="U6" i="4"/>
  <c r="V6" i="4"/>
  <c r="M7" i="4"/>
  <c r="N7" i="4"/>
  <c r="O7" i="4"/>
  <c r="P7" i="4"/>
  <c r="Q7" i="4"/>
  <c r="R7" i="4"/>
  <c r="S7" i="4"/>
  <c r="T7" i="4"/>
  <c r="U7" i="4"/>
  <c r="V7" i="4"/>
  <c r="M8" i="4"/>
  <c r="N8" i="4"/>
  <c r="O8" i="4"/>
  <c r="P8" i="4"/>
  <c r="Q8" i="4"/>
  <c r="R8" i="4"/>
  <c r="S8" i="4"/>
  <c r="T8" i="4"/>
  <c r="U8" i="4"/>
  <c r="V8" i="4"/>
  <c r="M9" i="4"/>
  <c r="N9" i="4"/>
  <c r="O9" i="4"/>
  <c r="P9" i="4"/>
  <c r="Q9" i="4"/>
  <c r="R9" i="4"/>
  <c r="S9" i="4"/>
  <c r="T9" i="4"/>
  <c r="U9" i="4"/>
  <c r="V9" i="4"/>
  <c r="M10" i="4"/>
  <c r="N10" i="4"/>
  <c r="O10" i="4"/>
  <c r="P10" i="4"/>
  <c r="Q10" i="4"/>
  <c r="R10" i="4"/>
  <c r="S10" i="4"/>
  <c r="T10" i="4"/>
  <c r="U10" i="4"/>
  <c r="V10" i="4"/>
  <c r="M11" i="4"/>
  <c r="N11" i="4"/>
  <c r="O11" i="4"/>
  <c r="P11" i="4"/>
  <c r="Q11" i="4"/>
  <c r="R11" i="4"/>
  <c r="S11" i="4"/>
  <c r="T11" i="4"/>
  <c r="U11" i="4"/>
  <c r="V11" i="4"/>
  <c r="M12" i="4"/>
  <c r="N12" i="4"/>
  <c r="O12" i="4"/>
  <c r="P12" i="4"/>
  <c r="Q12" i="4"/>
  <c r="R12" i="4"/>
  <c r="S12" i="4"/>
  <c r="T12" i="4"/>
  <c r="U12" i="4"/>
  <c r="V12" i="4"/>
  <c r="M13" i="4"/>
  <c r="N13" i="4"/>
  <c r="O13" i="4"/>
  <c r="P13" i="4"/>
  <c r="Q13" i="4"/>
  <c r="R13" i="4"/>
  <c r="S13" i="4"/>
  <c r="T13" i="4"/>
  <c r="U13" i="4"/>
  <c r="V13" i="4"/>
  <c r="M14" i="4"/>
  <c r="N14" i="4"/>
  <c r="O14" i="4"/>
  <c r="P14" i="4"/>
  <c r="Q14" i="4"/>
  <c r="R14" i="4"/>
  <c r="S14" i="4"/>
  <c r="T14" i="4"/>
  <c r="U14" i="4"/>
  <c r="V14" i="4"/>
  <c r="M15" i="4"/>
  <c r="N15" i="4"/>
  <c r="O15" i="4"/>
  <c r="P15" i="4"/>
  <c r="Q15" i="4"/>
  <c r="R15" i="4"/>
  <c r="S15" i="4"/>
  <c r="T15" i="4"/>
  <c r="U15" i="4"/>
  <c r="V15" i="4"/>
  <c r="M16" i="4"/>
  <c r="N16" i="4"/>
  <c r="O16" i="4"/>
  <c r="P16" i="4"/>
  <c r="Q16" i="4"/>
  <c r="R16" i="4"/>
  <c r="S16" i="4"/>
  <c r="T16" i="4"/>
  <c r="U16" i="4"/>
  <c r="V16" i="4"/>
  <c r="M17" i="4"/>
  <c r="N17" i="4"/>
  <c r="O17" i="4"/>
  <c r="P17" i="4"/>
  <c r="Q17" i="4"/>
  <c r="R17" i="4"/>
  <c r="S17" i="4"/>
  <c r="T17" i="4"/>
  <c r="U17" i="4"/>
  <c r="V17" i="4"/>
  <c r="M18" i="4"/>
  <c r="N18" i="4"/>
  <c r="O18" i="4"/>
  <c r="P18" i="4"/>
  <c r="Q18" i="4"/>
  <c r="R18" i="4"/>
  <c r="S18" i="4"/>
  <c r="T18" i="4"/>
  <c r="U18" i="4"/>
  <c r="V18" i="4"/>
  <c r="M19" i="4"/>
  <c r="N19" i="4"/>
  <c r="O19" i="4"/>
  <c r="P19" i="4"/>
  <c r="Q19" i="4"/>
  <c r="R19" i="4"/>
  <c r="S19" i="4"/>
  <c r="T19" i="4"/>
  <c r="U19" i="4"/>
  <c r="V19" i="4"/>
  <c r="M20" i="4"/>
  <c r="N20" i="4"/>
  <c r="O20" i="4"/>
  <c r="P20" i="4"/>
  <c r="Q20" i="4"/>
  <c r="R20" i="4"/>
  <c r="S20" i="4"/>
  <c r="T20" i="4"/>
  <c r="U20" i="4"/>
  <c r="V20" i="4"/>
  <c r="M21" i="4"/>
  <c r="N21" i="4"/>
  <c r="O21" i="4"/>
  <c r="P21" i="4"/>
  <c r="Q21" i="4"/>
  <c r="R21" i="4"/>
  <c r="S21" i="4"/>
  <c r="T21" i="4"/>
  <c r="U21" i="4"/>
  <c r="V21" i="4"/>
  <c r="M22" i="4"/>
  <c r="N22" i="4"/>
  <c r="O22" i="4"/>
  <c r="P22" i="4"/>
  <c r="Q22" i="4"/>
  <c r="R22" i="4"/>
  <c r="S22" i="4"/>
  <c r="T22" i="4"/>
  <c r="U22" i="4"/>
  <c r="V22" i="4"/>
  <c r="M23" i="4"/>
  <c r="N23" i="4"/>
  <c r="O23" i="4"/>
  <c r="P23" i="4"/>
  <c r="Q23" i="4"/>
  <c r="R23" i="4"/>
  <c r="S23" i="4"/>
  <c r="T23" i="4"/>
  <c r="U23" i="4"/>
  <c r="V23" i="4"/>
  <c r="M24" i="4"/>
  <c r="N24" i="4"/>
  <c r="O24" i="4"/>
  <c r="P24" i="4"/>
  <c r="Q24" i="4"/>
  <c r="R24" i="4"/>
  <c r="S24" i="4"/>
  <c r="T24" i="4"/>
  <c r="U24" i="4"/>
  <c r="V24" i="4"/>
  <c r="M25" i="4"/>
  <c r="N25" i="4"/>
  <c r="O25" i="4"/>
  <c r="P25" i="4"/>
  <c r="Q25" i="4"/>
  <c r="R25" i="4"/>
  <c r="S25" i="4"/>
  <c r="T25" i="4"/>
  <c r="U25" i="4"/>
  <c r="V25" i="4"/>
  <c r="M26" i="4"/>
  <c r="N26" i="4"/>
  <c r="O26" i="4"/>
  <c r="P26" i="4"/>
  <c r="Q26" i="4"/>
  <c r="R26" i="4"/>
  <c r="S26" i="4"/>
  <c r="T26" i="4"/>
  <c r="U26" i="4"/>
  <c r="V26" i="4"/>
  <c r="M27" i="4"/>
  <c r="N27" i="4"/>
  <c r="O27" i="4"/>
  <c r="P27" i="4"/>
  <c r="Q27" i="4"/>
  <c r="R27" i="4"/>
  <c r="S27" i="4"/>
  <c r="T27" i="4"/>
  <c r="U27" i="4"/>
  <c r="V27" i="4"/>
  <c r="M28" i="4"/>
  <c r="N28" i="4"/>
  <c r="O28" i="4"/>
  <c r="P28" i="4"/>
  <c r="Q28" i="4"/>
  <c r="R28" i="4"/>
  <c r="S28" i="4"/>
  <c r="T28" i="4"/>
  <c r="U28" i="4"/>
  <c r="V28" i="4"/>
  <c r="M29" i="4"/>
  <c r="N29" i="4"/>
  <c r="O29" i="4"/>
  <c r="P29" i="4"/>
  <c r="Q29" i="4"/>
  <c r="R29" i="4"/>
  <c r="S29" i="4"/>
  <c r="T29" i="4"/>
  <c r="U29" i="4"/>
  <c r="V29" i="4"/>
  <c r="M30" i="4"/>
  <c r="N30" i="4"/>
  <c r="O30" i="4"/>
  <c r="P30" i="4"/>
  <c r="Q30" i="4"/>
  <c r="R30" i="4"/>
  <c r="S30" i="4"/>
  <c r="T30" i="4"/>
  <c r="U30" i="4"/>
  <c r="V30" i="4"/>
  <c r="M31" i="4"/>
  <c r="N31" i="4"/>
  <c r="O31" i="4"/>
  <c r="P31" i="4"/>
  <c r="Q31" i="4"/>
  <c r="R31" i="4"/>
  <c r="S31" i="4"/>
  <c r="T31" i="4"/>
  <c r="U31" i="4"/>
  <c r="V31" i="4"/>
  <c r="M32" i="4"/>
  <c r="N32" i="4"/>
  <c r="O32" i="4"/>
  <c r="P32" i="4"/>
  <c r="Q32" i="4"/>
  <c r="R32" i="4"/>
  <c r="S32" i="4"/>
  <c r="T32" i="4"/>
  <c r="U32" i="4"/>
  <c r="V32" i="4"/>
  <c r="M33" i="4"/>
  <c r="N33" i="4"/>
  <c r="O33" i="4"/>
  <c r="P33" i="4"/>
  <c r="Q33" i="4"/>
  <c r="R33" i="4"/>
  <c r="S33" i="4"/>
  <c r="T33" i="4"/>
  <c r="U33" i="4"/>
  <c r="V33" i="4"/>
  <c r="M34" i="4"/>
  <c r="N34" i="4"/>
  <c r="O34" i="4"/>
  <c r="P34" i="4"/>
  <c r="Q34" i="4"/>
  <c r="R34" i="4"/>
  <c r="S34" i="4"/>
  <c r="T34" i="4"/>
  <c r="U34" i="4"/>
  <c r="V34" i="4"/>
  <c r="M35" i="4"/>
  <c r="N35" i="4"/>
  <c r="O35" i="4"/>
  <c r="P35" i="4"/>
  <c r="Q35" i="4"/>
  <c r="R35" i="4"/>
  <c r="S35" i="4"/>
  <c r="T35" i="4"/>
  <c r="U35" i="4"/>
  <c r="V35" i="4"/>
  <c r="M36" i="4"/>
  <c r="N36" i="4"/>
  <c r="O36" i="4"/>
  <c r="P36" i="4"/>
  <c r="Q36" i="4"/>
  <c r="R36" i="4"/>
  <c r="S36" i="4"/>
  <c r="T36" i="4"/>
  <c r="U36" i="4"/>
  <c r="V36" i="4"/>
  <c r="M37" i="4"/>
  <c r="N37" i="4"/>
  <c r="O37" i="4"/>
  <c r="P37" i="4"/>
  <c r="Q37" i="4"/>
  <c r="R37" i="4"/>
  <c r="S37" i="4"/>
  <c r="T37" i="4"/>
  <c r="U37" i="4"/>
  <c r="V37" i="4"/>
  <c r="M38" i="4"/>
  <c r="N38" i="4"/>
  <c r="O38" i="4"/>
  <c r="P38" i="4"/>
  <c r="Q38" i="4"/>
  <c r="R38" i="4"/>
  <c r="S38" i="4"/>
  <c r="T38" i="4"/>
  <c r="U38" i="4"/>
  <c r="V38" i="4"/>
  <c r="M39" i="4"/>
  <c r="N39" i="4"/>
  <c r="O39" i="4"/>
  <c r="P39" i="4"/>
  <c r="Q39" i="4"/>
  <c r="R39" i="4"/>
  <c r="S39" i="4"/>
  <c r="T39" i="4"/>
  <c r="U39" i="4"/>
  <c r="V39" i="4"/>
  <c r="M40" i="4"/>
  <c r="N40" i="4"/>
  <c r="O40" i="4"/>
  <c r="P40" i="4"/>
  <c r="Q40" i="4"/>
  <c r="R40" i="4"/>
  <c r="S40" i="4"/>
  <c r="T40" i="4"/>
  <c r="U40" i="4"/>
  <c r="V40" i="4"/>
  <c r="M41" i="4"/>
  <c r="N41" i="4"/>
  <c r="O41" i="4"/>
  <c r="P41" i="4"/>
  <c r="Q41" i="4"/>
  <c r="R41" i="4"/>
  <c r="S41" i="4"/>
  <c r="T41" i="4"/>
  <c r="U41" i="4"/>
  <c r="V41" i="4"/>
  <c r="M42" i="4"/>
  <c r="N42" i="4"/>
  <c r="O42" i="4"/>
  <c r="P42" i="4"/>
  <c r="Q42" i="4"/>
  <c r="R42" i="4"/>
  <c r="S42" i="4"/>
  <c r="T42" i="4"/>
  <c r="U42" i="4"/>
  <c r="V42" i="4"/>
  <c r="M43" i="4"/>
  <c r="N43" i="4"/>
  <c r="O43" i="4"/>
  <c r="P43" i="4"/>
  <c r="Q43" i="4"/>
  <c r="R43" i="4"/>
  <c r="S43" i="4"/>
  <c r="T43" i="4"/>
  <c r="U43" i="4"/>
  <c r="V43" i="4"/>
  <c r="M44" i="4"/>
  <c r="N44" i="4"/>
  <c r="O44" i="4"/>
  <c r="P44" i="4"/>
  <c r="Q44" i="4"/>
  <c r="R44" i="4"/>
  <c r="S44" i="4"/>
  <c r="T44" i="4"/>
  <c r="U44" i="4"/>
  <c r="V44" i="4"/>
  <c r="M45" i="4"/>
  <c r="N45" i="4"/>
  <c r="O45" i="4"/>
  <c r="P45" i="4"/>
  <c r="Q45" i="4"/>
  <c r="R45" i="4"/>
  <c r="S45" i="4"/>
  <c r="T45" i="4"/>
  <c r="U45" i="4"/>
  <c r="V45" i="4"/>
  <c r="M46" i="4"/>
  <c r="N46" i="4"/>
  <c r="O46" i="4"/>
  <c r="P46" i="4"/>
  <c r="Q46" i="4"/>
  <c r="R46" i="4"/>
  <c r="S46" i="4"/>
  <c r="T46" i="4"/>
  <c r="U46" i="4"/>
  <c r="V46" i="4"/>
  <c r="M47" i="4"/>
  <c r="N47" i="4"/>
  <c r="O47" i="4"/>
  <c r="P47" i="4"/>
  <c r="Q47" i="4"/>
  <c r="R47" i="4"/>
  <c r="S47" i="4"/>
  <c r="T47" i="4"/>
  <c r="U47" i="4"/>
  <c r="V47" i="4"/>
  <c r="M48" i="4"/>
  <c r="N48" i="4"/>
  <c r="O48" i="4"/>
  <c r="P48" i="4"/>
  <c r="Q48" i="4"/>
  <c r="R48" i="4"/>
  <c r="S48" i="4"/>
  <c r="T48" i="4"/>
  <c r="U48" i="4"/>
  <c r="V48" i="4"/>
  <c r="M49" i="4"/>
  <c r="N49" i="4"/>
  <c r="O49" i="4"/>
  <c r="P49" i="4"/>
  <c r="Q49" i="4"/>
  <c r="R49" i="4"/>
  <c r="S49" i="4"/>
  <c r="T49" i="4"/>
  <c r="U49" i="4"/>
  <c r="V49" i="4"/>
  <c r="M50" i="4"/>
  <c r="N50" i="4"/>
  <c r="O50" i="4"/>
  <c r="P50" i="4"/>
  <c r="Q50" i="4"/>
  <c r="R50" i="4"/>
  <c r="S50" i="4"/>
  <c r="T50" i="4"/>
  <c r="U50" i="4"/>
  <c r="V50" i="4"/>
  <c r="M51" i="4"/>
  <c r="N51" i="4"/>
  <c r="O51" i="4"/>
  <c r="P51" i="4"/>
  <c r="Q51" i="4"/>
  <c r="R51" i="4"/>
  <c r="S51" i="4"/>
  <c r="T51" i="4"/>
  <c r="U51" i="4"/>
  <c r="V51" i="4"/>
  <c r="M52" i="4"/>
  <c r="N52" i="4"/>
  <c r="O52" i="4"/>
  <c r="P52" i="4"/>
  <c r="Q52" i="4"/>
  <c r="R52" i="4"/>
  <c r="S52" i="4"/>
  <c r="T52" i="4"/>
  <c r="U52" i="4"/>
  <c r="V52" i="4"/>
  <c r="M53" i="4"/>
  <c r="N53" i="4"/>
  <c r="O53" i="4"/>
  <c r="P53" i="4"/>
  <c r="Q53" i="4"/>
  <c r="R53" i="4"/>
  <c r="S53" i="4"/>
  <c r="T53" i="4"/>
  <c r="U53" i="4"/>
  <c r="V53" i="4"/>
  <c r="M54" i="4"/>
  <c r="N54" i="4"/>
  <c r="O54" i="4"/>
  <c r="P54" i="4"/>
  <c r="Q54" i="4"/>
  <c r="R54" i="4"/>
  <c r="S54" i="4"/>
  <c r="T54" i="4"/>
  <c r="U54" i="4"/>
  <c r="V54" i="4"/>
  <c r="M55" i="4"/>
  <c r="N55" i="4"/>
  <c r="O55" i="4"/>
  <c r="P55" i="4"/>
  <c r="Q55" i="4"/>
  <c r="R55" i="4"/>
  <c r="S55" i="4"/>
  <c r="T55" i="4"/>
  <c r="U55" i="4"/>
  <c r="V55" i="4"/>
  <c r="M56" i="4"/>
  <c r="N56" i="4"/>
  <c r="O56" i="4"/>
  <c r="P56" i="4"/>
  <c r="Q56" i="4"/>
  <c r="R56" i="4"/>
  <c r="S56" i="4"/>
  <c r="T56" i="4"/>
  <c r="U56" i="4"/>
  <c r="V56" i="4"/>
  <c r="M57" i="4"/>
  <c r="N57" i="4"/>
  <c r="O57" i="4"/>
  <c r="P57" i="4"/>
  <c r="Q57" i="4"/>
  <c r="R57" i="4"/>
  <c r="S57" i="4"/>
  <c r="T57" i="4"/>
  <c r="U57" i="4"/>
  <c r="V57" i="4"/>
  <c r="M58" i="4"/>
  <c r="N58" i="4"/>
  <c r="O58" i="4"/>
  <c r="P58" i="4"/>
  <c r="Q58" i="4"/>
  <c r="R58" i="4"/>
  <c r="S58" i="4"/>
  <c r="T58" i="4"/>
  <c r="U58" i="4"/>
  <c r="V58" i="4"/>
  <c r="M59" i="4"/>
  <c r="N59" i="4"/>
  <c r="O59" i="4"/>
  <c r="P59" i="4"/>
  <c r="Q59" i="4"/>
  <c r="R59" i="4"/>
  <c r="S59" i="4"/>
  <c r="T59" i="4"/>
  <c r="U59" i="4"/>
  <c r="V59" i="4"/>
  <c r="M60" i="4"/>
  <c r="N60" i="4"/>
  <c r="O60" i="4"/>
  <c r="P60" i="4"/>
  <c r="Q60" i="4"/>
  <c r="R60" i="4"/>
  <c r="S60" i="4"/>
  <c r="T60" i="4"/>
  <c r="U60" i="4"/>
  <c r="V60" i="4"/>
  <c r="M61" i="4"/>
  <c r="N61" i="4"/>
  <c r="O61" i="4"/>
  <c r="P61" i="4"/>
  <c r="Q61" i="4"/>
  <c r="R61" i="4"/>
  <c r="S61" i="4"/>
  <c r="T61" i="4"/>
  <c r="U61" i="4"/>
  <c r="V61" i="4"/>
  <c r="M62" i="4"/>
  <c r="N62" i="4"/>
  <c r="O62" i="4"/>
  <c r="P62" i="4"/>
  <c r="Q62" i="4"/>
  <c r="R62" i="4"/>
  <c r="S62" i="4"/>
  <c r="T62" i="4"/>
  <c r="U62" i="4"/>
  <c r="V62" i="4"/>
  <c r="M63" i="4"/>
  <c r="N63" i="4"/>
  <c r="O63" i="4"/>
  <c r="P63" i="4"/>
  <c r="Q63" i="4"/>
  <c r="R63" i="4"/>
  <c r="S63" i="4"/>
  <c r="T63" i="4"/>
  <c r="U63" i="4"/>
  <c r="V63" i="4"/>
  <c r="M64" i="4"/>
  <c r="N64" i="4"/>
  <c r="O64" i="4"/>
  <c r="P64" i="4"/>
  <c r="Q64" i="4"/>
  <c r="R64" i="4"/>
  <c r="S64" i="4"/>
  <c r="T64" i="4"/>
  <c r="U64" i="4"/>
  <c r="V64" i="4"/>
  <c r="M65" i="4"/>
  <c r="N65" i="4"/>
  <c r="O65" i="4"/>
  <c r="P65" i="4"/>
  <c r="Q65" i="4"/>
  <c r="R65" i="4"/>
  <c r="S65" i="4"/>
  <c r="T65" i="4"/>
  <c r="U65" i="4"/>
  <c r="V65" i="4"/>
  <c r="M66" i="4"/>
  <c r="N66" i="4"/>
  <c r="O66" i="4"/>
  <c r="P66" i="4"/>
  <c r="Q66" i="4"/>
  <c r="R66" i="4"/>
  <c r="S66" i="4"/>
  <c r="T66" i="4"/>
  <c r="U66" i="4"/>
  <c r="V66" i="4"/>
  <c r="M67" i="4"/>
  <c r="N67" i="4"/>
  <c r="O67" i="4"/>
  <c r="P67" i="4"/>
  <c r="Q67" i="4"/>
  <c r="R67" i="4"/>
  <c r="S67" i="4"/>
  <c r="T67" i="4"/>
  <c r="U67" i="4"/>
  <c r="V67" i="4"/>
  <c r="M68" i="4"/>
  <c r="N68" i="4"/>
  <c r="O68" i="4"/>
  <c r="P68" i="4"/>
  <c r="Q68" i="4"/>
  <c r="R68" i="4"/>
  <c r="S68" i="4"/>
  <c r="T68" i="4"/>
  <c r="U68" i="4"/>
  <c r="V68" i="4"/>
  <c r="M69" i="4"/>
  <c r="N69" i="4"/>
  <c r="O69" i="4"/>
  <c r="P69" i="4"/>
  <c r="Q69" i="4"/>
  <c r="R69" i="4"/>
  <c r="S69" i="4"/>
  <c r="T69" i="4"/>
  <c r="U69" i="4"/>
  <c r="V69" i="4"/>
  <c r="M70" i="4"/>
  <c r="N70" i="4"/>
  <c r="O70" i="4"/>
  <c r="P70" i="4"/>
  <c r="Q70" i="4"/>
  <c r="R70" i="4"/>
  <c r="S70" i="4"/>
  <c r="T70" i="4"/>
  <c r="U70" i="4"/>
  <c r="V70" i="4"/>
  <c r="M71" i="4"/>
  <c r="N71" i="4"/>
  <c r="O71" i="4"/>
  <c r="P71" i="4"/>
  <c r="Q71" i="4"/>
  <c r="R71" i="4"/>
  <c r="S71" i="4"/>
  <c r="T71" i="4"/>
  <c r="U71" i="4"/>
  <c r="V71" i="4"/>
  <c r="M72" i="4"/>
  <c r="N72" i="4"/>
  <c r="O72" i="4"/>
  <c r="P72" i="4"/>
  <c r="Q72" i="4"/>
  <c r="R72" i="4"/>
  <c r="S72" i="4"/>
  <c r="T72" i="4"/>
  <c r="U72" i="4"/>
  <c r="V72" i="4"/>
  <c r="M73" i="4"/>
  <c r="N73" i="4"/>
  <c r="O73" i="4"/>
  <c r="P73" i="4"/>
  <c r="Q73" i="4"/>
  <c r="R73" i="4"/>
  <c r="S73" i="4"/>
  <c r="T73" i="4"/>
  <c r="U73" i="4"/>
  <c r="V73" i="4"/>
  <c r="M74" i="4"/>
  <c r="N74" i="4"/>
  <c r="O74" i="4"/>
  <c r="P74" i="4"/>
  <c r="Q74" i="4"/>
  <c r="R74" i="4"/>
  <c r="S74" i="4"/>
  <c r="T74" i="4"/>
  <c r="U74" i="4"/>
  <c r="V74" i="4"/>
  <c r="M75" i="4"/>
  <c r="N75" i="4"/>
  <c r="O75" i="4"/>
  <c r="P75" i="4"/>
  <c r="Q75" i="4"/>
  <c r="R75" i="4"/>
  <c r="S75" i="4"/>
  <c r="T75" i="4"/>
  <c r="U75" i="4"/>
  <c r="V75" i="4"/>
  <c r="M76" i="4"/>
  <c r="N76" i="4"/>
  <c r="O76" i="4"/>
  <c r="P76" i="4"/>
  <c r="Q76" i="4"/>
  <c r="R76" i="4"/>
  <c r="S76" i="4"/>
  <c r="T76" i="4"/>
  <c r="U76" i="4"/>
  <c r="V76" i="4"/>
  <c r="M77" i="4"/>
  <c r="N77" i="4"/>
  <c r="O77" i="4"/>
  <c r="P77" i="4"/>
  <c r="Q77" i="4"/>
  <c r="R77" i="4"/>
  <c r="S77" i="4"/>
  <c r="T77" i="4"/>
  <c r="U77" i="4"/>
  <c r="V77" i="4"/>
  <c r="M78" i="4"/>
  <c r="N78" i="4"/>
  <c r="O78" i="4"/>
  <c r="P78" i="4"/>
  <c r="Q78" i="4"/>
  <c r="R78" i="4"/>
  <c r="S78" i="4"/>
  <c r="T78" i="4"/>
  <c r="U78" i="4"/>
  <c r="V78" i="4"/>
  <c r="M79" i="4"/>
  <c r="N79" i="4"/>
  <c r="O79" i="4"/>
  <c r="P79" i="4"/>
  <c r="Q79" i="4"/>
  <c r="R79" i="4"/>
  <c r="S79" i="4"/>
  <c r="T79" i="4"/>
  <c r="U79" i="4"/>
  <c r="V79" i="4"/>
  <c r="M80" i="4"/>
  <c r="N80" i="4"/>
  <c r="O80" i="4"/>
  <c r="P80" i="4"/>
  <c r="Q80" i="4"/>
  <c r="R80" i="4"/>
  <c r="S80" i="4"/>
  <c r="T80" i="4"/>
  <c r="U80" i="4"/>
  <c r="V80" i="4"/>
  <c r="M81" i="4"/>
  <c r="N81" i="4"/>
  <c r="O81" i="4"/>
  <c r="P81" i="4"/>
  <c r="Q81" i="4"/>
  <c r="R81" i="4"/>
  <c r="S81" i="4"/>
  <c r="T81" i="4"/>
  <c r="U81" i="4"/>
  <c r="V81" i="4"/>
  <c r="M82" i="4"/>
  <c r="N82" i="4"/>
  <c r="O82" i="4"/>
  <c r="P82" i="4"/>
  <c r="Q82" i="4"/>
  <c r="R82" i="4"/>
  <c r="S82" i="4"/>
  <c r="T82" i="4"/>
  <c r="U82" i="4"/>
  <c r="V82" i="4"/>
  <c r="M83" i="4"/>
  <c r="N83" i="4"/>
  <c r="O83" i="4"/>
  <c r="P83" i="4"/>
  <c r="Q83" i="4"/>
  <c r="R83" i="4"/>
  <c r="S83" i="4"/>
  <c r="T83" i="4"/>
  <c r="U83" i="4"/>
  <c r="V83" i="4"/>
  <c r="M84" i="4"/>
  <c r="N84" i="4"/>
  <c r="O84" i="4"/>
  <c r="P84" i="4"/>
  <c r="Q84" i="4"/>
  <c r="R84" i="4"/>
  <c r="S84" i="4"/>
  <c r="T84" i="4"/>
  <c r="U84" i="4"/>
  <c r="V84" i="4"/>
  <c r="M85" i="4"/>
  <c r="N85" i="4"/>
  <c r="O85" i="4"/>
  <c r="P85" i="4"/>
  <c r="Q85" i="4"/>
  <c r="R85" i="4"/>
  <c r="S85" i="4"/>
  <c r="T85" i="4"/>
  <c r="U85" i="4"/>
  <c r="V85" i="4"/>
  <c r="M86" i="4"/>
  <c r="N86" i="4"/>
  <c r="O86" i="4"/>
  <c r="P86" i="4"/>
  <c r="Q86" i="4"/>
  <c r="R86" i="4"/>
  <c r="S86" i="4"/>
  <c r="T86" i="4"/>
  <c r="U86" i="4"/>
  <c r="V86" i="4"/>
  <c r="M87" i="4"/>
  <c r="N87" i="4"/>
  <c r="O87" i="4"/>
  <c r="P87" i="4"/>
  <c r="Q87" i="4"/>
  <c r="R87" i="4"/>
  <c r="S87" i="4"/>
  <c r="T87" i="4"/>
  <c r="U87" i="4"/>
  <c r="V87" i="4"/>
  <c r="M88" i="4"/>
  <c r="N88" i="4"/>
  <c r="O88" i="4"/>
  <c r="P88" i="4"/>
  <c r="Q88" i="4"/>
  <c r="R88" i="4"/>
  <c r="S88" i="4"/>
  <c r="T88" i="4"/>
  <c r="U88" i="4"/>
  <c r="V88" i="4"/>
  <c r="M89" i="4"/>
  <c r="N89" i="4"/>
  <c r="O89" i="4"/>
  <c r="P89" i="4"/>
  <c r="Q89" i="4"/>
  <c r="R89" i="4"/>
  <c r="S89" i="4"/>
  <c r="T89" i="4"/>
  <c r="U89" i="4"/>
  <c r="V89" i="4"/>
  <c r="M90" i="4"/>
  <c r="N90" i="4"/>
  <c r="O90" i="4"/>
  <c r="P90" i="4"/>
  <c r="Q90" i="4"/>
  <c r="R90" i="4"/>
  <c r="S90" i="4"/>
  <c r="T90" i="4"/>
  <c r="U90" i="4"/>
  <c r="V90" i="4"/>
  <c r="M91" i="4"/>
  <c r="N91" i="4"/>
  <c r="O91" i="4"/>
  <c r="P91" i="4"/>
  <c r="Q91" i="4"/>
  <c r="R91" i="4"/>
  <c r="S91" i="4"/>
  <c r="T91" i="4"/>
  <c r="U91" i="4"/>
  <c r="V91" i="4"/>
  <c r="M92" i="4"/>
  <c r="N92" i="4"/>
  <c r="O92" i="4"/>
  <c r="P92" i="4"/>
  <c r="Q92" i="4"/>
  <c r="R92" i="4"/>
  <c r="S92" i="4"/>
  <c r="T92" i="4"/>
  <c r="U92" i="4"/>
  <c r="V92" i="4"/>
  <c r="M93" i="4"/>
  <c r="N93" i="4"/>
  <c r="O93" i="4"/>
  <c r="P93" i="4"/>
  <c r="Q93" i="4"/>
  <c r="R93" i="4"/>
  <c r="S93" i="4"/>
  <c r="T93" i="4"/>
  <c r="U93" i="4"/>
  <c r="V93" i="4"/>
  <c r="M94" i="4"/>
  <c r="N94" i="4"/>
  <c r="O94" i="4"/>
  <c r="P94" i="4"/>
  <c r="Q94" i="4"/>
  <c r="R94" i="4"/>
  <c r="S94" i="4"/>
  <c r="T94" i="4"/>
  <c r="U94" i="4"/>
  <c r="V94" i="4"/>
  <c r="M95" i="4"/>
  <c r="N95" i="4"/>
  <c r="O95" i="4"/>
  <c r="P95" i="4"/>
  <c r="Q95" i="4"/>
  <c r="R95" i="4"/>
  <c r="S95" i="4"/>
  <c r="T95" i="4"/>
  <c r="U95" i="4"/>
  <c r="V95" i="4"/>
  <c r="M96" i="4"/>
  <c r="N96" i="4"/>
  <c r="O96" i="4"/>
  <c r="P96" i="4"/>
  <c r="Q96" i="4"/>
  <c r="R96" i="4"/>
  <c r="S96" i="4"/>
  <c r="T96" i="4"/>
  <c r="U96" i="4"/>
  <c r="V96" i="4"/>
  <c r="M97" i="4"/>
  <c r="N97" i="4"/>
  <c r="O97" i="4"/>
  <c r="P97" i="4"/>
  <c r="Q97" i="4"/>
  <c r="R97" i="4"/>
  <c r="S97" i="4"/>
  <c r="T97" i="4"/>
  <c r="U97" i="4"/>
  <c r="V97" i="4"/>
  <c r="M98" i="4"/>
  <c r="N98" i="4"/>
  <c r="O98" i="4"/>
  <c r="P98" i="4"/>
  <c r="Q98" i="4"/>
  <c r="R98" i="4"/>
  <c r="S98" i="4"/>
  <c r="T98" i="4"/>
  <c r="U98" i="4"/>
  <c r="V98" i="4"/>
  <c r="M99" i="4"/>
  <c r="N99" i="4"/>
  <c r="O99" i="4"/>
  <c r="P99" i="4"/>
  <c r="Q99" i="4"/>
  <c r="R99" i="4"/>
  <c r="S99" i="4"/>
  <c r="T99" i="4"/>
  <c r="U99" i="4"/>
  <c r="V99" i="4"/>
  <c r="M100" i="4"/>
  <c r="N100" i="4"/>
  <c r="O100" i="4"/>
  <c r="P100" i="4"/>
  <c r="Q100" i="4"/>
  <c r="R100" i="4"/>
  <c r="S100" i="4"/>
  <c r="T100" i="4"/>
  <c r="U100" i="4"/>
  <c r="V100" i="4"/>
  <c r="M101" i="4"/>
  <c r="N101" i="4"/>
  <c r="O101" i="4"/>
  <c r="P101" i="4"/>
  <c r="Q101" i="4"/>
  <c r="R101" i="4"/>
  <c r="S101" i="4"/>
  <c r="T101" i="4"/>
  <c r="U101" i="4"/>
  <c r="V101" i="4"/>
  <c r="M102" i="4"/>
  <c r="N102" i="4"/>
  <c r="O102" i="4"/>
  <c r="P102" i="4"/>
  <c r="Q102" i="4"/>
  <c r="R102" i="4"/>
  <c r="S102" i="4"/>
  <c r="T102" i="4"/>
  <c r="U102" i="4"/>
  <c r="V102" i="4"/>
  <c r="M103" i="4"/>
  <c r="N103" i="4"/>
  <c r="O103" i="4"/>
  <c r="P103" i="4"/>
  <c r="Q103" i="4"/>
  <c r="R103" i="4"/>
  <c r="S103" i="4"/>
  <c r="T103" i="4"/>
  <c r="U103" i="4"/>
  <c r="V103" i="4"/>
  <c r="M104" i="4"/>
  <c r="N104" i="4"/>
  <c r="O104" i="4"/>
  <c r="P104" i="4"/>
  <c r="Q104" i="4"/>
  <c r="R104" i="4"/>
  <c r="S104" i="4"/>
  <c r="T104" i="4"/>
  <c r="U104" i="4"/>
  <c r="V104" i="4"/>
  <c r="M105" i="4"/>
  <c r="N105" i="4"/>
  <c r="O105" i="4"/>
  <c r="P105" i="4"/>
  <c r="Q105" i="4"/>
  <c r="R105" i="4"/>
  <c r="S105" i="4"/>
  <c r="T105" i="4"/>
  <c r="U105" i="4"/>
  <c r="V105" i="4"/>
  <c r="M106" i="4"/>
  <c r="N106" i="4"/>
  <c r="O106" i="4"/>
  <c r="P106" i="4"/>
  <c r="Q106" i="4"/>
  <c r="R106" i="4"/>
  <c r="S106" i="4"/>
  <c r="T106" i="4"/>
  <c r="U106" i="4"/>
  <c r="V106" i="4"/>
  <c r="M107" i="4"/>
  <c r="N107" i="4"/>
  <c r="O107" i="4"/>
  <c r="P107" i="4"/>
  <c r="Q107" i="4"/>
  <c r="R107" i="4"/>
  <c r="S107" i="4"/>
  <c r="T107" i="4"/>
  <c r="U107" i="4"/>
  <c r="V107" i="4"/>
  <c r="M108" i="4"/>
  <c r="N108" i="4"/>
  <c r="O108" i="4"/>
  <c r="P108" i="4"/>
  <c r="Q108" i="4"/>
  <c r="R108" i="4"/>
  <c r="S108" i="4"/>
  <c r="T108" i="4"/>
  <c r="U108" i="4"/>
  <c r="V108" i="4"/>
  <c r="M109" i="4"/>
  <c r="N109" i="4"/>
  <c r="O109" i="4"/>
  <c r="P109" i="4"/>
  <c r="Q109" i="4"/>
  <c r="R109" i="4"/>
  <c r="S109" i="4"/>
  <c r="T109" i="4"/>
  <c r="U109" i="4"/>
  <c r="V109" i="4"/>
  <c r="M110" i="4"/>
  <c r="N110" i="4"/>
  <c r="O110" i="4"/>
  <c r="P110" i="4"/>
  <c r="Q110" i="4"/>
  <c r="R110" i="4"/>
  <c r="S110" i="4"/>
  <c r="T110" i="4"/>
  <c r="U110" i="4"/>
  <c r="V110" i="4"/>
  <c r="M111" i="4"/>
  <c r="N111" i="4"/>
  <c r="O111" i="4"/>
  <c r="P111" i="4"/>
  <c r="Q111" i="4"/>
  <c r="R111" i="4"/>
  <c r="S111" i="4"/>
  <c r="T111" i="4"/>
  <c r="U111" i="4"/>
  <c r="V111" i="4"/>
  <c r="M112" i="4"/>
  <c r="N112" i="4"/>
  <c r="O112" i="4"/>
  <c r="P112" i="4"/>
  <c r="Q112" i="4"/>
  <c r="R112" i="4"/>
  <c r="S112" i="4"/>
  <c r="T112" i="4"/>
  <c r="U112" i="4"/>
  <c r="V112" i="4"/>
  <c r="M113" i="4"/>
  <c r="N113" i="4"/>
  <c r="O113" i="4"/>
  <c r="P113" i="4"/>
  <c r="Q113" i="4"/>
  <c r="R113" i="4"/>
  <c r="S113" i="4"/>
  <c r="T113" i="4"/>
  <c r="U113" i="4"/>
  <c r="V113" i="4"/>
  <c r="M114" i="4"/>
  <c r="N114" i="4"/>
  <c r="O114" i="4"/>
  <c r="P114" i="4"/>
  <c r="Q114" i="4"/>
  <c r="R114" i="4"/>
  <c r="S114" i="4"/>
  <c r="T114" i="4"/>
  <c r="U114" i="4"/>
  <c r="V114" i="4"/>
  <c r="M115" i="4"/>
  <c r="N115" i="4"/>
  <c r="O115" i="4"/>
  <c r="P115" i="4"/>
  <c r="Q115" i="4"/>
  <c r="R115" i="4"/>
  <c r="S115" i="4"/>
  <c r="T115" i="4"/>
  <c r="U115" i="4"/>
  <c r="V115" i="4"/>
  <c r="M116" i="4"/>
  <c r="N116" i="4"/>
  <c r="O116" i="4"/>
  <c r="P116" i="4"/>
  <c r="Q116" i="4"/>
  <c r="R116" i="4"/>
  <c r="S116" i="4"/>
  <c r="T116" i="4"/>
  <c r="U116" i="4"/>
  <c r="V116" i="4"/>
  <c r="M117" i="4"/>
  <c r="N117" i="4"/>
  <c r="O117" i="4"/>
  <c r="P117" i="4"/>
  <c r="Q117" i="4"/>
  <c r="R117" i="4"/>
  <c r="S117" i="4"/>
  <c r="T117" i="4"/>
  <c r="U117" i="4"/>
  <c r="V117" i="4"/>
  <c r="M118" i="4"/>
  <c r="N118" i="4"/>
  <c r="O118" i="4"/>
  <c r="P118" i="4"/>
  <c r="Q118" i="4"/>
  <c r="R118" i="4"/>
  <c r="S118" i="4"/>
  <c r="T118" i="4"/>
  <c r="U118" i="4"/>
  <c r="V118" i="4"/>
  <c r="M119" i="4"/>
  <c r="N119" i="4"/>
  <c r="O119" i="4"/>
  <c r="P119" i="4"/>
  <c r="Q119" i="4"/>
  <c r="R119" i="4"/>
  <c r="S119" i="4"/>
  <c r="T119" i="4"/>
  <c r="U119" i="4"/>
  <c r="V119" i="4"/>
  <c r="M120" i="4"/>
  <c r="N120" i="4"/>
  <c r="O120" i="4"/>
  <c r="P120" i="4"/>
  <c r="Q120" i="4"/>
  <c r="R120" i="4"/>
  <c r="S120" i="4"/>
  <c r="T120" i="4"/>
  <c r="U120" i="4"/>
  <c r="V120" i="4"/>
  <c r="M121" i="4"/>
  <c r="N121" i="4"/>
  <c r="O121" i="4"/>
  <c r="P121" i="4"/>
  <c r="Q121" i="4"/>
  <c r="R121" i="4"/>
  <c r="S121" i="4"/>
  <c r="T121" i="4"/>
  <c r="U121" i="4"/>
  <c r="V121" i="4"/>
  <c r="M122" i="4"/>
  <c r="N122" i="4"/>
  <c r="O122" i="4"/>
  <c r="P122" i="4"/>
  <c r="Q122" i="4"/>
  <c r="R122" i="4"/>
  <c r="S122" i="4"/>
  <c r="T122" i="4"/>
  <c r="U122" i="4"/>
  <c r="V122" i="4"/>
  <c r="M123" i="4"/>
  <c r="N123" i="4"/>
  <c r="O123" i="4"/>
  <c r="P123" i="4"/>
  <c r="Q123" i="4"/>
  <c r="R123" i="4"/>
  <c r="S123" i="4"/>
  <c r="T123" i="4"/>
  <c r="U123" i="4"/>
  <c r="V123" i="4"/>
  <c r="M124" i="4"/>
  <c r="N124" i="4"/>
  <c r="O124" i="4"/>
  <c r="P124" i="4"/>
  <c r="Q124" i="4"/>
  <c r="R124" i="4"/>
  <c r="S124" i="4"/>
  <c r="T124" i="4"/>
  <c r="U124" i="4"/>
  <c r="V124" i="4"/>
  <c r="M125" i="4"/>
  <c r="N125" i="4"/>
  <c r="O125" i="4"/>
  <c r="P125" i="4"/>
  <c r="Q125" i="4"/>
  <c r="R125" i="4"/>
  <c r="S125" i="4"/>
  <c r="T125" i="4"/>
  <c r="U125" i="4"/>
  <c r="V125" i="4"/>
  <c r="M126" i="4"/>
  <c r="N126" i="4"/>
  <c r="O126" i="4"/>
  <c r="P126" i="4"/>
  <c r="Q126" i="4"/>
  <c r="R126" i="4"/>
  <c r="S126" i="4"/>
  <c r="T126" i="4"/>
  <c r="U126" i="4"/>
  <c r="V126" i="4"/>
  <c r="M127" i="4"/>
  <c r="N127" i="4"/>
  <c r="O127" i="4"/>
  <c r="P127" i="4"/>
  <c r="Q127" i="4"/>
  <c r="R127" i="4"/>
  <c r="S127" i="4"/>
  <c r="T127" i="4"/>
  <c r="U127" i="4"/>
  <c r="V127" i="4"/>
  <c r="M128" i="4"/>
  <c r="N128" i="4"/>
  <c r="O128" i="4"/>
  <c r="P128" i="4"/>
  <c r="Q128" i="4"/>
  <c r="R128" i="4"/>
  <c r="S128" i="4"/>
  <c r="T128" i="4"/>
  <c r="U128" i="4"/>
  <c r="V128" i="4"/>
  <c r="M129" i="4"/>
  <c r="N129" i="4"/>
  <c r="O129" i="4"/>
  <c r="P129" i="4"/>
  <c r="Q129" i="4"/>
  <c r="R129" i="4"/>
  <c r="S129" i="4"/>
  <c r="T129" i="4"/>
  <c r="U129" i="4"/>
  <c r="V129" i="4"/>
  <c r="M130" i="4"/>
  <c r="N130" i="4"/>
  <c r="O130" i="4"/>
  <c r="P130" i="4"/>
  <c r="Q130" i="4"/>
  <c r="R130" i="4"/>
  <c r="S130" i="4"/>
  <c r="T130" i="4"/>
  <c r="U130" i="4"/>
  <c r="V130" i="4"/>
  <c r="M131" i="4"/>
  <c r="N131" i="4"/>
  <c r="O131" i="4"/>
  <c r="P131" i="4"/>
  <c r="Q131" i="4"/>
  <c r="R131" i="4"/>
  <c r="S131" i="4"/>
  <c r="T131" i="4"/>
  <c r="U131" i="4"/>
  <c r="V131" i="4"/>
  <c r="M132" i="4"/>
  <c r="N132" i="4"/>
  <c r="O132" i="4"/>
  <c r="P132" i="4"/>
  <c r="Q132" i="4"/>
  <c r="R132" i="4"/>
  <c r="S132" i="4"/>
  <c r="T132" i="4"/>
  <c r="U132" i="4"/>
  <c r="V132" i="4"/>
  <c r="M133" i="4"/>
  <c r="N133" i="4"/>
  <c r="O133" i="4"/>
  <c r="P133" i="4"/>
  <c r="Q133" i="4"/>
  <c r="R133" i="4"/>
  <c r="S133" i="4"/>
  <c r="T133" i="4"/>
  <c r="U133" i="4"/>
  <c r="V133" i="4"/>
  <c r="M134" i="4"/>
  <c r="N134" i="4"/>
  <c r="O134" i="4"/>
  <c r="P134" i="4"/>
  <c r="Q134" i="4"/>
  <c r="R134" i="4"/>
  <c r="S134" i="4"/>
  <c r="T134" i="4"/>
  <c r="U134" i="4"/>
  <c r="V134" i="4"/>
  <c r="M135" i="4"/>
  <c r="N135" i="4"/>
  <c r="O135" i="4"/>
  <c r="P135" i="4"/>
  <c r="Q135" i="4"/>
  <c r="R135" i="4"/>
  <c r="S135" i="4"/>
  <c r="T135" i="4"/>
  <c r="U135" i="4"/>
  <c r="V135" i="4"/>
  <c r="M136" i="4"/>
  <c r="N136" i="4"/>
  <c r="O136" i="4"/>
  <c r="P136" i="4"/>
  <c r="Q136" i="4"/>
  <c r="R136" i="4"/>
  <c r="S136" i="4"/>
  <c r="T136" i="4"/>
  <c r="U136" i="4"/>
  <c r="V136" i="4"/>
  <c r="M137" i="4"/>
  <c r="N137" i="4"/>
  <c r="O137" i="4"/>
  <c r="P137" i="4"/>
  <c r="Q137" i="4"/>
  <c r="R137" i="4"/>
  <c r="S137" i="4"/>
  <c r="T137" i="4"/>
  <c r="U137" i="4"/>
  <c r="V137" i="4"/>
  <c r="M138" i="4"/>
  <c r="N138" i="4"/>
  <c r="O138" i="4"/>
  <c r="P138" i="4"/>
  <c r="Q138" i="4"/>
  <c r="R138" i="4"/>
  <c r="S138" i="4"/>
  <c r="T138" i="4"/>
  <c r="U138" i="4"/>
  <c r="V138" i="4"/>
  <c r="M139" i="4"/>
  <c r="N139" i="4"/>
  <c r="O139" i="4"/>
  <c r="P139" i="4"/>
  <c r="Q139" i="4"/>
  <c r="R139" i="4"/>
  <c r="S139" i="4"/>
  <c r="T139" i="4"/>
  <c r="U139" i="4"/>
  <c r="V139" i="4"/>
  <c r="M140" i="4"/>
  <c r="N140" i="4"/>
  <c r="O140" i="4"/>
  <c r="P140" i="4"/>
  <c r="Q140" i="4"/>
  <c r="R140" i="4"/>
  <c r="S140" i="4"/>
  <c r="T140" i="4"/>
  <c r="U140" i="4"/>
  <c r="V140" i="4"/>
  <c r="M141" i="4"/>
  <c r="N141" i="4"/>
  <c r="O141" i="4"/>
  <c r="P141" i="4"/>
  <c r="Q141" i="4"/>
  <c r="R141" i="4"/>
  <c r="S141" i="4"/>
  <c r="T141" i="4"/>
  <c r="U141" i="4"/>
  <c r="V141" i="4"/>
  <c r="M142" i="4"/>
  <c r="N142" i="4"/>
  <c r="O142" i="4"/>
  <c r="P142" i="4"/>
  <c r="Q142" i="4"/>
  <c r="R142" i="4"/>
  <c r="S142" i="4"/>
  <c r="T142" i="4"/>
  <c r="U142" i="4"/>
  <c r="V142" i="4"/>
  <c r="M143" i="4"/>
  <c r="N143" i="4"/>
  <c r="O143" i="4"/>
  <c r="P143" i="4"/>
  <c r="Q143" i="4"/>
  <c r="R143" i="4"/>
  <c r="S143" i="4"/>
  <c r="T143" i="4"/>
  <c r="U143" i="4"/>
  <c r="V143" i="4"/>
  <c r="M144" i="4"/>
  <c r="N144" i="4"/>
  <c r="O144" i="4"/>
  <c r="P144" i="4"/>
  <c r="Q144" i="4"/>
  <c r="R144" i="4"/>
  <c r="S144" i="4"/>
  <c r="T144" i="4"/>
  <c r="U144" i="4"/>
  <c r="V144" i="4"/>
  <c r="M145" i="4"/>
  <c r="N145" i="4"/>
  <c r="O145" i="4"/>
  <c r="P145" i="4"/>
  <c r="Q145" i="4"/>
  <c r="R145" i="4"/>
  <c r="S145" i="4"/>
  <c r="T145" i="4"/>
  <c r="U145" i="4"/>
  <c r="V145" i="4"/>
  <c r="M146" i="4"/>
  <c r="N146" i="4"/>
  <c r="O146" i="4"/>
  <c r="P146" i="4"/>
  <c r="Q146" i="4"/>
  <c r="R146" i="4"/>
  <c r="S146" i="4"/>
  <c r="T146" i="4"/>
  <c r="U146" i="4"/>
  <c r="V146" i="4"/>
  <c r="M147" i="4"/>
  <c r="N147" i="4"/>
  <c r="O147" i="4"/>
  <c r="P147" i="4"/>
  <c r="Q147" i="4"/>
  <c r="R147" i="4"/>
  <c r="S147" i="4"/>
  <c r="T147" i="4"/>
  <c r="U147" i="4"/>
  <c r="V147" i="4"/>
  <c r="M148" i="4"/>
  <c r="N148" i="4"/>
  <c r="O148" i="4"/>
  <c r="P148" i="4"/>
  <c r="Q148" i="4"/>
  <c r="R148" i="4"/>
  <c r="S148" i="4"/>
  <c r="T148" i="4"/>
  <c r="U148" i="4"/>
  <c r="V148" i="4"/>
  <c r="M149" i="4"/>
  <c r="N149" i="4"/>
  <c r="O149" i="4"/>
  <c r="P149" i="4"/>
  <c r="Q149" i="4"/>
  <c r="R149" i="4"/>
  <c r="S149" i="4"/>
  <c r="T149" i="4"/>
  <c r="U149" i="4"/>
  <c r="V149" i="4"/>
  <c r="M150" i="4"/>
  <c r="N150" i="4"/>
  <c r="O150" i="4"/>
  <c r="P150" i="4"/>
  <c r="Q150" i="4"/>
  <c r="R150" i="4"/>
  <c r="S150" i="4"/>
  <c r="T150" i="4"/>
  <c r="U150" i="4"/>
  <c r="V150" i="4"/>
  <c r="M151" i="4"/>
  <c r="N151" i="4"/>
  <c r="O151" i="4"/>
  <c r="P151" i="4"/>
  <c r="Q151" i="4"/>
  <c r="R151" i="4"/>
  <c r="S151" i="4"/>
  <c r="T151" i="4"/>
  <c r="U151" i="4"/>
  <c r="V151" i="4"/>
  <c r="M152" i="4"/>
  <c r="N152" i="4"/>
  <c r="O152" i="4"/>
  <c r="P152" i="4"/>
  <c r="Q152" i="4"/>
  <c r="R152" i="4"/>
  <c r="S152" i="4"/>
  <c r="T152" i="4"/>
  <c r="U152" i="4"/>
  <c r="V152" i="4"/>
  <c r="M153" i="4"/>
  <c r="N153" i="4"/>
  <c r="O153" i="4"/>
  <c r="P153" i="4"/>
  <c r="Q153" i="4"/>
  <c r="R153" i="4"/>
  <c r="S153" i="4"/>
  <c r="T153" i="4"/>
  <c r="U153" i="4"/>
  <c r="V153" i="4"/>
  <c r="M154" i="4"/>
  <c r="N154" i="4"/>
  <c r="O154" i="4"/>
  <c r="P154" i="4"/>
  <c r="Q154" i="4"/>
  <c r="R154" i="4"/>
  <c r="S154" i="4"/>
  <c r="T154" i="4"/>
  <c r="U154" i="4"/>
  <c r="V154" i="4"/>
  <c r="M155" i="4"/>
  <c r="N155" i="4"/>
  <c r="O155" i="4"/>
  <c r="P155" i="4"/>
  <c r="Q155" i="4"/>
  <c r="R155" i="4"/>
  <c r="S155" i="4"/>
  <c r="T155" i="4"/>
  <c r="U155" i="4"/>
  <c r="V155" i="4"/>
  <c r="M156" i="4"/>
  <c r="N156" i="4"/>
  <c r="O156" i="4"/>
  <c r="P156" i="4"/>
  <c r="Q156" i="4"/>
  <c r="R156" i="4"/>
  <c r="S156" i="4"/>
  <c r="T156" i="4"/>
  <c r="U156" i="4"/>
  <c r="V156" i="4"/>
  <c r="M157" i="4"/>
  <c r="N157" i="4"/>
  <c r="O157" i="4"/>
  <c r="P157" i="4"/>
  <c r="Q157" i="4"/>
  <c r="R157" i="4"/>
  <c r="S157" i="4"/>
  <c r="T157" i="4"/>
  <c r="U157" i="4"/>
  <c r="V157" i="4"/>
  <c r="M158" i="4"/>
  <c r="N158" i="4"/>
  <c r="O158" i="4"/>
  <c r="P158" i="4"/>
  <c r="Q158" i="4"/>
  <c r="R158" i="4"/>
  <c r="S158" i="4"/>
  <c r="T158" i="4"/>
  <c r="U158" i="4"/>
  <c r="V158" i="4"/>
  <c r="M159" i="4"/>
  <c r="N159" i="4"/>
  <c r="O159" i="4"/>
  <c r="P159" i="4"/>
  <c r="Q159" i="4"/>
  <c r="R159" i="4"/>
  <c r="S159" i="4"/>
  <c r="T159" i="4"/>
  <c r="U159" i="4"/>
  <c r="V159" i="4"/>
  <c r="M160" i="4"/>
  <c r="N160" i="4"/>
  <c r="O160" i="4"/>
  <c r="P160" i="4"/>
  <c r="Q160" i="4"/>
  <c r="R160" i="4"/>
  <c r="S160" i="4"/>
  <c r="T160" i="4"/>
  <c r="U160" i="4"/>
  <c r="V160" i="4"/>
  <c r="M161" i="4"/>
  <c r="N161" i="4"/>
  <c r="O161" i="4"/>
  <c r="P161" i="4"/>
  <c r="Q161" i="4"/>
  <c r="R161" i="4"/>
  <c r="S161" i="4"/>
  <c r="T161" i="4"/>
  <c r="U161" i="4"/>
  <c r="V161" i="4"/>
  <c r="M162" i="4"/>
  <c r="N162" i="4"/>
  <c r="O162" i="4"/>
  <c r="P162" i="4"/>
  <c r="Q162" i="4"/>
  <c r="R162" i="4"/>
  <c r="S162" i="4"/>
  <c r="T162" i="4"/>
  <c r="U162" i="4"/>
  <c r="V162" i="4"/>
  <c r="M163" i="4"/>
  <c r="N163" i="4"/>
  <c r="O163" i="4"/>
  <c r="P163" i="4"/>
  <c r="Q163" i="4"/>
  <c r="R163" i="4"/>
  <c r="S163" i="4"/>
  <c r="T163" i="4"/>
  <c r="U163" i="4"/>
  <c r="V163" i="4"/>
  <c r="M164" i="4"/>
  <c r="N164" i="4"/>
  <c r="O164" i="4"/>
  <c r="P164" i="4"/>
  <c r="Q164" i="4"/>
  <c r="R164" i="4"/>
  <c r="S164" i="4"/>
  <c r="T164" i="4"/>
  <c r="U164" i="4"/>
  <c r="V164" i="4"/>
  <c r="M165" i="4"/>
  <c r="N165" i="4"/>
  <c r="O165" i="4"/>
  <c r="P165" i="4"/>
  <c r="Q165" i="4"/>
  <c r="R165" i="4"/>
  <c r="S165" i="4"/>
  <c r="T165" i="4"/>
  <c r="U165" i="4"/>
  <c r="V165" i="4"/>
  <c r="M166" i="4"/>
  <c r="N166" i="4"/>
  <c r="O166" i="4"/>
  <c r="P166" i="4"/>
  <c r="Q166" i="4"/>
  <c r="R166" i="4"/>
  <c r="S166" i="4"/>
  <c r="T166" i="4"/>
  <c r="U166" i="4"/>
  <c r="V166" i="4"/>
  <c r="M167" i="4"/>
  <c r="N167" i="4"/>
  <c r="O167" i="4"/>
  <c r="P167" i="4"/>
  <c r="Q167" i="4"/>
  <c r="R167" i="4"/>
  <c r="S167" i="4"/>
  <c r="T167" i="4"/>
  <c r="U167" i="4"/>
  <c r="V167" i="4"/>
  <c r="M168" i="4"/>
  <c r="N168" i="4"/>
  <c r="O168" i="4"/>
  <c r="P168" i="4"/>
  <c r="Q168" i="4"/>
  <c r="R168" i="4"/>
  <c r="S168" i="4"/>
  <c r="T168" i="4"/>
  <c r="U168" i="4"/>
  <c r="V168" i="4"/>
  <c r="M169" i="4"/>
  <c r="N169" i="4"/>
  <c r="O169" i="4"/>
  <c r="P169" i="4"/>
  <c r="Q169" i="4"/>
  <c r="R169" i="4"/>
  <c r="S169" i="4"/>
  <c r="T169" i="4"/>
  <c r="U169" i="4"/>
  <c r="V169" i="4"/>
  <c r="M170" i="4"/>
  <c r="N170" i="4"/>
  <c r="O170" i="4"/>
  <c r="P170" i="4"/>
  <c r="Q170" i="4"/>
  <c r="R170" i="4"/>
  <c r="S170" i="4"/>
  <c r="T170" i="4"/>
  <c r="U170" i="4"/>
  <c r="V170" i="4"/>
  <c r="M171" i="4"/>
  <c r="N171" i="4"/>
  <c r="O171" i="4"/>
  <c r="P171" i="4"/>
  <c r="Q171" i="4"/>
  <c r="R171" i="4"/>
  <c r="S171" i="4"/>
  <c r="T171" i="4"/>
  <c r="U171" i="4"/>
  <c r="V171" i="4"/>
  <c r="M172" i="4"/>
  <c r="N172" i="4"/>
  <c r="O172" i="4"/>
  <c r="P172" i="4"/>
  <c r="Q172" i="4"/>
  <c r="R172" i="4"/>
  <c r="S172" i="4"/>
  <c r="T172" i="4"/>
  <c r="U172" i="4"/>
  <c r="V172" i="4"/>
  <c r="M173" i="4"/>
  <c r="N173" i="4"/>
  <c r="O173" i="4"/>
  <c r="P173" i="4"/>
  <c r="Q173" i="4"/>
  <c r="R173" i="4"/>
  <c r="S173" i="4"/>
  <c r="T173" i="4"/>
  <c r="U173" i="4"/>
  <c r="V173" i="4"/>
  <c r="M174" i="4"/>
  <c r="N174" i="4"/>
  <c r="O174" i="4"/>
  <c r="P174" i="4"/>
  <c r="Q174" i="4"/>
  <c r="R174" i="4"/>
  <c r="S174" i="4"/>
  <c r="T174" i="4"/>
  <c r="U174" i="4"/>
  <c r="V174" i="4"/>
  <c r="M175" i="4"/>
  <c r="N175" i="4"/>
  <c r="O175" i="4"/>
  <c r="P175" i="4"/>
  <c r="Q175" i="4"/>
  <c r="R175" i="4"/>
  <c r="S175" i="4"/>
  <c r="T175" i="4"/>
  <c r="U175" i="4"/>
  <c r="V175" i="4"/>
  <c r="M176" i="4"/>
  <c r="N176" i="4"/>
  <c r="O176" i="4"/>
  <c r="P176" i="4"/>
  <c r="Q176" i="4"/>
  <c r="R176" i="4"/>
  <c r="S176" i="4"/>
  <c r="T176" i="4"/>
  <c r="U176" i="4"/>
  <c r="V176" i="4"/>
  <c r="M177" i="4"/>
  <c r="N177" i="4"/>
  <c r="O177" i="4"/>
  <c r="P177" i="4"/>
  <c r="Q177" i="4"/>
  <c r="R177" i="4"/>
  <c r="S177" i="4"/>
  <c r="T177" i="4"/>
  <c r="U177" i="4"/>
  <c r="V177" i="4"/>
  <c r="M178" i="4"/>
  <c r="N178" i="4"/>
  <c r="O178" i="4"/>
  <c r="P178" i="4"/>
  <c r="Q178" i="4"/>
  <c r="R178" i="4"/>
  <c r="S178" i="4"/>
  <c r="T178" i="4"/>
  <c r="U178" i="4"/>
  <c r="V178" i="4"/>
  <c r="M179" i="4"/>
  <c r="N179" i="4"/>
  <c r="O179" i="4"/>
  <c r="P179" i="4"/>
  <c r="Q179" i="4"/>
  <c r="R179" i="4"/>
  <c r="S179" i="4"/>
  <c r="T179" i="4"/>
  <c r="U179" i="4"/>
  <c r="V179" i="4"/>
  <c r="M180" i="4"/>
  <c r="N180" i="4"/>
  <c r="O180" i="4"/>
  <c r="P180" i="4"/>
  <c r="Q180" i="4"/>
  <c r="R180" i="4"/>
  <c r="S180" i="4"/>
  <c r="T180" i="4"/>
  <c r="U180" i="4"/>
  <c r="V180" i="4"/>
  <c r="M181" i="4"/>
  <c r="N181" i="4"/>
  <c r="O181" i="4"/>
  <c r="P181" i="4"/>
  <c r="Q181" i="4"/>
  <c r="R181" i="4"/>
  <c r="S181" i="4"/>
  <c r="T181" i="4"/>
  <c r="U181" i="4"/>
  <c r="V181" i="4"/>
  <c r="M182" i="4"/>
  <c r="N182" i="4"/>
  <c r="O182" i="4"/>
  <c r="P182" i="4"/>
  <c r="Q182" i="4"/>
  <c r="R182" i="4"/>
  <c r="S182" i="4"/>
  <c r="T182" i="4"/>
  <c r="U182" i="4"/>
  <c r="V182" i="4"/>
  <c r="M183" i="4"/>
  <c r="N183" i="4"/>
  <c r="O183" i="4"/>
  <c r="P183" i="4"/>
  <c r="Q183" i="4"/>
  <c r="R183" i="4"/>
  <c r="S183" i="4"/>
  <c r="T183" i="4"/>
  <c r="U183" i="4"/>
  <c r="V183" i="4"/>
  <c r="M184" i="4"/>
  <c r="N184" i="4"/>
  <c r="O184" i="4"/>
  <c r="P184" i="4"/>
  <c r="Q184" i="4"/>
  <c r="R184" i="4"/>
  <c r="S184" i="4"/>
  <c r="T184" i="4"/>
  <c r="U184" i="4"/>
  <c r="V184" i="4"/>
  <c r="M185" i="4"/>
  <c r="N185" i="4"/>
  <c r="O185" i="4"/>
  <c r="P185" i="4"/>
  <c r="Q185" i="4"/>
  <c r="R185" i="4"/>
  <c r="S185" i="4"/>
  <c r="T185" i="4"/>
  <c r="U185" i="4"/>
  <c r="V185" i="4"/>
  <c r="M186" i="4"/>
  <c r="N186" i="4"/>
  <c r="O186" i="4"/>
  <c r="P186" i="4"/>
  <c r="Q186" i="4"/>
  <c r="R186" i="4"/>
  <c r="S186" i="4"/>
  <c r="T186" i="4"/>
  <c r="U186" i="4"/>
  <c r="V186" i="4"/>
  <c r="M187" i="4"/>
  <c r="N187" i="4"/>
  <c r="O187" i="4"/>
  <c r="P187" i="4"/>
  <c r="Q187" i="4"/>
  <c r="R187" i="4"/>
  <c r="S187" i="4"/>
  <c r="T187" i="4"/>
  <c r="U187" i="4"/>
  <c r="V187" i="4"/>
  <c r="M188" i="4"/>
  <c r="N188" i="4"/>
  <c r="O188" i="4"/>
  <c r="P188" i="4"/>
  <c r="Q188" i="4"/>
  <c r="R188" i="4"/>
  <c r="S188" i="4"/>
  <c r="T188" i="4"/>
  <c r="U188" i="4"/>
  <c r="V188" i="4"/>
  <c r="M189" i="4"/>
  <c r="N189" i="4"/>
  <c r="O189" i="4"/>
  <c r="P189" i="4"/>
  <c r="Q189" i="4"/>
  <c r="R189" i="4"/>
  <c r="S189" i="4"/>
  <c r="T189" i="4"/>
  <c r="U189" i="4"/>
  <c r="V189" i="4"/>
  <c r="M190" i="4"/>
  <c r="N190" i="4"/>
  <c r="O190" i="4"/>
  <c r="P190" i="4"/>
  <c r="Q190" i="4"/>
  <c r="R190" i="4"/>
  <c r="S190" i="4"/>
  <c r="T190" i="4"/>
  <c r="U190" i="4"/>
  <c r="V190" i="4"/>
  <c r="M191" i="4"/>
  <c r="N191" i="4"/>
  <c r="O191" i="4"/>
  <c r="P191" i="4"/>
  <c r="Q191" i="4"/>
  <c r="R191" i="4"/>
  <c r="S191" i="4"/>
  <c r="T191" i="4"/>
  <c r="U191" i="4"/>
  <c r="V191" i="4"/>
  <c r="M192" i="4"/>
  <c r="N192" i="4"/>
  <c r="O192" i="4"/>
  <c r="P192" i="4"/>
  <c r="Q192" i="4"/>
  <c r="R192" i="4"/>
  <c r="S192" i="4"/>
  <c r="T192" i="4"/>
  <c r="U192" i="4"/>
  <c r="V192" i="4"/>
  <c r="M193" i="4"/>
  <c r="N193" i="4"/>
  <c r="O193" i="4"/>
  <c r="P193" i="4"/>
  <c r="Q193" i="4"/>
  <c r="R193" i="4"/>
  <c r="S193" i="4"/>
  <c r="T193" i="4"/>
  <c r="U193" i="4"/>
  <c r="V193" i="4"/>
  <c r="M194" i="4"/>
  <c r="N194" i="4"/>
  <c r="O194" i="4"/>
  <c r="P194" i="4"/>
  <c r="Q194" i="4"/>
  <c r="R194" i="4"/>
  <c r="S194" i="4"/>
  <c r="T194" i="4"/>
  <c r="U194" i="4"/>
  <c r="V194" i="4"/>
  <c r="M195" i="4"/>
  <c r="N195" i="4"/>
  <c r="O195" i="4"/>
  <c r="P195" i="4"/>
  <c r="Q195" i="4"/>
  <c r="R195" i="4"/>
  <c r="S195" i="4"/>
  <c r="T195" i="4"/>
  <c r="U195" i="4"/>
  <c r="V195" i="4"/>
  <c r="M196" i="4"/>
  <c r="N196" i="4"/>
  <c r="O196" i="4"/>
  <c r="P196" i="4"/>
  <c r="Q196" i="4"/>
  <c r="R196" i="4"/>
  <c r="S196" i="4"/>
  <c r="T196" i="4"/>
  <c r="U196" i="4"/>
  <c r="V196" i="4"/>
  <c r="M197" i="4"/>
  <c r="N197" i="4"/>
  <c r="O197" i="4"/>
  <c r="P197" i="4"/>
  <c r="Q197" i="4"/>
  <c r="R197" i="4"/>
  <c r="S197" i="4"/>
  <c r="T197" i="4"/>
  <c r="U197" i="4"/>
  <c r="V197" i="4"/>
  <c r="M198" i="4"/>
  <c r="N198" i="4"/>
  <c r="O198" i="4"/>
  <c r="P198" i="4"/>
  <c r="Q198" i="4"/>
  <c r="R198" i="4"/>
  <c r="S198" i="4"/>
  <c r="T198" i="4"/>
  <c r="U198" i="4"/>
  <c r="V198" i="4"/>
  <c r="M199" i="4"/>
  <c r="N199" i="4"/>
  <c r="O199" i="4"/>
  <c r="P199" i="4"/>
  <c r="Q199" i="4"/>
  <c r="R199" i="4"/>
  <c r="S199" i="4"/>
  <c r="T199" i="4"/>
  <c r="U199" i="4"/>
  <c r="V199" i="4"/>
  <c r="M200" i="4"/>
  <c r="N200" i="4"/>
  <c r="O200" i="4"/>
  <c r="P200" i="4"/>
  <c r="Q200" i="4"/>
  <c r="R200" i="4"/>
  <c r="S200" i="4"/>
  <c r="T200" i="4"/>
  <c r="U200" i="4"/>
  <c r="V200" i="4"/>
  <c r="N2" i="4"/>
  <c r="O2" i="4"/>
  <c r="P2" i="4"/>
  <c r="Q2" i="4"/>
  <c r="R2" i="4"/>
  <c r="S2" i="4"/>
  <c r="T2" i="4"/>
  <c r="U2" i="4"/>
  <c r="V2" i="4"/>
  <c r="M2" i="4"/>
  <c r="R4" i="3"/>
  <c r="Q4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" i="3"/>
  <c r="T12" i="5"/>
  <c r="T20" i="5"/>
  <c r="T13" i="5"/>
  <c r="T21" i="5"/>
  <c r="T14" i="5"/>
  <c r="T22" i="5"/>
  <c r="T15" i="5"/>
  <c r="T16" i="5"/>
  <c r="T17" i="5"/>
  <c r="T18" i="5"/>
  <c r="T19" i="5"/>
  <c r="T11" i="5"/>
  <c r="U168" i="7" l="1"/>
  <c r="R56" i="7"/>
  <c r="V56" i="7" s="1"/>
  <c r="T180" i="7"/>
  <c r="T172" i="7"/>
  <c r="T156" i="7"/>
  <c r="T140" i="7"/>
  <c r="R16" i="7"/>
  <c r="V16" i="7" s="1"/>
  <c r="R6" i="7"/>
  <c r="P64" i="7"/>
  <c r="S174" i="7"/>
  <c r="U183" i="7"/>
  <c r="P38" i="7"/>
  <c r="R38" i="7"/>
  <c r="Q2" i="7"/>
  <c r="R194" i="7"/>
  <c r="P194" i="7"/>
  <c r="R186" i="7"/>
  <c r="P186" i="7"/>
  <c r="R178" i="7"/>
  <c r="V178" i="7" s="1"/>
  <c r="P178" i="7"/>
  <c r="R170" i="7"/>
  <c r="P170" i="7"/>
  <c r="R162" i="7"/>
  <c r="P162" i="7"/>
  <c r="R154" i="7"/>
  <c r="P154" i="7"/>
  <c r="R146" i="7"/>
  <c r="P146" i="7"/>
  <c r="R138" i="7"/>
  <c r="P138" i="7"/>
  <c r="R130" i="7"/>
  <c r="P130" i="7"/>
  <c r="P122" i="7"/>
  <c r="R122" i="7"/>
  <c r="R114" i="7"/>
  <c r="P114" i="7"/>
  <c r="R106" i="7"/>
  <c r="P106" i="7"/>
  <c r="R98" i="7"/>
  <c r="P98" i="7"/>
  <c r="R90" i="7"/>
  <c r="P90" i="7"/>
  <c r="R82" i="7"/>
  <c r="P82" i="7"/>
  <c r="R74" i="7"/>
  <c r="P74" i="7"/>
  <c r="R66" i="7"/>
  <c r="P66" i="7"/>
  <c r="R58" i="7"/>
  <c r="P58" i="7"/>
  <c r="R50" i="7"/>
  <c r="P50" i="7"/>
  <c r="R42" i="7"/>
  <c r="P42" i="7"/>
  <c r="R34" i="7"/>
  <c r="P34" i="7"/>
  <c r="R26" i="7"/>
  <c r="P26" i="7"/>
  <c r="R18" i="7"/>
  <c r="P18" i="7"/>
  <c r="R10" i="7"/>
  <c r="P10" i="7"/>
  <c r="T201" i="7"/>
  <c r="V201" i="7"/>
  <c r="Q201" i="7"/>
  <c r="U201" i="7" s="1"/>
  <c r="S193" i="7"/>
  <c r="U193" i="7"/>
  <c r="Q193" i="7"/>
  <c r="S185" i="7"/>
  <c r="Q185" i="7"/>
  <c r="V177" i="7"/>
  <c r="V169" i="7"/>
  <c r="Q169" i="7"/>
  <c r="U169" i="7" s="1"/>
  <c r="S153" i="7"/>
  <c r="Q145" i="7"/>
  <c r="U145" i="7" s="1"/>
  <c r="S145" i="7"/>
  <c r="U137" i="7"/>
  <c r="V137" i="7"/>
  <c r="Q137" i="7"/>
  <c r="Q129" i="7"/>
  <c r="U129" i="7" s="1"/>
  <c r="U121" i="7"/>
  <c r="V121" i="7"/>
  <c r="Q121" i="7"/>
  <c r="V113" i="7"/>
  <c r="V105" i="7"/>
  <c r="S105" i="7"/>
  <c r="Q105" i="7"/>
  <c r="U105" i="7" s="1"/>
  <c r="U97" i="7"/>
  <c r="V97" i="7"/>
  <c r="S89" i="7"/>
  <c r="U81" i="7"/>
  <c r="S81" i="7"/>
  <c r="Q81" i="7"/>
  <c r="Q73" i="7"/>
  <c r="U73" i="7" s="1"/>
  <c r="S73" i="7"/>
  <c r="U65" i="7"/>
  <c r="Q65" i="7"/>
  <c r="V57" i="7"/>
  <c r="Q57" i="7"/>
  <c r="U57" i="7" s="1"/>
  <c r="T41" i="7"/>
  <c r="U41" i="7"/>
  <c r="Q41" i="7"/>
  <c r="S41" i="7"/>
  <c r="S33" i="7"/>
  <c r="S25" i="7"/>
  <c r="U25" i="7"/>
  <c r="S17" i="7"/>
  <c r="Q17" i="7"/>
  <c r="U17" i="7" s="1"/>
  <c r="S9" i="7"/>
  <c r="T9" i="7"/>
  <c r="Q9" i="7"/>
  <c r="U9" i="7" s="1"/>
  <c r="P201" i="7"/>
  <c r="O189" i="7"/>
  <c r="O182" i="7"/>
  <c r="S182" i="7" s="1"/>
  <c r="P176" i="7"/>
  <c r="T176" i="7" s="1"/>
  <c r="P169" i="7"/>
  <c r="T169" i="7" s="1"/>
  <c r="O157" i="7"/>
  <c r="O150" i="7"/>
  <c r="P144" i="7"/>
  <c r="T144" i="7" s="1"/>
  <c r="P137" i="7"/>
  <c r="T137" i="7" s="1"/>
  <c r="O125" i="7"/>
  <c r="P105" i="7"/>
  <c r="T105" i="7" s="1"/>
  <c r="O93" i="7"/>
  <c r="O74" i="7"/>
  <c r="O42" i="7"/>
  <c r="O10" i="7"/>
  <c r="R198" i="7"/>
  <c r="R176" i="7"/>
  <c r="V176" i="7" s="1"/>
  <c r="R153" i="7"/>
  <c r="R134" i="7"/>
  <c r="R105" i="7"/>
  <c r="R70" i="7"/>
  <c r="R4" i="7"/>
  <c r="Q33" i="7"/>
  <c r="U33" i="7" s="1"/>
  <c r="U2" i="7"/>
  <c r="U185" i="7"/>
  <c r="P102" i="7"/>
  <c r="R102" i="7"/>
  <c r="V102" i="7" s="1"/>
  <c r="O73" i="7"/>
  <c r="R73" i="7"/>
  <c r="V73" i="7" s="1"/>
  <c r="R65" i="7"/>
  <c r="V65" i="7" s="1"/>
  <c r="O65" i="7"/>
  <c r="S65" i="7" s="1"/>
  <c r="O57" i="7"/>
  <c r="S57" i="7" s="1"/>
  <c r="R57" i="7"/>
  <c r="O49" i="7"/>
  <c r="S49" i="7" s="1"/>
  <c r="R49" i="7"/>
  <c r="V49" i="7" s="1"/>
  <c r="O33" i="7"/>
  <c r="R33" i="7"/>
  <c r="V33" i="7" s="1"/>
  <c r="O9" i="7"/>
  <c r="R9" i="7"/>
  <c r="V9" i="7" s="1"/>
  <c r="S200" i="7"/>
  <c r="S184" i="7"/>
  <c r="Q184" i="7"/>
  <c r="U184" i="7" s="1"/>
  <c r="Q176" i="7"/>
  <c r="U176" i="7" s="1"/>
  <c r="S168" i="7"/>
  <c r="T168" i="7"/>
  <c r="Q168" i="7"/>
  <c r="S160" i="7"/>
  <c r="Q160" i="7"/>
  <c r="S152" i="7"/>
  <c r="S144" i="7"/>
  <c r="Q144" i="7"/>
  <c r="U144" i="7" s="1"/>
  <c r="S136" i="7"/>
  <c r="U136" i="7"/>
  <c r="S128" i="7"/>
  <c r="U128" i="7"/>
  <c r="S120" i="7"/>
  <c r="V120" i="7"/>
  <c r="Q120" i="7"/>
  <c r="U120" i="7" s="1"/>
  <c r="T112" i="7"/>
  <c r="U112" i="7"/>
  <c r="Q112" i="7"/>
  <c r="S104" i="7"/>
  <c r="U104" i="7"/>
  <c r="Q104" i="7"/>
  <c r="T96" i="7"/>
  <c r="Q96" i="7"/>
  <c r="U96" i="7" s="1"/>
  <c r="U88" i="7"/>
  <c r="S80" i="7"/>
  <c r="U80" i="7"/>
  <c r="Q80" i="7"/>
  <c r="S72" i="7"/>
  <c r="U72" i="7"/>
  <c r="S64" i="7"/>
  <c r="T64" i="7"/>
  <c r="U64" i="7"/>
  <c r="S56" i="7"/>
  <c r="T56" i="7"/>
  <c r="Q56" i="7"/>
  <c r="U56" i="7" s="1"/>
  <c r="V48" i="7"/>
  <c r="U48" i="7"/>
  <c r="Q48" i="7"/>
  <c r="Q40" i="7"/>
  <c r="U40" i="7"/>
  <c r="T32" i="7"/>
  <c r="Q32" i="7"/>
  <c r="U32" i="7" s="1"/>
  <c r="S24" i="7"/>
  <c r="U24" i="7"/>
  <c r="T24" i="7"/>
  <c r="S16" i="7"/>
  <c r="Q16" i="7"/>
  <c r="U16" i="7" s="1"/>
  <c r="U8" i="7"/>
  <c r="O201" i="7"/>
  <c r="S201" i="7" s="1"/>
  <c r="O194" i="7"/>
  <c r="P181" i="7"/>
  <c r="O169" i="7"/>
  <c r="O162" i="7"/>
  <c r="P149" i="7"/>
  <c r="T149" i="7" s="1"/>
  <c r="O137" i="7"/>
  <c r="O130" i="7"/>
  <c r="P117" i="7"/>
  <c r="O98" i="7"/>
  <c r="P73" i="7"/>
  <c r="T73" i="7" s="1"/>
  <c r="P52" i="7"/>
  <c r="T52" i="7" s="1"/>
  <c r="P41" i="7"/>
  <c r="O30" i="7"/>
  <c r="S30" i="7" s="1"/>
  <c r="P9" i="7"/>
  <c r="R193" i="7"/>
  <c r="V193" i="7" s="1"/>
  <c r="R174" i="7"/>
  <c r="R152" i="7"/>
  <c r="V152" i="7" s="1"/>
  <c r="R129" i="7"/>
  <c r="V129" i="7" s="1"/>
  <c r="R103" i="7"/>
  <c r="V103" i="7" s="1"/>
  <c r="R68" i="7"/>
  <c r="Q200" i="7"/>
  <c r="U200" i="7" s="1"/>
  <c r="Q128" i="7"/>
  <c r="Q97" i="7"/>
  <c r="Q25" i="7"/>
  <c r="U192" i="7"/>
  <c r="S176" i="7"/>
  <c r="V161" i="7"/>
  <c r="P22" i="7"/>
  <c r="R22" i="7"/>
  <c r="R112" i="7"/>
  <c r="V112" i="7" s="1"/>
  <c r="O112" i="7"/>
  <c r="S112" i="7" s="1"/>
  <c r="R104" i="7"/>
  <c r="V104" i="7" s="1"/>
  <c r="O104" i="7"/>
  <c r="R96" i="7"/>
  <c r="V96" i="7" s="1"/>
  <c r="O96" i="7"/>
  <c r="S96" i="7" s="1"/>
  <c r="R88" i="7"/>
  <c r="V88" i="7" s="1"/>
  <c r="O88" i="7"/>
  <c r="S88" i="7" s="1"/>
  <c r="R72" i="7"/>
  <c r="V72" i="7" s="1"/>
  <c r="O72" i="7"/>
  <c r="R48" i="7"/>
  <c r="O48" i="7"/>
  <c r="S48" i="7" s="1"/>
  <c r="R40" i="7"/>
  <c r="V40" i="7" s="1"/>
  <c r="O40" i="7"/>
  <c r="S40" i="7" s="1"/>
  <c r="R32" i="7"/>
  <c r="V32" i="7" s="1"/>
  <c r="O32" i="7"/>
  <c r="S32" i="7" s="1"/>
  <c r="R24" i="7"/>
  <c r="V24" i="7" s="1"/>
  <c r="O24" i="7"/>
  <c r="R8" i="7"/>
  <c r="V8" i="7" s="1"/>
  <c r="O8" i="7"/>
  <c r="S8" i="7" s="1"/>
  <c r="S199" i="7"/>
  <c r="V199" i="7"/>
  <c r="Q199" i="7"/>
  <c r="U191" i="7"/>
  <c r="S183" i="7"/>
  <c r="Q183" i="7"/>
  <c r="S175" i="7"/>
  <c r="T175" i="7"/>
  <c r="U175" i="7"/>
  <c r="T167" i="7"/>
  <c r="U167" i="7"/>
  <c r="V167" i="7"/>
  <c r="Q159" i="7"/>
  <c r="U159" i="7" s="1"/>
  <c r="T151" i="7"/>
  <c r="Q151" i="7"/>
  <c r="U151" i="7" s="1"/>
  <c r="T143" i="7"/>
  <c r="Q143" i="7"/>
  <c r="U143" i="7" s="1"/>
  <c r="T135" i="7"/>
  <c r="U135" i="7"/>
  <c r="Q135" i="7"/>
  <c r="U127" i="7"/>
  <c r="S127" i="7"/>
  <c r="S119" i="7"/>
  <c r="Q119" i="7"/>
  <c r="U119" i="7" s="1"/>
  <c r="T111" i="7"/>
  <c r="U111" i="7"/>
  <c r="U103" i="7"/>
  <c r="S103" i="7"/>
  <c r="U95" i="7"/>
  <c r="V95" i="7"/>
  <c r="S95" i="7"/>
  <c r="Q95" i="7"/>
  <c r="Q87" i="7"/>
  <c r="U87" i="7" s="1"/>
  <c r="U79" i="7"/>
  <c r="S79" i="7"/>
  <c r="Q79" i="7"/>
  <c r="Q71" i="7"/>
  <c r="U71" i="7" s="1"/>
  <c r="U63" i="7"/>
  <c r="U55" i="7"/>
  <c r="S55" i="7"/>
  <c r="Q55" i="7"/>
  <c r="U47" i="7"/>
  <c r="S47" i="7"/>
  <c r="T39" i="7"/>
  <c r="U39" i="7"/>
  <c r="V39" i="7"/>
  <c r="T31" i="7"/>
  <c r="V31" i="7"/>
  <c r="S31" i="7"/>
  <c r="Q31" i="7"/>
  <c r="U31" i="7" s="1"/>
  <c r="T23" i="7"/>
  <c r="Q23" i="7"/>
  <c r="U23" i="7" s="1"/>
  <c r="U15" i="7"/>
  <c r="Q15" i="7"/>
  <c r="Q7" i="7"/>
  <c r="U7" i="7" s="1"/>
  <c r="P200" i="7"/>
  <c r="T200" i="7" s="1"/>
  <c r="P193" i="7"/>
  <c r="T193" i="7" s="1"/>
  <c r="O181" i="7"/>
  <c r="O174" i="7"/>
  <c r="P168" i="7"/>
  <c r="P161" i="7"/>
  <c r="T161" i="7" s="1"/>
  <c r="O149" i="7"/>
  <c r="O142" i="7"/>
  <c r="S142" i="7" s="1"/>
  <c r="P136" i="7"/>
  <c r="T136" i="7" s="1"/>
  <c r="P129" i="7"/>
  <c r="T129" i="7" s="1"/>
  <c r="O117" i="7"/>
  <c r="S117" i="7" s="1"/>
  <c r="P104" i="7"/>
  <c r="P97" i="7"/>
  <c r="T97" i="7" s="1"/>
  <c r="O82" i="7"/>
  <c r="P72" i="7"/>
  <c r="T72" i="7" s="1"/>
  <c r="O50" i="7"/>
  <c r="P40" i="7"/>
  <c r="T40" i="7" s="1"/>
  <c r="O18" i="7"/>
  <c r="P8" i="7"/>
  <c r="T8" i="7" s="1"/>
  <c r="R192" i="7"/>
  <c r="V192" i="7" s="1"/>
  <c r="R150" i="7"/>
  <c r="R128" i="7"/>
  <c r="V128" i="7" s="1"/>
  <c r="R95" i="7"/>
  <c r="R64" i="7"/>
  <c r="V64" i="7" s="1"/>
  <c r="R30" i="7"/>
  <c r="V30" i="7" s="1"/>
  <c r="Q192" i="7"/>
  <c r="Q161" i="7"/>
  <c r="U161" i="7" s="1"/>
  <c r="Q127" i="7"/>
  <c r="Q89" i="7"/>
  <c r="U89" i="7" s="1"/>
  <c r="Q24" i="7"/>
  <c r="U199" i="7"/>
  <c r="S192" i="7"/>
  <c r="U160" i="7"/>
  <c r="T104" i="7"/>
  <c r="R110" i="7"/>
  <c r="V110" i="7" s="1"/>
  <c r="P110" i="7"/>
  <c r="R199" i="7"/>
  <c r="O199" i="7"/>
  <c r="R191" i="7"/>
  <c r="V191" i="7" s="1"/>
  <c r="O191" i="7"/>
  <c r="S191" i="7" s="1"/>
  <c r="R183" i="7"/>
  <c r="V183" i="7" s="1"/>
  <c r="O183" i="7"/>
  <c r="R175" i="7"/>
  <c r="V175" i="7" s="1"/>
  <c r="O175" i="7"/>
  <c r="R167" i="7"/>
  <c r="O167" i="7"/>
  <c r="S167" i="7" s="1"/>
  <c r="R159" i="7"/>
  <c r="V159" i="7" s="1"/>
  <c r="O159" i="7"/>
  <c r="S159" i="7" s="1"/>
  <c r="R151" i="7"/>
  <c r="V151" i="7" s="1"/>
  <c r="O151" i="7"/>
  <c r="S151" i="7" s="1"/>
  <c r="R143" i="7"/>
  <c r="V143" i="7" s="1"/>
  <c r="O143" i="7"/>
  <c r="S143" i="7" s="1"/>
  <c r="R135" i="7"/>
  <c r="V135" i="7" s="1"/>
  <c r="O135" i="7"/>
  <c r="S135" i="7" s="1"/>
  <c r="R127" i="7"/>
  <c r="V127" i="7" s="1"/>
  <c r="O127" i="7"/>
  <c r="R111" i="7"/>
  <c r="V111" i="7" s="1"/>
  <c r="O111" i="7"/>
  <c r="S111" i="7" s="1"/>
  <c r="O87" i="7"/>
  <c r="S87" i="7" s="1"/>
  <c r="R87" i="7"/>
  <c r="V87" i="7" s="1"/>
  <c r="P87" i="7"/>
  <c r="T87" i="7" s="1"/>
  <c r="R79" i="7"/>
  <c r="V79" i="7" s="1"/>
  <c r="O79" i="7"/>
  <c r="P79" i="7"/>
  <c r="T79" i="7" s="1"/>
  <c r="R71" i="7"/>
  <c r="V71" i="7" s="1"/>
  <c r="O71" i="7"/>
  <c r="S71" i="7" s="1"/>
  <c r="P71" i="7"/>
  <c r="T71" i="7" s="1"/>
  <c r="O63" i="7"/>
  <c r="S63" i="7" s="1"/>
  <c r="P63" i="7"/>
  <c r="T63" i="7" s="1"/>
  <c r="R63" i="7"/>
  <c r="V63" i="7" s="1"/>
  <c r="O55" i="7"/>
  <c r="P55" i="7"/>
  <c r="T55" i="7" s="1"/>
  <c r="R47" i="7"/>
  <c r="V47" i="7" s="1"/>
  <c r="O47" i="7"/>
  <c r="P47" i="7"/>
  <c r="T47" i="7" s="1"/>
  <c r="O39" i="7"/>
  <c r="S39" i="7" s="1"/>
  <c r="P39" i="7"/>
  <c r="O31" i="7"/>
  <c r="P31" i="7"/>
  <c r="O23" i="7"/>
  <c r="S23" i="7" s="1"/>
  <c r="R23" i="7"/>
  <c r="V23" i="7" s="1"/>
  <c r="P23" i="7"/>
  <c r="R15" i="7"/>
  <c r="V15" i="7" s="1"/>
  <c r="O15" i="7"/>
  <c r="S15" i="7" s="1"/>
  <c r="P15" i="7"/>
  <c r="T15" i="7" s="1"/>
  <c r="R7" i="7"/>
  <c r="V7" i="7" s="1"/>
  <c r="O7" i="7"/>
  <c r="S7" i="7" s="1"/>
  <c r="P7" i="7"/>
  <c r="T7" i="7" s="1"/>
  <c r="U198" i="7"/>
  <c r="Q198" i="7"/>
  <c r="Q190" i="7"/>
  <c r="T190" i="7"/>
  <c r="U190" i="7"/>
  <c r="Q182" i="7"/>
  <c r="U182" i="7" s="1"/>
  <c r="T174" i="7"/>
  <c r="V174" i="7"/>
  <c r="Q174" i="7"/>
  <c r="U174" i="7" s="1"/>
  <c r="T166" i="7"/>
  <c r="U166" i="7"/>
  <c r="T158" i="7"/>
  <c r="U158" i="7"/>
  <c r="Q158" i="7"/>
  <c r="S150" i="7"/>
  <c r="V150" i="7"/>
  <c r="T150" i="7"/>
  <c r="U150" i="7"/>
  <c r="T142" i="7"/>
  <c r="V134" i="7"/>
  <c r="T134" i="7"/>
  <c r="U134" i="7"/>
  <c r="Q134" i="7"/>
  <c r="Q126" i="7"/>
  <c r="T126" i="7"/>
  <c r="U126" i="7"/>
  <c r="S118" i="7"/>
  <c r="Q118" i="7"/>
  <c r="U118" i="7" s="1"/>
  <c r="S110" i="7"/>
  <c r="T110" i="7"/>
  <c r="Q110" i="7"/>
  <c r="U110" i="7" s="1"/>
  <c r="T102" i="7"/>
  <c r="U102" i="7"/>
  <c r="V94" i="7"/>
  <c r="Q94" i="7"/>
  <c r="T94" i="7"/>
  <c r="U78" i="7"/>
  <c r="V70" i="7"/>
  <c r="T70" i="7"/>
  <c r="U70" i="7"/>
  <c r="Q70" i="7"/>
  <c r="S62" i="7"/>
  <c r="T62" i="7"/>
  <c r="Q62" i="7"/>
  <c r="U62" i="7"/>
  <c r="U54" i="7"/>
  <c r="Q54" i="7"/>
  <c r="S46" i="7"/>
  <c r="Q46" i="7"/>
  <c r="U46" i="7" s="1"/>
  <c r="V38" i="7"/>
  <c r="T38" i="7"/>
  <c r="U38" i="7"/>
  <c r="T30" i="7"/>
  <c r="U30" i="7"/>
  <c r="Q30" i="7"/>
  <c r="V22" i="7"/>
  <c r="T22" i="7"/>
  <c r="S14" i="7"/>
  <c r="T14" i="7"/>
  <c r="P199" i="7"/>
  <c r="T199" i="7" s="1"/>
  <c r="O186" i="7"/>
  <c r="P173" i="7"/>
  <c r="T173" i="7" s="1"/>
  <c r="P167" i="7"/>
  <c r="O161" i="7"/>
  <c r="S161" i="7" s="1"/>
  <c r="O154" i="7"/>
  <c r="P141" i="7"/>
  <c r="P135" i="7"/>
  <c r="O122" i="7"/>
  <c r="P116" i="7"/>
  <c r="P109" i="7"/>
  <c r="T109" i="7" s="1"/>
  <c r="P103" i="7"/>
  <c r="T103" i="7" s="1"/>
  <c r="O97" i="7"/>
  <c r="S97" i="7" s="1"/>
  <c r="O90" i="7"/>
  <c r="P81" i="7"/>
  <c r="T81" i="7" s="1"/>
  <c r="O70" i="7"/>
  <c r="S70" i="7" s="1"/>
  <c r="P49" i="7"/>
  <c r="T49" i="7" s="1"/>
  <c r="O38" i="7"/>
  <c r="S38" i="7" s="1"/>
  <c r="P17" i="7"/>
  <c r="T17" i="7" s="1"/>
  <c r="R190" i="7"/>
  <c r="V190" i="7" s="1"/>
  <c r="R168" i="7"/>
  <c r="V168" i="7" s="1"/>
  <c r="R145" i="7"/>
  <c r="V145" i="7" s="1"/>
  <c r="R126" i="7"/>
  <c r="V126" i="7" s="1"/>
  <c r="R94" i="7"/>
  <c r="R25" i="7"/>
  <c r="V25" i="7" s="1"/>
  <c r="Q153" i="7"/>
  <c r="U153" i="7" s="1"/>
  <c r="Q22" i="7"/>
  <c r="U22" i="7" s="1"/>
  <c r="V198" i="7"/>
  <c r="T182" i="7"/>
  <c r="U156" i="7"/>
  <c r="S137" i="7"/>
  <c r="U94" i="7"/>
  <c r="V197" i="7"/>
  <c r="Q197" i="7"/>
  <c r="U197" i="7" s="1"/>
  <c r="S189" i="7"/>
  <c r="V189" i="7"/>
  <c r="Q189" i="7"/>
  <c r="S181" i="7"/>
  <c r="T181" i="7"/>
  <c r="V181" i="7"/>
  <c r="Q181" i="7"/>
  <c r="U181" i="7" s="1"/>
  <c r="V173" i="7"/>
  <c r="Q173" i="7"/>
  <c r="U173" i="7" s="1"/>
  <c r="U165" i="7"/>
  <c r="Q165" i="7"/>
  <c r="V165" i="7"/>
  <c r="Q157" i="7"/>
  <c r="U157" i="7" s="1"/>
  <c r="S157" i="7"/>
  <c r="V157" i="7"/>
  <c r="V149" i="7"/>
  <c r="S149" i="7"/>
  <c r="Q149" i="7"/>
  <c r="U149" i="7" s="1"/>
  <c r="T141" i="7"/>
  <c r="V141" i="7"/>
  <c r="Q141" i="7"/>
  <c r="U141" i="7" s="1"/>
  <c r="V133" i="7"/>
  <c r="Q133" i="7"/>
  <c r="U133" i="7" s="1"/>
  <c r="U125" i="7"/>
  <c r="V125" i="7"/>
  <c r="Q125" i="7"/>
  <c r="S125" i="7"/>
  <c r="T117" i="7"/>
  <c r="V117" i="7"/>
  <c r="Q117" i="7"/>
  <c r="U117" i="7" s="1"/>
  <c r="V109" i="7"/>
  <c r="Q109" i="7"/>
  <c r="U109" i="7" s="1"/>
  <c r="T101" i="7"/>
  <c r="V101" i="7"/>
  <c r="Q101" i="7"/>
  <c r="U101" i="7" s="1"/>
  <c r="V93" i="7"/>
  <c r="Q93" i="7"/>
  <c r="U93" i="7" s="1"/>
  <c r="S93" i="7"/>
  <c r="T85" i="7"/>
  <c r="Q85" i="7"/>
  <c r="U85" i="7" s="1"/>
  <c r="U77" i="7"/>
  <c r="Q77" i="7"/>
  <c r="T69" i="7"/>
  <c r="V69" i="7"/>
  <c r="S69" i="7"/>
  <c r="Q69" i="7"/>
  <c r="U69" i="7" s="1"/>
  <c r="T61" i="7"/>
  <c r="U61" i="7"/>
  <c r="Q61" i="7"/>
  <c r="T53" i="7"/>
  <c r="U53" i="7"/>
  <c r="S53" i="7"/>
  <c r="Q53" i="7"/>
  <c r="U45" i="7"/>
  <c r="Q45" i="7"/>
  <c r="T37" i="7"/>
  <c r="U37" i="7"/>
  <c r="S37" i="7"/>
  <c r="Q37" i="7"/>
  <c r="T29" i="7"/>
  <c r="Q29" i="7"/>
  <c r="U29" i="7" s="1"/>
  <c r="T21" i="7"/>
  <c r="U21" i="7"/>
  <c r="Q21" i="7"/>
  <c r="U13" i="7"/>
  <c r="Q13" i="7"/>
  <c r="S5" i="7"/>
  <c r="T5" i="7"/>
  <c r="V5" i="7"/>
  <c r="Q5" i="7"/>
  <c r="U5" i="7" s="1"/>
  <c r="O198" i="7"/>
  <c r="S198" i="7" s="1"/>
  <c r="P192" i="7"/>
  <c r="T192" i="7" s="1"/>
  <c r="P185" i="7"/>
  <c r="T185" i="7" s="1"/>
  <c r="O173" i="7"/>
  <c r="S173" i="7" s="1"/>
  <c r="O166" i="7"/>
  <c r="S166" i="7" s="1"/>
  <c r="P160" i="7"/>
  <c r="T160" i="7" s="1"/>
  <c r="P153" i="7"/>
  <c r="T153" i="7" s="1"/>
  <c r="O141" i="7"/>
  <c r="S141" i="7" s="1"/>
  <c r="O134" i="7"/>
  <c r="S134" i="7" s="1"/>
  <c r="P128" i="7"/>
  <c r="T128" i="7" s="1"/>
  <c r="P121" i="7"/>
  <c r="T121" i="7" s="1"/>
  <c r="O109" i="7"/>
  <c r="S109" i="7" s="1"/>
  <c r="O102" i="7"/>
  <c r="S102" i="7" s="1"/>
  <c r="P96" i="7"/>
  <c r="P89" i="7"/>
  <c r="T89" i="7" s="1"/>
  <c r="P80" i="7"/>
  <c r="T80" i="7" s="1"/>
  <c r="O58" i="7"/>
  <c r="S58" i="7" s="1"/>
  <c r="P48" i="7"/>
  <c r="T48" i="7" s="1"/>
  <c r="O26" i="7"/>
  <c r="P16" i="7"/>
  <c r="T16" i="7" s="1"/>
  <c r="R185" i="7"/>
  <c r="V185" i="7" s="1"/>
  <c r="R166" i="7"/>
  <c r="V166" i="7" s="1"/>
  <c r="R144" i="7"/>
  <c r="V144" i="7" s="1"/>
  <c r="R120" i="7"/>
  <c r="R89" i="7"/>
  <c r="V89" i="7" s="1"/>
  <c r="R55" i="7"/>
  <c r="V55" i="7" s="1"/>
  <c r="R17" i="7"/>
  <c r="V17" i="7" s="1"/>
  <c r="Q152" i="7"/>
  <c r="U152" i="7" s="1"/>
  <c r="Q86" i="7"/>
  <c r="U86" i="7" s="1"/>
  <c r="Q49" i="7"/>
  <c r="U49" i="7" s="1"/>
  <c r="Q14" i="7"/>
  <c r="U14" i="7" s="1"/>
  <c r="T198" i="7"/>
  <c r="U189" i="7"/>
  <c r="R118" i="7"/>
  <c r="V118" i="7" s="1"/>
  <c r="P118" i="7"/>
  <c r="T118" i="7" s="1"/>
  <c r="P86" i="7"/>
  <c r="T86" i="7" s="1"/>
  <c r="R86" i="7"/>
  <c r="V86" i="7" s="1"/>
  <c r="P62" i="7"/>
  <c r="R62" i="7"/>
  <c r="V62" i="7" s="1"/>
  <c r="R85" i="7"/>
  <c r="V85" i="7" s="1"/>
  <c r="O85" i="7"/>
  <c r="S85" i="7" s="1"/>
  <c r="R77" i="7"/>
  <c r="V77" i="7" s="1"/>
  <c r="O77" i="7"/>
  <c r="S77" i="7" s="1"/>
  <c r="R69" i="7"/>
  <c r="O69" i="7"/>
  <c r="R61" i="7"/>
  <c r="V61" i="7" s="1"/>
  <c r="O61" i="7"/>
  <c r="S61" i="7" s="1"/>
  <c r="R53" i="7"/>
  <c r="V53" i="7" s="1"/>
  <c r="O53" i="7"/>
  <c r="R45" i="7"/>
  <c r="V45" i="7" s="1"/>
  <c r="O45" i="7"/>
  <c r="S45" i="7" s="1"/>
  <c r="R37" i="7"/>
  <c r="V37" i="7" s="1"/>
  <c r="O37" i="7"/>
  <c r="R29" i="7"/>
  <c r="V29" i="7" s="1"/>
  <c r="O29" i="7"/>
  <c r="S29" i="7" s="1"/>
  <c r="R21" i="7"/>
  <c r="V21" i="7" s="1"/>
  <c r="O21" i="7"/>
  <c r="S21" i="7" s="1"/>
  <c r="R13" i="7"/>
  <c r="V13" i="7" s="1"/>
  <c r="O13" i="7"/>
  <c r="S13" i="7" s="1"/>
  <c r="R5" i="7"/>
  <c r="O5" i="7"/>
  <c r="Q196" i="7"/>
  <c r="U196" i="7" s="1"/>
  <c r="T188" i="7"/>
  <c r="V180" i="7"/>
  <c r="S172" i="7"/>
  <c r="U172" i="7"/>
  <c r="Q172" i="7"/>
  <c r="S164" i="7"/>
  <c r="V164" i="7"/>
  <c r="Q164" i="7"/>
  <c r="U164" i="7"/>
  <c r="V156" i="7"/>
  <c r="Q156" i="7"/>
  <c r="V148" i="7"/>
  <c r="Q148" i="7"/>
  <c r="S132" i="7"/>
  <c r="U132" i="7"/>
  <c r="Q132" i="7"/>
  <c r="U124" i="7"/>
  <c r="T124" i="7"/>
  <c r="S116" i="7"/>
  <c r="T116" i="7"/>
  <c r="U116" i="7"/>
  <c r="S108" i="7"/>
  <c r="Q108" i="7"/>
  <c r="U108" i="7" s="1"/>
  <c r="V100" i="7"/>
  <c r="Q100" i="7"/>
  <c r="U100" i="7" s="1"/>
  <c r="S92" i="7"/>
  <c r="U92" i="7"/>
  <c r="Q92" i="7"/>
  <c r="T92" i="7"/>
  <c r="T84" i="7"/>
  <c r="U84" i="7"/>
  <c r="Q84" i="7"/>
  <c r="U76" i="7"/>
  <c r="S68" i="7"/>
  <c r="V68" i="7"/>
  <c r="Q68" i="7"/>
  <c r="U68" i="7" s="1"/>
  <c r="S60" i="7"/>
  <c r="U60" i="7"/>
  <c r="T60" i="7"/>
  <c r="S52" i="7"/>
  <c r="U52" i="7"/>
  <c r="S44" i="7"/>
  <c r="U44" i="7"/>
  <c r="Q44" i="7"/>
  <c r="T36" i="7"/>
  <c r="Q36" i="7"/>
  <c r="U36" i="7" s="1"/>
  <c r="S28" i="7"/>
  <c r="V28" i="7"/>
  <c r="T28" i="7"/>
  <c r="Q28" i="7"/>
  <c r="U28" i="7" s="1"/>
  <c r="T20" i="7"/>
  <c r="U20" i="7"/>
  <c r="Q20" i="7"/>
  <c r="V12" i="7"/>
  <c r="P197" i="7"/>
  <c r="T197" i="7" s="1"/>
  <c r="P191" i="7"/>
  <c r="T191" i="7" s="1"/>
  <c r="O178" i="7"/>
  <c r="P165" i="7"/>
  <c r="T165" i="7" s="1"/>
  <c r="P159" i="7"/>
  <c r="T159" i="7" s="1"/>
  <c r="O146" i="7"/>
  <c r="P133" i="7"/>
  <c r="T133" i="7" s="1"/>
  <c r="P127" i="7"/>
  <c r="T127" i="7" s="1"/>
  <c r="O121" i="7"/>
  <c r="S121" i="7" s="1"/>
  <c r="O114" i="7"/>
  <c r="P108" i="7"/>
  <c r="T108" i="7" s="1"/>
  <c r="P101" i="7"/>
  <c r="P95" i="7"/>
  <c r="T95" i="7" s="1"/>
  <c r="O78" i="7"/>
  <c r="S78" i="7" s="1"/>
  <c r="P68" i="7"/>
  <c r="T68" i="7" s="1"/>
  <c r="P57" i="7"/>
  <c r="T57" i="7" s="1"/>
  <c r="P25" i="7"/>
  <c r="T25" i="7" s="1"/>
  <c r="O14" i="7"/>
  <c r="P4" i="7"/>
  <c r="R184" i="7"/>
  <c r="V184" i="7" s="1"/>
  <c r="R142" i="7"/>
  <c r="V142" i="7" s="1"/>
  <c r="R119" i="7"/>
  <c r="V119" i="7" s="1"/>
  <c r="R81" i="7"/>
  <c r="V81" i="7" s="1"/>
  <c r="R52" i="7"/>
  <c r="V52" i="7" s="1"/>
  <c r="Q180" i="7"/>
  <c r="U180" i="7" s="1"/>
  <c r="Q150" i="7"/>
  <c r="Q113" i="7"/>
  <c r="U113" i="7" s="1"/>
  <c r="Q78" i="7"/>
  <c r="Q12" i="7"/>
  <c r="U12" i="7" s="1"/>
  <c r="U188" i="7"/>
  <c r="S169" i="7"/>
  <c r="V153" i="7"/>
  <c r="T78" i="7"/>
  <c r="R54" i="7"/>
  <c r="V54" i="7" s="1"/>
  <c r="P54" i="7"/>
  <c r="T54" i="7" s="1"/>
  <c r="R196" i="7"/>
  <c r="V196" i="7" s="1"/>
  <c r="O196" i="7"/>
  <c r="R188" i="7"/>
  <c r="V188" i="7" s="1"/>
  <c r="O188" i="7"/>
  <c r="S188" i="7" s="1"/>
  <c r="R180" i="7"/>
  <c r="O180" i="7"/>
  <c r="S180" i="7" s="1"/>
  <c r="R172" i="7"/>
  <c r="V172" i="7" s="1"/>
  <c r="O172" i="7"/>
  <c r="R164" i="7"/>
  <c r="O164" i="7"/>
  <c r="R156" i="7"/>
  <c r="O156" i="7"/>
  <c r="S156" i="7" s="1"/>
  <c r="R148" i="7"/>
  <c r="O148" i="7"/>
  <c r="S148" i="7" s="1"/>
  <c r="R140" i="7"/>
  <c r="V140" i="7" s="1"/>
  <c r="O140" i="7"/>
  <c r="S140" i="7" s="1"/>
  <c r="R132" i="7"/>
  <c r="V132" i="7" s="1"/>
  <c r="O132" i="7"/>
  <c r="R124" i="7"/>
  <c r="V124" i="7" s="1"/>
  <c r="O124" i="7"/>
  <c r="S124" i="7" s="1"/>
  <c r="R100" i="7"/>
  <c r="O100" i="7"/>
  <c r="S100" i="7" s="1"/>
  <c r="R92" i="7"/>
  <c r="V92" i="7" s="1"/>
  <c r="O92" i="7"/>
  <c r="R84" i="7"/>
  <c r="V84" i="7" s="1"/>
  <c r="O84" i="7"/>
  <c r="S84" i="7" s="1"/>
  <c r="R76" i="7"/>
  <c r="V76" i="7" s="1"/>
  <c r="O76" i="7"/>
  <c r="S76" i="7" s="1"/>
  <c r="R60" i="7"/>
  <c r="V60" i="7" s="1"/>
  <c r="O60" i="7"/>
  <c r="R36" i="7"/>
  <c r="V36" i="7" s="1"/>
  <c r="O36" i="7"/>
  <c r="S36" i="7" s="1"/>
  <c r="R28" i="7"/>
  <c r="O28" i="7"/>
  <c r="R20" i="7"/>
  <c r="V20" i="7" s="1"/>
  <c r="O20" i="7"/>
  <c r="S20" i="7" s="1"/>
  <c r="R12" i="7"/>
  <c r="O12" i="7"/>
  <c r="S12" i="7" s="1"/>
  <c r="S195" i="7"/>
  <c r="T195" i="7"/>
  <c r="Q195" i="7"/>
  <c r="U195" i="7"/>
  <c r="S187" i="7"/>
  <c r="T187" i="7"/>
  <c r="Q187" i="7"/>
  <c r="U187" i="7" s="1"/>
  <c r="T179" i="7"/>
  <c r="Q179" i="7"/>
  <c r="U179" i="7" s="1"/>
  <c r="V179" i="7"/>
  <c r="Q171" i="7"/>
  <c r="U171" i="7" s="1"/>
  <c r="T171" i="7"/>
  <c r="V171" i="7"/>
  <c r="T163" i="7"/>
  <c r="U163" i="7"/>
  <c r="Q163" i="7"/>
  <c r="V163" i="7"/>
  <c r="T155" i="7"/>
  <c r="U155" i="7"/>
  <c r="Q155" i="7"/>
  <c r="S155" i="7"/>
  <c r="T147" i="7"/>
  <c r="Q147" i="7"/>
  <c r="U147" i="7" s="1"/>
  <c r="T139" i="7"/>
  <c r="U139" i="7"/>
  <c r="S139" i="7"/>
  <c r="Q139" i="7"/>
  <c r="T131" i="7"/>
  <c r="U131" i="7"/>
  <c r="Q131" i="7"/>
  <c r="T123" i="7"/>
  <c r="Q123" i="7"/>
  <c r="U123" i="7" s="1"/>
  <c r="T115" i="7"/>
  <c r="Q115" i="7"/>
  <c r="U115" i="7" s="1"/>
  <c r="T107" i="7"/>
  <c r="V107" i="7"/>
  <c r="S107" i="7"/>
  <c r="Q107" i="7"/>
  <c r="U107" i="7" s="1"/>
  <c r="T99" i="7"/>
  <c r="Q99" i="7"/>
  <c r="U99" i="7" s="1"/>
  <c r="T91" i="7"/>
  <c r="S91" i="7"/>
  <c r="Q91" i="7"/>
  <c r="U91" i="7" s="1"/>
  <c r="U83" i="7"/>
  <c r="Q83" i="7"/>
  <c r="V75" i="7"/>
  <c r="Q75" i="7"/>
  <c r="U75" i="7" s="1"/>
  <c r="U67" i="7"/>
  <c r="Q67" i="7"/>
  <c r="S67" i="7"/>
  <c r="T59" i="7"/>
  <c r="V59" i="7"/>
  <c r="Q59" i="7"/>
  <c r="U59" i="7" s="1"/>
  <c r="Q51" i="7"/>
  <c r="U51" i="7" s="1"/>
  <c r="T43" i="7"/>
  <c r="V43" i="7"/>
  <c r="Q43" i="7"/>
  <c r="U43" i="7" s="1"/>
  <c r="Q35" i="7"/>
  <c r="U35" i="7" s="1"/>
  <c r="T27" i="7"/>
  <c r="Q27" i="7"/>
  <c r="U27" i="7" s="1"/>
  <c r="T19" i="7"/>
  <c r="Q19" i="7"/>
  <c r="U19" i="7" s="1"/>
  <c r="Q11" i="7"/>
  <c r="U11" i="7" s="1"/>
  <c r="O197" i="7"/>
  <c r="S197" i="7" s="1"/>
  <c r="O190" i="7"/>
  <c r="S190" i="7" s="1"/>
  <c r="P184" i="7"/>
  <c r="T184" i="7" s="1"/>
  <c r="P177" i="7"/>
  <c r="T177" i="7" s="1"/>
  <c r="O165" i="7"/>
  <c r="S165" i="7" s="1"/>
  <c r="O158" i="7"/>
  <c r="S158" i="7" s="1"/>
  <c r="P152" i="7"/>
  <c r="T152" i="7" s="1"/>
  <c r="P145" i="7"/>
  <c r="T145" i="7" s="1"/>
  <c r="O133" i="7"/>
  <c r="S133" i="7" s="1"/>
  <c r="O126" i="7"/>
  <c r="S126" i="7" s="1"/>
  <c r="P120" i="7"/>
  <c r="T120" i="7" s="1"/>
  <c r="P113" i="7"/>
  <c r="T113" i="7" s="1"/>
  <c r="O101" i="7"/>
  <c r="S101" i="7" s="1"/>
  <c r="O94" i="7"/>
  <c r="S94" i="7" s="1"/>
  <c r="P88" i="7"/>
  <c r="T88" i="7" s="1"/>
  <c r="P77" i="7"/>
  <c r="T77" i="7" s="1"/>
  <c r="O66" i="7"/>
  <c r="P45" i="7"/>
  <c r="T45" i="7" s="1"/>
  <c r="O34" i="7"/>
  <c r="S34" i="7" s="1"/>
  <c r="P13" i="7"/>
  <c r="T13" i="7" s="1"/>
  <c r="R182" i="7"/>
  <c r="V182" i="7" s="1"/>
  <c r="R160" i="7"/>
  <c r="V160" i="7" s="1"/>
  <c r="R116" i="7"/>
  <c r="V116" i="7" s="1"/>
  <c r="R80" i="7"/>
  <c r="V80" i="7" s="1"/>
  <c r="R44" i="7"/>
  <c r="V44" i="7" s="1"/>
  <c r="R14" i="7"/>
  <c r="V14" i="7" s="1"/>
  <c r="Q177" i="7"/>
  <c r="U177" i="7" s="1"/>
  <c r="Q142" i="7"/>
  <c r="U142" i="7" s="1"/>
  <c r="Q76" i="7"/>
  <c r="S196" i="7"/>
  <c r="U148" i="7"/>
  <c r="S129" i="7"/>
  <c r="R46" i="7"/>
  <c r="V46" i="7" s="1"/>
  <c r="P46" i="7"/>
  <c r="T46" i="7" s="1"/>
  <c r="O2" i="7"/>
  <c r="S2" i="7" s="1"/>
  <c r="R2" i="7"/>
  <c r="R195" i="7"/>
  <c r="V195" i="7" s="1"/>
  <c r="O195" i="7"/>
  <c r="R187" i="7"/>
  <c r="V187" i="7" s="1"/>
  <c r="O187" i="7"/>
  <c r="R179" i="7"/>
  <c r="O179" i="7"/>
  <c r="S179" i="7" s="1"/>
  <c r="R171" i="7"/>
  <c r="O171" i="7"/>
  <c r="S171" i="7" s="1"/>
  <c r="R163" i="7"/>
  <c r="O163" i="7"/>
  <c r="S163" i="7" s="1"/>
  <c r="R155" i="7"/>
  <c r="V155" i="7" s="1"/>
  <c r="O155" i="7"/>
  <c r="R147" i="7"/>
  <c r="V147" i="7" s="1"/>
  <c r="O147" i="7"/>
  <c r="S147" i="7" s="1"/>
  <c r="R139" i="7"/>
  <c r="V139" i="7" s="1"/>
  <c r="O139" i="7"/>
  <c r="R131" i="7"/>
  <c r="V131" i="7" s="1"/>
  <c r="O131" i="7"/>
  <c r="S131" i="7" s="1"/>
  <c r="R123" i="7"/>
  <c r="V123" i="7" s="1"/>
  <c r="O123" i="7"/>
  <c r="S123" i="7" s="1"/>
  <c r="R115" i="7"/>
  <c r="V115" i="7" s="1"/>
  <c r="O115" i="7"/>
  <c r="S115" i="7" s="1"/>
  <c r="R107" i="7"/>
  <c r="O107" i="7"/>
  <c r="R99" i="7"/>
  <c r="V99" i="7" s="1"/>
  <c r="O99" i="7"/>
  <c r="S99" i="7" s="1"/>
  <c r="R91" i="7"/>
  <c r="V91" i="7" s="1"/>
  <c r="O91" i="7"/>
  <c r="R83" i="7"/>
  <c r="V83" i="7" s="1"/>
  <c r="O83" i="7"/>
  <c r="S83" i="7" s="1"/>
  <c r="P83" i="7"/>
  <c r="T83" i="7" s="1"/>
  <c r="R75" i="7"/>
  <c r="O75" i="7"/>
  <c r="S75" i="7" s="1"/>
  <c r="P75" i="7"/>
  <c r="T75" i="7" s="1"/>
  <c r="R67" i="7"/>
  <c r="V67" i="7" s="1"/>
  <c r="O67" i="7"/>
  <c r="P67" i="7"/>
  <c r="T67" i="7" s="1"/>
  <c r="R59" i="7"/>
  <c r="O59" i="7"/>
  <c r="S59" i="7" s="1"/>
  <c r="P59" i="7"/>
  <c r="R51" i="7"/>
  <c r="V51" i="7" s="1"/>
  <c r="O51" i="7"/>
  <c r="S51" i="7" s="1"/>
  <c r="P51" i="7"/>
  <c r="T51" i="7" s="1"/>
  <c r="R43" i="7"/>
  <c r="O43" i="7"/>
  <c r="S43" i="7" s="1"/>
  <c r="P43" i="7"/>
  <c r="R35" i="7"/>
  <c r="V35" i="7" s="1"/>
  <c r="O35" i="7"/>
  <c r="S35" i="7" s="1"/>
  <c r="P35" i="7"/>
  <c r="T35" i="7" s="1"/>
  <c r="R27" i="7"/>
  <c r="V27" i="7" s="1"/>
  <c r="O27" i="7"/>
  <c r="S27" i="7" s="1"/>
  <c r="P27" i="7"/>
  <c r="R19" i="7"/>
  <c r="V19" i="7" s="1"/>
  <c r="O19" i="7"/>
  <c r="S19" i="7" s="1"/>
  <c r="P19" i="7"/>
  <c r="R11" i="7"/>
  <c r="V11" i="7" s="1"/>
  <c r="O11" i="7"/>
  <c r="S11" i="7" s="1"/>
  <c r="P11" i="7"/>
  <c r="T11" i="7" s="1"/>
  <c r="R3" i="7"/>
  <c r="V3" i="7" s="1"/>
  <c r="O3" i="7"/>
  <c r="P3" i="7"/>
  <c r="T3" i="7" s="1"/>
  <c r="Q194" i="7"/>
  <c r="S194" i="7"/>
  <c r="T194" i="7"/>
  <c r="U194" i="7"/>
  <c r="Q186" i="7"/>
  <c r="U186" i="7" s="1"/>
  <c r="S186" i="7"/>
  <c r="V186" i="7"/>
  <c r="Q178" i="7"/>
  <c r="U178" i="7" s="1"/>
  <c r="S178" i="7"/>
  <c r="T178" i="7"/>
  <c r="V170" i="7"/>
  <c r="T170" i="7"/>
  <c r="Q170" i="7"/>
  <c r="U170" i="7"/>
  <c r="S162" i="7"/>
  <c r="V162" i="7"/>
  <c r="T162" i="7"/>
  <c r="Q162" i="7"/>
  <c r="U162" i="7" s="1"/>
  <c r="S154" i="7"/>
  <c r="V154" i="7"/>
  <c r="T154" i="7"/>
  <c r="Q154" i="7"/>
  <c r="U154" i="7" s="1"/>
  <c r="S146" i="7"/>
  <c r="V146" i="7"/>
  <c r="Q146" i="7"/>
  <c r="U146" i="7" s="1"/>
  <c r="T146" i="7"/>
  <c r="V138" i="7"/>
  <c r="U138" i="7"/>
  <c r="Q138" i="7"/>
  <c r="T138" i="7"/>
  <c r="S130" i="7"/>
  <c r="V130" i="7"/>
  <c r="Q130" i="7"/>
  <c r="U130" i="7" s="1"/>
  <c r="T130" i="7"/>
  <c r="S122" i="7"/>
  <c r="V122" i="7"/>
  <c r="Q122" i="7"/>
  <c r="U122" i="7" s="1"/>
  <c r="S114" i="7"/>
  <c r="V114" i="7"/>
  <c r="Q114" i="7"/>
  <c r="T114" i="7"/>
  <c r="U114" i="7"/>
  <c r="V106" i="7"/>
  <c r="U106" i="7"/>
  <c r="Q106" i="7"/>
  <c r="T106" i="7"/>
  <c r="S98" i="7"/>
  <c r="V98" i="7"/>
  <c r="Q98" i="7"/>
  <c r="U98" i="7" s="1"/>
  <c r="T98" i="7"/>
  <c r="S90" i="7"/>
  <c r="V90" i="7"/>
  <c r="U90" i="7"/>
  <c r="Q90" i="7"/>
  <c r="T90" i="7"/>
  <c r="S82" i="7"/>
  <c r="V82" i="7"/>
  <c r="Q82" i="7"/>
  <c r="T82" i="7"/>
  <c r="U82" i="7"/>
  <c r="S74" i="7"/>
  <c r="V74" i="7"/>
  <c r="U74" i="7"/>
  <c r="Q74" i="7"/>
  <c r="T74" i="7"/>
  <c r="S66" i="7"/>
  <c r="V66" i="7"/>
  <c r="Q66" i="7"/>
  <c r="U66" i="7" s="1"/>
  <c r="T66" i="7"/>
  <c r="V58" i="7"/>
  <c r="Q58" i="7"/>
  <c r="U58" i="7" s="1"/>
  <c r="T58" i="7"/>
  <c r="S50" i="7"/>
  <c r="V50" i="7"/>
  <c r="Q50" i="7"/>
  <c r="T50" i="7"/>
  <c r="U50" i="7"/>
  <c r="S42" i="7"/>
  <c r="V42" i="7"/>
  <c r="U42" i="7"/>
  <c r="Q42" i="7"/>
  <c r="T42" i="7"/>
  <c r="V34" i="7"/>
  <c r="Q34" i="7"/>
  <c r="U34" i="7" s="1"/>
  <c r="T34" i="7"/>
  <c r="S26" i="7"/>
  <c r="V26" i="7"/>
  <c r="Q26" i="7"/>
  <c r="U26" i="7" s="1"/>
  <c r="T26" i="7"/>
  <c r="S18" i="7"/>
  <c r="T18" i="7"/>
  <c r="V18" i="7"/>
  <c r="Q18" i="7"/>
  <c r="U18" i="7" s="1"/>
  <c r="S10" i="7"/>
  <c r="T10" i="7"/>
  <c r="V10" i="7"/>
  <c r="Q10" i="7"/>
  <c r="U10" i="7" s="1"/>
  <c r="P2" i="7"/>
  <c r="T2" i="7" s="1"/>
  <c r="P196" i="7"/>
  <c r="T196" i="7" s="1"/>
  <c r="P189" i="7"/>
  <c r="T189" i="7" s="1"/>
  <c r="P183" i="7"/>
  <c r="T183" i="7" s="1"/>
  <c r="O177" i="7"/>
  <c r="S177" i="7" s="1"/>
  <c r="O170" i="7"/>
  <c r="S170" i="7" s="1"/>
  <c r="P164" i="7"/>
  <c r="T164" i="7" s="1"/>
  <c r="P157" i="7"/>
  <c r="T157" i="7" s="1"/>
  <c r="P151" i="7"/>
  <c r="O138" i="7"/>
  <c r="S138" i="7" s="1"/>
  <c r="P132" i="7"/>
  <c r="T132" i="7" s="1"/>
  <c r="P125" i="7"/>
  <c r="T125" i="7" s="1"/>
  <c r="P119" i="7"/>
  <c r="T119" i="7" s="1"/>
  <c r="O113" i="7"/>
  <c r="S113" i="7" s="1"/>
  <c r="O106" i="7"/>
  <c r="S106" i="7" s="1"/>
  <c r="P100" i="7"/>
  <c r="T100" i="7" s="1"/>
  <c r="P93" i="7"/>
  <c r="T93" i="7" s="1"/>
  <c r="O86" i="7"/>
  <c r="S86" i="7" s="1"/>
  <c r="P76" i="7"/>
  <c r="T76" i="7" s="1"/>
  <c r="P65" i="7"/>
  <c r="T65" i="7" s="1"/>
  <c r="O54" i="7"/>
  <c r="S54" i="7" s="1"/>
  <c r="P44" i="7"/>
  <c r="T44" i="7" s="1"/>
  <c r="P33" i="7"/>
  <c r="T33" i="7" s="1"/>
  <c r="O22" i="7"/>
  <c r="S22" i="7" s="1"/>
  <c r="P12" i="7"/>
  <c r="T12" i="7" s="1"/>
  <c r="R200" i="7"/>
  <c r="V200" i="7" s="1"/>
  <c r="R158" i="7"/>
  <c r="V158" i="7" s="1"/>
  <c r="R136" i="7"/>
  <c r="V136" i="7" s="1"/>
  <c r="R108" i="7"/>
  <c r="V108" i="7" s="1"/>
  <c r="R78" i="7"/>
  <c r="V78" i="7" s="1"/>
  <c r="R41" i="7"/>
  <c r="V41" i="7" s="1"/>
  <c r="Q140" i="7"/>
  <c r="U140" i="7" s="1"/>
  <c r="Q38" i="7"/>
  <c r="V2" i="7"/>
  <c r="V194" i="7"/>
  <c r="T186" i="7"/>
  <c r="T148" i="7"/>
  <c r="T122" i="7"/>
  <c r="S6" i="7"/>
  <c r="T6" i="7"/>
  <c r="V6" i="7"/>
  <c r="Q6" i="7"/>
  <c r="U6" i="7" s="1"/>
  <c r="S4" i="7"/>
  <c r="T4" i="7"/>
  <c r="V4" i="7"/>
  <c r="Q4" i="7"/>
  <c r="U4" i="7" s="1"/>
  <c r="S3" i="7"/>
  <c r="Q3" i="7"/>
  <c r="U3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06F3F-A1F6-4C31-866E-E6731F289493}" keepAlive="1" name="Zapytanie — pomiary" description="Połączenie z zapytaniem „pomiary” w skoroszycie." type="5" refreshedVersion="0" background="1">
    <dbPr connection="Provider=Microsoft.Mashup.OleDb.1;Data Source=$Workbook$;Location=pomiary;Extended Properties=&quot;&quot;" command="SELECT * FROM [pomiary]"/>
  </connection>
</connections>
</file>

<file path=xl/sharedStrings.xml><?xml version="1.0" encoding="utf-8"?>
<sst xmlns="http://schemas.openxmlformats.org/spreadsheetml/2006/main" count="147" uniqueCount="36">
  <si>
    <t>data</t>
  </si>
  <si>
    <t>godzina</t>
  </si>
  <si>
    <t>czujnik1</t>
  </si>
  <si>
    <t>czujnik2</t>
  </si>
  <si>
    <t>czujnik3</t>
  </si>
  <si>
    <t>czujnik4</t>
  </si>
  <si>
    <t>czujnik5</t>
  </si>
  <si>
    <t>czujnik6</t>
  </si>
  <si>
    <t>czujnik7</t>
  </si>
  <si>
    <t>czujnik8</t>
  </si>
  <si>
    <t>czujnik9</t>
  </si>
  <si>
    <t>czujnik10</t>
  </si>
  <si>
    <t>godz</t>
  </si>
  <si>
    <t>minuta</t>
  </si>
  <si>
    <t>czy 5-12</t>
  </si>
  <si>
    <t>suma rocznej temo 5-12</t>
  </si>
  <si>
    <t>srednia roczna 5-12</t>
  </si>
  <si>
    <t>Suma końcowa</t>
  </si>
  <si>
    <t>miesiac</t>
  </si>
  <si>
    <t>Etykiety wierszy</t>
  </si>
  <si>
    <t>Suma z czujnik10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</si>
  <si>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</si>
  <si>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</si>
  <si>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</si>
  <si>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</si>
  <si>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</si>
  <si>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</si>
  <si>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</si>
  <si>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</si>
  <si>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</si>
  <si>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</si>
  <si>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</si>
  <si>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</si>
  <si>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liczba pomiarow -10 15</t>
  </si>
  <si>
    <t>liczba pomiarow 15 20</t>
  </si>
  <si>
    <t>dzien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</si>
</sst>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16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164" fontId="0" fillId="0" borderId="2" xfId="0" applyNumberFormat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Średnie wartości</a:t>
            </a:r>
            <a:r>
              <a:rPr lang="pl-PL" baseline="0"/>
              <a:t> temperatury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'5.3'!$S$11:$S$22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'5.3'!$T$11:$T$22</c:f>
              <c:numCache>
                <c:formatCode>General</c:formatCode>
                <c:ptCount val="12"/>
                <c:pt idx="0">
                  <c:v>0.91</c:v>
                </c:pt>
                <c:pt idx="1">
                  <c:v>0.42</c:v>
                </c:pt>
                <c:pt idx="2">
                  <c:v>0.33</c:v>
                </c:pt>
                <c:pt idx="3">
                  <c:v>0.49</c:v>
                </c:pt>
                <c:pt idx="4">
                  <c:v>0.33</c:v>
                </c:pt>
                <c:pt idx="5">
                  <c:v>0.27</c:v>
                </c:pt>
                <c:pt idx="6">
                  <c:v>0.33</c:v>
                </c:pt>
                <c:pt idx="7">
                  <c:v>0.27</c:v>
                </c:pt>
                <c:pt idx="8">
                  <c:v>0.42</c:v>
                </c:pt>
                <c:pt idx="9">
                  <c:v>0.33</c:v>
                </c:pt>
                <c:pt idx="10">
                  <c:v>0.37</c:v>
                </c:pt>
                <c:pt idx="1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C-4843-A845-B86A126EA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5356944"/>
        <c:axId val="425358024"/>
      </c:barChart>
      <c:catAx>
        <c:axId val="42535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358024"/>
        <c:crosses val="autoZero"/>
        <c:auto val="1"/>
        <c:lblAlgn val="ctr"/>
        <c:lblOffset val="100"/>
        <c:noMultiLvlLbl val="0"/>
      </c:catAx>
      <c:valAx>
        <c:axId val="42535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średnia wartość temperatury w stopniach Celsjusza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535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115734</xdr:colOff>
      <xdr:row>9</xdr:row>
      <xdr:rowOff>128843</xdr:rowOff>
    </xdr:from>
    <xdr:to>
      <xdr:col>27</xdr:col>
      <xdr:colOff>386121</xdr:colOff>
      <xdr:row>24</xdr:row>
      <xdr:rowOff>106721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F9A0F28-7B82-3044-A74C-9350659AC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422.777989699076" createdVersion="8" refreshedVersion="8" minRefreshableVersion="3" recordCount="200" xr:uid="{94885416-C24C-49C0-8308-8549360058AA}">
  <cacheSource type="worksheet">
    <worksheetSource ref="A1:M201" sheet="5.3"/>
  </cacheSource>
  <cacheFields count="13">
    <cacheField name="data" numFmtId="14">
      <sharedItems containsSemiMixedTypes="0" containsNonDate="0" containsDate="1" containsString="0" minDate="2016-01-05T00:00:00" maxDate="2016-12-29T00:00:00"/>
    </cacheField>
    <cacheField name="godzina" numFmtId="164">
      <sharedItems containsSemiMixedTypes="0" containsNonDate="0" containsDate="1" containsString="0" minDate="1899-12-30T00:00:00" maxDate="1899-12-30T12:10:00"/>
    </cacheField>
    <cacheField name="czujnik1" numFmtId="0">
      <sharedItems containsSemiMixedTypes="0" containsString="0" containsNumber="1" minValue="-7.37" maxValue="24.97"/>
    </cacheField>
    <cacheField name="czujnik2" numFmtId="0">
      <sharedItems containsSemiMixedTypes="0" containsString="0" containsNumber="1" minValue="-7.98" maxValue="24.93"/>
    </cacheField>
    <cacheField name="czujnik3" numFmtId="0">
      <sharedItems containsSemiMixedTypes="0" containsString="0" containsNumber="1" minValue="-7.83" maxValue="24.91"/>
    </cacheField>
    <cacheField name="czujnik4" numFmtId="0">
      <sharedItems containsSemiMixedTypes="0" containsString="0" containsNumber="1" minValue="-7.67" maxValue="24.76"/>
    </cacheField>
    <cacheField name="czujnik5" numFmtId="0">
      <sharedItems containsSemiMixedTypes="0" containsString="0" containsNumber="1" minValue="-7.58" maxValue="24.61"/>
    </cacheField>
    <cacheField name="czujnik6" numFmtId="0">
      <sharedItems containsSemiMixedTypes="0" containsString="0" containsNumber="1" minValue="-7.74" maxValue="24.99"/>
    </cacheField>
    <cacheField name="czujnik7" numFmtId="0">
      <sharedItems containsSemiMixedTypes="0" containsString="0" containsNumber="1" minValue="-7.96" maxValue="24.85"/>
    </cacheField>
    <cacheField name="czujnik8" numFmtId="0">
      <sharedItems containsSemiMixedTypes="0" containsString="0" containsNumber="1" minValue="-7.17" maxValue="24.93"/>
    </cacheField>
    <cacheField name="czujnik9" numFmtId="0">
      <sharedItems containsSemiMixedTypes="0" containsString="0" containsNumber="1" minValue="-7.56" maxValue="24.9"/>
    </cacheField>
    <cacheField name="czujnik10" numFmtId="0">
      <sharedItems containsSemiMixedTypes="0" containsString="0" containsNumber="1" minValue="-7.39" maxValue="24.8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16-01-05T00:00:00"/>
    <d v="1899-12-30T11:11:00"/>
    <n v="0.61"/>
    <n v="-4.9800000000000004"/>
    <n v="-1.56"/>
    <n v="-5.59"/>
    <n v="-2.8"/>
    <n v="3.39"/>
    <n v="2.81"/>
    <n v="-1.6"/>
    <n v="1.71"/>
    <n v="4.53"/>
    <x v="0"/>
  </r>
  <r>
    <d v="2016-01-08T00:00:00"/>
    <d v="1899-12-30T07:00:00"/>
    <n v="-4.5"/>
    <n v="2.56"/>
    <n v="-5.28"/>
    <n v="-6.02"/>
    <n v="-5.78"/>
    <n v="-7.56"/>
    <n v="-2.48"/>
    <n v="3.31"/>
    <n v="-5.4"/>
    <n v="0.03"/>
    <x v="0"/>
  </r>
  <r>
    <d v="2016-01-18T00:00:00"/>
    <d v="1899-12-30T10:12:00"/>
    <n v="2.59"/>
    <n v="-7.29"/>
    <n v="1.55"/>
    <n v="6.79"/>
    <n v="3.87"/>
    <n v="-7.74"/>
    <n v="4.5199999999999996"/>
    <n v="-4.7699999999999996"/>
    <n v="-3.88"/>
    <n v="-4.25"/>
    <x v="0"/>
  </r>
  <r>
    <d v="2016-01-20T00:00:00"/>
    <d v="1899-12-30T00:08:00"/>
    <n v="7.76"/>
    <n v="-7.18"/>
    <n v="-0.49"/>
    <n v="-2.23"/>
    <n v="6.46"/>
    <n v="3.09"/>
    <n v="-0.48"/>
    <n v="-2.84"/>
    <n v="-1.31"/>
    <n v="-2.96"/>
    <x v="0"/>
  </r>
  <r>
    <d v="2016-01-21T00:00:00"/>
    <d v="1899-12-30T10:02:00"/>
    <n v="7.12"/>
    <n v="5.13"/>
    <n v="-3.67"/>
    <n v="-3.5"/>
    <n v="8.14"/>
    <n v="-5.31"/>
    <n v="-0.44"/>
    <n v="0.87"/>
    <n v="-5.21"/>
    <n v="-3.49"/>
    <x v="0"/>
  </r>
  <r>
    <d v="2016-01-22T00:00:00"/>
    <d v="1899-12-30T03:11:00"/>
    <n v="4.1100000000000003"/>
    <n v="0.85"/>
    <n v="-3.78"/>
    <n v="-7.4"/>
    <n v="3.55"/>
    <n v="-3.54"/>
    <n v="-3.92"/>
    <n v="1.5"/>
    <n v="-3.41"/>
    <n v="4.67"/>
    <x v="0"/>
  </r>
  <r>
    <d v="2016-01-30T00:00:00"/>
    <d v="1899-12-30T01:06:00"/>
    <n v="-5.38"/>
    <n v="5.93"/>
    <n v="-7.57"/>
    <n v="4.72"/>
    <n v="2.64"/>
    <n v="7.75"/>
    <n v="-4.3499999999999996"/>
    <n v="-6.59"/>
    <n v="-7.28"/>
    <n v="7.83"/>
    <x v="0"/>
  </r>
  <r>
    <d v="2016-02-05T00:00:00"/>
    <d v="1899-12-30T03:02:00"/>
    <n v="3.21"/>
    <n v="-7.03"/>
    <n v="-6.63"/>
    <n v="-2.59"/>
    <n v="6.44"/>
    <n v="1.67"/>
    <n v="7.34"/>
    <n v="7.78"/>
    <n v="2.48"/>
    <n v="-2.82"/>
    <x v="1"/>
  </r>
  <r>
    <d v="2016-02-06T00:00:00"/>
    <d v="1899-12-30T02:06:00"/>
    <n v="1.94"/>
    <n v="1.72"/>
    <n v="-1.91"/>
    <n v="-5.44"/>
    <n v="2.11"/>
    <n v="-2.93"/>
    <n v="-3.28"/>
    <n v="-7.12"/>
    <n v="2.12"/>
    <n v="7.35"/>
    <x v="1"/>
  </r>
  <r>
    <d v="2016-02-06T00:00:00"/>
    <d v="1899-12-30T05:04:00"/>
    <n v="8.81"/>
    <n v="-1.66"/>
    <n v="2.0099999999999998"/>
    <n v="1.63"/>
    <n v="8.82"/>
    <n v="4.05"/>
    <n v="-5.04"/>
    <n v="8.32"/>
    <n v="-6.62"/>
    <n v="-7.35"/>
    <x v="1"/>
  </r>
  <r>
    <d v="2016-02-09T00:00:00"/>
    <d v="1899-12-30T08:03:00"/>
    <n v="4"/>
    <n v="-6.72"/>
    <n v="2.4300000000000002"/>
    <n v="-2.0299999999999998"/>
    <n v="-3.87"/>
    <n v="-3.7"/>
    <n v="-7.09"/>
    <n v="2.88"/>
    <n v="2.58"/>
    <n v="-6.66"/>
    <x v="1"/>
  </r>
  <r>
    <d v="2016-02-10T00:00:00"/>
    <d v="1899-12-30T06:07:00"/>
    <n v="-4.59"/>
    <n v="5.74"/>
    <n v="-6.21"/>
    <n v="-3.63"/>
    <n v="7.35"/>
    <n v="-7.64"/>
    <n v="-5.73"/>
    <n v="-6.54"/>
    <n v="-2.4300000000000002"/>
    <n v="-1.43"/>
    <x v="1"/>
  </r>
  <r>
    <d v="2016-02-10T00:00:00"/>
    <d v="1899-12-30T08:07:00"/>
    <n v="-5.82"/>
    <n v="5.44"/>
    <n v="-2.4700000000000002"/>
    <n v="-5.69"/>
    <n v="8.43"/>
    <n v="-6.41"/>
    <n v="-7.59"/>
    <n v="4.29"/>
    <n v="-7.29"/>
    <n v="8.5299999999999994"/>
    <x v="1"/>
  </r>
  <r>
    <d v="2016-02-13T00:00:00"/>
    <d v="1899-12-30T00:02:00"/>
    <n v="8.26"/>
    <n v="8.5"/>
    <n v="-7.75"/>
    <n v="-2.67"/>
    <n v="6.6"/>
    <n v="1.58"/>
    <n v="-3.2"/>
    <n v="5.46"/>
    <n v="-4.66"/>
    <n v="0.5"/>
    <x v="1"/>
  </r>
  <r>
    <d v="2016-02-15T00:00:00"/>
    <d v="1899-12-30T04:06:00"/>
    <n v="7.43"/>
    <n v="7.88"/>
    <n v="-0.11"/>
    <n v="-2.4700000000000002"/>
    <n v="-7.25"/>
    <n v="7.27"/>
    <n v="-5.15"/>
    <n v="-4.8499999999999996"/>
    <n v="-4.21"/>
    <n v="-5.55"/>
    <x v="1"/>
  </r>
  <r>
    <d v="2016-02-15T00:00:00"/>
    <d v="1899-12-30T07:02:00"/>
    <n v="-7.37"/>
    <n v="2.31"/>
    <n v="-0.37"/>
    <n v="-4.1900000000000004"/>
    <n v="-6.75"/>
    <n v="0.15"/>
    <n v="0.08"/>
    <n v="-4.58"/>
    <n v="-6.18"/>
    <n v="3.43"/>
    <x v="1"/>
  </r>
  <r>
    <d v="2016-02-18T00:00:00"/>
    <d v="1899-12-30T04:06:00"/>
    <n v="7.78"/>
    <n v="1.59"/>
    <n v="-5.23"/>
    <n v="-2.54"/>
    <n v="3.66"/>
    <n v="-0.8"/>
    <n v="-2.56"/>
    <n v="-6.56"/>
    <n v="-6.35"/>
    <n v="3.21"/>
    <x v="1"/>
  </r>
  <r>
    <d v="2016-02-18T00:00:00"/>
    <d v="1899-12-30T07:00:00"/>
    <n v="-5.59"/>
    <n v="1.44"/>
    <n v="-6.2"/>
    <n v="-5.44"/>
    <n v="1.63"/>
    <n v="1.55"/>
    <n v="8.8000000000000007"/>
    <n v="0.74"/>
    <n v="1.7"/>
    <n v="-3.25"/>
    <x v="1"/>
  </r>
  <r>
    <d v="2016-02-18T00:00:00"/>
    <d v="1899-12-30T11:05:00"/>
    <n v="-5.61"/>
    <n v="-2.42"/>
    <n v="0.12"/>
    <n v="3.36"/>
    <n v="5.61"/>
    <n v="-1.1399999999999999"/>
    <n v="4.45"/>
    <n v="2.27"/>
    <n v="1.38"/>
    <n v="8.69"/>
    <x v="1"/>
  </r>
  <r>
    <d v="2016-02-20T00:00:00"/>
    <d v="1899-12-30T05:03:00"/>
    <n v="8.91"/>
    <n v="-0.83"/>
    <n v="6.24"/>
    <n v="4.74"/>
    <n v="1.06"/>
    <n v="-0.73"/>
    <n v="4.0199999999999996"/>
    <n v="2.9"/>
    <n v="-2.0099999999999998"/>
    <n v="-2.02"/>
    <x v="1"/>
  </r>
  <r>
    <d v="2016-02-21T00:00:00"/>
    <d v="1899-12-30T11:07:00"/>
    <n v="6.18"/>
    <n v="6.14"/>
    <n v="4.24"/>
    <n v="-4"/>
    <n v="-2.92"/>
    <n v="5.0599999999999996"/>
    <n v="-1.26"/>
    <n v="4.6399999999999997"/>
    <n v="-2.96"/>
    <n v="2.82"/>
    <x v="1"/>
  </r>
  <r>
    <d v="2016-02-24T00:00:00"/>
    <d v="1899-12-30T04:06:00"/>
    <n v="-3.2"/>
    <n v="-4.18"/>
    <n v="2.99"/>
    <n v="0.22"/>
    <n v="-3.48"/>
    <n v="-2.68"/>
    <n v="0.11"/>
    <n v="-3.65"/>
    <n v="-4.0999999999999996"/>
    <n v="-3.09"/>
    <x v="1"/>
  </r>
  <r>
    <d v="2016-03-01T00:00:00"/>
    <d v="1899-12-30T00:00:00"/>
    <n v="6.8"/>
    <n v="-2.64"/>
    <n v="5.9"/>
    <n v="-2.1"/>
    <n v="1.89"/>
    <n v="6.73"/>
    <n v="-7.96"/>
    <n v="7.18"/>
    <n v="7.33"/>
    <n v="-6.44"/>
    <x v="2"/>
  </r>
  <r>
    <d v="2016-03-02T00:00:00"/>
    <d v="1899-12-30T04:03:00"/>
    <n v="-3.15"/>
    <n v="-1.58"/>
    <n v="-7.5"/>
    <n v="6.68"/>
    <n v="-4.1900000000000004"/>
    <n v="-7.39"/>
    <n v="3.37"/>
    <n v="-2.67"/>
    <n v="6.36"/>
    <n v="-2.61"/>
    <x v="2"/>
  </r>
  <r>
    <d v="2016-03-04T00:00:00"/>
    <d v="1899-12-30T07:00:00"/>
    <n v="-4.3899999999999997"/>
    <n v="-3.86"/>
    <n v="-0.97"/>
    <n v="-4.82"/>
    <n v="-1.0900000000000001"/>
    <n v="1.4"/>
    <n v="6.56"/>
    <n v="-2.7"/>
    <n v="5.24"/>
    <n v="8.8699999999999992"/>
    <x v="2"/>
  </r>
  <r>
    <d v="2016-03-06T00:00:00"/>
    <d v="1899-12-30T08:09:00"/>
    <n v="1.07"/>
    <n v="4.49"/>
    <n v="4.04"/>
    <n v="7.86"/>
    <n v="-1.99"/>
    <n v="-0.56999999999999995"/>
    <n v="8.09"/>
    <n v="-0.82"/>
    <n v="1.63"/>
    <n v="-1.1200000000000001"/>
    <x v="2"/>
  </r>
  <r>
    <d v="2016-03-07T00:00:00"/>
    <d v="1899-12-30T11:03:00"/>
    <n v="-4.32"/>
    <n v="-4.3"/>
    <n v="-6.06"/>
    <n v="0.23"/>
    <n v="-3.83"/>
    <n v="-6.11"/>
    <n v="-7.52"/>
    <n v="1.75"/>
    <n v="2.57"/>
    <n v="7.82"/>
    <x v="2"/>
  </r>
  <r>
    <d v="2016-03-10T00:00:00"/>
    <d v="1899-12-30T12:04:00"/>
    <n v="8.94"/>
    <n v="-7.98"/>
    <n v="7.41"/>
    <n v="4.46"/>
    <n v="-3.8"/>
    <n v="-7.71"/>
    <n v="3.58"/>
    <n v="-3.33"/>
    <n v="3.39"/>
    <n v="6.28"/>
    <x v="2"/>
  </r>
  <r>
    <d v="2016-03-12T00:00:00"/>
    <d v="1899-12-30T05:08:00"/>
    <n v="-2.84"/>
    <n v="-3.79"/>
    <n v="4.34"/>
    <n v="6.3"/>
    <n v="-7.58"/>
    <n v="8.26"/>
    <n v="-6.5"/>
    <n v="-5.8"/>
    <n v="-7.56"/>
    <n v="-2.5099999999999998"/>
    <x v="2"/>
  </r>
  <r>
    <d v="2016-03-15T00:00:00"/>
    <d v="1899-12-30T03:02:00"/>
    <n v="-2.0099999999999998"/>
    <n v="0.62"/>
    <n v="4.95"/>
    <n v="6.62"/>
    <n v="-2.5"/>
    <n v="7.05"/>
    <n v="-7.33"/>
    <n v="7.96"/>
    <n v="4.51"/>
    <n v="8.17"/>
    <x v="2"/>
  </r>
  <r>
    <d v="2016-03-18T00:00:00"/>
    <d v="1899-12-30T00:12:00"/>
    <n v="1.44"/>
    <n v="-7.21"/>
    <n v="-6.65"/>
    <n v="2.21"/>
    <n v="4.62"/>
    <n v="1.66"/>
    <n v="5.0999999999999996"/>
    <n v="-6.89"/>
    <n v="-3.19"/>
    <n v="-7.39"/>
    <x v="2"/>
  </r>
  <r>
    <d v="2016-03-21T00:00:00"/>
    <d v="1899-12-30T03:01:00"/>
    <n v="0.98"/>
    <n v="7.64"/>
    <n v="6.1"/>
    <n v="6.46"/>
    <n v="-7.0000000000000007E-2"/>
    <n v="-2.93"/>
    <n v="-5.81"/>
    <n v="5.65"/>
    <n v="5.0999999999999996"/>
    <n v="8.25"/>
    <x v="2"/>
  </r>
  <r>
    <d v="2016-03-22T00:00:00"/>
    <d v="1899-12-30T12:10:00"/>
    <n v="5.83"/>
    <n v="7.18"/>
    <n v="-0.19"/>
    <n v="-2.12"/>
    <n v="4.26"/>
    <n v="-7.55"/>
    <n v="-6.66"/>
    <n v="-4.8"/>
    <n v="2.92"/>
    <n v="2.69"/>
    <x v="2"/>
  </r>
  <r>
    <d v="2016-03-23T00:00:00"/>
    <d v="1899-12-30T04:03:00"/>
    <n v="-5.39"/>
    <n v="-7.41"/>
    <n v="-3.6"/>
    <n v="0.98"/>
    <n v="-0.56000000000000005"/>
    <n v="-2.33"/>
    <n v="3.28"/>
    <n v="-2.19"/>
    <n v="4.6100000000000003"/>
    <n v="-5.94"/>
    <x v="2"/>
  </r>
  <r>
    <d v="2016-03-23T00:00:00"/>
    <d v="1899-12-30T06:02:00"/>
    <n v="7.98"/>
    <n v="4.6100000000000003"/>
    <n v="7.87"/>
    <n v="-1.44"/>
    <n v="4.1500000000000004"/>
    <n v="-2.5299999999999998"/>
    <n v="-5.96"/>
    <n v="3.23"/>
    <n v="-7.13"/>
    <n v="7.75"/>
    <x v="2"/>
  </r>
  <r>
    <d v="2016-03-25T00:00:00"/>
    <d v="1899-12-30T03:07:00"/>
    <n v="2.92"/>
    <n v="0.43"/>
    <n v="-7.83"/>
    <n v="-7.67"/>
    <n v="1.19"/>
    <n v="5.35"/>
    <n v="-4.1500000000000004"/>
    <n v="6.34"/>
    <n v="-5.17"/>
    <n v="1.39"/>
    <x v="2"/>
  </r>
  <r>
    <d v="2016-03-26T00:00:00"/>
    <d v="1899-12-30T08:08:00"/>
    <n v="5.68"/>
    <n v="-5.18"/>
    <n v="8.6199999999999992"/>
    <n v="3.66"/>
    <n v="7.27"/>
    <n v="-0.88"/>
    <n v="8.69"/>
    <n v="-6.24"/>
    <n v="-5.52"/>
    <n v="-4.67"/>
    <x v="2"/>
  </r>
  <r>
    <d v="2016-03-26T00:00:00"/>
    <d v="1899-12-30T09:05:00"/>
    <n v="-3.88"/>
    <n v="-5.21"/>
    <n v="8.26"/>
    <n v="-0.96"/>
    <n v="4.05"/>
    <n v="-4.3099999999999996"/>
    <n v="7.8"/>
    <n v="6.75"/>
    <n v="-0.73"/>
    <n v="7.28"/>
    <x v="2"/>
  </r>
  <r>
    <d v="2016-03-27T00:00:00"/>
    <d v="1899-12-30T05:08:00"/>
    <n v="-4.4800000000000004"/>
    <n v="-2.0499999999999998"/>
    <n v="-7.14"/>
    <n v="5.1100000000000003"/>
    <n v="6.37"/>
    <n v="7.34"/>
    <n v="-4.9000000000000004"/>
    <n v="-2.2599999999999998"/>
    <n v="0.23"/>
    <n v="7.99"/>
    <x v="2"/>
  </r>
  <r>
    <d v="2016-03-28T00:00:00"/>
    <d v="1899-12-30T04:08:00"/>
    <n v="-3.04"/>
    <n v="-1.24"/>
    <n v="2.62"/>
    <n v="4.42"/>
    <n v="7.46"/>
    <n v="0.77"/>
    <n v="-0.67"/>
    <n v="5.8"/>
    <n v="-7.14"/>
    <n v="6.48"/>
    <x v="2"/>
  </r>
  <r>
    <d v="2016-03-29T00:00:00"/>
    <d v="1899-12-30T07:09:00"/>
    <n v="-2.12"/>
    <n v="-6.19"/>
    <n v="4.76"/>
    <n v="4.5599999999999996"/>
    <n v="3.19"/>
    <n v="-2.29"/>
    <n v="5.0999999999999996"/>
    <n v="-5.75"/>
    <n v="3.63"/>
    <n v="1.36"/>
    <x v="2"/>
  </r>
  <r>
    <d v="2016-04-08T00:00:00"/>
    <d v="1899-12-30T05:05:00"/>
    <n v="10.07"/>
    <n v="12.84"/>
    <n v="10.24"/>
    <n v="13.91"/>
    <n v="10.67"/>
    <n v="14.11"/>
    <n v="15.18"/>
    <n v="13.07"/>
    <n v="14.39"/>
    <n v="13.78"/>
    <x v="3"/>
  </r>
  <r>
    <d v="2016-04-10T00:00:00"/>
    <d v="1899-12-30T09:08:00"/>
    <n v="14.14"/>
    <n v="15.33"/>
    <n v="13.07"/>
    <n v="12.04"/>
    <n v="13.18"/>
    <n v="12.65"/>
    <n v="10.72"/>
    <n v="11.66"/>
    <n v="13"/>
    <n v="14.21"/>
    <x v="3"/>
  </r>
  <r>
    <d v="2016-04-12T00:00:00"/>
    <d v="1899-12-30T01:05:00"/>
    <n v="11.6"/>
    <n v="13.95"/>
    <n v="15.13"/>
    <n v="10.73"/>
    <n v="15.09"/>
    <n v="15.98"/>
    <n v="11.74"/>
    <n v="15.38"/>
    <n v="15.98"/>
    <n v="12.9"/>
    <x v="3"/>
  </r>
  <r>
    <d v="2016-04-15T00:00:00"/>
    <d v="1899-12-30T10:04:00"/>
    <n v="14.13"/>
    <n v="13.61"/>
    <n v="14.61"/>
    <n v="13.88"/>
    <n v="15.76"/>
    <n v="10.85"/>
    <n v="12.11"/>
    <n v="12.05"/>
    <n v="11.87"/>
    <n v="12.1"/>
    <x v="3"/>
  </r>
  <r>
    <d v="2016-04-18T00:00:00"/>
    <d v="1899-12-30T07:05:00"/>
    <n v="10.88"/>
    <n v="12.02"/>
    <n v="10.26"/>
    <n v="15.41"/>
    <n v="15.57"/>
    <n v="13.27"/>
    <n v="12.18"/>
    <n v="13.91"/>
    <n v="13.86"/>
    <n v="10.08"/>
    <x v="3"/>
  </r>
  <r>
    <d v="2016-04-19T00:00:00"/>
    <d v="1899-12-30T00:03:00"/>
    <n v="15.28"/>
    <n v="13.58"/>
    <n v="12.71"/>
    <n v="14.72"/>
    <n v="12.47"/>
    <n v="12.44"/>
    <n v="14.64"/>
    <n v="14.58"/>
    <n v="13.66"/>
    <n v="13.6"/>
    <x v="3"/>
  </r>
  <r>
    <d v="2016-04-20T00:00:00"/>
    <d v="1899-12-30T09:09:00"/>
    <n v="11.09"/>
    <n v="15.36"/>
    <n v="11.14"/>
    <n v="13.51"/>
    <n v="10.08"/>
    <n v="15.95"/>
    <n v="14.45"/>
    <n v="13.94"/>
    <n v="15.76"/>
    <n v="13.03"/>
    <x v="3"/>
  </r>
  <r>
    <d v="2016-04-20T00:00:00"/>
    <d v="1899-12-30T11:01:00"/>
    <n v="10.38"/>
    <n v="13.04"/>
    <n v="11.9"/>
    <n v="10.14"/>
    <n v="12.18"/>
    <n v="14.79"/>
    <n v="13.13"/>
    <n v="13.52"/>
    <n v="15.54"/>
    <n v="13.14"/>
    <x v="3"/>
  </r>
  <r>
    <d v="2016-04-24T00:00:00"/>
    <d v="1899-12-30T06:06:00"/>
    <n v="15.66"/>
    <n v="10.97"/>
    <n v="10.1"/>
    <n v="12.99"/>
    <n v="11.07"/>
    <n v="11.1"/>
    <n v="10.64"/>
    <n v="12.18"/>
    <n v="12.63"/>
    <n v="12.33"/>
    <x v="3"/>
  </r>
  <r>
    <d v="2016-04-25T00:00:00"/>
    <d v="1899-12-30T02:01:00"/>
    <n v="11.94"/>
    <n v="13.57"/>
    <n v="10.050000000000001"/>
    <n v="11.85"/>
    <n v="10.59"/>
    <n v="14.12"/>
    <n v="14.27"/>
    <n v="15.81"/>
    <n v="14"/>
    <n v="14.16"/>
    <x v="3"/>
  </r>
  <r>
    <d v="2016-04-25T00:00:00"/>
    <d v="1899-12-30T02:02:00"/>
    <n v="14.53"/>
    <n v="13.21"/>
    <n v="10.84"/>
    <n v="10.95"/>
    <n v="11.65"/>
    <n v="11.34"/>
    <n v="13.76"/>
    <n v="12.75"/>
    <n v="10.43"/>
    <n v="12.8"/>
    <x v="3"/>
  </r>
  <r>
    <d v="2016-04-27T00:00:00"/>
    <d v="1899-12-30T10:07:00"/>
    <n v="10.98"/>
    <n v="10.53"/>
    <n v="14.64"/>
    <n v="15.37"/>
    <n v="13.4"/>
    <n v="14.22"/>
    <n v="11.15"/>
    <n v="12.45"/>
    <n v="12.96"/>
    <n v="11.15"/>
    <x v="3"/>
  </r>
  <r>
    <d v="2016-04-29T00:00:00"/>
    <d v="1899-12-30T08:00:00"/>
    <n v="12.88"/>
    <n v="11.25"/>
    <n v="12.97"/>
    <n v="11.16"/>
    <n v="10.89"/>
    <n v="10.210000000000001"/>
    <n v="11.49"/>
    <n v="15.32"/>
    <n v="12.4"/>
    <n v="13.67"/>
    <x v="3"/>
  </r>
  <r>
    <d v="2016-05-02T00:00:00"/>
    <d v="1899-12-30T10:04:00"/>
    <n v="11.74"/>
    <n v="12.79"/>
    <n v="11.07"/>
    <n v="15.77"/>
    <n v="14.3"/>
    <n v="11.61"/>
    <n v="12.88"/>
    <n v="12.58"/>
    <n v="13.63"/>
    <n v="15.37"/>
    <x v="4"/>
  </r>
  <r>
    <d v="2016-05-03T00:00:00"/>
    <d v="1899-12-30T08:03:00"/>
    <n v="13.25"/>
    <n v="14.97"/>
    <n v="14.88"/>
    <n v="14.41"/>
    <n v="10.82"/>
    <n v="14.32"/>
    <n v="13.72"/>
    <n v="10.88"/>
    <n v="12.95"/>
    <n v="12.52"/>
    <x v="4"/>
  </r>
  <r>
    <d v="2016-05-05T00:00:00"/>
    <d v="1899-12-30T07:05:00"/>
    <n v="10.66"/>
    <n v="10.59"/>
    <n v="15.14"/>
    <n v="12.6"/>
    <n v="11.47"/>
    <n v="14.91"/>
    <n v="14.33"/>
    <n v="14.52"/>
    <n v="11.65"/>
    <n v="15.58"/>
    <x v="4"/>
  </r>
  <r>
    <d v="2016-05-05T00:00:00"/>
    <d v="1899-12-30T10:07:00"/>
    <n v="12.4"/>
    <n v="11.85"/>
    <n v="12.06"/>
    <n v="14.95"/>
    <n v="15.02"/>
    <n v="15.09"/>
    <n v="12.53"/>
    <n v="11.35"/>
    <n v="13.64"/>
    <n v="10.47"/>
    <x v="4"/>
  </r>
  <r>
    <d v="2016-05-05T00:00:00"/>
    <d v="1899-12-30T11:10:00"/>
    <n v="14.22"/>
    <n v="11.25"/>
    <n v="14.05"/>
    <n v="12.08"/>
    <n v="10.1"/>
    <n v="15.84"/>
    <n v="12.87"/>
    <n v="15.35"/>
    <n v="12.14"/>
    <n v="11.93"/>
    <x v="4"/>
  </r>
  <r>
    <d v="2016-05-06T00:00:00"/>
    <d v="1899-12-30T10:06:00"/>
    <n v="14.83"/>
    <n v="10.01"/>
    <n v="15.51"/>
    <n v="11"/>
    <n v="11.29"/>
    <n v="13.42"/>
    <n v="15.92"/>
    <n v="15.81"/>
    <n v="11.2"/>
    <n v="15.53"/>
    <x v="4"/>
  </r>
  <r>
    <d v="2016-05-08T00:00:00"/>
    <d v="1899-12-30T03:06:00"/>
    <n v="13.62"/>
    <n v="13.57"/>
    <n v="12.68"/>
    <n v="15.88"/>
    <n v="13.23"/>
    <n v="14.1"/>
    <n v="15.41"/>
    <n v="11.12"/>
    <n v="10.81"/>
    <n v="13.61"/>
    <x v="4"/>
  </r>
  <r>
    <d v="2016-05-08T00:00:00"/>
    <d v="1899-12-30T05:05:00"/>
    <n v="12.25"/>
    <n v="14.89"/>
    <n v="13.86"/>
    <n v="13.98"/>
    <n v="11.99"/>
    <n v="15.06"/>
    <n v="11.13"/>
    <n v="13.91"/>
    <n v="15.56"/>
    <n v="10.97"/>
    <x v="4"/>
  </r>
  <r>
    <d v="2016-05-09T00:00:00"/>
    <d v="1899-12-30T05:05:00"/>
    <n v="15.82"/>
    <n v="14.33"/>
    <n v="10.41"/>
    <n v="11.75"/>
    <n v="15.72"/>
    <n v="11.51"/>
    <n v="11.37"/>
    <n v="15.73"/>
    <n v="15.44"/>
    <n v="11.55"/>
    <x v="4"/>
  </r>
  <r>
    <d v="2016-05-10T00:00:00"/>
    <d v="1899-12-30T08:04:00"/>
    <n v="12.47"/>
    <n v="14.01"/>
    <n v="15.38"/>
    <n v="12.72"/>
    <n v="12.33"/>
    <n v="14.07"/>
    <n v="11.91"/>
    <n v="14.59"/>
    <n v="10.58"/>
    <n v="13.95"/>
    <x v="4"/>
  </r>
  <r>
    <d v="2016-05-11T00:00:00"/>
    <d v="1899-12-30T07:00:00"/>
    <n v="15.8"/>
    <n v="13.11"/>
    <n v="13.43"/>
    <n v="10.32"/>
    <n v="14.2"/>
    <n v="11.41"/>
    <n v="10.69"/>
    <n v="15.02"/>
    <n v="12.21"/>
    <n v="10.54"/>
    <x v="4"/>
  </r>
  <r>
    <d v="2016-05-12T00:00:00"/>
    <d v="1899-12-30T05:06:00"/>
    <n v="11.1"/>
    <n v="10.71"/>
    <n v="10.75"/>
    <n v="13.22"/>
    <n v="14.26"/>
    <n v="12.59"/>
    <n v="12.93"/>
    <n v="15.27"/>
    <n v="13"/>
    <n v="13.55"/>
    <x v="4"/>
  </r>
  <r>
    <d v="2016-05-14T00:00:00"/>
    <d v="1899-12-30T06:04:00"/>
    <n v="11.68"/>
    <n v="11.47"/>
    <n v="13.02"/>
    <n v="15.91"/>
    <n v="15.06"/>
    <n v="12.81"/>
    <n v="13.48"/>
    <n v="15.31"/>
    <n v="12.15"/>
    <n v="15.42"/>
    <x v="4"/>
  </r>
  <r>
    <d v="2016-05-15T00:00:00"/>
    <d v="1899-12-30T05:12:00"/>
    <n v="10.51"/>
    <n v="14.98"/>
    <n v="11.3"/>
    <n v="13.92"/>
    <n v="11.65"/>
    <n v="11.59"/>
    <n v="12.63"/>
    <n v="11.94"/>
    <n v="15.32"/>
    <n v="15.34"/>
    <x v="4"/>
  </r>
  <r>
    <d v="2016-05-18T00:00:00"/>
    <d v="1899-12-30T10:07:00"/>
    <n v="15.87"/>
    <n v="13.65"/>
    <n v="11.34"/>
    <n v="11.16"/>
    <n v="13.12"/>
    <n v="15.5"/>
    <n v="15.84"/>
    <n v="12.26"/>
    <n v="10.69"/>
    <n v="15.72"/>
    <x v="4"/>
  </r>
  <r>
    <d v="2016-05-21T00:00:00"/>
    <d v="1899-12-30T04:01:00"/>
    <n v="10.07"/>
    <n v="14.53"/>
    <n v="10.54"/>
    <n v="13.02"/>
    <n v="10.56"/>
    <n v="15.58"/>
    <n v="14.05"/>
    <n v="13.12"/>
    <n v="14.65"/>
    <n v="14.15"/>
    <x v="4"/>
  </r>
  <r>
    <d v="2016-05-22T00:00:00"/>
    <d v="1899-12-30T07:08:00"/>
    <n v="13.92"/>
    <n v="10.86"/>
    <n v="11.05"/>
    <n v="14.16"/>
    <n v="11.48"/>
    <n v="10.45"/>
    <n v="14.61"/>
    <n v="12.83"/>
    <n v="12.25"/>
    <n v="14.67"/>
    <x v="4"/>
  </r>
  <r>
    <d v="2016-05-27T00:00:00"/>
    <d v="1899-12-30T09:08:00"/>
    <n v="15.58"/>
    <n v="13.33"/>
    <n v="15.53"/>
    <n v="12.12"/>
    <n v="10.78"/>
    <n v="15.67"/>
    <n v="12.74"/>
    <n v="12.88"/>
    <n v="11.93"/>
    <n v="11.17"/>
    <x v="4"/>
  </r>
  <r>
    <d v="2016-05-28T00:00:00"/>
    <d v="1899-12-30T02:09:00"/>
    <n v="14.66"/>
    <n v="12.46"/>
    <n v="12.31"/>
    <n v="10.050000000000001"/>
    <n v="15.48"/>
    <n v="15.29"/>
    <n v="15.23"/>
    <n v="15.32"/>
    <n v="13.62"/>
    <n v="15.68"/>
    <x v="4"/>
  </r>
  <r>
    <d v="2016-06-02T00:00:00"/>
    <d v="1899-12-30T10:05:00"/>
    <n v="19.510000000000002"/>
    <n v="12.69"/>
    <n v="11.38"/>
    <n v="15.99"/>
    <n v="15.35"/>
    <n v="17.239999999999998"/>
    <n v="12.54"/>
    <n v="12.24"/>
    <n v="13.03"/>
    <n v="19.329999999999998"/>
    <x v="5"/>
  </r>
  <r>
    <d v="2016-06-05T00:00:00"/>
    <d v="1899-12-30T02:03:00"/>
    <n v="10.039999999999999"/>
    <n v="10.19"/>
    <n v="19.75"/>
    <n v="15.2"/>
    <n v="18.100000000000001"/>
    <n v="14.37"/>
    <n v="15.28"/>
    <n v="11.85"/>
    <n v="12.32"/>
    <n v="12.94"/>
    <x v="5"/>
  </r>
  <r>
    <d v="2016-06-08T00:00:00"/>
    <d v="1899-12-30T03:02:00"/>
    <n v="11.12"/>
    <n v="15.77"/>
    <n v="19.170000000000002"/>
    <n v="10.32"/>
    <n v="10.9"/>
    <n v="10.58"/>
    <n v="16.86"/>
    <n v="17.149999999999999"/>
    <n v="19.41"/>
    <n v="12.24"/>
    <x v="5"/>
  </r>
  <r>
    <d v="2016-06-09T00:00:00"/>
    <d v="1899-12-30T01:05:00"/>
    <n v="14.55"/>
    <n v="15.16"/>
    <n v="11.74"/>
    <n v="18.350000000000001"/>
    <n v="10.87"/>
    <n v="14.03"/>
    <n v="14.75"/>
    <n v="18.78"/>
    <n v="15.52"/>
    <n v="18.690000000000001"/>
    <x v="5"/>
  </r>
  <r>
    <d v="2016-06-11T00:00:00"/>
    <d v="1899-12-30T04:08:00"/>
    <n v="17.7"/>
    <n v="15.76"/>
    <n v="11.34"/>
    <n v="15.04"/>
    <n v="16.18"/>
    <n v="12.14"/>
    <n v="13.44"/>
    <n v="14.12"/>
    <n v="15.27"/>
    <n v="13.19"/>
    <x v="5"/>
  </r>
  <r>
    <d v="2016-06-11T00:00:00"/>
    <d v="1899-12-30T10:03:00"/>
    <n v="13.13"/>
    <n v="12.12"/>
    <n v="11.6"/>
    <n v="11.76"/>
    <n v="16.309999999999999"/>
    <n v="19.27"/>
    <n v="17.64"/>
    <n v="14.87"/>
    <n v="11.94"/>
    <n v="15.91"/>
    <x v="5"/>
  </r>
  <r>
    <d v="2016-06-13T00:00:00"/>
    <d v="1899-12-30T04:09:00"/>
    <n v="10.39"/>
    <n v="13.61"/>
    <n v="11.2"/>
    <n v="14.79"/>
    <n v="12.21"/>
    <n v="16.760000000000002"/>
    <n v="13.09"/>
    <n v="14.26"/>
    <n v="10.45"/>
    <n v="11.46"/>
    <x v="5"/>
  </r>
  <r>
    <d v="2016-06-13T00:00:00"/>
    <d v="1899-12-30T11:00:00"/>
    <n v="13.07"/>
    <n v="17.61"/>
    <n v="13.36"/>
    <n v="19.489999999999998"/>
    <n v="17.190000000000001"/>
    <n v="12.99"/>
    <n v="17.79"/>
    <n v="18.54"/>
    <n v="11.92"/>
    <n v="16.47"/>
    <x v="5"/>
  </r>
  <r>
    <d v="2016-06-15T00:00:00"/>
    <d v="1899-12-30T06:09:00"/>
    <n v="17.18"/>
    <n v="18.510000000000002"/>
    <n v="18.23"/>
    <n v="18.190000000000001"/>
    <n v="17.61"/>
    <n v="16.04"/>
    <n v="14.39"/>
    <n v="18.010000000000002"/>
    <n v="14.9"/>
    <n v="10.26"/>
    <x v="5"/>
  </r>
  <r>
    <d v="2016-06-15T00:00:00"/>
    <d v="1899-12-30T11:04:00"/>
    <n v="11.02"/>
    <n v="16.95"/>
    <n v="12.02"/>
    <n v="10.31"/>
    <n v="17.45"/>
    <n v="18"/>
    <n v="10.19"/>
    <n v="13.26"/>
    <n v="12.17"/>
    <n v="14.58"/>
    <x v="5"/>
  </r>
  <r>
    <d v="2016-06-16T00:00:00"/>
    <d v="1899-12-30T02:09:00"/>
    <n v="12.05"/>
    <n v="13.7"/>
    <n v="12.71"/>
    <n v="15.73"/>
    <n v="19.93"/>
    <n v="19.27"/>
    <n v="11.13"/>
    <n v="14.74"/>
    <n v="15.42"/>
    <n v="12.66"/>
    <x v="5"/>
  </r>
  <r>
    <d v="2016-06-19T00:00:00"/>
    <d v="1899-12-30T09:03:00"/>
    <n v="13.82"/>
    <n v="17.8"/>
    <n v="19.18"/>
    <n v="10.64"/>
    <n v="11.3"/>
    <n v="11.15"/>
    <n v="14.03"/>
    <n v="17.32"/>
    <n v="18.63"/>
    <n v="15.76"/>
    <x v="5"/>
  </r>
  <r>
    <d v="2016-06-19T00:00:00"/>
    <d v="1899-12-30T11:10:00"/>
    <n v="19.010000000000002"/>
    <n v="13.1"/>
    <n v="14.77"/>
    <n v="11"/>
    <n v="19.510000000000002"/>
    <n v="15.48"/>
    <n v="11.75"/>
    <n v="17.54"/>
    <n v="11.08"/>
    <n v="14.23"/>
    <x v="5"/>
  </r>
  <r>
    <d v="2016-06-20T00:00:00"/>
    <d v="1899-12-30T00:03:00"/>
    <n v="17.27"/>
    <n v="13.06"/>
    <n v="16.12"/>
    <n v="19.010000000000002"/>
    <n v="13.96"/>
    <n v="10.029999999999999"/>
    <n v="14.22"/>
    <n v="14.88"/>
    <n v="15.12"/>
    <n v="19.73"/>
    <x v="5"/>
  </r>
  <r>
    <d v="2016-06-21T00:00:00"/>
    <d v="1899-12-30T04:05:00"/>
    <n v="14.93"/>
    <n v="18.36"/>
    <n v="18.34"/>
    <n v="10.06"/>
    <n v="16.440000000000001"/>
    <n v="16.829999999999998"/>
    <n v="18.079999999999998"/>
    <n v="11.2"/>
    <n v="10.56"/>
    <n v="17.22"/>
    <x v="5"/>
  </r>
  <r>
    <d v="2016-06-24T00:00:00"/>
    <d v="1899-12-30T07:10:00"/>
    <n v="15.51"/>
    <n v="16.440000000000001"/>
    <n v="10.02"/>
    <n v="13.71"/>
    <n v="10.98"/>
    <n v="17.39"/>
    <n v="13.73"/>
    <n v="17.8"/>
    <n v="14.59"/>
    <n v="12.5"/>
    <x v="5"/>
  </r>
  <r>
    <d v="2016-06-24T00:00:00"/>
    <d v="1899-12-30T09:04:00"/>
    <n v="12.83"/>
    <n v="14.61"/>
    <n v="19.86"/>
    <n v="19.43"/>
    <n v="12.83"/>
    <n v="14"/>
    <n v="17.329999999999998"/>
    <n v="12.58"/>
    <n v="12.47"/>
    <n v="12.04"/>
    <x v="5"/>
  </r>
  <r>
    <d v="2016-06-25T00:00:00"/>
    <d v="1899-12-30T06:05:00"/>
    <n v="16.3"/>
    <n v="10.32"/>
    <n v="17.690000000000001"/>
    <n v="19"/>
    <n v="17.54"/>
    <n v="16.2"/>
    <n v="15.17"/>
    <n v="10.66"/>
    <n v="10.1"/>
    <n v="12.04"/>
    <x v="5"/>
  </r>
  <r>
    <d v="2016-06-26T00:00:00"/>
    <d v="1899-12-30T02:02:00"/>
    <n v="16.03"/>
    <n v="12.49"/>
    <n v="18.23"/>
    <n v="11.56"/>
    <n v="15.34"/>
    <n v="18.190000000000001"/>
    <n v="12.2"/>
    <n v="18.04"/>
    <n v="14.52"/>
    <n v="15.9"/>
    <x v="5"/>
  </r>
  <r>
    <d v="2016-06-26T00:00:00"/>
    <d v="1899-12-30T04:03:00"/>
    <n v="19.47"/>
    <n v="19.760000000000002"/>
    <n v="11.95"/>
    <n v="16.28"/>
    <n v="13.33"/>
    <n v="19.91"/>
    <n v="19.73"/>
    <n v="15.06"/>
    <n v="15.39"/>
    <n v="13.54"/>
    <x v="5"/>
  </r>
  <r>
    <d v="2016-06-26T00:00:00"/>
    <d v="1899-12-30T08:12:00"/>
    <n v="14.55"/>
    <n v="11.62"/>
    <n v="12.91"/>
    <n v="18.72"/>
    <n v="18.2"/>
    <n v="12.03"/>
    <n v="16.760000000000002"/>
    <n v="10.38"/>
    <n v="18.149999999999999"/>
    <n v="14.5"/>
    <x v="5"/>
  </r>
  <r>
    <d v="2016-06-27T00:00:00"/>
    <d v="1899-12-30T08:03:00"/>
    <n v="11.26"/>
    <n v="11.81"/>
    <n v="12.66"/>
    <n v="16"/>
    <n v="11.63"/>
    <n v="19.61"/>
    <n v="12.55"/>
    <n v="11.68"/>
    <n v="14.08"/>
    <n v="13.96"/>
    <x v="5"/>
  </r>
  <r>
    <d v="2016-06-28T00:00:00"/>
    <d v="1899-12-30T12:09:00"/>
    <n v="10.77"/>
    <n v="10.91"/>
    <n v="17.600000000000001"/>
    <n v="13.5"/>
    <n v="16.27"/>
    <n v="12.44"/>
    <n v="11.01"/>
    <n v="16.079999999999998"/>
    <n v="12.3"/>
    <n v="11.35"/>
    <x v="5"/>
  </r>
  <r>
    <d v="2016-06-30T00:00:00"/>
    <d v="1899-12-30T01:06:00"/>
    <n v="15.43"/>
    <n v="17.52"/>
    <n v="12.01"/>
    <n v="10.31"/>
    <n v="13.52"/>
    <n v="13.39"/>
    <n v="11.34"/>
    <n v="10.31"/>
    <n v="11.07"/>
    <n v="18.52"/>
    <x v="5"/>
  </r>
  <r>
    <d v="2016-07-02T00:00:00"/>
    <d v="1899-12-30T05:11:00"/>
    <n v="22.57"/>
    <n v="24.93"/>
    <n v="23.16"/>
    <n v="21.19"/>
    <n v="22.95"/>
    <n v="20.79"/>
    <n v="23.65"/>
    <n v="24.3"/>
    <n v="22.91"/>
    <n v="21.31"/>
    <x v="6"/>
  </r>
  <r>
    <d v="2016-07-03T00:00:00"/>
    <d v="1899-12-30T00:06:00"/>
    <n v="21.12"/>
    <n v="24.03"/>
    <n v="20.46"/>
    <n v="20.329999999999998"/>
    <n v="24.18"/>
    <n v="23.01"/>
    <n v="24.57"/>
    <n v="22.83"/>
    <n v="21.55"/>
    <n v="23.87"/>
    <x v="6"/>
  </r>
  <r>
    <d v="2016-07-05T00:00:00"/>
    <d v="1899-12-30T02:05:00"/>
    <n v="22.29"/>
    <n v="22.16"/>
    <n v="22.9"/>
    <n v="20.04"/>
    <n v="21.27"/>
    <n v="21.55"/>
    <n v="21.51"/>
    <n v="23.98"/>
    <n v="24.01"/>
    <n v="23.77"/>
    <x v="6"/>
  </r>
  <r>
    <d v="2016-07-06T00:00:00"/>
    <d v="1899-12-30T01:08:00"/>
    <n v="20.5"/>
    <n v="21.83"/>
    <n v="21.96"/>
    <n v="20.58"/>
    <n v="23.33"/>
    <n v="23.73"/>
    <n v="23.65"/>
    <n v="20.9"/>
    <n v="24.06"/>
    <n v="21.13"/>
    <x v="6"/>
  </r>
  <r>
    <d v="2016-07-06T00:00:00"/>
    <d v="1899-12-30T11:03:00"/>
    <n v="20.62"/>
    <n v="20.23"/>
    <n v="22.96"/>
    <n v="22.48"/>
    <n v="23.59"/>
    <n v="24.99"/>
    <n v="21.26"/>
    <n v="20.149999999999999"/>
    <n v="23.52"/>
    <n v="20.04"/>
    <x v="6"/>
  </r>
  <r>
    <d v="2016-07-07T00:00:00"/>
    <d v="1899-12-30T00:04:00"/>
    <n v="24.62"/>
    <n v="20.59"/>
    <n v="23.7"/>
    <n v="21.55"/>
    <n v="21.85"/>
    <n v="21.12"/>
    <n v="21.24"/>
    <n v="24.93"/>
    <n v="21.9"/>
    <n v="20.5"/>
    <x v="6"/>
  </r>
  <r>
    <d v="2016-07-07T00:00:00"/>
    <d v="1899-12-30T00:08:00"/>
    <n v="23.53"/>
    <n v="22.47"/>
    <n v="24.91"/>
    <n v="22.53"/>
    <n v="20.56"/>
    <n v="23.64"/>
    <n v="21"/>
    <n v="20.55"/>
    <n v="24.08"/>
    <n v="20.49"/>
    <x v="6"/>
  </r>
  <r>
    <d v="2016-07-07T00:00:00"/>
    <d v="1899-12-30T01:05:00"/>
    <n v="23.8"/>
    <n v="20.78"/>
    <n v="20.56"/>
    <n v="20.5"/>
    <n v="20.16"/>
    <n v="21.68"/>
    <n v="23.86"/>
    <n v="21.14"/>
    <n v="23.1"/>
    <n v="22.53"/>
    <x v="6"/>
  </r>
  <r>
    <d v="2016-07-07T00:00:00"/>
    <d v="1899-12-30T11:11:00"/>
    <n v="21.04"/>
    <n v="22.45"/>
    <n v="21.06"/>
    <n v="20.149999999999999"/>
    <n v="24.31"/>
    <n v="22.72"/>
    <n v="24.67"/>
    <n v="21.12"/>
    <n v="23.35"/>
    <n v="22.54"/>
    <x v="6"/>
  </r>
  <r>
    <d v="2016-07-10T00:00:00"/>
    <d v="1899-12-30T10:07:00"/>
    <n v="23.49"/>
    <n v="22.55"/>
    <n v="24.66"/>
    <n v="23.56"/>
    <n v="20.260000000000002"/>
    <n v="22.27"/>
    <n v="20.440000000000001"/>
    <n v="22.27"/>
    <n v="24.47"/>
    <n v="23.03"/>
    <x v="6"/>
  </r>
  <r>
    <d v="2016-07-14T00:00:00"/>
    <d v="1899-12-30T01:00:00"/>
    <n v="20.99"/>
    <n v="21.37"/>
    <n v="22.15"/>
    <n v="22.76"/>
    <n v="20.25"/>
    <n v="23.8"/>
    <n v="23.38"/>
    <n v="20.5"/>
    <n v="21.65"/>
    <n v="24.8"/>
    <x v="6"/>
  </r>
  <r>
    <d v="2016-07-16T00:00:00"/>
    <d v="1899-12-30T09:08:00"/>
    <n v="20.18"/>
    <n v="24.07"/>
    <n v="24.25"/>
    <n v="20.170000000000002"/>
    <n v="21.08"/>
    <n v="22.83"/>
    <n v="23.53"/>
    <n v="23.6"/>
    <n v="23.16"/>
    <n v="21.42"/>
    <x v="6"/>
  </r>
  <r>
    <d v="2016-07-17T00:00:00"/>
    <d v="1899-12-30T01:07:00"/>
    <n v="24.46"/>
    <n v="23.9"/>
    <n v="24.19"/>
    <n v="20.14"/>
    <n v="23.6"/>
    <n v="23.67"/>
    <n v="24.85"/>
    <n v="24.77"/>
    <n v="24.75"/>
    <n v="22.32"/>
    <x v="6"/>
  </r>
  <r>
    <d v="2016-07-20T00:00:00"/>
    <d v="1899-12-30T01:05:00"/>
    <n v="20.62"/>
    <n v="21.57"/>
    <n v="22.99"/>
    <n v="23.14"/>
    <n v="22.4"/>
    <n v="23.83"/>
    <n v="21.63"/>
    <n v="21.9"/>
    <n v="22.89"/>
    <n v="22.3"/>
    <x v="6"/>
  </r>
  <r>
    <d v="2016-07-20T00:00:00"/>
    <d v="1899-12-30T01:07:00"/>
    <n v="24.97"/>
    <n v="23.55"/>
    <n v="24.91"/>
    <n v="21.77"/>
    <n v="23.58"/>
    <n v="23.03"/>
    <n v="22.25"/>
    <n v="22.37"/>
    <n v="22.57"/>
    <n v="22.02"/>
    <x v="6"/>
  </r>
  <r>
    <d v="2016-07-21T00:00:00"/>
    <d v="1899-12-30T04:02:00"/>
    <n v="24.04"/>
    <n v="21.89"/>
    <n v="23.85"/>
    <n v="22.87"/>
    <n v="24.33"/>
    <n v="24.38"/>
    <n v="21.95"/>
    <n v="21.37"/>
    <n v="20.45"/>
    <n v="24.51"/>
    <x v="6"/>
  </r>
  <r>
    <d v="2016-07-22T00:00:00"/>
    <d v="1899-12-30T06:02:00"/>
    <n v="20.96"/>
    <n v="22.03"/>
    <n v="20.89"/>
    <n v="24.62"/>
    <n v="22.22"/>
    <n v="24.32"/>
    <n v="22.24"/>
    <n v="20.079999999999998"/>
    <n v="20.18"/>
    <n v="21.9"/>
    <x v="6"/>
  </r>
  <r>
    <d v="2016-07-25T00:00:00"/>
    <d v="1899-12-30T04:11:00"/>
    <n v="23.01"/>
    <n v="24.6"/>
    <n v="24.7"/>
    <n v="23.45"/>
    <n v="24.59"/>
    <n v="23.65"/>
    <n v="23.52"/>
    <n v="21.6"/>
    <n v="21.42"/>
    <n v="22.09"/>
    <x v="6"/>
  </r>
  <r>
    <d v="2016-07-30T00:00:00"/>
    <d v="1899-12-30T00:03:00"/>
    <n v="22.46"/>
    <n v="24.11"/>
    <n v="22.12"/>
    <n v="24.08"/>
    <n v="23.14"/>
    <n v="24.56"/>
    <n v="22.95"/>
    <n v="21.53"/>
    <n v="21.19"/>
    <n v="21.66"/>
    <x v="6"/>
  </r>
  <r>
    <d v="2016-08-01T00:00:00"/>
    <d v="1899-12-30T02:12:00"/>
    <n v="21.46"/>
    <n v="20.81"/>
    <n v="22.16"/>
    <n v="23.39"/>
    <n v="21.06"/>
    <n v="23.13"/>
    <n v="24.81"/>
    <n v="21.89"/>
    <n v="21.04"/>
    <n v="20.73"/>
    <x v="7"/>
  </r>
  <r>
    <d v="2016-08-03T00:00:00"/>
    <d v="1899-12-30T04:06:00"/>
    <n v="24.3"/>
    <n v="21.17"/>
    <n v="20.45"/>
    <n v="21.07"/>
    <n v="23.27"/>
    <n v="21.82"/>
    <n v="21.32"/>
    <n v="21.89"/>
    <n v="23.96"/>
    <n v="21.93"/>
    <x v="7"/>
  </r>
  <r>
    <d v="2016-08-05T00:00:00"/>
    <d v="1899-12-30T10:06:00"/>
    <n v="20.79"/>
    <n v="20.149999999999999"/>
    <n v="24.61"/>
    <n v="21.03"/>
    <n v="20.75"/>
    <n v="23.58"/>
    <n v="24.1"/>
    <n v="20.18"/>
    <n v="20.25"/>
    <n v="23.53"/>
    <x v="7"/>
  </r>
  <r>
    <d v="2016-08-06T00:00:00"/>
    <d v="1899-12-30T09:11:00"/>
    <n v="24.53"/>
    <n v="20.23"/>
    <n v="23.44"/>
    <n v="21.79"/>
    <n v="22.16"/>
    <n v="23.23"/>
    <n v="24.25"/>
    <n v="22.23"/>
    <n v="23.64"/>
    <n v="23.21"/>
    <x v="7"/>
  </r>
  <r>
    <d v="2016-08-08T00:00:00"/>
    <d v="1899-12-30T02:08:00"/>
    <n v="22.93"/>
    <n v="21.83"/>
    <n v="22.2"/>
    <n v="20.66"/>
    <n v="21.05"/>
    <n v="22.52"/>
    <n v="24.58"/>
    <n v="24.21"/>
    <n v="24.25"/>
    <n v="20.98"/>
    <x v="7"/>
  </r>
  <r>
    <d v="2016-08-09T00:00:00"/>
    <d v="1899-12-30T10:08:00"/>
    <n v="23.61"/>
    <n v="22.31"/>
    <n v="22.54"/>
    <n v="23.68"/>
    <n v="24.34"/>
    <n v="23.6"/>
    <n v="20.260000000000002"/>
    <n v="20.29"/>
    <n v="24.84"/>
    <n v="24.53"/>
    <x v="7"/>
  </r>
  <r>
    <d v="2016-08-12T00:00:00"/>
    <d v="1899-12-30T02:04:00"/>
    <n v="21.99"/>
    <n v="21.03"/>
    <n v="21.98"/>
    <n v="24.71"/>
    <n v="22.25"/>
    <n v="21.03"/>
    <n v="20.059999999999999"/>
    <n v="23.44"/>
    <n v="23.35"/>
    <n v="24.22"/>
    <x v="7"/>
  </r>
  <r>
    <d v="2016-08-12T00:00:00"/>
    <d v="1899-12-30T03:03:00"/>
    <n v="21.25"/>
    <n v="22.63"/>
    <n v="22.5"/>
    <n v="22.53"/>
    <n v="22.55"/>
    <n v="23.75"/>
    <n v="22.37"/>
    <n v="20.83"/>
    <n v="22.24"/>
    <n v="22.78"/>
    <x v="7"/>
  </r>
  <r>
    <d v="2016-08-14T00:00:00"/>
    <d v="1899-12-30T01:03:00"/>
    <n v="22.19"/>
    <n v="23.63"/>
    <n v="20.6"/>
    <n v="22.57"/>
    <n v="24.22"/>
    <n v="22.01"/>
    <n v="21.12"/>
    <n v="24.52"/>
    <n v="21.28"/>
    <n v="20.05"/>
    <x v="7"/>
  </r>
  <r>
    <d v="2016-08-17T00:00:00"/>
    <d v="1899-12-30T10:01:00"/>
    <n v="22.74"/>
    <n v="20.72"/>
    <n v="24.74"/>
    <n v="23.94"/>
    <n v="22.07"/>
    <n v="24.33"/>
    <n v="20.62"/>
    <n v="24.62"/>
    <n v="20.96"/>
    <n v="24.76"/>
    <x v="7"/>
  </r>
  <r>
    <d v="2016-08-19T00:00:00"/>
    <d v="1899-12-30T05:08:00"/>
    <n v="24.25"/>
    <n v="21.83"/>
    <n v="23.97"/>
    <n v="22.48"/>
    <n v="21.36"/>
    <n v="20.2"/>
    <n v="23.33"/>
    <n v="22.17"/>
    <n v="22.32"/>
    <n v="22.84"/>
    <x v="7"/>
  </r>
  <r>
    <d v="2016-08-19T00:00:00"/>
    <d v="1899-12-30T07:09:00"/>
    <n v="22.33"/>
    <n v="20"/>
    <n v="24.04"/>
    <n v="24.76"/>
    <n v="23.02"/>
    <n v="23.75"/>
    <n v="20.46"/>
    <n v="22.05"/>
    <n v="21.31"/>
    <n v="23.02"/>
    <x v="7"/>
  </r>
  <r>
    <d v="2016-08-19T00:00:00"/>
    <d v="1899-12-30T10:09:00"/>
    <n v="20.89"/>
    <n v="20.28"/>
    <n v="23.53"/>
    <n v="22.74"/>
    <n v="20.13"/>
    <n v="22.16"/>
    <n v="22.63"/>
    <n v="21.6"/>
    <n v="23"/>
    <n v="20.5"/>
    <x v="7"/>
  </r>
  <r>
    <d v="2016-08-21T00:00:00"/>
    <d v="1899-12-30T00:05:00"/>
    <n v="21.25"/>
    <n v="22.01"/>
    <n v="20.190000000000001"/>
    <n v="24.36"/>
    <n v="24.61"/>
    <n v="24.99"/>
    <n v="22.55"/>
    <n v="24.32"/>
    <n v="20.89"/>
    <n v="20.36"/>
    <x v="7"/>
  </r>
  <r>
    <d v="2016-08-21T00:00:00"/>
    <d v="1899-12-30T03:05:00"/>
    <n v="23.52"/>
    <n v="21.62"/>
    <n v="22.59"/>
    <n v="22.21"/>
    <n v="21.78"/>
    <n v="24.26"/>
    <n v="24.31"/>
    <n v="20.53"/>
    <n v="23.51"/>
    <n v="23.09"/>
    <x v="7"/>
  </r>
  <r>
    <d v="2016-08-23T00:00:00"/>
    <d v="1899-12-30T11:11:00"/>
    <n v="20.11"/>
    <n v="23.11"/>
    <n v="24.5"/>
    <n v="20.38"/>
    <n v="22.23"/>
    <n v="23.96"/>
    <n v="21.22"/>
    <n v="24.89"/>
    <n v="20.12"/>
    <n v="24.1"/>
    <x v="7"/>
  </r>
  <r>
    <d v="2016-08-24T00:00:00"/>
    <d v="1899-12-30T01:08:00"/>
    <n v="22.99"/>
    <n v="21.77"/>
    <n v="20.63"/>
    <n v="20.59"/>
    <n v="21.52"/>
    <n v="23.7"/>
    <n v="22.05"/>
    <n v="23.02"/>
    <n v="24.59"/>
    <n v="20.99"/>
    <x v="7"/>
  </r>
  <r>
    <d v="2016-08-24T00:00:00"/>
    <d v="1899-12-30T06:03:00"/>
    <n v="22.09"/>
    <n v="22.11"/>
    <n v="23.82"/>
    <n v="21.8"/>
    <n v="23.42"/>
    <n v="23.48"/>
    <n v="23.86"/>
    <n v="21.65"/>
    <n v="24.9"/>
    <n v="20.260000000000002"/>
    <x v="7"/>
  </r>
  <r>
    <d v="2016-08-25T00:00:00"/>
    <d v="1899-12-30T11:06:00"/>
    <n v="22.15"/>
    <n v="20.68"/>
    <n v="22.12"/>
    <n v="21.59"/>
    <n v="22.45"/>
    <n v="22.03"/>
    <n v="20.58"/>
    <n v="21.08"/>
    <n v="22.52"/>
    <n v="20.71"/>
    <x v="7"/>
  </r>
  <r>
    <d v="2016-08-27T00:00:00"/>
    <d v="1899-12-30T00:09:00"/>
    <n v="20.149999999999999"/>
    <n v="21.69"/>
    <n v="22.88"/>
    <n v="23.7"/>
    <n v="22.32"/>
    <n v="20.55"/>
    <n v="24.02"/>
    <n v="23.15"/>
    <n v="21.8"/>
    <n v="23.78"/>
    <x v="7"/>
  </r>
  <r>
    <d v="2016-08-27T00:00:00"/>
    <d v="1899-12-30T04:01:00"/>
    <n v="21.66"/>
    <n v="23.29"/>
    <n v="23.15"/>
    <n v="21.38"/>
    <n v="22.83"/>
    <n v="23.77"/>
    <n v="23.64"/>
    <n v="23.45"/>
    <n v="23.36"/>
    <n v="22.48"/>
    <x v="7"/>
  </r>
  <r>
    <d v="2016-08-28T00:00:00"/>
    <d v="1899-12-30T10:09:00"/>
    <n v="20.57"/>
    <n v="21.99"/>
    <n v="23.24"/>
    <n v="20.5"/>
    <n v="23.35"/>
    <n v="21.21"/>
    <n v="24.55"/>
    <n v="20.53"/>
    <n v="22.69"/>
    <n v="21.43"/>
    <x v="7"/>
  </r>
  <r>
    <d v="2016-08-29T00:00:00"/>
    <d v="1899-12-30T00:11:00"/>
    <n v="21.59"/>
    <n v="23.58"/>
    <n v="20.88"/>
    <n v="23.01"/>
    <n v="23"/>
    <n v="24.37"/>
    <n v="23.73"/>
    <n v="20.41"/>
    <n v="20.39"/>
    <n v="20.8"/>
    <x v="7"/>
  </r>
  <r>
    <d v="2016-08-29T00:00:00"/>
    <d v="1899-12-30T05:10:00"/>
    <n v="20.93"/>
    <n v="20.239999999999998"/>
    <n v="22.85"/>
    <n v="21.54"/>
    <n v="23.07"/>
    <n v="20.65"/>
    <n v="24.44"/>
    <n v="20.95"/>
    <n v="21.69"/>
    <n v="22.41"/>
    <x v="7"/>
  </r>
  <r>
    <d v="2016-09-03T00:00:00"/>
    <d v="1899-12-30T08:04:00"/>
    <n v="16.41"/>
    <n v="15.29"/>
    <n v="10.48"/>
    <n v="14.09"/>
    <n v="19.38"/>
    <n v="10.14"/>
    <n v="10.74"/>
    <n v="15.18"/>
    <n v="12.67"/>
    <n v="14.37"/>
    <x v="8"/>
  </r>
  <r>
    <d v="2016-09-03T00:00:00"/>
    <d v="1899-12-30T08:10:00"/>
    <n v="16.52"/>
    <n v="12.24"/>
    <n v="15.91"/>
    <n v="15.35"/>
    <n v="17"/>
    <n v="16.29"/>
    <n v="10.94"/>
    <n v="17.579999999999998"/>
    <n v="14.73"/>
    <n v="15.82"/>
    <x v="8"/>
  </r>
  <r>
    <d v="2016-09-04T00:00:00"/>
    <d v="1899-12-30T11:09:00"/>
    <n v="13.93"/>
    <n v="15.26"/>
    <n v="13.17"/>
    <n v="15.12"/>
    <n v="16.059999999999999"/>
    <n v="14.37"/>
    <n v="20"/>
    <n v="14.27"/>
    <n v="12.07"/>
    <n v="11.12"/>
    <x v="8"/>
  </r>
  <r>
    <d v="2016-09-06T00:00:00"/>
    <d v="1899-12-30T08:02:00"/>
    <n v="10.24"/>
    <n v="18.010000000000002"/>
    <n v="15.2"/>
    <n v="14.43"/>
    <n v="10.85"/>
    <n v="16.73"/>
    <n v="19.93"/>
    <n v="17.36"/>
    <n v="16.77"/>
    <n v="17.64"/>
    <x v="8"/>
  </r>
  <r>
    <d v="2016-09-06T00:00:00"/>
    <d v="1899-12-30T10:08:00"/>
    <n v="17.559999999999999"/>
    <n v="14.82"/>
    <n v="12.26"/>
    <n v="17.920000000000002"/>
    <n v="14.86"/>
    <n v="11.11"/>
    <n v="16.11"/>
    <n v="18.66"/>
    <n v="14.11"/>
    <n v="19.510000000000002"/>
    <x v="8"/>
  </r>
  <r>
    <d v="2016-09-13T00:00:00"/>
    <d v="1899-12-30T10:09:00"/>
    <n v="13.59"/>
    <n v="11.82"/>
    <n v="11.56"/>
    <n v="19.809999999999999"/>
    <n v="16.45"/>
    <n v="13.39"/>
    <n v="17.64"/>
    <n v="13.05"/>
    <n v="13.95"/>
    <n v="16.04"/>
    <x v="8"/>
  </r>
  <r>
    <d v="2016-09-14T00:00:00"/>
    <d v="1899-12-30T04:01:00"/>
    <n v="12.35"/>
    <n v="18.39"/>
    <n v="19.010000000000002"/>
    <n v="18.13"/>
    <n v="18.46"/>
    <n v="19.600000000000001"/>
    <n v="12.16"/>
    <n v="19.899999999999999"/>
    <n v="10.16"/>
    <n v="19.96"/>
    <x v="8"/>
  </r>
  <r>
    <d v="2016-09-15T00:00:00"/>
    <d v="1899-12-30T06:07:00"/>
    <n v="14.18"/>
    <n v="18.43"/>
    <n v="14.71"/>
    <n v="13.45"/>
    <n v="11.14"/>
    <n v="17.7"/>
    <n v="16.39"/>
    <n v="13.4"/>
    <n v="15.05"/>
    <n v="10.44"/>
    <x v="8"/>
  </r>
  <r>
    <d v="2016-09-18T00:00:00"/>
    <d v="1899-12-30T07:09:00"/>
    <n v="14.63"/>
    <n v="10.26"/>
    <n v="19.79"/>
    <n v="10.91"/>
    <n v="12.37"/>
    <n v="11.52"/>
    <n v="16.690000000000001"/>
    <n v="15.2"/>
    <n v="16.13"/>
    <n v="17.690000000000001"/>
    <x v="8"/>
  </r>
  <r>
    <d v="2016-09-21T00:00:00"/>
    <d v="1899-12-30T03:06:00"/>
    <n v="19.21"/>
    <n v="19.71"/>
    <n v="17.29"/>
    <n v="12.07"/>
    <n v="18.739999999999998"/>
    <n v="18.8"/>
    <n v="17.55"/>
    <n v="13.23"/>
    <n v="16.34"/>
    <n v="16.95"/>
    <x v="8"/>
  </r>
  <r>
    <d v="2016-09-22T00:00:00"/>
    <d v="1899-12-30T08:06:00"/>
    <n v="15.89"/>
    <n v="17.95"/>
    <n v="12.8"/>
    <n v="15"/>
    <n v="12.22"/>
    <n v="18.25"/>
    <n v="10.6"/>
    <n v="19.399999999999999"/>
    <n v="12.84"/>
    <n v="16.170000000000002"/>
    <x v="8"/>
  </r>
  <r>
    <d v="2016-09-22T00:00:00"/>
    <d v="1899-12-30T10:06:00"/>
    <n v="18.32"/>
    <n v="19.73"/>
    <n v="15.21"/>
    <n v="17.899999999999999"/>
    <n v="18.29"/>
    <n v="14.78"/>
    <n v="16.59"/>
    <n v="18.350000000000001"/>
    <n v="12.69"/>
    <n v="18.489999999999998"/>
    <x v="8"/>
  </r>
  <r>
    <d v="2016-09-23T00:00:00"/>
    <d v="1899-12-30T10:10:00"/>
    <n v="13.6"/>
    <n v="12.67"/>
    <n v="15.96"/>
    <n v="19.79"/>
    <n v="15"/>
    <n v="17.829999999999998"/>
    <n v="11.56"/>
    <n v="19.489999999999998"/>
    <n v="13.76"/>
    <n v="15.46"/>
    <x v="8"/>
  </r>
  <r>
    <d v="2016-09-26T00:00:00"/>
    <d v="1899-12-30T01:06:00"/>
    <n v="10.199999999999999"/>
    <n v="14.87"/>
    <n v="17.510000000000002"/>
    <n v="17.190000000000001"/>
    <n v="12.5"/>
    <n v="15.71"/>
    <n v="12.15"/>
    <n v="13.01"/>
    <n v="17.21"/>
    <n v="15.46"/>
    <x v="8"/>
  </r>
  <r>
    <d v="2016-09-28T00:00:00"/>
    <d v="1899-12-30T09:03:00"/>
    <n v="18.23"/>
    <n v="10.62"/>
    <n v="14.89"/>
    <n v="13.97"/>
    <n v="14.88"/>
    <n v="18.62"/>
    <n v="12.9"/>
    <n v="17.5"/>
    <n v="12.26"/>
    <n v="15.26"/>
    <x v="8"/>
  </r>
  <r>
    <d v="2016-10-02T00:00:00"/>
    <d v="1899-12-30T08:08:00"/>
    <n v="10.99"/>
    <n v="19.11"/>
    <n v="18.8"/>
    <n v="12.14"/>
    <n v="11.19"/>
    <n v="11.97"/>
    <n v="19.8"/>
    <n v="19.72"/>
    <n v="15.04"/>
    <n v="12.42"/>
    <x v="9"/>
  </r>
  <r>
    <d v="2016-10-04T00:00:00"/>
    <d v="1899-12-30T02:02:00"/>
    <n v="16.5"/>
    <n v="18.18"/>
    <n v="15.63"/>
    <n v="11.46"/>
    <n v="17.399999999999999"/>
    <n v="16.75"/>
    <n v="11.85"/>
    <n v="13.64"/>
    <n v="10.43"/>
    <n v="19.149999999999999"/>
    <x v="9"/>
  </r>
  <r>
    <d v="2016-10-04T00:00:00"/>
    <d v="1899-12-30T10:05:00"/>
    <n v="14.76"/>
    <n v="10.74"/>
    <n v="16.3"/>
    <n v="10.39"/>
    <n v="11.24"/>
    <n v="18.98"/>
    <n v="15.79"/>
    <n v="12.57"/>
    <n v="19.2"/>
    <n v="10.17"/>
    <x v="9"/>
  </r>
  <r>
    <d v="2016-10-07T00:00:00"/>
    <d v="1899-12-30T04:05:00"/>
    <n v="19.149999999999999"/>
    <n v="15.35"/>
    <n v="10.71"/>
    <n v="14.76"/>
    <n v="17.57"/>
    <n v="16.05"/>
    <n v="19.690000000000001"/>
    <n v="15.96"/>
    <n v="11.27"/>
    <n v="11.72"/>
    <x v="9"/>
  </r>
  <r>
    <d v="2016-10-10T00:00:00"/>
    <d v="1899-12-30T07:01:00"/>
    <n v="14.52"/>
    <n v="15.36"/>
    <n v="10.01"/>
    <n v="19.440000000000001"/>
    <n v="11.62"/>
    <n v="17.75"/>
    <n v="14.63"/>
    <n v="11.83"/>
    <n v="15.26"/>
    <n v="11.75"/>
    <x v="9"/>
  </r>
  <r>
    <d v="2016-10-11T00:00:00"/>
    <d v="1899-12-30T01:11:00"/>
    <n v="14.04"/>
    <n v="12.39"/>
    <n v="16.54"/>
    <n v="16.02"/>
    <n v="10.46"/>
    <n v="10.8"/>
    <n v="13.25"/>
    <n v="19.96"/>
    <n v="19.989999999999998"/>
    <n v="15.91"/>
    <x v="9"/>
  </r>
  <r>
    <d v="2016-10-11T00:00:00"/>
    <d v="1899-12-30T02:02:00"/>
    <n v="15.75"/>
    <n v="18.39"/>
    <n v="13.61"/>
    <n v="10.15"/>
    <n v="19.989999999999998"/>
    <n v="14.87"/>
    <n v="14.72"/>
    <n v="14.66"/>
    <n v="19.100000000000001"/>
    <n v="17.760000000000002"/>
    <x v="9"/>
  </r>
  <r>
    <d v="2016-10-11T00:00:00"/>
    <d v="1899-12-30T06:09:00"/>
    <n v="14.16"/>
    <n v="19.989999999999998"/>
    <n v="15.52"/>
    <n v="11.59"/>
    <n v="13.63"/>
    <n v="12.92"/>
    <n v="13.18"/>
    <n v="18.84"/>
    <n v="10.7"/>
    <n v="13.87"/>
    <x v="9"/>
  </r>
  <r>
    <d v="2016-10-12T00:00:00"/>
    <d v="1899-12-30T04:01:00"/>
    <n v="17.32"/>
    <n v="10.029999999999999"/>
    <n v="15.19"/>
    <n v="17.38"/>
    <n v="12.08"/>
    <n v="19.09"/>
    <n v="12.83"/>
    <n v="18.420000000000002"/>
    <n v="14.05"/>
    <n v="13.27"/>
    <x v="9"/>
  </r>
  <r>
    <d v="2016-10-14T00:00:00"/>
    <d v="1899-12-30T00:05:00"/>
    <n v="17.7"/>
    <n v="12.05"/>
    <n v="19.64"/>
    <n v="15.73"/>
    <n v="19.87"/>
    <n v="16.72"/>
    <n v="11.73"/>
    <n v="16.41"/>
    <n v="18.29"/>
    <n v="18.22"/>
    <x v="9"/>
  </r>
  <r>
    <d v="2016-10-17T00:00:00"/>
    <d v="1899-12-30T05:06:00"/>
    <n v="11.01"/>
    <n v="14.84"/>
    <n v="11.29"/>
    <n v="17.72"/>
    <n v="12.61"/>
    <n v="16.55"/>
    <n v="11.63"/>
    <n v="12.88"/>
    <n v="14.01"/>
    <n v="12.67"/>
    <x v="9"/>
  </r>
  <r>
    <d v="2016-10-21T00:00:00"/>
    <d v="1899-12-30T05:08:00"/>
    <n v="11.11"/>
    <n v="16.350000000000001"/>
    <n v="13.97"/>
    <n v="11.7"/>
    <n v="18.649999999999999"/>
    <n v="14.28"/>
    <n v="17.690000000000001"/>
    <n v="13.25"/>
    <n v="10.69"/>
    <n v="17.690000000000001"/>
    <x v="9"/>
  </r>
  <r>
    <d v="2016-10-23T00:00:00"/>
    <d v="1899-12-30T04:05:00"/>
    <n v="13.09"/>
    <n v="15.83"/>
    <n v="18.55"/>
    <n v="17.37"/>
    <n v="18.489999999999998"/>
    <n v="14.59"/>
    <n v="19.329999999999998"/>
    <n v="13.54"/>
    <n v="11.35"/>
    <n v="18.43"/>
    <x v="9"/>
  </r>
  <r>
    <d v="2016-10-23T00:00:00"/>
    <d v="1899-12-30T07:09:00"/>
    <n v="13.13"/>
    <n v="12.77"/>
    <n v="19"/>
    <n v="10.71"/>
    <n v="17.16"/>
    <n v="16.100000000000001"/>
    <n v="11.78"/>
    <n v="18.670000000000002"/>
    <n v="14.56"/>
    <n v="19.170000000000002"/>
    <x v="9"/>
  </r>
  <r>
    <d v="2016-10-24T00:00:00"/>
    <d v="1899-12-30T05:07:00"/>
    <n v="12.13"/>
    <n v="13.07"/>
    <n v="15.72"/>
    <n v="12.27"/>
    <n v="13.41"/>
    <n v="13.75"/>
    <n v="12.79"/>
    <n v="17.98"/>
    <n v="18.2"/>
    <n v="13.87"/>
    <x v="9"/>
  </r>
  <r>
    <d v="2016-10-25T00:00:00"/>
    <d v="1899-12-30T02:03:00"/>
    <n v="10.53"/>
    <n v="15.53"/>
    <n v="17.63"/>
    <n v="19.84"/>
    <n v="10.76"/>
    <n v="14.15"/>
    <n v="13.54"/>
    <n v="11.75"/>
    <n v="12.65"/>
    <n v="13.57"/>
    <x v="9"/>
  </r>
  <r>
    <d v="2016-10-25T00:00:00"/>
    <d v="1899-12-30T06:01:00"/>
    <n v="11.99"/>
    <n v="13.44"/>
    <n v="19.18"/>
    <n v="11.19"/>
    <n v="19.05"/>
    <n v="15.07"/>
    <n v="17.510000000000002"/>
    <n v="18.72"/>
    <n v="11.62"/>
    <n v="11.08"/>
    <x v="9"/>
  </r>
  <r>
    <d v="2016-10-26T00:00:00"/>
    <d v="1899-12-30T01:09:00"/>
    <n v="11.42"/>
    <n v="18.52"/>
    <n v="13.52"/>
    <n v="18.75"/>
    <n v="11.07"/>
    <n v="13.24"/>
    <n v="16.14"/>
    <n v="10.94"/>
    <n v="13.13"/>
    <n v="16.52"/>
    <x v="9"/>
  </r>
  <r>
    <d v="2016-10-26T00:00:00"/>
    <d v="1899-12-30T09:00:00"/>
    <n v="13.11"/>
    <n v="11.09"/>
    <n v="13.22"/>
    <n v="17.07"/>
    <n v="16.09"/>
    <n v="18.420000000000002"/>
    <n v="12.03"/>
    <n v="19.899999999999999"/>
    <n v="13.54"/>
    <n v="18.37"/>
    <x v="9"/>
  </r>
  <r>
    <d v="2016-11-01T00:00:00"/>
    <d v="1899-12-30T08:03:00"/>
    <n v="12.14"/>
    <n v="12.99"/>
    <n v="16.260000000000002"/>
    <n v="17.68"/>
    <n v="13.47"/>
    <n v="18.79"/>
    <n v="13.56"/>
    <n v="12.8"/>
    <n v="15.11"/>
    <n v="19.760000000000002"/>
    <x v="10"/>
  </r>
  <r>
    <d v="2016-11-01T00:00:00"/>
    <d v="1899-12-30T08:12:00"/>
    <n v="16.190000000000001"/>
    <n v="12.36"/>
    <n v="10"/>
    <n v="12.27"/>
    <n v="18.2"/>
    <n v="13.68"/>
    <n v="19.16"/>
    <n v="19.39"/>
    <n v="11.01"/>
    <n v="13.18"/>
    <x v="10"/>
  </r>
  <r>
    <d v="2016-11-02T00:00:00"/>
    <d v="1899-12-30T07:09:00"/>
    <n v="17.34"/>
    <n v="12.39"/>
    <n v="10.89"/>
    <n v="11.43"/>
    <n v="16.13"/>
    <n v="11.48"/>
    <n v="10.43"/>
    <n v="16.149999999999999"/>
    <n v="15.62"/>
    <n v="17.09"/>
    <x v="10"/>
  </r>
  <r>
    <d v="2016-11-05T00:00:00"/>
    <d v="1899-12-30T08:07:00"/>
    <n v="19.46"/>
    <n v="14.85"/>
    <n v="15.99"/>
    <n v="18.440000000000001"/>
    <n v="10.42"/>
    <n v="18.78"/>
    <n v="11.05"/>
    <n v="18.7"/>
    <n v="10.35"/>
    <n v="14.51"/>
    <x v="10"/>
  </r>
  <r>
    <d v="2016-11-08T00:00:00"/>
    <d v="1899-12-30T02:02:00"/>
    <n v="14.42"/>
    <n v="19.23"/>
    <n v="19.98"/>
    <n v="11.87"/>
    <n v="11.95"/>
    <n v="10.7"/>
    <n v="13.96"/>
    <n v="11.65"/>
    <n v="10.73"/>
    <n v="19.25"/>
    <x v="10"/>
  </r>
  <r>
    <d v="2016-11-11T00:00:00"/>
    <d v="1899-12-30T05:11:00"/>
    <n v="12.2"/>
    <n v="14.35"/>
    <n v="11.37"/>
    <n v="12.07"/>
    <n v="14.32"/>
    <n v="13.34"/>
    <n v="18.739999999999998"/>
    <n v="15.82"/>
    <n v="13.79"/>
    <n v="19.36"/>
    <x v="10"/>
  </r>
  <r>
    <d v="2016-11-12T00:00:00"/>
    <d v="1899-12-30T01:08:00"/>
    <n v="10.3"/>
    <n v="14.81"/>
    <n v="12.96"/>
    <n v="12.99"/>
    <n v="19"/>
    <n v="17.73"/>
    <n v="12.97"/>
    <n v="17.96"/>
    <n v="19.07"/>
    <n v="17.12"/>
    <x v="10"/>
  </r>
  <r>
    <d v="2016-11-13T00:00:00"/>
    <d v="1899-12-30T03:10:00"/>
    <n v="10.029999999999999"/>
    <n v="14.28"/>
    <n v="11.97"/>
    <n v="17.7"/>
    <n v="18.2"/>
    <n v="19.2"/>
    <n v="17.43"/>
    <n v="14.46"/>
    <n v="16.48"/>
    <n v="15.66"/>
    <x v="10"/>
  </r>
  <r>
    <d v="2016-11-13T00:00:00"/>
    <d v="1899-12-30T08:12:00"/>
    <n v="14"/>
    <n v="12.83"/>
    <n v="18.72"/>
    <n v="11.22"/>
    <n v="13.79"/>
    <n v="18.559999999999999"/>
    <n v="11.19"/>
    <n v="12.81"/>
    <n v="14.5"/>
    <n v="12.78"/>
    <x v="10"/>
  </r>
  <r>
    <d v="2016-11-17T00:00:00"/>
    <d v="1899-12-30T07:06:00"/>
    <n v="15.42"/>
    <n v="10.37"/>
    <n v="18.739999999999998"/>
    <n v="18.670000000000002"/>
    <n v="15.22"/>
    <n v="12.83"/>
    <n v="13.11"/>
    <n v="11.77"/>
    <n v="18.57"/>
    <n v="10.33"/>
    <x v="10"/>
  </r>
  <r>
    <d v="2016-11-19T00:00:00"/>
    <d v="1899-12-30T11:07:00"/>
    <n v="15.98"/>
    <n v="13.48"/>
    <n v="10.69"/>
    <n v="15.11"/>
    <n v="14.51"/>
    <n v="17.100000000000001"/>
    <n v="15.65"/>
    <n v="10.44"/>
    <n v="13.73"/>
    <n v="19.66"/>
    <x v="10"/>
  </r>
  <r>
    <d v="2016-11-21T00:00:00"/>
    <d v="1899-12-30T05:08:00"/>
    <n v="10.8"/>
    <n v="16.079999999999998"/>
    <n v="16.47"/>
    <n v="12.88"/>
    <n v="18.579999999999998"/>
    <n v="13.96"/>
    <n v="12.92"/>
    <n v="10.74"/>
    <n v="10.5"/>
    <n v="10.62"/>
    <x v="10"/>
  </r>
  <r>
    <d v="2016-11-22T00:00:00"/>
    <d v="1899-12-30T11:02:00"/>
    <n v="10.61"/>
    <n v="15.59"/>
    <n v="10.52"/>
    <n v="18.55"/>
    <n v="11.33"/>
    <n v="11.82"/>
    <n v="18.579999999999998"/>
    <n v="18.72"/>
    <n v="11.95"/>
    <n v="11.84"/>
    <x v="10"/>
  </r>
  <r>
    <d v="2016-11-24T00:00:00"/>
    <d v="1899-12-30T01:02:00"/>
    <n v="17.66"/>
    <n v="15.83"/>
    <n v="16.350000000000001"/>
    <n v="13.72"/>
    <n v="19.440000000000001"/>
    <n v="18.989999999999998"/>
    <n v="10.94"/>
    <n v="10.47"/>
    <n v="17.46"/>
    <n v="17.690000000000001"/>
    <x v="10"/>
  </r>
  <r>
    <d v="2016-11-28T00:00:00"/>
    <d v="1899-12-30T09:02:00"/>
    <n v="15.3"/>
    <n v="13.83"/>
    <n v="11.97"/>
    <n v="15.5"/>
    <n v="11.06"/>
    <n v="14.22"/>
    <n v="18.66"/>
    <n v="18.95"/>
    <n v="11.79"/>
    <n v="16.760000000000002"/>
    <x v="10"/>
  </r>
  <r>
    <d v="2016-11-29T00:00:00"/>
    <d v="1899-12-30T12:04:00"/>
    <n v="10.77"/>
    <n v="18.07"/>
    <n v="17.87"/>
    <n v="16.760000000000002"/>
    <n v="19.04"/>
    <n v="18.55"/>
    <n v="15"/>
    <n v="16.649999999999999"/>
    <n v="11.24"/>
    <n v="10.19"/>
    <x v="10"/>
  </r>
  <r>
    <d v="2016-11-30T00:00:00"/>
    <d v="1899-12-30T03:02:00"/>
    <n v="15.81"/>
    <n v="14.72"/>
    <n v="18.12"/>
    <n v="18.82"/>
    <n v="15.14"/>
    <n v="18.850000000000001"/>
    <n v="17.940000000000001"/>
    <n v="12.26"/>
    <n v="19.34"/>
    <n v="18.3"/>
    <x v="10"/>
  </r>
  <r>
    <d v="2016-12-09T00:00:00"/>
    <d v="1899-12-30T03:02:00"/>
    <n v="-1.03"/>
    <n v="8.4"/>
    <n v="7.65"/>
    <n v="-1.5"/>
    <n v="-1.63"/>
    <n v="8.16"/>
    <n v="-4.8899999999999997"/>
    <n v="-2.09"/>
    <n v="-2.0299999999999998"/>
    <n v="-0.74"/>
    <x v="11"/>
  </r>
  <r>
    <d v="2016-12-11T00:00:00"/>
    <d v="1899-12-30T00:12:00"/>
    <n v="-0.64"/>
    <n v="-3.46"/>
    <n v="-4.01"/>
    <n v="8.49"/>
    <n v="-1.87"/>
    <n v="-5.51"/>
    <n v="6.22"/>
    <n v="-5.76"/>
    <n v="-2.0499999999999998"/>
    <n v="-4.6100000000000003"/>
    <x v="11"/>
  </r>
  <r>
    <d v="2016-12-12T00:00:00"/>
    <d v="1899-12-30T07:11:00"/>
    <n v="-4.66"/>
    <n v="7.8"/>
    <n v="-5.83"/>
    <n v="8.77"/>
    <n v="-1.64"/>
    <n v="2.81"/>
    <n v="5.64"/>
    <n v="7.27"/>
    <n v="0"/>
    <n v="-1.52"/>
    <x v="11"/>
  </r>
  <r>
    <d v="2016-12-16T00:00:00"/>
    <d v="1899-12-30T01:00:00"/>
    <n v="5.58"/>
    <n v="-4.47"/>
    <n v="-4.4000000000000004"/>
    <n v="-0.05"/>
    <n v="6.51"/>
    <n v="4.99"/>
    <n v="-6.3"/>
    <n v="0.7"/>
    <n v="-6.74"/>
    <n v="4.71"/>
    <x v="11"/>
  </r>
  <r>
    <d v="2016-12-18T00:00:00"/>
    <d v="1899-12-30T09:02:00"/>
    <n v="3.23"/>
    <n v="3.29"/>
    <n v="-2.15"/>
    <n v="-5.53"/>
    <n v="-0.68"/>
    <n v="-6.8"/>
    <n v="6.96"/>
    <n v="-3.33"/>
    <n v="-7.14"/>
    <n v="-5.82"/>
    <x v="11"/>
  </r>
  <r>
    <d v="2016-12-23T00:00:00"/>
    <d v="1899-12-30T04:04:00"/>
    <n v="-1.46"/>
    <n v="-7.76"/>
    <n v="3.7"/>
    <n v="4.9800000000000004"/>
    <n v="-6.83"/>
    <n v="7.9"/>
    <n v="8.35"/>
    <n v="0.16"/>
    <n v="3.83"/>
    <n v="0.14000000000000001"/>
    <x v="11"/>
  </r>
  <r>
    <d v="2016-12-24T00:00:00"/>
    <d v="1899-12-30T07:06:00"/>
    <n v="-7.3"/>
    <n v="-4.8600000000000003"/>
    <n v="6.95"/>
    <n v="-0.6"/>
    <n v="-3.3"/>
    <n v="-2.1"/>
    <n v="3.44"/>
    <n v="-6.38"/>
    <n v="8.1"/>
    <n v="8.58"/>
    <x v="11"/>
  </r>
  <r>
    <d v="2016-12-27T00:00:00"/>
    <d v="1899-12-30T01:04:00"/>
    <n v="-2.37"/>
    <n v="4.95"/>
    <n v="2.2200000000000002"/>
    <n v="-5.27"/>
    <n v="1.52"/>
    <n v="-3.35"/>
    <n v="3.59"/>
    <n v="-7.17"/>
    <n v="2.2599999999999998"/>
    <n v="-0.95"/>
    <x v="11"/>
  </r>
  <r>
    <d v="2016-12-28T00:00:00"/>
    <d v="1899-12-30T01:03:00"/>
    <n v="-6.44"/>
    <n v="6.45"/>
    <n v="-6.08"/>
    <n v="5.6"/>
    <n v="-3.18"/>
    <n v="-4.45"/>
    <n v="-0.27"/>
    <n v="3.14"/>
    <n v="-6.82"/>
    <n v="6.0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9508A-DDBB-4DD3-AD1B-3CF71CBC7111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10:Q23" firstHeaderRow="1" firstDataRow="1" firstDataCol="1"/>
  <pivotFields count="13"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czujnik10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F4F8-D4B5-477C-9EBD-06CE3CCC5267}">
  <dimension ref="A1:L201"/>
  <sheetViews>
    <sheetView workbookViewId="0"/>
  </sheetViews>
  <sheetFormatPr defaultRowHeight="14.5" x14ac:dyDescent="0.35"/>
  <cols>
    <col min="1" max="1" width="9.90625" bestFit="1" customWidth="1"/>
    <col min="2" max="2" width="9.54296875" bestFit="1" customWidth="1"/>
    <col min="3" max="11" width="9.90625" bestFit="1" customWidth="1"/>
    <col min="12" max="12" width="10.90625" bestFit="1" customWidth="1"/>
  </cols>
  <sheetData>
    <row r="1" spans="1:12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</row>
    <row r="3" spans="1:12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</row>
    <row r="4" spans="1:12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</row>
    <row r="5" spans="1:12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</row>
    <row r="6" spans="1:12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</row>
    <row r="7" spans="1:12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</row>
    <row r="8" spans="1:12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</row>
    <row r="9" spans="1:12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</row>
    <row r="10" spans="1:12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</row>
    <row r="11" spans="1:12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</row>
    <row r="12" spans="1:12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</row>
    <row r="13" spans="1:12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</row>
    <row r="14" spans="1:12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</row>
    <row r="15" spans="1:12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</row>
    <row r="16" spans="1:12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</row>
    <row r="17" spans="1:12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</row>
    <row r="18" spans="1:12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</row>
    <row r="19" spans="1:12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</row>
    <row r="20" spans="1:12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</row>
    <row r="21" spans="1:12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</row>
    <row r="22" spans="1:12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</row>
    <row r="23" spans="1:12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</row>
    <row r="24" spans="1:12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</row>
    <row r="25" spans="1:12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</row>
    <row r="26" spans="1:12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</row>
    <row r="27" spans="1:12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</row>
    <row r="28" spans="1:12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</row>
    <row r="29" spans="1:12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</row>
    <row r="30" spans="1:12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</row>
    <row r="31" spans="1:12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</row>
    <row r="32" spans="1:12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</row>
    <row r="33" spans="1:12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</row>
    <row r="34" spans="1:12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</row>
    <row r="35" spans="1:12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</row>
    <row r="36" spans="1:12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</row>
    <row r="37" spans="1:12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</row>
    <row r="38" spans="1:12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</row>
    <row r="39" spans="1:12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</row>
    <row r="40" spans="1:12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</row>
    <row r="41" spans="1:12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</row>
    <row r="42" spans="1:12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</row>
    <row r="43" spans="1:12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</row>
    <row r="44" spans="1:12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</row>
    <row r="45" spans="1:12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</row>
    <row r="46" spans="1:12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</row>
    <row r="47" spans="1:12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</row>
    <row r="48" spans="1:12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</row>
    <row r="49" spans="1:12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</row>
    <row r="50" spans="1:12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</row>
    <row r="51" spans="1:12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</row>
    <row r="52" spans="1:12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</row>
    <row r="53" spans="1:12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</row>
    <row r="54" spans="1:12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</row>
    <row r="55" spans="1:12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</row>
    <row r="56" spans="1:12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</row>
    <row r="57" spans="1:12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</row>
    <row r="58" spans="1:12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</row>
    <row r="59" spans="1:12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</row>
    <row r="60" spans="1:12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</row>
    <row r="61" spans="1:12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</row>
    <row r="62" spans="1:12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</row>
    <row r="63" spans="1:12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</row>
    <row r="64" spans="1:12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</row>
    <row r="65" spans="1:12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</row>
    <row r="66" spans="1:12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</row>
    <row r="67" spans="1:12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</row>
    <row r="68" spans="1:12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</row>
    <row r="69" spans="1:12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</row>
    <row r="70" spans="1:12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</row>
    <row r="71" spans="1:12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</row>
    <row r="72" spans="1:12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</row>
    <row r="73" spans="1:12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</row>
    <row r="74" spans="1:12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</row>
    <row r="75" spans="1:12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</row>
    <row r="76" spans="1:12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</row>
    <row r="77" spans="1:12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</row>
    <row r="78" spans="1:12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</row>
    <row r="79" spans="1:12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</row>
    <row r="80" spans="1:12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</row>
    <row r="81" spans="1:12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</row>
    <row r="82" spans="1:12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</row>
    <row r="83" spans="1:12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</row>
    <row r="84" spans="1:12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</row>
    <row r="85" spans="1:12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</row>
    <row r="86" spans="1:12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</row>
    <row r="87" spans="1:12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</row>
    <row r="88" spans="1:12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</row>
    <row r="89" spans="1:12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</row>
    <row r="90" spans="1:12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</row>
    <row r="91" spans="1:12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</row>
    <row r="92" spans="1:12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</row>
    <row r="93" spans="1:12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</row>
    <row r="94" spans="1:12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</row>
    <row r="95" spans="1:12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</row>
    <row r="96" spans="1:12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</row>
    <row r="97" spans="1:12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</row>
    <row r="98" spans="1:12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</row>
    <row r="99" spans="1:12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</row>
    <row r="100" spans="1:12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</row>
    <row r="101" spans="1:12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</row>
    <row r="102" spans="1:12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</row>
    <row r="103" spans="1:12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</row>
    <row r="104" spans="1:12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</row>
    <row r="105" spans="1:12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</row>
    <row r="106" spans="1:12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</row>
    <row r="107" spans="1:12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</row>
    <row r="108" spans="1:12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</row>
    <row r="109" spans="1:12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</row>
    <row r="110" spans="1:12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</row>
    <row r="111" spans="1:12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</row>
    <row r="112" spans="1:12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</row>
    <row r="113" spans="1:12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</row>
    <row r="114" spans="1:12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</row>
    <row r="115" spans="1:12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</row>
    <row r="116" spans="1:12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</row>
    <row r="117" spans="1:12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</row>
    <row r="118" spans="1:12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</row>
    <row r="119" spans="1:12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</row>
    <row r="120" spans="1:12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</row>
    <row r="121" spans="1:12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</row>
    <row r="122" spans="1:12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</row>
    <row r="123" spans="1:12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</row>
    <row r="124" spans="1:12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</row>
    <row r="125" spans="1:12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</row>
    <row r="126" spans="1:12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</row>
    <row r="127" spans="1:12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</row>
    <row r="128" spans="1:12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</row>
    <row r="129" spans="1:12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</row>
    <row r="130" spans="1:12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</row>
    <row r="131" spans="1:12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</row>
    <row r="132" spans="1:12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</row>
    <row r="133" spans="1:12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</row>
    <row r="134" spans="1:12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</row>
    <row r="135" spans="1:12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</row>
    <row r="136" spans="1:12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</row>
    <row r="137" spans="1:12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</row>
    <row r="138" spans="1:12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</row>
    <row r="139" spans="1:12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</row>
    <row r="140" spans="1:12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</row>
    <row r="141" spans="1:12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</row>
    <row r="142" spans="1:12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</row>
    <row r="143" spans="1:12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</row>
    <row r="144" spans="1:12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</row>
    <row r="145" spans="1:12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</row>
    <row r="146" spans="1:12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</row>
    <row r="147" spans="1:12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</row>
    <row r="148" spans="1:12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</row>
    <row r="149" spans="1:12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</row>
    <row r="150" spans="1:12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</row>
    <row r="151" spans="1:12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</row>
    <row r="152" spans="1:12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</row>
    <row r="153" spans="1:12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</row>
    <row r="154" spans="1:12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</row>
    <row r="155" spans="1:12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</row>
    <row r="156" spans="1:12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</row>
    <row r="157" spans="1:12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</row>
    <row r="158" spans="1:12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</row>
    <row r="159" spans="1:12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</row>
    <row r="160" spans="1:12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</row>
    <row r="161" spans="1:12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</row>
    <row r="162" spans="1:12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</row>
    <row r="163" spans="1:12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</row>
    <row r="164" spans="1:12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</row>
    <row r="165" spans="1:12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</row>
    <row r="166" spans="1:12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</row>
    <row r="167" spans="1:12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</row>
    <row r="168" spans="1:12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</row>
    <row r="169" spans="1:12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</row>
    <row r="170" spans="1:12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</row>
    <row r="171" spans="1:12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</row>
    <row r="172" spans="1:12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</row>
    <row r="173" spans="1:12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</row>
    <row r="174" spans="1:12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</row>
    <row r="175" spans="1:12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</row>
    <row r="176" spans="1:12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</row>
    <row r="177" spans="1:12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</row>
    <row r="178" spans="1:12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</row>
    <row r="179" spans="1:12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</row>
    <row r="180" spans="1:12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</row>
    <row r="181" spans="1:12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</row>
    <row r="182" spans="1:12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</row>
    <row r="183" spans="1:12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</row>
    <row r="184" spans="1:12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</row>
    <row r="185" spans="1:12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</row>
    <row r="186" spans="1:12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</row>
    <row r="187" spans="1:12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</row>
    <row r="188" spans="1:12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</row>
    <row r="189" spans="1:12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</row>
    <row r="190" spans="1:12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</row>
    <row r="191" spans="1:12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</row>
    <row r="192" spans="1:12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</row>
    <row r="193" spans="1:12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</row>
    <row r="194" spans="1:12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</row>
    <row r="195" spans="1:12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</row>
    <row r="196" spans="1:12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</row>
    <row r="197" spans="1:12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</row>
    <row r="198" spans="1:12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</row>
    <row r="199" spans="1:12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</row>
    <row r="200" spans="1:12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</row>
    <row r="201" spans="1:12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0994-1A27-4089-956D-6F65E91A1530}">
  <dimension ref="A1:R201"/>
  <sheetViews>
    <sheetView topLeftCell="D1" zoomScale="70" workbookViewId="0">
      <selection activeCell="R4" sqref="R4"/>
    </sheetView>
  </sheetViews>
  <sheetFormatPr defaultRowHeight="14.5" x14ac:dyDescent="0.35"/>
  <cols>
    <col min="1" max="1" width="10.36328125" bestFit="1" customWidth="1"/>
    <col min="2" max="2" width="9.54296875" bestFit="1" customWidth="1"/>
    <col min="3" max="11" width="9.90625" bestFit="1" customWidth="1"/>
    <col min="12" max="12" width="10.90625" bestFit="1" customWidth="1"/>
    <col min="13" max="13" width="12" bestFit="1" customWidth="1"/>
    <col min="17" max="17" width="20.90625" bestFit="1" customWidth="1"/>
    <col min="18" max="18" width="17.26953125" bestFit="1" customWidth="1"/>
  </cols>
  <sheetData>
    <row r="1" spans="1:1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16" t="s">
        <v>12</v>
      </c>
      <c r="N1" s="16" t="s">
        <v>13</v>
      </c>
      <c r="O1" s="16" t="s">
        <v>14</v>
      </c>
    </row>
    <row r="2" spans="1:18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  <c r="M2">
        <f>HOUR(B2)</f>
        <v>11</v>
      </c>
      <c r="N2">
        <f>MINUTE(B2)</f>
        <v>11</v>
      </c>
      <c r="O2">
        <f>IF(OR(AND(M2 = 12,N2=0),AND(M2&gt;=5,M2&lt;=11)),1,0)</f>
        <v>1</v>
      </c>
    </row>
    <row r="3" spans="1:18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  <c r="M3">
        <f t="shared" ref="M3:M66" si="0">HOUR(B3)</f>
        <v>7</v>
      </c>
      <c r="N3">
        <f t="shared" ref="N3:N66" si="1">MINUTE(B3)</f>
        <v>0</v>
      </c>
      <c r="O3">
        <f t="shared" ref="O3:O66" si="2">IF(OR(AND(M3 = 12,N3=0),AND(M3&gt;=5,M3&lt;=11)),1,0)</f>
        <v>1</v>
      </c>
      <c r="Q3" t="s">
        <v>15</v>
      </c>
      <c r="R3" t="s">
        <v>16</v>
      </c>
    </row>
    <row r="4" spans="1:18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  <c r="M4">
        <f t="shared" si="0"/>
        <v>10</v>
      </c>
      <c r="N4">
        <f t="shared" si="1"/>
        <v>12</v>
      </c>
      <c r="O4">
        <f t="shared" si="2"/>
        <v>1</v>
      </c>
      <c r="Q4">
        <f>SUMIF(O2:O201,1,G2:G201)</f>
        <v>1412.9400000000003</v>
      </c>
      <c r="R4">
        <f>ROUND(Q4/SUM(O2:O201),2)</f>
        <v>12.5</v>
      </c>
    </row>
    <row r="5" spans="1:18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  <c r="M5">
        <f t="shared" si="0"/>
        <v>0</v>
      </c>
      <c r="N5">
        <f t="shared" si="1"/>
        <v>8</v>
      </c>
      <c r="O5">
        <f t="shared" si="2"/>
        <v>0</v>
      </c>
    </row>
    <row r="6" spans="1:18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  <c r="M6">
        <f t="shared" si="0"/>
        <v>10</v>
      </c>
      <c r="N6">
        <f t="shared" si="1"/>
        <v>2</v>
      </c>
      <c r="O6">
        <f t="shared" si="2"/>
        <v>1</v>
      </c>
    </row>
    <row r="7" spans="1:18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  <c r="M7">
        <f t="shared" si="0"/>
        <v>3</v>
      </c>
      <c r="N7">
        <f t="shared" si="1"/>
        <v>11</v>
      </c>
      <c r="O7">
        <f t="shared" si="2"/>
        <v>0</v>
      </c>
    </row>
    <row r="8" spans="1:18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  <c r="M8">
        <f t="shared" si="0"/>
        <v>1</v>
      </c>
      <c r="N8">
        <f t="shared" si="1"/>
        <v>6</v>
      </c>
      <c r="O8">
        <f t="shared" si="2"/>
        <v>0</v>
      </c>
    </row>
    <row r="9" spans="1:18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  <c r="M9">
        <f t="shared" si="0"/>
        <v>3</v>
      </c>
      <c r="N9">
        <f t="shared" si="1"/>
        <v>2</v>
      </c>
      <c r="O9">
        <f t="shared" si="2"/>
        <v>0</v>
      </c>
    </row>
    <row r="10" spans="1:18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  <c r="M10">
        <f t="shared" si="0"/>
        <v>2</v>
      </c>
      <c r="N10">
        <f t="shared" si="1"/>
        <v>6</v>
      </c>
      <c r="O10">
        <f t="shared" si="2"/>
        <v>0</v>
      </c>
    </row>
    <row r="11" spans="1:18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  <c r="M11">
        <f t="shared" si="0"/>
        <v>5</v>
      </c>
      <c r="N11">
        <f t="shared" si="1"/>
        <v>4</v>
      </c>
      <c r="O11">
        <f t="shared" si="2"/>
        <v>1</v>
      </c>
    </row>
    <row r="12" spans="1:18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  <c r="M12">
        <f t="shared" si="0"/>
        <v>8</v>
      </c>
      <c r="N12">
        <f t="shared" si="1"/>
        <v>3</v>
      </c>
      <c r="O12">
        <f t="shared" si="2"/>
        <v>1</v>
      </c>
    </row>
    <row r="13" spans="1:18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  <c r="M13">
        <f t="shared" si="0"/>
        <v>6</v>
      </c>
      <c r="N13">
        <f t="shared" si="1"/>
        <v>7</v>
      </c>
      <c r="O13">
        <f t="shared" si="2"/>
        <v>1</v>
      </c>
    </row>
    <row r="14" spans="1:18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  <c r="M14">
        <f t="shared" si="0"/>
        <v>8</v>
      </c>
      <c r="N14">
        <f t="shared" si="1"/>
        <v>7</v>
      </c>
      <c r="O14">
        <f t="shared" si="2"/>
        <v>1</v>
      </c>
    </row>
    <row r="15" spans="1:18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  <c r="M15">
        <f t="shared" si="0"/>
        <v>0</v>
      </c>
      <c r="N15">
        <f t="shared" si="1"/>
        <v>2</v>
      </c>
      <c r="O15">
        <f t="shared" si="2"/>
        <v>0</v>
      </c>
    </row>
    <row r="16" spans="1:18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  <c r="M16">
        <f t="shared" si="0"/>
        <v>4</v>
      </c>
      <c r="N16">
        <f t="shared" si="1"/>
        <v>6</v>
      </c>
      <c r="O16">
        <f t="shared" si="2"/>
        <v>0</v>
      </c>
    </row>
    <row r="17" spans="1:15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  <c r="M17">
        <f t="shared" si="0"/>
        <v>7</v>
      </c>
      <c r="N17">
        <f t="shared" si="1"/>
        <v>2</v>
      </c>
      <c r="O17">
        <f t="shared" si="2"/>
        <v>1</v>
      </c>
    </row>
    <row r="18" spans="1:15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  <c r="M18">
        <f t="shared" si="0"/>
        <v>4</v>
      </c>
      <c r="N18">
        <f t="shared" si="1"/>
        <v>6</v>
      </c>
      <c r="O18">
        <f t="shared" si="2"/>
        <v>0</v>
      </c>
    </row>
    <row r="19" spans="1:15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  <c r="M19">
        <f t="shared" si="0"/>
        <v>7</v>
      </c>
      <c r="N19">
        <f t="shared" si="1"/>
        <v>0</v>
      </c>
      <c r="O19">
        <f t="shared" si="2"/>
        <v>1</v>
      </c>
    </row>
    <row r="20" spans="1:15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  <c r="M20">
        <f t="shared" si="0"/>
        <v>11</v>
      </c>
      <c r="N20">
        <f t="shared" si="1"/>
        <v>5</v>
      </c>
      <c r="O20">
        <f t="shared" si="2"/>
        <v>1</v>
      </c>
    </row>
    <row r="21" spans="1:15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  <c r="M21">
        <f t="shared" si="0"/>
        <v>5</v>
      </c>
      <c r="N21">
        <f t="shared" si="1"/>
        <v>3</v>
      </c>
      <c r="O21">
        <f t="shared" si="2"/>
        <v>1</v>
      </c>
    </row>
    <row r="22" spans="1:15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  <c r="M22">
        <f t="shared" si="0"/>
        <v>11</v>
      </c>
      <c r="N22">
        <f t="shared" si="1"/>
        <v>7</v>
      </c>
      <c r="O22">
        <f t="shared" si="2"/>
        <v>1</v>
      </c>
    </row>
    <row r="23" spans="1:15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  <c r="M23">
        <f t="shared" si="0"/>
        <v>4</v>
      </c>
      <c r="N23">
        <f t="shared" si="1"/>
        <v>6</v>
      </c>
      <c r="O23">
        <f t="shared" si="2"/>
        <v>0</v>
      </c>
    </row>
    <row r="24" spans="1:15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  <c r="M24">
        <f t="shared" si="0"/>
        <v>0</v>
      </c>
      <c r="N24">
        <f t="shared" si="1"/>
        <v>0</v>
      </c>
      <c r="O24">
        <f t="shared" si="2"/>
        <v>0</v>
      </c>
    </row>
    <row r="25" spans="1:15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  <c r="M25">
        <f t="shared" si="0"/>
        <v>4</v>
      </c>
      <c r="N25">
        <f t="shared" si="1"/>
        <v>3</v>
      </c>
      <c r="O25">
        <f t="shared" si="2"/>
        <v>0</v>
      </c>
    </row>
    <row r="26" spans="1:15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  <c r="M26">
        <f t="shared" si="0"/>
        <v>7</v>
      </c>
      <c r="N26">
        <f t="shared" si="1"/>
        <v>0</v>
      </c>
      <c r="O26">
        <f t="shared" si="2"/>
        <v>1</v>
      </c>
    </row>
    <row r="27" spans="1:15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  <c r="M27">
        <f t="shared" si="0"/>
        <v>8</v>
      </c>
      <c r="N27">
        <f t="shared" si="1"/>
        <v>9</v>
      </c>
      <c r="O27">
        <f t="shared" si="2"/>
        <v>1</v>
      </c>
    </row>
    <row r="28" spans="1:15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  <c r="M28">
        <f t="shared" si="0"/>
        <v>11</v>
      </c>
      <c r="N28">
        <f t="shared" si="1"/>
        <v>3</v>
      </c>
      <c r="O28">
        <f t="shared" si="2"/>
        <v>1</v>
      </c>
    </row>
    <row r="29" spans="1:15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  <c r="M29">
        <f t="shared" si="0"/>
        <v>12</v>
      </c>
      <c r="N29">
        <f t="shared" si="1"/>
        <v>4</v>
      </c>
      <c r="O29">
        <f t="shared" si="2"/>
        <v>0</v>
      </c>
    </row>
    <row r="30" spans="1:15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  <c r="M30">
        <f t="shared" si="0"/>
        <v>5</v>
      </c>
      <c r="N30">
        <f t="shared" si="1"/>
        <v>8</v>
      </c>
      <c r="O30">
        <f t="shared" si="2"/>
        <v>1</v>
      </c>
    </row>
    <row r="31" spans="1:15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  <c r="M31">
        <f t="shared" si="0"/>
        <v>3</v>
      </c>
      <c r="N31">
        <f t="shared" si="1"/>
        <v>2</v>
      </c>
      <c r="O31">
        <f t="shared" si="2"/>
        <v>0</v>
      </c>
    </row>
    <row r="32" spans="1:15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  <c r="M32">
        <f t="shared" si="0"/>
        <v>0</v>
      </c>
      <c r="N32">
        <f t="shared" si="1"/>
        <v>12</v>
      </c>
      <c r="O32">
        <f t="shared" si="2"/>
        <v>0</v>
      </c>
    </row>
    <row r="33" spans="1:15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  <c r="M33">
        <f t="shared" si="0"/>
        <v>3</v>
      </c>
      <c r="N33">
        <f t="shared" si="1"/>
        <v>1</v>
      </c>
      <c r="O33">
        <f t="shared" si="2"/>
        <v>0</v>
      </c>
    </row>
    <row r="34" spans="1:15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  <c r="M34">
        <f t="shared" si="0"/>
        <v>12</v>
      </c>
      <c r="N34">
        <f t="shared" si="1"/>
        <v>10</v>
      </c>
      <c r="O34">
        <f t="shared" si="2"/>
        <v>0</v>
      </c>
    </row>
    <row r="35" spans="1:15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  <c r="M35">
        <f t="shared" si="0"/>
        <v>4</v>
      </c>
      <c r="N35">
        <f t="shared" si="1"/>
        <v>3</v>
      </c>
      <c r="O35">
        <f t="shared" si="2"/>
        <v>0</v>
      </c>
    </row>
    <row r="36" spans="1:15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  <c r="M36">
        <f t="shared" si="0"/>
        <v>6</v>
      </c>
      <c r="N36">
        <f t="shared" si="1"/>
        <v>2</v>
      </c>
      <c r="O36">
        <f t="shared" si="2"/>
        <v>1</v>
      </c>
    </row>
    <row r="37" spans="1:15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  <c r="M37">
        <f t="shared" si="0"/>
        <v>3</v>
      </c>
      <c r="N37">
        <f t="shared" si="1"/>
        <v>7</v>
      </c>
      <c r="O37">
        <f t="shared" si="2"/>
        <v>0</v>
      </c>
    </row>
    <row r="38" spans="1:15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  <c r="M38">
        <f t="shared" si="0"/>
        <v>8</v>
      </c>
      <c r="N38">
        <f t="shared" si="1"/>
        <v>8</v>
      </c>
      <c r="O38">
        <f t="shared" si="2"/>
        <v>1</v>
      </c>
    </row>
    <row r="39" spans="1:15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  <c r="M39">
        <f t="shared" si="0"/>
        <v>9</v>
      </c>
      <c r="N39">
        <f t="shared" si="1"/>
        <v>5</v>
      </c>
      <c r="O39">
        <f t="shared" si="2"/>
        <v>1</v>
      </c>
    </row>
    <row r="40" spans="1:15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  <c r="M40">
        <f t="shared" si="0"/>
        <v>5</v>
      </c>
      <c r="N40">
        <f t="shared" si="1"/>
        <v>8</v>
      </c>
      <c r="O40">
        <f t="shared" si="2"/>
        <v>1</v>
      </c>
    </row>
    <row r="41" spans="1:15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  <c r="M41">
        <f t="shared" si="0"/>
        <v>4</v>
      </c>
      <c r="N41">
        <f t="shared" si="1"/>
        <v>8</v>
      </c>
      <c r="O41">
        <f t="shared" si="2"/>
        <v>0</v>
      </c>
    </row>
    <row r="42" spans="1:15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  <c r="M42">
        <f t="shared" si="0"/>
        <v>7</v>
      </c>
      <c r="N42">
        <f t="shared" si="1"/>
        <v>9</v>
      </c>
      <c r="O42">
        <f t="shared" si="2"/>
        <v>1</v>
      </c>
    </row>
    <row r="43" spans="1:15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  <c r="M43">
        <f t="shared" si="0"/>
        <v>5</v>
      </c>
      <c r="N43">
        <f t="shared" si="1"/>
        <v>5</v>
      </c>
      <c r="O43">
        <f t="shared" si="2"/>
        <v>1</v>
      </c>
    </row>
    <row r="44" spans="1:15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  <c r="M44">
        <f t="shared" si="0"/>
        <v>9</v>
      </c>
      <c r="N44">
        <f t="shared" si="1"/>
        <v>8</v>
      </c>
      <c r="O44">
        <f t="shared" si="2"/>
        <v>1</v>
      </c>
    </row>
    <row r="45" spans="1:15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  <c r="M45">
        <f t="shared" si="0"/>
        <v>1</v>
      </c>
      <c r="N45">
        <f t="shared" si="1"/>
        <v>5</v>
      </c>
      <c r="O45">
        <f t="shared" si="2"/>
        <v>0</v>
      </c>
    </row>
    <row r="46" spans="1:15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  <c r="M46">
        <f t="shared" si="0"/>
        <v>10</v>
      </c>
      <c r="N46">
        <f t="shared" si="1"/>
        <v>4</v>
      </c>
      <c r="O46">
        <f t="shared" si="2"/>
        <v>1</v>
      </c>
    </row>
    <row r="47" spans="1:15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  <c r="M47">
        <f t="shared" si="0"/>
        <v>7</v>
      </c>
      <c r="N47">
        <f t="shared" si="1"/>
        <v>5</v>
      </c>
      <c r="O47">
        <f t="shared" si="2"/>
        <v>1</v>
      </c>
    </row>
    <row r="48" spans="1:15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  <c r="M48">
        <f t="shared" si="0"/>
        <v>0</v>
      </c>
      <c r="N48">
        <f t="shared" si="1"/>
        <v>3</v>
      </c>
      <c r="O48">
        <f t="shared" si="2"/>
        <v>0</v>
      </c>
    </row>
    <row r="49" spans="1:15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  <c r="M49">
        <f t="shared" si="0"/>
        <v>9</v>
      </c>
      <c r="N49">
        <f t="shared" si="1"/>
        <v>9</v>
      </c>
      <c r="O49">
        <f t="shared" si="2"/>
        <v>1</v>
      </c>
    </row>
    <row r="50" spans="1:15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  <c r="M50">
        <f t="shared" si="0"/>
        <v>11</v>
      </c>
      <c r="N50">
        <f t="shared" si="1"/>
        <v>1</v>
      </c>
      <c r="O50">
        <f t="shared" si="2"/>
        <v>1</v>
      </c>
    </row>
    <row r="51" spans="1:15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  <c r="M51">
        <f t="shared" si="0"/>
        <v>6</v>
      </c>
      <c r="N51">
        <f t="shared" si="1"/>
        <v>6</v>
      </c>
      <c r="O51">
        <f t="shared" si="2"/>
        <v>1</v>
      </c>
    </row>
    <row r="52" spans="1:15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  <c r="M52">
        <f t="shared" si="0"/>
        <v>2</v>
      </c>
      <c r="N52">
        <f t="shared" si="1"/>
        <v>1</v>
      </c>
      <c r="O52">
        <f t="shared" si="2"/>
        <v>0</v>
      </c>
    </row>
    <row r="53" spans="1:15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  <c r="M53">
        <f t="shared" si="0"/>
        <v>2</v>
      </c>
      <c r="N53">
        <f t="shared" si="1"/>
        <v>2</v>
      </c>
      <c r="O53">
        <f t="shared" si="2"/>
        <v>0</v>
      </c>
    </row>
    <row r="54" spans="1:15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  <c r="M54">
        <f t="shared" si="0"/>
        <v>10</v>
      </c>
      <c r="N54">
        <f t="shared" si="1"/>
        <v>7</v>
      </c>
      <c r="O54">
        <f t="shared" si="2"/>
        <v>1</v>
      </c>
    </row>
    <row r="55" spans="1:15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  <c r="M55">
        <f t="shared" si="0"/>
        <v>8</v>
      </c>
      <c r="N55">
        <f t="shared" si="1"/>
        <v>0</v>
      </c>
      <c r="O55">
        <f t="shared" si="2"/>
        <v>1</v>
      </c>
    </row>
    <row r="56" spans="1:15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  <c r="M56">
        <f t="shared" si="0"/>
        <v>10</v>
      </c>
      <c r="N56">
        <f t="shared" si="1"/>
        <v>4</v>
      </c>
      <c r="O56">
        <f t="shared" si="2"/>
        <v>1</v>
      </c>
    </row>
    <row r="57" spans="1:15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  <c r="M57">
        <f t="shared" si="0"/>
        <v>8</v>
      </c>
      <c r="N57">
        <f t="shared" si="1"/>
        <v>3</v>
      </c>
      <c r="O57">
        <f t="shared" si="2"/>
        <v>1</v>
      </c>
    </row>
    <row r="58" spans="1:15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  <c r="M58">
        <f t="shared" si="0"/>
        <v>7</v>
      </c>
      <c r="N58">
        <f t="shared" si="1"/>
        <v>5</v>
      </c>
      <c r="O58">
        <f t="shared" si="2"/>
        <v>1</v>
      </c>
    </row>
    <row r="59" spans="1:15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  <c r="M59">
        <f t="shared" si="0"/>
        <v>10</v>
      </c>
      <c r="N59">
        <f t="shared" si="1"/>
        <v>7</v>
      </c>
      <c r="O59">
        <f t="shared" si="2"/>
        <v>1</v>
      </c>
    </row>
    <row r="60" spans="1:15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  <c r="M60">
        <f t="shared" si="0"/>
        <v>11</v>
      </c>
      <c r="N60">
        <f t="shared" si="1"/>
        <v>10</v>
      </c>
      <c r="O60">
        <f t="shared" si="2"/>
        <v>1</v>
      </c>
    </row>
    <row r="61" spans="1:15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  <c r="M61">
        <f t="shared" si="0"/>
        <v>10</v>
      </c>
      <c r="N61">
        <f t="shared" si="1"/>
        <v>6</v>
      </c>
      <c r="O61">
        <f t="shared" si="2"/>
        <v>1</v>
      </c>
    </row>
    <row r="62" spans="1:15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  <c r="M62">
        <f t="shared" si="0"/>
        <v>3</v>
      </c>
      <c r="N62">
        <f t="shared" si="1"/>
        <v>6</v>
      </c>
      <c r="O62">
        <f t="shared" si="2"/>
        <v>0</v>
      </c>
    </row>
    <row r="63" spans="1:15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  <c r="M63">
        <f t="shared" si="0"/>
        <v>5</v>
      </c>
      <c r="N63">
        <f t="shared" si="1"/>
        <v>5</v>
      </c>
      <c r="O63">
        <f t="shared" si="2"/>
        <v>1</v>
      </c>
    </row>
    <row r="64" spans="1:15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  <c r="M64">
        <f t="shared" si="0"/>
        <v>5</v>
      </c>
      <c r="N64">
        <f t="shared" si="1"/>
        <v>5</v>
      </c>
      <c r="O64">
        <f t="shared" si="2"/>
        <v>1</v>
      </c>
    </row>
    <row r="65" spans="1:15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  <c r="M65">
        <f t="shared" si="0"/>
        <v>8</v>
      </c>
      <c r="N65">
        <f t="shared" si="1"/>
        <v>4</v>
      </c>
      <c r="O65">
        <f t="shared" si="2"/>
        <v>1</v>
      </c>
    </row>
    <row r="66" spans="1:15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  <c r="M66">
        <f t="shared" si="0"/>
        <v>7</v>
      </c>
      <c r="N66">
        <f t="shared" si="1"/>
        <v>0</v>
      </c>
      <c r="O66">
        <f t="shared" si="2"/>
        <v>1</v>
      </c>
    </row>
    <row r="67" spans="1:15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  <c r="M67">
        <f t="shared" ref="M67:M130" si="3">HOUR(B67)</f>
        <v>5</v>
      </c>
      <c r="N67">
        <f t="shared" ref="N67:N130" si="4">MINUTE(B67)</f>
        <v>6</v>
      </c>
      <c r="O67">
        <f t="shared" ref="O67:O130" si="5">IF(OR(AND(M67 = 12,N67=0),AND(M67&gt;=5,M67&lt;=11)),1,0)</f>
        <v>1</v>
      </c>
    </row>
    <row r="68" spans="1:15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  <c r="M68">
        <f t="shared" si="3"/>
        <v>6</v>
      </c>
      <c r="N68">
        <f t="shared" si="4"/>
        <v>4</v>
      </c>
      <c r="O68">
        <f t="shared" si="5"/>
        <v>1</v>
      </c>
    </row>
    <row r="69" spans="1:15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  <c r="M69">
        <f t="shared" si="3"/>
        <v>5</v>
      </c>
      <c r="N69">
        <f t="shared" si="4"/>
        <v>12</v>
      </c>
      <c r="O69">
        <f t="shared" si="5"/>
        <v>1</v>
      </c>
    </row>
    <row r="70" spans="1:15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  <c r="M70">
        <f t="shared" si="3"/>
        <v>10</v>
      </c>
      <c r="N70">
        <f t="shared" si="4"/>
        <v>7</v>
      </c>
      <c r="O70">
        <f t="shared" si="5"/>
        <v>1</v>
      </c>
    </row>
    <row r="71" spans="1:15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  <c r="M71">
        <f t="shared" si="3"/>
        <v>4</v>
      </c>
      <c r="N71">
        <f t="shared" si="4"/>
        <v>1</v>
      </c>
      <c r="O71">
        <f t="shared" si="5"/>
        <v>0</v>
      </c>
    </row>
    <row r="72" spans="1:15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  <c r="M72">
        <f t="shared" si="3"/>
        <v>7</v>
      </c>
      <c r="N72">
        <f t="shared" si="4"/>
        <v>8</v>
      </c>
      <c r="O72">
        <f t="shared" si="5"/>
        <v>1</v>
      </c>
    </row>
    <row r="73" spans="1:15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  <c r="M73">
        <f t="shared" si="3"/>
        <v>9</v>
      </c>
      <c r="N73">
        <f t="shared" si="4"/>
        <v>8</v>
      </c>
      <c r="O73">
        <f t="shared" si="5"/>
        <v>1</v>
      </c>
    </row>
    <row r="74" spans="1:15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  <c r="M74">
        <f t="shared" si="3"/>
        <v>2</v>
      </c>
      <c r="N74">
        <f t="shared" si="4"/>
        <v>9</v>
      </c>
      <c r="O74">
        <f t="shared" si="5"/>
        <v>0</v>
      </c>
    </row>
    <row r="75" spans="1:15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  <c r="M75">
        <f t="shared" si="3"/>
        <v>10</v>
      </c>
      <c r="N75">
        <f t="shared" si="4"/>
        <v>5</v>
      </c>
      <c r="O75">
        <f t="shared" si="5"/>
        <v>1</v>
      </c>
    </row>
    <row r="76" spans="1:15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  <c r="M76">
        <f t="shared" si="3"/>
        <v>2</v>
      </c>
      <c r="N76">
        <f t="shared" si="4"/>
        <v>3</v>
      </c>
      <c r="O76">
        <f t="shared" si="5"/>
        <v>0</v>
      </c>
    </row>
    <row r="77" spans="1:15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  <c r="M77">
        <f t="shared" si="3"/>
        <v>3</v>
      </c>
      <c r="N77">
        <f t="shared" si="4"/>
        <v>2</v>
      </c>
      <c r="O77">
        <f t="shared" si="5"/>
        <v>0</v>
      </c>
    </row>
    <row r="78" spans="1:15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  <c r="M78">
        <f t="shared" si="3"/>
        <v>1</v>
      </c>
      <c r="N78">
        <f t="shared" si="4"/>
        <v>5</v>
      </c>
      <c r="O78">
        <f t="shared" si="5"/>
        <v>0</v>
      </c>
    </row>
    <row r="79" spans="1:15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  <c r="M79">
        <f t="shared" si="3"/>
        <v>4</v>
      </c>
      <c r="N79">
        <f t="shared" si="4"/>
        <v>8</v>
      </c>
      <c r="O79">
        <f t="shared" si="5"/>
        <v>0</v>
      </c>
    </row>
    <row r="80" spans="1:15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  <c r="M80">
        <f t="shared" si="3"/>
        <v>10</v>
      </c>
      <c r="N80">
        <f t="shared" si="4"/>
        <v>3</v>
      </c>
      <c r="O80">
        <f t="shared" si="5"/>
        <v>1</v>
      </c>
    </row>
    <row r="81" spans="1:15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  <c r="M81">
        <f t="shared" si="3"/>
        <v>4</v>
      </c>
      <c r="N81">
        <f t="shared" si="4"/>
        <v>9</v>
      </c>
      <c r="O81">
        <f t="shared" si="5"/>
        <v>0</v>
      </c>
    </row>
    <row r="82" spans="1:15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  <c r="M82">
        <f t="shared" si="3"/>
        <v>11</v>
      </c>
      <c r="N82">
        <f t="shared" si="4"/>
        <v>0</v>
      </c>
      <c r="O82">
        <f t="shared" si="5"/>
        <v>1</v>
      </c>
    </row>
    <row r="83" spans="1:15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  <c r="M83">
        <f t="shared" si="3"/>
        <v>6</v>
      </c>
      <c r="N83">
        <f t="shared" si="4"/>
        <v>9</v>
      </c>
      <c r="O83">
        <f t="shared" si="5"/>
        <v>1</v>
      </c>
    </row>
    <row r="84" spans="1:15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  <c r="M84">
        <f t="shared" si="3"/>
        <v>11</v>
      </c>
      <c r="N84">
        <f t="shared" si="4"/>
        <v>4</v>
      </c>
      <c r="O84">
        <f t="shared" si="5"/>
        <v>1</v>
      </c>
    </row>
    <row r="85" spans="1:15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  <c r="M85">
        <f t="shared" si="3"/>
        <v>2</v>
      </c>
      <c r="N85">
        <f t="shared" si="4"/>
        <v>9</v>
      </c>
      <c r="O85">
        <f t="shared" si="5"/>
        <v>0</v>
      </c>
    </row>
    <row r="86" spans="1:15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  <c r="M86">
        <f t="shared" si="3"/>
        <v>9</v>
      </c>
      <c r="N86">
        <f t="shared" si="4"/>
        <v>3</v>
      </c>
      <c r="O86">
        <f t="shared" si="5"/>
        <v>1</v>
      </c>
    </row>
    <row r="87" spans="1:15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  <c r="M87">
        <f t="shared" si="3"/>
        <v>11</v>
      </c>
      <c r="N87">
        <f t="shared" si="4"/>
        <v>10</v>
      </c>
      <c r="O87">
        <f t="shared" si="5"/>
        <v>1</v>
      </c>
    </row>
    <row r="88" spans="1:15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  <c r="M88">
        <f t="shared" si="3"/>
        <v>0</v>
      </c>
      <c r="N88">
        <f t="shared" si="4"/>
        <v>3</v>
      </c>
      <c r="O88">
        <f t="shared" si="5"/>
        <v>0</v>
      </c>
    </row>
    <row r="89" spans="1:15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  <c r="M89">
        <f t="shared" si="3"/>
        <v>4</v>
      </c>
      <c r="N89">
        <f t="shared" si="4"/>
        <v>5</v>
      </c>
      <c r="O89">
        <f t="shared" si="5"/>
        <v>0</v>
      </c>
    </row>
    <row r="90" spans="1:15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  <c r="M90">
        <f t="shared" si="3"/>
        <v>7</v>
      </c>
      <c r="N90">
        <f t="shared" si="4"/>
        <v>10</v>
      </c>
      <c r="O90">
        <f t="shared" si="5"/>
        <v>1</v>
      </c>
    </row>
    <row r="91" spans="1:15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  <c r="M91">
        <f t="shared" si="3"/>
        <v>9</v>
      </c>
      <c r="N91">
        <f t="shared" si="4"/>
        <v>4</v>
      </c>
      <c r="O91">
        <f t="shared" si="5"/>
        <v>1</v>
      </c>
    </row>
    <row r="92" spans="1:15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  <c r="M92">
        <f t="shared" si="3"/>
        <v>6</v>
      </c>
      <c r="N92">
        <f t="shared" si="4"/>
        <v>5</v>
      </c>
      <c r="O92">
        <f t="shared" si="5"/>
        <v>1</v>
      </c>
    </row>
    <row r="93" spans="1:15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  <c r="M93">
        <f t="shared" si="3"/>
        <v>2</v>
      </c>
      <c r="N93">
        <f t="shared" si="4"/>
        <v>2</v>
      </c>
      <c r="O93">
        <f t="shared" si="5"/>
        <v>0</v>
      </c>
    </row>
    <row r="94" spans="1:15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  <c r="M94">
        <f t="shared" si="3"/>
        <v>4</v>
      </c>
      <c r="N94">
        <f t="shared" si="4"/>
        <v>3</v>
      </c>
      <c r="O94">
        <f t="shared" si="5"/>
        <v>0</v>
      </c>
    </row>
    <row r="95" spans="1:15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  <c r="M95">
        <f t="shared" si="3"/>
        <v>8</v>
      </c>
      <c r="N95">
        <f t="shared" si="4"/>
        <v>12</v>
      </c>
      <c r="O95">
        <f t="shared" si="5"/>
        <v>1</v>
      </c>
    </row>
    <row r="96" spans="1:15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  <c r="M96">
        <f t="shared" si="3"/>
        <v>8</v>
      </c>
      <c r="N96">
        <f t="shared" si="4"/>
        <v>3</v>
      </c>
      <c r="O96">
        <f t="shared" si="5"/>
        <v>1</v>
      </c>
    </row>
    <row r="97" spans="1:15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  <c r="M97">
        <f t="shared" si="3"/>
        <v>12</v>
      </c>
      <c r="N97">
        <f t="shared" si="4"/>
        <v>9</v>
      </c>
      <c r="O97">
        <f t="shared" si="5"/>
        <v>0</v>
      </c>
    </row>
    <row r="98" spans="1:15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  <c r="M98">
        <f t="shared" si="3"/>
        <v>1</v>
      </c>
      <c r="N98">
        <f t="shared" si="4"/>
        <v>6</v>
      </c>
      <c r="O98">
        <f t="shared" si="5"/>
        <v>0</v>
      </c>
    </row>
    <row r="99" spans="1:15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  <c r="M99">
        <f t="shared" si="3"/>
        <v>5</v>
      </c>
      <c r="N99">
        <f t="shared" si="4"/>
        <v>11</v>
      </c>
      <c r="O99">
        <f t="shared" si="5"/>
        <v>1</v>
      </c>
    </row>
    <row r="100" spans="1:15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  <c r="M100">
        <f t="shared" si="3"/>
        <v>0</v>
      </c>
      <c r="N100">
        <f t="shared" si="4"/>
        <v>6</v>
      </c>
      <c r="O100">
        <f t="shared" si="5"/>
        <v>0</v>
      </c>
    </row>
    <row r="101" spans="1:15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  <c r="M101">
        <f t="shared" si="3"/>
        <v>2</v>
      </c>
      <c r="N101">
        <f t="shared" si="4"/>
        <v>5</v>
      </c>
      <c r="O101">
        <f t="shared" si="5"/>
        <v>0</v>
      </c>
    </row>
    <row r="102" spans="1:15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  <c r="M102">
        <f t="shared" si="3"/>
        <v>1</v>
      </c>
      <c r="N102">
        <f t="shared" si="4"/>
        <v>8</v>
      </c>
      <c r="O102">
        <f t="shared" si="5"/>
        <v>0</v>
      </c>
    </row>
    <row r="103" spans="1:15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  <c r="M103">
        <f t="shared" si="3"/>
        <v>11</v>
      </c>
      <c r="N103">
        <f t="shared" si="4"/>
        <v>3</v>
      </c>
      <c r="O103">
        <f t="shared" si="5"/>
        <v>1</v>
      </c>
    </row>
    <row r="104" spans="1:15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  <c r="M104">
        <f t="shared" si="3"/>
        <v>0</v>
      </c>
      <c r="N104">
        <f t="shared" si="4"/>
        <v>4</v>
      </c>
      <c r="O104">
        <f t="shared" si="5"/>
        <v>0</v>
      </c>
    </row>
    <row r="105" spans="1:15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  <c r="M105">
        <f t="shared" si="3"/>
        <v>0</v>
      </c>
      <c r="N105">
        <f t="shared" si="4"/>
        <v>8</v>
      </c>
      <c r="O105">
        <f t="shared" si="5"/>
        <v>0</v>
      </c>
    </row>
    <row r="106" spans="1:15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  <c r="M106">
        <f t="shared" si="3"/>
        <v>1</v>
      </c>
      <c r="N106">
        <f t="shared" si="4"/>
        <v>5</v>
      </c>
      <c r="O106">
        <f t="shared" si="5"/>
        <v>0</v>
      </c>
    </row>
    <row r="107" spans="1:15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  <c r="M107">
        <f t="shared" si="3"/>
        <v>11</v>
      </c>
      <c r="N107">
        <f t="shared" si="4"/>
        <v>11</v>
      </c>
      <c r="O107">
        <f t="shared" si="5"/>
        <v>1</v>
      </c>
    </row>
    <row r="108" spans="1:15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  <c r="M108">
        <f t="shared" si="3"/>
        <v>10</v>
      </c>
      <c r="N108">
        <f t="shared" si="4"/>
        <v>7</v>
      </c>
      <c r="O108">
        <f t="shared" si="5"/>
        <v>1</v>
      </c>
    </row>
    <row r="109" spans="1:15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  <c r="M109">
        <f t="shared" si="3"/>
        <v>1</v>
      </c>
      <c r="N109">
        <f t="shared" si="4"/>
        <v>0</v>
      </c>
      <c r="O109">
        <f t="shared" si="5"/>
        <v>0</v>
      </c>
    </row>
    <row r="110" spans="1:15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  <c r="M110">
        <f t="shared" si="3"/>
        <v>9</v>
      </c>
      <c r="N110">
        <f t="shared" si="4"/>
        <v>8</v>
      </c>
      <c r="O110">
        <f t="shared" si="5"/>
        <v>1</v>
      </c>
    </row>
    <row r="111" spans="1:15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  <c r="M111">
        <f t="shared" si="3"/>
        <v>1</v>
      </c>
      <c r="N111">
        <f t="shared" si="4"/>
        <v>7</v>
      </c>
      <c r="O111">
        <f t="shared" si="5"/>
        <v>0</v>
      </c>
    </row>
    <row r="112" spans="1:15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  <c r="M112">
        <f t="shared" si="3"/>
        <v>1</v>
      </c>
      <c r="N112">
        <f t="shared" si="4"/>
        <v>5</v>
      </c>
      <c r="O112">
        <f t="shared" si="5"/>
        <v>0</v>
      </c>
    </row>
    <row r="113" spans="1:15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  <c r="M113">
        <f t="shared" si="3"/>
        <v>1</v>
      </c>
      <c r="N113">
        <f t="shared" si="4"/>
        <v>7</v>
      </c>
      <c r="O113">
        <f t="shared" si="5"/>
        <v>0</v>
      </c>
    </row>
    <row r="114" spans="1:15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  <c r="M114">
        <f t="shared" si="3"/>
        <v>4</v>
      </c>
      <c r="N114">
        <f t="shared" si="4"/>
        <v>2</v>
      </c>
      <c r="O114">
        <f t="shared" si="5"/>
        <v>0</v>
      </c>
    </row>
    <row r="115" spans="1:15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  <c r="M115">
        <f t="shared" si="3"/>
        <v>6</v>
      </c>
      <c r="N115">
        <f t="shared" si="4"/>
        <v>2</v>
      </c>
      <c r="O115">
        <f t="shared" si="5"/>
        <v>1</v>
      </c>
    </row>
    <row r="116" spans="1:15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  <c r="M116">
        <f t="shared" si="3"/>
        <v>4</v>
      </c>
      <c r="N116">
        <f t="shared" si="4"/>
        <v>11</v>
      </c>
      <c r="O116">
        <f t="shared" si="5"/>
        <v>0</v>
      </c>
    </row>
    <row r="117" spans="1:15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  <c r="M117">
        <f t="shared" si="3"/>
        <v>0</v>
      </c>
      <c r="N117">
        <f t="shared" si="4"/>
        <v>3</v>
      </c>
      <c r="O117">
        <f t="shared" si="5"/>
        <v>0</v>
      </c>
    </row>
    <row r="118" spans="1:15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  <c r="M118">
        <f t="shared" si="3"/>
        <v>2</v>
      </c>
      <c r="N118">
        <f t="shared" si="4"/>
        <v>12</v>
      </c>
      <c r="O118">
        <f t="shared" si="5"/>
        <v>0</v>
      </c>
    </row>
    <row r="119" spans="1:15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  <c r="M119">
        <f t="shared" si="3"/>
        <v>4</v>
      </c>
      <c r="N119">
        <f t="shared" si="4"/>
        <v>6</v>
      </c>
      <c r="O119">
        <f t="shared" si="5"/>
        <v>0</v>
      </c>
    </row>
    <row r="120" spans="1:15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  <c r="M120">
        <f t="shared" si="3"/>
        <v>10</v>
      </c>
      <c r="N120">
        <f t="shared" si="4"/>
        <v>6</v>
      </c>
      <c r="O120">
        <f t="shared" si="5"/>
        <v>1</v>
      </c>
    </row>
    <row r="121" spans="1:15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  <c r="M121">
        <f t="shared" si="3"/>
        <v>9</v>
      </c>
      <c r="N121">
        <f t="shared" si="4"/>
        <v>11</v>
      </c>
      <c r="O121">
        <f t="shared" si="5"/>
        <v>1</v>
      </c>
    </row>
    <row r="122" spans="1:15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  <c r="M122">
        <f t="shared" si="3"/>
        <v>2</v>
      </c>
      <c r="N122">
        <f t="shared" si="4"/>
        <v>8</v>
      </c>
      <c r="O122">
        <f t="shared" si="5"/>
        <v>0</v>
      </c>
    </row>
    <row r="123" spans="1:15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  <c r="M123">
        <f t="shared" si="3"/>
        <v>10</v>
      </c>
      <c r="N123">
        <f t="shared" si="4"/>
        <v>8</v>
      </c>
      <c r="O123">
        <f t="shared" si="5"/>
        <v>1</v>
      </c>
    </row>
    <row r="124" spans="1:15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  <c r="M124">
        <f t="shared" si="3"/>
        <v>2</v>
      </c>
      <c r="N124">
        <f t="shared" si="4"/>
        <v>4</v>
      </c>
      <c r="O124">
        <f t="shared" si="5"/>
        <v>0</v>
      </c>
    </row>
    <row r="125" spans="1:15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  <c r="M125">
        <f t="shared" si="3"/>
        <v>3</v>
      </c>
      <c r="N125">
        <f t="shared" si="4"/>
        <v>3</v>
      </c>
      <c r="O125">
        <f t="shared" si="5"/>
        <v>0</v>
      </c>
    </row>
    <row r="126" spans="1:15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  <c r="M126">
        <f t="shared" si="3"/>
        <v>1</v>
      </c>
      <c r="N126">
        <f t="shared" si="4"/>
        <v>3</v>
      </c>
      <c r="O126">
        <f t="shared" si="5"/>
        <v>0</v>
      </c>
    </row>
    <row r="127" spans="1:15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  <c r="M127">
        <f t="shared" si="3"/>
        <v>10</v>
      </c>
      <c r="N127">
        <f t="shared" si="4"/>
        <v>1</v>
      </c>
      <c r="O127">
        <f t="shared" si="5"/>
        <v>1</v>
      </c>
    </row>
    <row r="128" spans="1:15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  <c r="M128">
        <f t="shared" si="3"/>
        <v>5</v>
      </c>
      <c r="N128">
        <f t="shared" si="4"/>
        <v>8</v>
      </c>
      <c r="O128">
        <f t="shared" si="5"/>
        <v>1</v>
      </c>
    </row>
    <row r="129" spans="1:15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  <c r="M129">
        <f t="shared" si="3"/>
        <v>7</v>
      </c>
      <c r="N129">
        <f t="shared" si="4"/>
        <v>9</v>
      </c>
      <c r="O129">
        <f t="shared" si="5"/>
        <v>1</v>
      </c>
    </row>
    <row r="130" spans="1:15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  <c r="M130">
        <f t="shared" si="3"/>
        <v>10</v>
      </c>
      <c r="N130">
        <f t="shared" si="4"/>
        <v>9</v>
      </c>
      <c r="O130">
        <f t="shared" si="5"/>
        <v>1</v>
      </c>
    </row>
    <row r="131" spans="1:15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  <c r="M131">
        <f t="shared" ref="M131:M194" si="6">HOUR(B131)</f>
        <v>0</v>
      </c>
      <c r="N131">
        <f t="shared" ref="N131:N194" si="7">MINUTE(B131)</f>
        <v>5</v>
      </c>
      <c r="O131">
        <f t="shared" ref="O131:O194" si="8">IF(OR(AND(M131 = 12,N131=0),AND(M131&gt;=5,M131&lt;=11)),1,0)</f>
        <v>0</v>
      </c>
    </row>
    <row r="132" spans="1:15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  <c r="M132">
        <f t="shared" si="6"/>
        <v>3</v>
      </c>
      <c r="N132">
        <f t="shared" si="7"/>
        <v>5</v>
      </c>
      <c r="O132">
        <f t="shared" si="8"/>
        <v>0</v>
      </c>
    </row>
    <row r="133" spans="1:15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  <c r="M133">
        <f t="shared" si="6"/>
        <v>11</v>
      </c>
      <c r="N133">
        <f t="shared" si="7"/>
        <v>11</v>
      </c>
      <c r="O133">
        <f t="shared" si="8"/>
        <v>1</v>
      </c>
    </row>
    <row r="134" spans="1:15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  <c r="M134">
        <f t="shared" si="6"/>
        <v>1</v>
      </c>
      <c r="N134">
        <f t="shared" si="7"/>
        <v>8</v>
      </c>
      <c r="O134">
        <f t="shared" si="8"/>
        <v>0</v>
      </c>
    </row>
    <row r="135" spans="1:15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  <c r="M135">
        <f t="shared" si="6"/>
        <v>6</v>
      </c>
      <c r="N135">
        <f t="shared" si="7"/>
        <v>3</v>
      </c>
      <c r="O135">
        <f t="shared" si="8"/>
        <v>1</v>
      </c>
    </row>
    <row r="136" spans="1:15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  <c r="M136">
        <f t="shared" si="6"/>
        <v>11</v>
      </c>
      <c r="N136">
        <f t="shared" si="7"/>
        <v>6</v>
      </c>
      <c r="O136">
        <f t="shared" si="8"/>
        <v>1</v>
      </c>
    </row>
    <row r="137" spans="1:15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  <c r="M137">
        <f t="shared" si="6"/>
        <v>0</v>
      </c>
      <c r="N137">
        <f t="shared" si="7"/>
        <v>9</v>
      </c>
      <c r="O137">
        <f t="shared" si="8"/>
        <v>0</v>
      </c>
    </row>
    <row r="138" spans="1:15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  <c r="M138">
        <f t="shared" si="6"/>
        <v>4</v>
      </c>
      <c r="N138">
        <f t="shared" si="7"/>
        <v>1</v>
      </c>
      <c r="O138">
        <f t="shared" si="8"/>
        <v>0</v>
      </c>
    </row>
    <row r="139" spans="1:15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  <c r="M139">
        <f t="shared" si="6"/>
        <v>10</v>
      </c>
      <c r="N139">
        <f t="shared" si="7"/>
        <v>9</v>
      </c>
      <c r="O139">
        <f t="shared" si="8"/>
        <v>1</v>
      </c>
    </row>
    <row r="140" spans="1:15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  <c r="M140">
        <f t="shared" si="6"/>
        <v>0</v>
      </c>
      <c r="N140">
        <f t="shared" si="7"/>
        <v>11</v>
      </c>
      <c r="O140">
        <f t="shared" si="8"/>
        <v>0</v>
      </c>
    </row>
    <row r="141" spans="1:15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  <c r="M141">
        <f t="shared" si="6"/>
        <v>5</v>
      </c>
      <c r="N141">
        <f t="shared" si="7"/>
        <v>10</v>
      </c>
      <c r="O141">
        <f t="shared" si="8"/>
        <v>1</v>
      </c>
    </row>
    <row r="142" spans="1:15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  <c r="M142">
        <f t="shared" si="6"/>
        <v>8</v>
      </c>
      <c r="N142">
        <f t="shared" si="7"/>
        <v>4</v>
      </c>
      <c r="O142">
        <f t="shared" si="8"/>
        <v>1</v>
      </c>
    </row>
    <row r="143" spans="1:15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  <c r="M143">
        <f t="shared" si="6"/>
        <v>8</v>
      </c>
      <c r="N143">
        <f t="shared" si="7"/>
        <v>10</v>
      </c>
      <c r="O143">
        <f t="shared" si="8"/>
        <v>1</v>
      </c>
    </row>
    <row r="144" spans="1:15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  <c r="M144">
        <f t="shared" si="6"/>
        <v>11</v>
      </c>
      <c r="N144">
        <f t="shared" si="7"/>
        <v>9</v>
      </c>
      <c r="O144">
        <f t="shared" si="8"/>
        <v>1</v>
      </c>
    </row>
    <row r="145" spans="1:15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  <c r="M145">
        <f t="shared" si="6"/>
        <v>8</v>
      </c>
      <c r="N145">
        <f t="shared" si="7"/>
        <v>2</v>
      </c>
      <c r="O145">
        <f t="shared" si="8"/>
        <v>1</v>
      </c>
    </row>
    <row r="146" spans="1:15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  <c r="M146">
        <f t="shared" si="6"/>
        <v>10</v>
      </c>
      <c r="N146">
        <f t="shared" si="7"/>
        <v>8</v>
      </c>
      <c r="O146">
        <f t="shared" si="8"/>
        <v>1</v>
      </c>
    </row>
    <row r="147" spans="1:15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  <c r="M147">
        <f t="shared" si="6"/>
        <v>10</v>
      </c>
      <c r="N147">
        <f t="shared" si="7"/>
        <v>9</v>
      </c>
      <c r="O147">
        <f t="shared" si="8"/>
        <v>1</v>
      </c>
    </row>
    <row r="148" spans="1:15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  <c r="M148">
        <f t="shared" si="6"/>
        <v>4</v>
      </c>
      <c r="N148">
        <f t="shared" si="7"/>
        <v>1</v>
      </c>
      <c r="O148">
        <f t="shared" si="8"/>
        <v>0</v>
      </c>
    </row>
    <row r="149" spans="1:15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  <c r="M149">
        <f t="shared" si="6"/>
        <v>6</v>
      </c>
      <c r="N149">
        <f t="shared" si="7"/>
        <v>7</v>
      </c>
      <c r="O149">
        <f t="shared" si="8"/>
        <v>1</v>
      </c>
    </row>
    <row r="150" spans="1:15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  <c r="M150">
        <f t="shared" si="6"/>
        <v>7</v>
      </c>
      <c r="N150">
        <f t="shared" si="7"/>
        <v>9</v>
      </c>
      <c r="O150">
        <f t="shared" si="8"/>
        <v>1</v>
      </c>
    </row>
    <row r="151" spans="1:15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  <c r="M151">
        <f t="shared" si="6"/>
        <v>3</v>
      </c>
      <c r="N151">
        <f t="shared" si="7"/>
        <v>6</v>
      </c>
      <c r="O151">
        <f t="shared" si="8"/>
        <v>0</v>
      </c>
    </row>
    <row r="152" spans="1:15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  <c r="M152">
        <f t="shared" si="6"/>
        <v>8</v>
      </c>
      <c r="N152">
        <f t="shared" si="7"/>
        <v>6</v>
      </c>
      <c r="O152">
        <f t="shared" si="8"/>
        <v>1</v>
      </c>
    </row>
    <row r="153" spans="1:15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  <c r="M153">
        <f t="shared" si="6"/>
        <v>10</v>
      </c>
      <c r="N153">
        <f t="shared" si="7"/>
        <v>6</v>
      </c>
      <c r="O153">
        <f t="shared" si="8"/>
        <v>1</v>
      </c>
    </row>
    <row r="154" spans="1:15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  <c r="M154">
        <f t="shared" si="6"/>
        <v>10</v>
      </c>
      <c r="N154">
        <f t="shared" si="7"/>
        <v>10</v>
      </c>
      <c r="O154">
        <f t="shared" si="8"/>
        <v>1</v>
      </c>
    </row>
    <row r="155" spans="1:15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  <c r="M155">
        <f t="shared" si="6"/>
        <v>1</v>
      </c>
      <c r="N155">
        <f t="shared" si="7"/>
        <v>6</v>
      </c>
      <c r="O155">
        <f t="shared" si="8"/>
        <v>0</v>
      </c>
    </row>
    <row r="156" spans="1:15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  <c r="M156">
        <f t="shared" si="6"/>
        <v>9</v>
      </c>
      <c r="N156">
        <f t="shared" si="7"/>
        <v>3</v>
      </c>
      <c r="O156">
        <f t="shared" si="8"/>
        <v>1</v>
      </c>
    </row>
    <row r="157" spans="1:15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  <c r="M157">
        <f t="shared" si="6"/>
        <v>8</v>
      </c>
      <c r="N157">
        <f t="shared" si="7"/>
        <v>8</v>
      </c>
      <c r="O157">
        <f t="shared" si="8"/>
        <v>1</v>
      </c>
    </row>
    <row r="158" spans="1:15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  <c r="M158">
        <f t="shared" si="6"/>
        <v>2</v>
      </c>
      <c r="N158">
        <f t="shared" si="7"/>
        <v>2</v>
      </c>
      <c r="O158">
        <f t="shared" si="8"/>
        <v>0</v>
      </c>
    </row>
    <row r="159" spans="1:15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  <c r="M159">
        <f t="shared" si="6"/>
        <v>10</v>
      </c>
      <c r="N159">
        <f t="shared" si="7"/>
        <v>5</v>
      </c>
      <c r="O159">
        <f t="shared" si="8"/>
        <v>1</v>
      </c>
    </row>
    <row r="160" spans="1:15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  <c r="M160">
        <f t="shared" si="6"/>
        <v>4</v>
      </c>
      <c r="N160">
        <f t="shared" si="7"/>
        <v>5</v>
      </c>
      <c r="O160">
        <f t="shared" si="8"/>
        <v>0</v>
      </c>
    </row>
    <row r="161" spans="1:15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  <c r="M161">
        <f t="shared" si="6"/>
        <v>7</v>
      </c>
      <c r="N161">
        <f t="shared" si="7"/>
        <v>1</v>
      </c>
      <c r="O161">
        <f t="shared" si="8"/>
        <v>1</v>
      </c>
    </row>
    <row r="162" spans="1:15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  <c r="M162">
        <f t="shared" si="6"/>
        <v>1</v>
      </c>
      <c r="N162">
        <f t="shared" si="7"/>
        <v>11</v>
      </c>
      <c r="O162">
        <f t="shared" si="8"/>
        <v>0</v>
      </c>
    </row>
    <row r="163" spans="1:15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  <c r="M163">
        <f t="shared" si="6"/>
        <v>2</v>
      </c>
      <c r="N163">
        <f t="shared" si="7"/>
        <v>2</v>
      </c>
      <c r="O163">
        <f t="shared" si="8"/>
        <v>0</v>
      </c>
    </row>
    <row r="164" spans="1:15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  <c r="M164">
        <f t="shared" si="6"/>
        <v>6</v>
      </c>
      <c r="N164">
        <f t="shared" si="7"/>
        <v>9</v>
      </c>
      <c r="O164">
        <f t="shared" si="8"/>
        <v>1</v>
      </c>
    </row>
    <row r="165" spans="1:15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  <c r="M165">
        <f t="shared" si="6"/>
        <v>4</v>
      </c>
      <c r="N165">
        <f t="shared" si="7"/>
        <v>1</v>
      </c>
      <c r="O165">
        <f t="shared" si="8"/>
        <v>0</v>
      </c>
    </row>
    <row r="166" spans="1:15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  <c r="M166">
        <f t="shared" si="6"/>
        <v>0</v>
      </c>
      <c r="N166">
        <f t="shared" si="7"/>
        <v>5</v>
      </c>
      <c r="O166">
        <f t="shared" si="8"/>
        <v>0</v>
      </c>
    </row>
    <row r="167" spans="1:15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  <c r="M167">
        <f t="shared" si="6"/>
        <v>5</v>
      </c>
      <c r="N167">
        <f t="shared" si="7"/>
        <v>6</v>
      </c>
      <c r="O167">
        <f t="shared" si="8"/>
        <v>1</v>
      </c>
    </row>
    <row r="168" spans="1:15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  <c r="M168">
        <f t="shared" si="6"/>
        <v>5</v>
      </c>
      <c r="N168">
        <f t="shared" si="7"/>
        <v>8</v>
      </c>
      <c r="O168">
        <f t="shared" si="8"/>
        <v>1</v>
      </c>
    </row>
    <row r="169" spans="1:15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  <c r="M169">
        <f t="shared" si="6"/>
        <v>4</v>
      </c>
      <c r="N169">
        <f t="shared" si="7"/>
        <v>5</v>
      </c>
      <c r="O169">
        <f t="shared" si="8"/>
        <v>0</v>
      </c>
    </row>
    <row r="170" spans="1:15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  <c r="M170">
        <f t="shared" si="6"/>
        <v>7</v>
      </c>
      <c r="N170">
        <f t="shared" si="7"/>
        <v>9</v>
      </c>
      <c r="O170">
        <f t="shared" si="8"/>
        <v>1</v>
      </c>
    </row>
    <row r="171" spans="1:15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  <c r="M171">
        <f t="shared" si="6"/>
        <v>5</v>
      </c>
      <c r="N171">
        <f t="shared" si="7"/>
        <v>7</v>
      </c>
      <c r="O171">
        <f t="shared" si="8"/>
        <v>1</v>
      </c>
    </row>
    <row r="172" spans="1:15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  <c r="M172">
        <f t="shared" si="6"/>
        <v>2</v>
      </c>
      <c r="N172">
        <f t="shared" si="7"/>
        <v>3</v>
      </c>
      <c r="O172">
        <f t="shared" si="8"/>
        <v>0</v>
      </c>
    </row>
    <row r="173" spans="1:15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  <c r="M173">
        <f t="shared" si="6"/>
        <v>6</v>
      </c>
      <c r="N173">
        <f t="shared" si="7"/>
        <v>1</v>
      </c>
      <c r="O173">
        <f t="shared" si="8"/>
        <v>1</v>
      </c>
    </row>
    <row r="174" spans="1:15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  <c r="M174">
        <f t="shared" si="6"/>
        <v>1</v>
      </c>
      <c r="N174">
        <f t="shared" si="7"/>
        <v>9</v>
      </c>
      <c r="O174">
        <f t="shared" si="8"/>
        <v>0</v>
      </c>
    </row>
    <row r="175" spans="1:15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  <c r="M175">
        <f t="shared" si="6"/>
        <v>9</v>
      </c>
      <c r="N175">
        <f t="shared" si="7"/>
        <v>0</v>
      </c>
      <c r="O175">
        <f t="shared" si="8"/>
        <v>1</v>
      </c>
    </row>
    <row r="176" spans="1:15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  <c r="M176">
        <f t="shared" si="6"/>
        <v>8</v>
      </c>
      <c r="N176">
        <f t="shared" si="7"/>
        <v>3</v>
      </c>
      <c r="O176">
        <f t="shared" si="8"/>
        <v>1</v>
      </c>
    </row>
    <row r="177" spans="1:15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  <c r="M177">
        <f t="shared" si="6"/>
        <v>8</v>
      </c>
      <c r="N177">
        <f t="shared" si="7"/>
        <v>12</v>
      </c>
      <c r="O177">
        <f t="shared" si="8"/>
        <v>1</v>
      </c>
    </row>
    <row r="178" spans="1:15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  <c r="M178">
        <f t="shared" si="6"/>
        <v>7</v>
      </c>
      <c r="N178">
        <f t="shared" si="7"/>
        <v>9</v>
      </c>
      <c r="O178">
        <f t="shared" si="8"/>
        <v>1</v>
      </c>
    </row>
    <row r="179" spans="1:15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  <c r="M179">
        <f t="shared" si="6"/>
        <v>8</v>
      </c>
      <c r="N179">
        <f t="shared" si="7"/>
        <v>7</v>
      </c>
      <c r="O179">
        <f t="shared" si="8"/>
        <v>1</v>
      </c>
    </row>
    <row r="180" spans="1:15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  <c r="M180">
        <f t="shared" si="6"/>
        <v>2</v>
      </c>
      <c r="N180">
        <f t="shared" si="7"/>
        <v>2</v>
      </c>
      <c r="O180">
        <f t="shared" si="8"/>
        <v>0</v>
      </c>
    </row>
    <row r="181" spans="1:15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  <c r="M181">
        <f t="shared" si="6"/>
        <v>5</v>
      </c>
      <c r="N181">
        <f t="shared" si="7"/>
        <v>11</v>
      </c>
      <c r="O181">
        <f t="shared" si="8"/>
        <v>1</v>
      </c>
    </row>
    <row r="182" spans="1:15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  <c r="M182">
        <f t="shared" si="6"/>
        <v>1</v>
      </c>
      <c r="N182">
        <f t="shared" si="7"/>
        <v>8</v>
      </c>
      <c r="O182">
        <f t="shared" si="8"/>
        <v>0</v>
      </c>
    </row>
    <row r="183" spans="1:15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  <c r="M183">
        <f t="shared" si="6"/>
        <v>3</v>
      </c>
      <c r="N183">
        <f t="shared" si="7"/>
        <v>10</v>
      </c>
      <c r="O183">
        <f t="shared" si="8"/>
        <v>0</v>
      </c>
    </row>
    <row r="184" spans="1:15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  <c r="M184">
        <f t="shared" si="6"/>
        <v>8</v>
      </c>
      <c r="N184">
        <f t="shared" si="7"/>
        <v>12</v>
      </c>
      <c r="O184">
        <f t="shared" si="8"/>
        <v>1</v>
      </c>
    </row>
    <row r="185" spans="1:15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  <c r="M185">
        <f t="shared" si="6"/>
        <v>7</v>
      </c>
      <c r="N185">
        <f t="shared" si="7"/>
        <v>6</v>
      </c>
      <c r="O185">
        <f t="shared" si="8"/>
        <v>1</v>
      </c>
    </row>
    <row r="186" spans="1:15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  <c r="M186">
        <f t="shared" si="6"/>
        <v>11</v>
      </c>
      <c r="N186">
        <f t="shared" si="7"/>
        <v>7</v>
      </c>
      <c r="O186">
        <f t="shared" si="8"/>
        <v>1</v>
      </c>
    </row>
    <row r="187" spans="1:15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  <c r="M187">
        <f t="shared" si="6"/>
        <v>5</v>
      </c>
      <c r="N187">
        <f t="shared" si="7"/>
        <v>8</v>
      </c>
      <c r="O187">
        <f t="shared" si="8"/>
        <v>1</v>
      </c>
    </row>
    <row r="188" spans="1:15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  <c r="M188">
        <f t="shared" si="6"/>
        <v>11</v>
      </c>
      <c r="N188">
        <f t="shared" si="7"/>
        <v>2</v>
      </c>
      <c r="O188">
        <f t="shared" si="8"/>
        <v>1</v>
      </c>
    </row>
    <row r="189" spans="1:15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  <c r="M189">
        <f t="shared" si="6"/>
        <v>1</v>
      </c>
      <c r="N189">
        <f t="shared" si="7"/>
        <v>2</v>
      </c>
      <c r="O189">
        <f t="shared" si="8"/>
        <v>0</v>
      </c>
    </row>
    <row r="190" spans="1:15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  <c r="M190">
        <f t="shared" si="6"/>
        <v>9</v>
      </c>
      <c r="N190">
        <f t="shared" si="7"/>
        <v>2</v>
      </c>
      <c r="O190">
        <f t="shared" si="8"/>
        <v>1</v>
      </c>
    </row>
    <row r="191" spans="1:15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  <c r="M191">
        <f t="shared" si="6"/>
        <v>12</v>
      </c>
      <c r="N191">
        <f t="shared" si="7"/>
        <v>4</v>
      </c>
      <c r="O191">
        <f t="shared" si="8"/>
        <v>0</v>
      </c>
    </row>
    <row r="192" spans="1:15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  <c r="M192">
        <f t="shared" si="6"/>
        <v>3</v>
      </c>
      <c r="N192">
        <f t="shared" si="7"/>
        <v>2</v>
      </c>
      <c r="O192">
        <f t="shared" si="8"/>
        <v>0</v>
      </c>
    </row>
    <row r="193" spans="1:15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  <c r="M193">
        <f t="shared" si="6"/>
        <v>3</v>
      </c>
      <c r="N193">
        <f t="shared" si="7"/>
        <v>2</v>
      </c>
      <c r="O193">
        <f t="shared" si="8"/>
        <v>0</v>
      </c>
    </row>
    <row r="194" spans="1:15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  <c r="M194">
        <f t="shared" si="6"/>
        <v>0</v>
      </c>
      <c r="N194">
        <f t="shared" si="7"/>
        <v>12</v>
      </c>
      <c r="O194">
        <f t="shared" si="8"/>
        <v>0</v>
      </c>
    </row>
    <row r="195" spans="1:15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  <c r="M195">
        <f t="shared" ref="M195:M201" si="9">HOUR(B195)</f>
        <v>7</v>
      </c>
      <c r="N195">
        <f t="shared" ref="N195:N201" si="10">MINUTE(B195)</f>
        <v>11</v>
      </c>
      <c r="O195">
        <f t="shared" ref="O195:O201" si="11">IF(OR(AND(M195 = 12,N195=0),AND(M195&gt;=5,M195&lt;=11)),1,0)</f>
        <v>1</v>
      </c>
    </row>
    <row r="196" spans="1:15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  <c r="M196">
        <f t="shared" si="9"/>
        <v>1</v>
      </c>
      <c r="N196">
        <f t="shared" si="10"/>
        <v>0</v>
      </c>
      <c r="O196">
        <f t="shared" si="11"/>
        <v>0</v>
      </c>
    </row>
    <row r="197" spans="1:15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  <c r="M197">
        <f t="shared" si="9"/>
        <v>9</v>
      </c>
      <c r="N197">
        <f t="shared" si="10"/>
        <v>2</v>
      </c>
      <c r="O197">
        <f t="shared" si="11"/>
        <v>1</v>
      </c>
    </row>
    <row r="198" spans="1:15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  <c r="M198">
        <f t="shared" si="9"/>
        <v>4</v>
      </c>
      <c r="N198">
        <f t="shared" si="10"/>
        <v>4</v>
      </c>
      <c r="O198">
        <f t="shared" si="11"/>
        <v>0</v>
      </c>
    </row>
    <row r="199" spans="1:15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  <c r="M199">
        <f t="shared" si="9"/>
        <v>7</v>
      </c>
      <c r="N199">
        <f t="shared" si="10"/>
        <v>6</v>
      </c>
      <c r="O199">
        <f t="shared" si="11"/>
        <v>1</v>
      </c>
    </row>
    <row r="200" spans="1:15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  <c r="M200">
        <f t="shared" si="9"/>
        <v>1</v>
      </c>
      <c r="N200">
        <f t="shared" si="10"/>
        <v>4</v>
      </c>
      <c r="O200">
        <f t="shared" si="11"/>
        <v>0</v>
      </c>
    </row>
    <row r="201" spans="1:15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  <c r="M201">
        <f t="shared" si="9"/>
        <v>1</v>
      </c>
      <c r="N201">
        <f t="shared" si="10"/>
        <v>3</v>
      </c>
      <c r="O201">
        <f t="shared" si="1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B9B3-E299-4B62-9B27-F1EAF8BA8CA7}">
  <dimension ref="A1:AH201"/>
  <sheetViews>
    <sheetView topLeftCell="M1" zoomScale="77" workbookViewId="0">
      <selection activeCell="AH1" sqref="AH1:AH2"/>
    </sheetView>
  </sheetViews>
  <sheetFormatPr defaultRowHeight="14.5" x14ac:dyDescent="0.35"/>
  <cols>
    <col min="1" max="1" width="10.453125" bestFit="1" customWidth="1"/>
    <col min="2" max="2" width="9.54296875" bestFit="1" customWidth="1"/>
    <col min="3" max="11" width="9.90625" bestFit="1" customWidth="1"/>
    <col min="12" max="12" width="10.90625" bestFit="1" customWidth="1"/>
  </cols>
  <sheetData>
    <row r="1" spans="1:34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 t="s">
        <v>10</v>
      </c>
      <c r="V1" s="5" t="s">
        <v>11</v>
      </c>
      <c r="Y1" s="4" t="s">
        <v>2</v>
      </c>
      <c r="Z1" s="4" t="s">
        <v>3</v>
      </c>
      <c r="AA1" s="4" t="s">
        <v>4</v>
      </c>
      <c r="AB1" s="4" t="s">
        <v>5</v>
      </c>
      <c r="AC1" s="4" t="s">
        <v>6</v>
      </c>
      <c r="AD1" s="4" t="s">
        <v>7</v>
      </c>
      <c r="AE1" s="4" t="s">
        <v>8</v>
      </c>
      <c r="AF1" s="4" t="s">
        <v>9</v>
      </c>
      <c r="AG1" s="4" t="s">
        <v>10</v>
      </c>
      <c r="AH1" s="5" t="s">
        <v>11</v>
      </c>
    </row>
    <row r="2" spans="1:34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  <c r="M2">
        <f>ROUNDDOWN(C2+273.15,0)</f>
        <v>273</v>
      </c>
      <c r="N2">
        <f t="shared" ref="N2:V2" si="0">ROUNDDOWN(D2+273.15,0)</f>
        <v>268</v>
      </c>
      <c r="O2">
        <f t="shared" si="0"/>
        <v>271</v>
      </c>
      <c r="P2">
        <f t="shared" si="0"/>
        <v>267</v>
      </c>
      <c r="Q2">
        <f t="shared" si="0"/>
        <v>270</v>
      </c>
      <c r="R2">
        <f t="shared" si="0"/>
        <v>276</v>
      </c>
      <c r="S2">
        <f t="shared" si="0"/>
        <v>275</v>
      </c>
      <c r="T2">
        <f t="shared" si="0"/>
        <v>271</v>
      </c>
      <c r="U2">
        <f t="shared" si="0"/>
        <v>274</v>
      </c>
      <c r="V2">
        <f t="shared" si="0"/>
        <v>277</v>
      </c>
      <c r="Y2">
        <f>_xlfn.MODE.SNGL(M2:M201)</f>
        <v>287</v>
      </c>
      <c r="Z2">
        <f t="shared" ref="Z2:AE2" si="1">_xlfn.MODE.SNGL(N2:N201)</f>
        <v>288</v>
      </c>
      <c r="AA2">
        <f t="shared" si="1"/>
        <v>283</v>
      </c>
      <c r="AB2">
        <f t="shared" si="1"/>
        <v>284</v>
      </c>
      <c r="AC2">
        <f t="shared" si="1"/>
        <v>284</v>
      </c>
      <c r="AD2">
        <f t="shared" si="1"/>
        <v>287</v>
      </c>
      <c r="AE2">
        <f t="shared" si="1"/>
        <v>286</v>
      </c>
      <c r="AF2">
        <f t="shared" ref="AF2" si="2">_xlfn.MODE.SNGL(T2:T201)</f>
        <v>288</v>
      </c>
      <c r="AG2">
        <f t="shared" ref="AG2" si="3">_xlfn.MODE.SNGL(U2:U201)</f>
        <v>285</v>
      </c>
      <c r="AH2">
        <f t="shared" ref="AH2" si="4">_xlfn.MODE.SNGL(V2:V201)</f>
        <v>286</v>
      </c>
    </row>
    <row r="3" spans="1:34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  <c r="M3">
        <f t="shared" ref="M3:M66" si="5">ROUNDDOWN(C3+273.15,0)</f>
        <v>268</v>
      </c>
      <c r="N3">
        <f t="shared" ref="N3:N66" si="6">ROUNDDOWN(D3+273.15,0)</f>
        <v>275</v>
      </c>
      <c r="O3">
        <f t="shared" ref="O3:O66" si="7">ROUNDDOWN(E3+273.15,0)</f>
        <v>267</v>
      </c>
      <c r="P3">
        <f t="shared" ref="P3:P66" si="8">ROUNDDOWN(F3+273.15,0)</f>
        <v>267</v>
      </c>
      <c r="Q3">
        <f t="shared" ref="Q3:Q66" si="9">ROUNDDOWN(G3+273.15,0)</f>
        <v>267</v>
      </c>
      <c r="R3">
        <f t="shared" ref="R3:R66" si="10">ROUNDDOWN(H3+273.15,0)</f>
        <v>265</v>
      </c>
      <c r="S3">
        <f t="shared" ref="S3:S66" si="11">ROUNDDOWN(I3+273.15,0)</f>
        <v>270</v>
      </c>
      <c r="T3">
        <f t="shared" ref="T3:T66" si="12">ROUNDDOWN(J3+273.15,0)</f>
        <v>276</v>
      </c>
      <c r="U3">
        <f t="shared" ref="U3:U66" si="13">ROUNDDOWN(K3+273.15,0)</f>
        <v>267</v>
      </c>
      <c r="V3">
        <f t="shared" ref="V3:V66" si="14">ROUNDDOWN(L3+273.15,0)</f>
        <v>273</v>
      </c>
    </row>
    <row r="4" spans="1:34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  <c r="M4">
        <f t="shared" si="5"/>
        <v>275</v>
      </c>
      <c r="N4">
        <f t="shared" si="6"/>
        <v>265</v>
      </c>
      <c r="O4">
        <f t="shared" si="7"/>
        <v>274</v>
      </c>
      <c r="P4">
        <f t="shared" si="8"/>
        <v>279</v>
      </c>
      <c r="Q4">
        <f t="shared" si="9"/>
        <v>277</v>
      </c>
      <c r="R4">
        <f t="shared" si="10"/>
        <v>265</v>
      </c>
      <c r="S4">
        <f t="shared" si="11"/>
        <v>277</v>
      </c>
      <c r="T4">
        <f t="shared" si="12"/>
        <v>268</v>
      </c>
      <c r="U4">
        <f t="shared" si="13"/>
        <v>269</v>
      </c>
      <c r="V4">
        <f t="shared" si="14"/>
        <v>268</v>
      </c>
    </row>
    <row r="5" spans="1:34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  <c r="M5">
        <f t="shared" si="5"/>
        <v>280</v>
      </c>
      <c r="N5">
        <f t="shared" si="6"/>
        <v>265</v>
      </c>
      <c r="O5">
        <f t="shared" si="7"/>
        <v>272</v>
      </c>
      <c r="P5">
        <f t="shared" si="8"/>
        <v>270</v>
      </c>
      <c r="Q5">
        <f t="shared" si="9"/>
        <v>279</v>
      </c>
      <c r="R5">
        <f t="shared" si="10"/>
        <v>276</v>
      </c>
      <c r="S5">
        <f t="shared" si="11"/>
        <v>272</v>
      </c>
      <c r="T5">
        <f t="shared" si="12"/>
        <v>270</v>
      </c>
      <c r="U5">
        <f t="shared" si="13"/>
        <v>271</v>
      </c>
      <c r="V5">
        <f t="shared" si="14"/>
        <v>270</v>
      </c>
    </row>
    <row r="6" spans="1:34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  <c r="M6">
        <f t="shared" si="5"/>
        <v>280</v>
      </c>
      <c r="N6">
        <f t="shared" si="6"/>
        <v>278</v>
      </c>
      <c r="O6">
        <f t="shared" si="7"/>
        <v>269</v>
      </c>
      <c r="P6">
        <f t="shared" si="8"/>
        <v>269</v>
      </c>
      <c r="Q6">
        <f t="shared" si="9"/>
        <v>281</v>
      </c>
      <c r="R6">
        <f t="shared" si="10"/>
        <v>267</v>
      </c>
      <c r="S6">
        <f t="shared" si="11"/>
        <v>272</v>
      </c>
      <c r="T6">
        <f t="shared" si="12"/>
        <v>274</v>
      </c>
      <c r="U6">
        <f t="shared" si="13"/>
        <v>267</v>
      </c>
      <c r="V6">
        <f t="shared" si="14"/>
        <v>269</v>
      </c>
    </row>
    <row r="7" spans="1:34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  <c r="M7">
        <f t="shared" si="5"/>
        <v>277</v>
      </c>
      <c r="N7">
        <f t="shared" si="6"/>
        <v>274</v>
      </c>
      <c r="O7">
        <f t="shared" si="7"/>
        <v>269</v>
      </c>
      <c r="P7">
        <f t="shared" si="8"/>
        <v>265</v>
      </c>
      <c r="Q7">
        <f t="shared" si="9"/>
        <v>276</v>
      </c>
      <c r="R7">
        <f t="shared" si="10"/>
        <v>269</v>
      </c>
      <c r="S7">
        <f t="shared" si="11"/>
        <v>269</v>
      </c>
      <c r="T7">
        <f t="shared" si="12"/>
        <v>274</v>
      </c>
      <c r="U7">
        <f t="shared" si="13"/>
        <v>269</v>
      </c>
      <c r="V7">
        <f t="shared" si="14"/>
        <v>277</v>
      </c>
    </row>
    <row r="8" spans="1:34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  <c r="M8">
        <f t="shared" si="5"/>
        <v>267</v>
      </c>
      <c r="N8">
        <f t="shared" si="6"/>
        <v>279</v>
      </c>
      <c r="O8">
        <f t="shared" si="7"/>
        <v>265</v>
      </c>
      <c r="P8">
        <f t="shared" si="8"/>
        <v>277</v>
      </c>
      <c r="Q8">
        <f t="shared" si="9"/>
        <v>275</v>
      </c>
      <c r="R8">
        <f t="shared" si="10"/>
        <v>280</v>
      </c>
      <c r="S8">
        <f t="shared" si="11"/>
        <v>268</v>
      </c>
      <c r="T8">
        <f t="shared" si="12"/>
        <v>266</v>
      </c>
      <c r="U8">
        <f t="shared" si="13"/>
        <v>265</v>
      </c>
      <c r="V8">
        <f t="shared" si="14"/>
        <v>280</v>
      </c>
    </row>
    <row r="9" spans="1:34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  <c r="M9">
        <f t="shared" si="5"/>
        <v>276</v>
      </c>
      <c r="N9">
        <f t="shared" si="6"/>
        <v>266</v>
      </c>
      <c r="O9">
        <f t="shared" si="7"/>
        <v>266</v>
      </c>
      <c r="P9">
        <f t="shared" si="8"/>
        <v>270</v>
      </c>
      <c r="Q9">
        <f t="shared" si="9"/>
        <v>279</v>
      </c>
      <c r="R9">
        <f t="shared" si="10"/>
        <v>274</v>
      </c>
      <c r="S9">
        <f t="shared" si="11"/>
        <v>280</v>
      </c>
      <c r="T9">
        <f t="shared" si="12"/>
        <v>280</v>
      </c>
      <c r="U9">
        <f t="shared" si="13"/>
        <v>275</v>
      </c>
      <c r="V9">
        <f t="shared" si="14"/>
        <v>270</v>
      </c>
    </row>
    <row r="10" spans="1:34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  <c r="M10">
        <f t="shared" si="5"/>
        <v>275</v>
      </c>
      <c r="N10">
        <f t="shared" si="6"/>
        <v>274</v>
      </c>
      <c r="O10">
        <f t="shared" si="7"/>
        <v>271</v>
      </c>
      <c r="P10">
        <f t="shared" si="8"/>
        <v>267</v>
      </c>
      <c r="Q10">
        <f t="shared" si="9"/>
        <v>275</v>
      </c>
      <c r="R10">
        <f t="shared" si="10"/>
        <v>270</v>
      </c>
      <c r="S10">
        <f t="shared" si="11"/>
        <v>269</v>
      </c>
      <c r="T10">
        <f t="shared" si="12"/>
        <v>266</v>
      </c>
      <c r="U10">
        <f t="shared" si="13"/>
        <v>275</v>
      </c>
      <c r="V10">
        <f t="shared" si="14"/>
        <v>280</v>
      </c>
    </row>
    <row r="11" spans="1:34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  <c r="M11">
        <f t="shared" si="5"/>
        <v>281</v>
      </c>
      <c r="N11">
        <f t="shared" si="6"/>
        <v>271</v>
      </c>
      <c r="O11">
        <f t="shared" si="7"/>
        <v>275</v>
      </c>
      <c r="P11">
        <f t="shared" si="8"/>
        <v>274</v>
      </c>
      <c r="Q11">
        <f t="shared" si="9"/>
        <v>281</v>
      </c>
      <c r="R11">
        <f t="shared" si="10"/>
        <v>277</v>
      </c>
      <c r="S11">
        <f t="shared" si="11"/>
        <v>268</v>
      </c>
      <c r="T11">
        <f t="shared" si="12"/>
        <v>281</v>
      </c>
      <c r="U11">
        <f t="shared" si="13"/>
        <v>266</v>
      </c>
      <c r="V11">
        <f t="shared" si="14"/>
        <v>265</v>
      </c>
    </row>
    <row r="12" spans="1:34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  <c r="M12">
        <f t="shared" si="5"/>
        <v>277</v>
      </c>
      <c r="N12">
        <f t="shared" si="6"/>
        <v>266</v>
      </c>
      <c r="O12">
        <f t="shared" si="7"/>
        <v>275</v>
      </c>
      <c r="P12">
        <f t="shared" si="8"/>
        <v>271</v>
      </c>
      <c r="Q12">
        <f t="shared" si="9"/>
        <v>269</v>
      </c>
      <c r="R12">
        <f t="shared" si="10"/>
        <v>269</v>
      </c>
      <c r="S12">
        <f t="shared" si="11"/>
        <v>266</v>
      </c>
      <c r="T12">
        <f t="shared" si="12"/>
        <v>276</v>
      </c>
      <c r="U12">
        <f t="shared" si="13"/>
        <v>275</v>
      </c>
      <c r="V12">
        <f t="shared" si="14"/>
        <v>266</v>
      </c>
    </row>
    <row r="13" spans="1:34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  <c r="M13">
        <f t="shared" si="5"/>
        <v>268</v>
      </c>
      <c r="N13">
        <f t="shared" si="6"/>
        <v>278</v>
      </c>
      <c r="O13">
        <f t="shared" si="7"/>
        <v>266</v>
      </c>
      <c r="P13">
        <f t="shared" si="8"/>
        <v>269</v>
      </c>
      <c r="Q13">
        <f t="shared" si="9"/>
        <v>280</v>
      </c>
      <c r="R13">
        <f t="shared" si="10"/>
        <v>265</v>
      </c>
      <c r="S13">
        <f t="shared" si="11"/>
        <v>267</v>
      </c>
      <c r="T13">
        <f t="shared" si="12"/>
        <v>266</v>
      </c>
      <c r="U13">
        <f t="shared" si="13"/>
        <v>270</v>
      </c>
      <c r="V13">
        <f t="shared" si="14"/>
        <v>271</v>
      </c>
    </row>
    <row r="14" spans="1:34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  <c r="M14">
        <f t="shared" si="5"/>
        <v>267</v>
      </c>
      <c r="N14">
        <f t="shared" si="6"/>
        <v>278</v>
      </c>
      <c r="O14">
        <f t="shared" si="7"/>
        <v>270</v>
      </c>
      <c r="P14">
        <f t="shared" si="8"/>
        <v>267</v>
      </c>
      <c r="Q14">
        <f t="shared" si="9"/>
        <v>281</v>
      </c>
      <c r="R14">
        <f t="shared" si="10"/>
        <v>266</v>
      </c>
      <c r="S14">
        <f t="shared" si="11"/>
        <v>265</v>
      </c>
      <c r="T14">
        <f t="shared" si="12"/>
        <v>277</v>
      </c>
      <c r="U14">
        <f t="shared" si="13"/>
        <v>265</v>
      </c>
      <c r="V14">
        <f t="shared" si="14"/>
        <v>281</v>
      </c>
    </row>
    <row r="15" spans="1:34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  <c r="M15">
        <f t="shared" si="5"/>
        <v>281</v>
      </c>
      <c r="N15">
        <f t="shared" si="6"/>
        <v>281</v>
      </c>
      <c r="O15">
        <f t="shared" si="7"/>
        <v>265</v>
      </c>
      <c r="P15">
        <f t="shared" si="8"/>
        <v>270</v>
      </c>
      <c r="Q15">
        <f t="shared" si="9"/>
        <v>279</v>
      </c>
      <c r="R15">
        <f t="shared" si="10"/>
        <v>274</v>
      </c>
      <c r="S15">
        <f t="shared" si="11"/>
        <v>269</v>
      </c>
      <c r="T15">
        <f t="shared" si="12"/>
        <v>278</v>
      </c>
      <c r="U15">
        <f t="shared" si="13"/>
        <v>268</v>
      </c>
      <c r="V15">
        <f t="shared" si="14"/>
        <v>273</v>
      </c>
    </row>
    <row r="16" spans="1:34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  <c r="M16">
        <f t="shared" si="5"/>
        <v>280</v>
      </c>
      <c r="N16">
        <f t="shared" si="6"/>
        <v>281</v>
      </c>
      <c r="O16">
        <f t="shared" si="7"/>
        <v>273</v>
      </c>
      <c r="P16">
        <f t="shared" si="8"/>
        <v>270</v>
      </c>
      <c r="Q16">
        <f t="shared" si="9"/>
        <v>265</v>
      </c>
      <c r="R16">
        <f t="shared" si="10"/>
        <v>280</v>
      </c>
      <c r="S16">
        <f t="shared" si="11"/>
        <v>268</v>
      </c>
      <c r="T16">
        <f t="shared" si="12"/>
        <v>268</v>
      </c>
      <c r="U16">
        <f t="shared" si="13"/>
        <v>268</v>
      </c>
      <c r="V16">
        <f t="shared" si="14"/>
        <v>267</v>
      </c>
    </row>
    <row r="17" spans="1:22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  <c r="M17">
        <f t="shared" si="5"/>
        <v>265</v>
      </c>
      <c r="N17">
        <f t="shared" si="6"/>
        <v>275</v>
      </c>
      <c r="O17">
        <f t="shared" si="7"/>
        <v>272</v>
      </c>
      <c r="P17">
        <f t="shared" si="8"/>
        <v>268</v>
      </c>
      <c r="Q17">
        <f t="shared" si="9"/>
        <v>266</v>
      </c>
      <c r="R17">
        <f t="shared" si="10"/>
        <v>273</v>
      </c>
      <c r="S17">
        <f t="shared" si="11"/>
        <v>273</v>
      </c>
      <c r="T17">
        <f t="shared" si="12"/>
        <v>268</v>
      </c>
      <c r="U17">
        <f t="shared" si="13"/>
        <v>266</v>
      </c>
      <c r="V17">
        <f t="shared" si="14"/>
        <v>276</v>
      </c>
    </row>
    <row r="18" spans="1:22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  <c r="M18">
        <f t="shared" si="5"/>
        <v>280</v>
      </c>
      <c r="N18">
        <f t="shared" si="6"/>
        <v>274</v>
      </c>
      <c r="O18">
        <f t="shared" si="7"/>
        <v>267</v>
      </c>
      <c r="P18">
        <f t="shared" si="8"/>
        <v>270</v>
      </c>
      <c r="Q18">
        <f t="shared" si="9"/>
        <v>276</v>
      </c>
      <c r="R18">
        <f t="shared" si="10"/>
        <v>272</v>
      </c>
      <c r="S18">
        <f t="shared" si="11"/>
        <v>270</v>
      </c>
      <c r="T18">
        <f t="shared" si="12"/>
        <v>266</v>
      </c>
      <c r="U18">
        <f t="shared" si="13"/>
        <v>266</v>
      </c>
      <c r="V18">
        <f t="shared" si="14"/>
        <v>276</v>
      </c>
    </row>
    <row r="19" spans="1:22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  <c r="M19">
        <f t="shared" si="5"/>
        <v>267</v>
      </c>
      <c r="N19">
        <f t="shared" si="6"/>
        <v>274</v>
      </c>
      <c r="O19">
        <f t="shared" si="7"/>
        <v>266</v>
      </c>
      <c r="P19">
        <f t="shared" si="8"/>
        <v>267</v>
      </c>
      <c r="Q19">
        <f t="shared" si="9"/>
        <v>274</v>
      </c>
      <c r="R19">
        <f t="shared" si="10"/>
        <v>274</v>
      </c>
      <c r="S19">
        <f t="shared" si="11"/>
        <v>281</v>
      </c>
      <c r="T19">
        <f t="shared" si="12"/>
        <v>273</v>
      </c>
      <c r="U19">
        <f t="shared" si="13"/>
        <v>274</v>
      </c>
      <c r="V19">
        <f t="shared" si="14"/>
        <v>269</v>
      </c>
    </row>
    <row r="20" spans="1:22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  <c r="M20">
        <f t="shared" si="5"/>
        <v>267</v>
      </c>
      <c r="N20">
        <f t="shared" si="6"/>
        <v>270</v>
      </c>
      <c r="O20">
        <f t="shared" si="7"/>
        <v>273</v>
      </c>
      <c r="P20">
        <f t="shared" si="8"/>
        <v>276</v>
      </c>
      <c r="Q20">
        <f t="shared" si="9"/>
        <v>278</v>
      </c>
      <c r="R20">
        <f t="shared" si="10"/>
        <v>272</v>
      </c>
      <c r="S20">
        <f t="shared" si="11"/>
        <v>277</v>
      </c>
      <c r="T20">
        <f t="shared" si="12"/>
        <v>275</v>
      </c>
      <c r="U20">
        <f t="shared" si="13"/>
        <v>274</v>
      </c>
      <c r="V20">
        <f t="shared" si="14"/>
        <v>281</v>
      </c>
    </row>
    <row r="21" spans="1:22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  <c r="M21">
        <f t="shared" si="5"/>
        <v>282</v>
      </c>
      <c r="N21">
        <f t="shared" si="6"/>
        <v>272</v>
      </c>
      <c r="O21">
        <f t="shared" si="7"/>
        <v>279</v>
      </c>
      <c r="P21">
        <f t="shared" si="8"/>
        <v>277</v>
      </c>
      <c r="Q21">
        <f t="shared" si="9"/>
        <v>274</v>
      </c>
      <c r="R21">
        <f t="shared" si="10"/>
        <v>272</v>
      </c>
      <c r="S21">
        <f t="shared" si="11"/>
        <v>277</v>
      </c>
      <c r="T21">
        <f t="shared" si="12"/>
        <v>276</v>
      </c>
      <c r="U21">
        <f t="shared" si="13"/>
        <v>271</v>
      </c>
      <c r="V21">
        <f t="shared" si="14"/>
        <v>271</v>
      </c>
    </row>
    <row r="22" spans="1:22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  <c r="M22">
        <f t="shared" si="5"/>
        <v>279</v>
      </c>
      <c r="N22">
        <f t="shared" si="6"/>
        <v>279</v>
      </c>
      <c r="O22">
        <f t="shared" si="7"/>
        <v>277</v>
      </c>
      <c r="P22">
        <f t="shared" si="8"/>
        <v>269</v>
      </c>
      <c r="Q22">
        <f t="shared" si="9"/>
        <v>270</v>
      </c>
      <c r="R22">
        <f t="shared" si="10"/>
        <v>278</v>
      </c>
      <c r="S22">
        <f t="shared" si="11"/>
        <v>271</v>
      </c>
      <c r="T22">
        <f t="shared" si="12"/>
        <v>277</v>
      </c>
      <c r="U22">
        <f t="shared" si="13"/>
        <v>270</v>
      </c>
      <c r="V22">
        <f t="shared" si="14"/>
        <v>275</v>
      </c>
    </row>
    <row r="23" spans="1:22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  <c r="M23">
        <f t="shared" si="5"/>
        <v>269</v>
      </c>
      <c r="N23">
        <f t="shared" si="6"/>
        <v>268</v>
      </c>
      <c r="O23">
        <f t="shared" si="7"/>
        <v>276</v>
      </c>
      <c r="P23">
        <f t="shared" si="8"/>
        <v>273</v>
      </c>
      <c r="Q23">
        <f t="shared" si="9"/>
        <v>269</v>
      </c>
      <c r="R23">
        <f t="shared" si="10"/>
        <v>270</v>
      </c>
      <c r="S23">
        <f t="shared" si="11"/>
        <v>273</v>
      </c>
      <c r="T23">
        <f t="shared" si="12"/>
        <v>269</v>
      </c>
      <c r="U23">
        <f t="shared" si="13"/>
        <v>269</v>
      </c>
      <c r="V23">
        <f t="shared" si="14"/>
        <v>270</v>
      </c>
    </row>
    <row r="24" spans="1:22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  <c r="M24">
        <f t="shared" si="5"/>
        <v>279</v>
      </c>
      <c r="N24">
        <f t="shared" si="6"/>
        <v>270</v>
      </c>
      <c r="O24">
        <f t="shared" si="7"/>
        <v>279</v>
      </c>
      <c r="P24">
        <f t="shared" si="8"/>
        <v>271</v>
      </c>
      <c r="Q24">
        <f t="shared" si="9"/>
        <v>275</v>
      </c>
      <c r="R24">
        <f t="shared" si="10"/>
        <v>279</v>
      </c>
      <c r="S24">
        <f t="shared" si="11"/>
        <v>265</v>
      </c>
      <c r="T24">
        <f t="shared" si="12"/>
        <v>280</v>
      </c>
      <c r="U24">
        <f t="shared" si="13"/>
        <v>280</v>
      </c>
      <c r="V24">
        <f t="shared" si="14"/>
        <v>266</v>
      </c>
    </row>
    <row r="25" spans="1:22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  <c r="M25">
        <f t="shared" si="5"/>
        <v>270</v>
      </c>
      <c r="N25">
        <f t="shared" si="6"/>
        <v>271</v>
      </c>
      <c r="O25">
        <f t="shared" si="7"/>
        <v>265</v>
      </c>
      <c r="P25">
        <f t="shared" si="8"/>
        <v>279</v>
      </c>
      <c r="Q25">
        <f t="shared" si="9"/>
        <v>268</v>
      </c>
      <c r="R25">
        <f t="shared" si="10"/>
        <v>265</v>
      </c>
      <c r="S25">
        <f t="shared" si="11"/>
        <v>276</v>
      </c>
      <c r="T25">
        <f t="shared" si="12"/>
        <v>270</v>
      </c>
      <c r="U25">
        <f t="shared" si="13"/>
        <v>279</v>
      </c>
      <c r="V25">
        <f t="shared" si="14"/>
        <v>270</v>
      </c>
    </row>
    <row r="26" spans="1:22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  <c r="M26">
        <f t="shared" si="5"/>
        <v>268</v>
      </c>
      <c r="N26">
        <f t="shared" si="6"/>
        <v>269</v>
      </c>
      <c r="O26">
        <f t="shared" si="7"/>
        <v>272</v>
      </c>
      <c r="P26">
        <f t="shared" si="8"/>
        <v>268</v>
      </c>
      <c r="Q26">
        <f t="shared" si="9"/>
        <v>272</v>
      </c>
      <c r="R26">
        <f t="shared" si="10"/>
        <v>274</v>
      </c>
      <c r="S26">
        <f t="shared" si="11"/>
        <v>279</v>
      </c>
      <c r="T26">
        <f t="shared" si="12"/>
        <v>270</v>
      </c>
      <c r="U26">
        <f t="shared" si="13"/>
        <v>278</v>
      </c>
      <c r="V26">
        <f t="shared" si="14"/>
        <v>282</v>
      </c>
    </row>
    <row r="27" spans="1:22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  <c r="M27">
        <f t="shared" si="5"/>
        <v>274</v>
      </c>
      <c r="N27">
        <f t="shared" si="6"/>
        <v>277</v>
      </c>
      <c r="O27">
        <f t="shared" si="7"/>
        <v>277</v>
      </c>
      <c r="P27">
        <f t="shared" si="8"/>
        <v>281</v>
      </c>
      <c r="Q27">
        <f t="shared" si="9"/>
        <v>271</v>
      </c>
      <c r="R27">
        <f t="shared" si="10"/>
        <v>272</v>
      </c>
      <c r="S27">
        <f t="shared" si="11"/>
        <v>281</v>
      </c>
      <c r="T27">
        <f t="shared" si="12"/>
        <v>272</v>
      </c>
      <c r="U27">
        <f t="shared" si="13"/>
        <v>274</v>
      </c>
      <c r="V27">
        <f t="shared" si="14"/>
        <v>272</v>
      </c>
    </row>
    <row r="28" spans="1:22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  <c r="M28">
        <f t="shared" si="5"/>
        <v>268</v>
      </c>
      <c r="N28">
        <f t="shared" si="6"/>
        <v>268</v>
      </c>
      <c r="O28">
        <f t="shared" si="7"/>
        <v>267</v>
      </c>
      <c r="P28">
        <f t="shared" si="8"/>
        <v>273</v>
      </c>
      <c r="Q28">
        <f t="shared" si="9"/>
        <v>269</v>
      </c>
      <c r="R28">
        <f t="shared" si="10"/>
        <v>267</v>
      </c>
      <c r="S28">
        <f t="shared" si="11"/>
        <v>265</v>
      </c>
      <c r="T28">
        <f t="shared" si="12"/>
        <v>274</v>
      </c>
      <c r="U28">
        <f t="shared" si="13"/>
        <v>275</v>
      </c>
      <c r="V28">
        <f t="shared" si="14"/>
        <v>280</v>
      </c>
    </row>
    <row r="29" spans="1:22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  <c r="M29">
        <f t="shared" si="5"/>
        <v>282</v>
      </c>
      <c r="N29">
        <f t="shared" si="6"/>
        <v>265</v>
      </c>
      <c r="O29">
        <f t="shared" si="7"/>
        <v>280</v>
      </c>
      <c r="P29">
        <f t="shared" si="8"/>
        <v>277</v>
      </c>
      <c r="Q29">
        <f t="shared" si="9"/>
        <v>269</v>
      </c>
      <c r="R29">
        <f t="shared" si="10"/>
        <v>265</v>
      </c>
      <c r="S29">
        <f t="shared" si="11"/>
        <v>276</v>
      </c>
      <c r="T29">
        <f t="shared" si="12"/>
        <v>269</v>
      </c>
      <c r="U29">
        <f t="shared" si="13"/>
        <v>276</v>
      </c>
      <c r="V29">
        <f t="shared" si="14"/>
        <v>279</v>
      </c>
    </row>
    <row r="30" spans="1:22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  <c r="M30">
        <f t="shared" si="5"/>
        <v>270</v>
      </c>
      <c r="N30">
        <f t="shared" si="6"/>
        <v>269</v>
      </c>
      <c r="O30">
        <f t="shared" si="7"/>
        <v>277</v>
      </c>
      <c r="P30">
        <f t="shared" si="8"/>
        <v>279</v>
      </c>
      <c r="Q30">
        <f t="shared" si="9"/>
        <v>265</v>
      </c>
      <c r="R30">
        <f t="shared" si="10"/>
        <v>281</v>
      </c>
      <c r="S30">
        <f t="shared" si="11"/>
        <v>266</v>
      </c>
      <c r="T30">
        <f t="shared" si="12"/>
        <v>267</v>
      </c>
      <c r="U30">
        <f t="shared" si="13"/>
        <v>265</v>
      </c>
      <c r="V30">
        <f t="shared" si="14"/>
        <v>270</v>
      </c>
    </row>
    <row r="31" spans="1:22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  <c r="M31">
        <f t="shared" si="5"/>
        <v>271</v>
      </c>
      <c r="N31">
        <f t="shared" si="6"/>
        <v>273</v>
      </c>
      <c r="O31">
        <f t="shared" si="7"/>
        <v>278</v>
      </c>
      <c r="P31">
        <f t="shared" si="8"/>
        <v>279</v>
      </c>
      <c r="Q31">
        <f t="shared" si="9"/>
        <v>270</v>
      </c>
      <c r="R31">
        <f t="shared" si="10"/>
        <v>280</v>
      </c>
      <c r="S31">
        <f t="shared" si="11"/>
        <v>265</v>
      </c>
      <c r="T31">
        <f t="shared" si="12"/>
        <v>281</v>
      </c>
      <c r="U31">
        <f t="shared" si="13"/>
        <v>277</v>
      </c>
      <c r="V31">
        <f t="shared" si="14"/>
        <v>281</v>
      </c>
    </row>
    <row r="32" spans="1:22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  <c r="M32">
        <f t="shared" si="5"/>
        <v>274</v>
      </c>
      <c r="N32">
        <f t="shared" si="6"/>
        <v>265</v>
      </c>
      <c r="O32">
        <f t="shared" si="7"/>
        <v>266</v>
      </c>
      <c r="P32">
        <f t="shared" si="8"/>
        <v>275</v>
      </c>
      <c r="Q32">
        <f t="shared" si="9"/>
        <v>277</v>
      </c>
      <c r="R32">
        <f t="shared" si="10"/>
        <v>274</v>
      </c>
      <c r="S32">
        <f t="shared" si="11"/>
        <v>278</v>
      </c>
      <c r="T32">
        <f t="shared" si="12"/>
        <v>266</v>
      </c>
      <c r="U32">
        <f t="shared" si="13"/>
        <v>269</v>
      </c>
      <c r="V32">
        <f t="shared" si="14"/>
        <v>265</v>
      </c>
    </row>
    <row r="33" spans="1:22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  <c r="M33">
        <f t="shared" si="5"/>
        <v>274</v>
      </c>
      <c r="N33">
        <f t="shared" si="6"/>
        <v>280</v>
      </c>
      <c r="O33">
        <f t="shared" si="7"/>
        <v>279</v>
      </c>
      <c r="P33">
        <f t="shared" si="8"/>
        <v>279</v>
      </c>
      <c r="Q33">
        <f t="shared" si="9"/>
        <v>273</v>
      </c>
      <c r="R33">
        <f t="shared" si="10"/>
        <v>270</v>
      </c>
      <c r="S33">
        <f t="shared" si="11"/>
        <v>267</v>
      </c>
      <c r="T33">
        <f t="shared" si="12"/>
        <v>278</v>
      </c>
      <c r="U33">
        <f t="shared" si="13"/>
        <v>278</v>
      </c>
      <c r="V33">
        <f t="shared" si="14"/>
        <v>281</v>
      </c>
    </row>
    <row r="34" spans="1:22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  <c r="M34">
        <f t="shared" si="5"/>
        <v>278</v>
      </c>
      <c r="N34">
        <f t="shared" si="6"/>
        <v>280</v>
      </c>
      <c r="O34">
        <f t="shared" si="7"/>
        <v>272</v>
      </c>
      <c r="P34">
        <f t="shared" si="8"/>
        <v>271</v>
      </c>
      <c r="Q34">
        <f t="shared" si="9"/>
        <v>277</v>
      </c>
      <c r="R34">
        <f t="shared" si="10"/>
        <v>265</v>
      </c>
      <c r="S34">
        <f t="shared" si="11"/>
        <v>266</v>
      </c>
      <c r="T34">
        <f t="shared" si="12"/>
        <v>268</v>
      </c>
      <c r="U34">
        <f t="shared" si="13"/>
        <v>276</v>
      </c>
      <c r="V34">
        <f t="shared" si="14"/>
        <v>275</v>
      </c>
    </row>
    <row r="35" spans="1:22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  <c r="M35">
        <f t="shared" si="5"/>
        <v>267</v>
      </c>
      <c r="N35">
        <f t="shared" si="6"/>
        <v>265</v>
      </c>
      <c r="O35">
        <f t="shared" si="7"/>
        <v>269</v>
      </c>
      <c r="P35">
        <f t="shared" si="8"/>
        <v>274</v>
      </c>
      <c r="Q35">
        <f t="shared" si="9"/>
        <v>272</v>
      </c>
      <c r="R35">
        <f t="shared" si="10"/>
        <v>270</v>
      </c>
      <c r="S35">
        <f t="shared" si="11"/>
        <v>276</v>
      </c>
      <c r="T35">
        <f t="shared" si="12"/>
        <v>270</v>
      </c>
      <c r="U35">
        <f t="shared" si="13"/>
        <v>277</v>
      </c>
      <c r="V35">
        <f t="shared" si="14"/>
        <v>267</v>
      </c>
    </row>
    <row r="36" spans="1:22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  <c r="M36">
        <f t="shared" si="5"/>
        <v>281</v>
      </c>
      <c r="N36">
        <f t="shared" si="6"/>
        <v>277</v>
      </c>
      <c r="O36">
        <f t="shared" si="7"/>
        <v>281</v>
      </c>
      <c r="P36">
        <f t="shared" si="8"/>
        <v>271</v>
      </c>
      <c r="Q36">
        <f t="shared" si="9"/>
        <v>277</v>
      </c>
      <c r="R36">
        <f t="shared" si="10"/>
        <v>270</v>
      </c>
      <c r="S36">
        <f t="shared" si="11"/>
        <v>267</v>
      </c>
      <c r="T36">
        <f t="shared" si="12"/>
        <v>276</v>
      </c>
      <c r="U36">
        <f t="shared" si="13"/>
        <v>266</v>
      </c>
      <c r="V36">
        <f t="shared" si="14"/>
        <v>280</v>
      </c>
    </row>
    <row r="37" spans="1:22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  <c r="M37">
        <f t="shared" si="5"/>
        <v>276</v>
      </c>
      <c r="N37">
        <f t="shared" si="6"/>
        <v>273</v>
      </c>
      <c r="O37">
        <f t="shared" si="7"/>
        <v>265</v>
      </c>
      <c r="P37">
        <f t="shared" si="8"/>
        <v>265</v>
      </c>
      <c r="Q37">
        <f t="shared" si="9"/>
        <v>274</v>
      </c>
      <c r="R37">
        <f t="shared" si="10"/>
        <v>278</v>
      </c>
      <c r="S37">
        <f t="shared" si="11"/>
        <v>269</v>
      </c>
      <c r="T37">
        <f t="shared" si="12"/>
        <v>279</v>
      </c>
      <c r="U37">
        <f t="shared" si="13"/>
        <v>267</v>
      </c>
      <c r="V37">
        <f t="shared" si="14"/>
        <v>274</v>
      </c>
    </row>
    <row r="38" spans="1:22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  <c r="M38">
        <f t="shared" si="5"/>
        <v>278</v>
      </c>
      <c r="N38">
        <f t="shared" si="6"/>
        <v>267</v>
      </c>
      <c r="O38">
        <f t="shared" si="7"/>
        <v>281</v>
      </c>
      <c r="P38">
        <f t="shared" si="8"/>
        <v>276</v>
      </c>
      <c r="Q38">
        <f t="shared" si="9"/>
        <v>280</v>
      </c>
      <c r="R38">
        <f t="shared" si="10"/>
        <v>272</v>
      </c>
      <c r="S38">
        <f t="shared" si="11"/>
        <v>281</v>
      </c>
      <c r="T38">
        <f t="shared" si="12"/>
        <v>266</v>
      </c>
      <c r="U38">
        <f t="shared" si="13"/>
        <v>267</v>
      </c>
      <c r="V38">
        <f t="shared" si="14"/>
        <v>268</v>
      </c>
    </row>
    <row r="39" spans="1:22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  <c r="M39">
        <f t="shared" si="5"/>
        <v>269</v>
      </c>
      <c r="N39">
        <f t="shared" si="6"/>
        <v>267</v>
      </c>
      <c r="O39">
        <f t="shared" si="7"/>
        <v>281</v>
      </c>
      <c r="P39">
        <f t="shared" si="8"/>
        <v>272</v>
      </c>
      <c r="Q39">
        <f t="shared" si="9"/>
        <v>277</v>
      </c>
      <c r="R39">
        <f t="shared" si="10"/>
        <v>268</v>
      </c>
      <c r="S39">
        <f t="shared" si="11"/>
        <v>280</v>
      </c>
      <c r="T39">
        <f t="shared" si="12"/>
        <v>279</v>
      </c>
      <c r="U39">
        <f t="shared" si="13"/>
        <v>272</v>
      </c>
      <c r="V39">
        <f t="shared" si="14"/>
        <v>280</v>
      </c>
    </row>
    <row r="40" spans="1:22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  <c r="M40">
        <f t="shared" si="5"/>
        <v>268</v>
      </c>
      <c r="N40">
        <f t="shared" si="6"/>
        <v>271</v>
      </c>
      <c r="O40">
        <f t="shared" si="7"/>
        <v>266</v>
      </c>
      <c r="P40">
        <f t="shared" si="8"/>
        <v>278</v>
      </c>
      <c r="Q40">
        <f t="shared" si="9"/>
        <v>279</v>
      </c>
      <c r="R40">
        <f t="shared" si="10"/>
        <v>280</v>
      </c>
      <c r="S40">
        <f t="shared" si="11"/>
        <v>268</v>
      </c>
      <c r="T40">
        <f t="shared" si="12"/>
        <v>270</v>
      </c>
      <c r="U40">
        <f t="shared" si="13"/>
        <v>273</v>
      </c>
      <c r="V40">
        <f t="shared" si="14"/>
        <v>281</v>
      </c>
    </row>
    <row r="41" spans="1:22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  <c r="M41">
        <f t="shared" si="5"/>
        <v>270</v>
      </c>
      <c r="N41">
        <f t="shared" si="6"/>
        <v>271</v>
      </c>
      <c r="O41">
        <f t="shared" si="7"/>
        <v>275</v>
      </c>
      <c r="P41">
        <f t="shared" si="8"/>
        <v>277</v>
      </c>
      <c r="Q41">
        <f t="shared" si="9"/>
        <v>280</v>
      </c>
      <c r="R41">
        <f t="shared" si="10"/>
        <v>273</v>
      </c>
      <c r="S41">
        <f t="shared" si="11"/>
        <v>272</v>
      </c>
      <c r="T41">
        <f t="shared" si="12"/>
        <v>278</v>
      </c>
      <c r="U41">
        <f t="shared" si="13"/>
        <v>266</v>
      </c>
      <c r="V41">
        <f t="shared" si="14"/>
        <v>279</v>
      </c>
    </row>
    <row r="42" spans="1:22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  <c r="M42">
        <f t="shared" si="5"/>
        <v>271</v>
      </c>
      <c r="N42">
        <f t="shared" si="6"/>
        <v>266</v>
      </c>
      <c r="O42">
        <f t="shared" si="7"/>
        <v>277</v>
      </c>
      <c r="P42">
        <f t="shared" si="8"/>
        <v>277</v>
      </c>
      <c r="Q42">
        <f t="shared" si="9"/>
        <v>276</v>
      </c>
      <c r="R42">
        <f t="shared" si="10"/>
        <v>270</v>
      </c>
      <c r="S42">
        <f t="shared" si="11"/>
        <v>278</v>
      </c>
      <c r="T42">
        <f t="shared" si="12"/>
        <v>267</v>
      </c>
      <c r="U42">
        <f t="shared" si="13"/>
        <v>276</v>
      </c>
      <c r="V42">
        <f t="shared" si="14"/>
        <v>274</v>
      </c>
    </row>
    <row r="43" spans="1:22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  <c r="M43">
        <f t="shared" si="5"/>
        <v>283</v>
      </c>
      <c r="N43">
        <f t="shared" si="6"/>
        <v>285</v>
      </c>
      <c r="O43">
        <f t="shared" si="7"/>
        <v>283</v>
      </c>
      <c r="P43">
        <f t="shared" si="8"/>
        <v>287</v>
      </c>
      <c r="Q43">
        <f t="shared" si="9"/>
        <v>283</v>
      </c>
      <c r="R43">
        <f t="shared" si="10"/>
        <v>287</v>
      </c>
      <c r="S43">
        <f t="shared" si="11"/>
        <v>288</v>
      </c>
      <c r="T43">
        <f t="shared" si="12"/>
        <v>286</v>
      </c>
      <c r="U43">
        <f t="shared" si="13"/>
        <v>287</v>
      </c>
      <c r="V43">
        <f t="shared" si="14"/>
        <v>286</v>
      </c>
    </row>
    <row r="44" spans="1:22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  <c r="M44">
        <f t="shared" si="5"/>
        <v>287</v>
      </c>
      <c r="N44">
        <f t="shared" si="6"/>
        <v>288</v>
      </c>
      <c r="O44">
        <f t="shared" si="7"/>
        <v>286</v>
      </c>
      <c r="P44">
        <f t="shared" si="8"/>
        <v>285</v>
      </c>
      <c r="Q44">
        <f t="shared" si="9"/>
        <v>286</v>
      </c>
      <c r="R44">
        <f t="shared" si="10"/>
        <v>285</v>
      </c>
      <c r="S44">
        <f t="shared" si="11"/>
        <v>283</v>
      </c>
      <c r="T44">
        <f t="shared" si="12"/>
        <v>284</v>
      </c>
      <c r="U44">
        <f t="shared" si="13"/>
        <v>286</v>
      </c>
      <c r="V44">
        <f t="shared" si="14"/>
        <v>287</v>
      </c>
    </row>
    <row r="45" spans="1:22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  <c r="M45">
        <f t="shared" si="5"/>
        <v>284</v>
      </c>
      <c r="N45">
        <f t="shared" si="6"/>
        <v>287</v>
      </c>
      <c r="O45">
        <f t="shared" si="7"/>
        <v>288</v>
      </c>
      <c r="P45">
        <f t="shared" si="8"/>
        <v>283</v>
      </c>
      <c r="Q45">
        <f t="shared" si="9"/>
        <v>288</v>
      </c>
      <c r="R45">
        <f t="shared" si="10"/>
        <v>289</v>
      </c>
      <c r="S45">
        <f t="shared" si="11"/>
        <v>284</v>
      </c>
      <c r="T45">
        <f t="shared" si="12"/>
        <v>288</v>
      </c>
      <c r="U45">
        <f t="shared" si="13"/>
        <v>289</v>
      </c>
      <c r="V45">
        <f t="shared" si="14"/>
        <v>286</v>
      </c>
    </row>
    <row r="46" spans="1:22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  <c r="M46">
        <f t="shared" si="5"/>
        <v>287</v>
      </c>
      <c r="N46">
        <f t="shared" si="6"/>
        <v>286</v>
      </c>
      <c r="O46">
        <f t="shared" si="7"/>
        <v>287</v>
      </c>
      <c r="P46">
        <f t="shared" si="8"/>
        <v>287</v>
      </c>
      <c r="Q46">
        <f t="shared" si="9"/>
        <v>288</v>
      </c>
      <c r="R46">
        <f t="shared" si="10"/>
        <v>284</v>
      </c>
      <c r="S46">
        <f t="shared" si="11"/>
        <v>285</v>
      </c>
      <c r="T46">
        <f t="shared" si="12"/>
        <v>285</v>
      </c>
      <c r="U46">
        <f t="shared" si="13"/>
        <v>285</v>
      </c>
      <c r="V46">
        <f t="shared" si="14"/>
        <v>285</v>
      </c>
    </row>
    <row r="47" spans="1:22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  <c r="M47">
        <f t="shared" si="5"/>
        <v>284</v>
      </c>
      <c r="N47">
        <f t="shared" si="6"/>
        <v>285</v>
      </c>
      <c r="O47">
        <f t="shared" si="7"/>
        <v>283</v>
      </c>
      <c r="P47">
        <f t="shared" si="8"/>
        <v>288</v>
      </c>
      <c r="Q47">
        <f t="shared" si="9"/>
        <v>288</v>
      </c>
      <c r="R47">
        <f t="shared" si="10"/>
        <v>286</v>
      </c>
      <c r="S47">
        <f t="shared" si="11"/>
        <v>285</v>
      </c>
      <c r="T47">
        <f t="shared" si="12"/>
        <v>287</v>
      </c>
      <c r="U47">
        <f t="shared" si="13"/>
        <v>287</v>
      </c>
      <c r="V47">
        <f t="shared" si="14"/>
        <v>283</v>
      </c>
    </row>
    <row r="48" spans="1:22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  <c r="M48">
        <f t="shared" si="5"/>
        <v>288</v>
      </c>
      <c r="N48">
        <f t="shared" si="6"/>
        <v>286</v>
      </c>
      <c r="O48">
        <f t="shared" si="7"/>
        <v>285</v>
      </c>
      <c r="P48">
        <f t="shared" si="8"/>
        <v>287</v>
      </c>
      <c r="Q48">
        <f t="shared" si="9"/>
        <v>285</v>
      </c>
      <c r="R48">
        <f t="shared" si="10"/>
        <v>285</v>
      </c>
      <c r="S48">
        <f t="shared" si="11"/>
        <v>287</v>
      </c>
      <c r="T48">
        <f t="shared" si="12"/>
        <v>287</v>
      </c>
      <c r="U48">
        <f t="shared" si="13"/>
        <v>286</v>
      </c>
      <c r="V48">
        <f t="shared" si="14"/>
        <v>286</v>
      </c>
    </row>
    <row r="49" spans="1:22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  <c r="M49">
        <f t="shared" si="5"/>
        <v>284</v>
      </c>
      <c r="N49">
        <f t="shared" si="6"/>
        <v>288</v>
      </c>
      <c r="O49">
        <f t="shared" si="7"/>
        <v>284</v>
      </c>
      <c r="P49">
        <f t="shared" si="8"/>
        <v>286</v>
      </c>
      <c r="Q49">
        <f t="shared" si="9"/>
        <v>283</v>
      </c>
      <c r="R49">
        <f t="shared" si="10"/>
        <v>289</v>
      </c>
      <c r="S49">
        <f t="shared" si="11"/>
        <v>287</v>
      </c>
      <c r="T49">
        <f t="shared" si="12"/>
        <v>287</v>
      </c>
      <c r="U49">
        <f t="shared" si="13"/>
        <v>288</v>
      </c>
      <c r="V49">
        <f t="shared" si="14"/>
        <v>286</v>
      </c>
    </row>
    <row r="50" spans="1:22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  <c r="M50">
        <f t="shared" si="5"/>
        <v>283</v>
      </c>
      <c r="N50">
        <f t="shared" si="6"/>
        <v>286</v>
      </c>
      <c r="O50">
        <f t="shared" si="7"/>
        <v>285</v>
      </c>
      <c r="P50">
        <f t="shared" si="8"/>
        <v>283</v>
      </c>
      <c r="Q50">
        <f t="shared" si="9"/>
        <v>285</v>
      </c>
      <c r="R50">
        <f t="shared" si="10"/>
        <v>287</v>
      </c>
      <c r="S50">
        <f t="shared" si="11"/>
        <v>286</v>
      </c>
      <c r="T50">
        <f t="shared" si="12"/>
        <v>286</v>
      </c>
      <c r="U50">
        <f t="shared" si="13"/>
        <v>288</v>
      </c>
      <c r="V50">
        <f t="shared" si="14"/>
        <v>286</v>
      </c>
    </row>
    <row r="51" spans="1:22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  <c r="M51">
        <f t="shared" si="5"/>
        <v>288</v>
      </c>
      <c r="N51">
        <f t="shared" si="6"/>
        <v>284</v>
      </c>
      <c r="O51">
        <f t="shared" si="7"/>
        <v>283</v>
      </c>
      <c r="P51">
        <f t="shared" si="8"/>
        <v>286</v>
      </c>
      <c r="Q51">
        <f t="shared" si="9"/>
        <v>284</v>
      </c>
      <c r="R51">
        <f t="shared" si="10"/>
        <v>284</v>
      </c>
      <c r="S51">
        <f t="shared" si="11"/>
        <v>283</v>
      </c>
      <c r="T51">
        <f t="shared" si="12"/>
        <v>285</v>
      </c>
      <c r="U51">
        <f t="shared" si="13"/>
        <v>285</v>
      </c>
      <c r="V51">
        <f t="shared" si="14"/>
        <v>285</v>
      </c>
    </row>
    <row r="52" spans="1:22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  <c r="M52">
        <f t="shared" si="5"/>
        <v>285</v>
      </c>
      <c r="N52">
        <f t="shared" si="6"/>
        <v>286</v>
      </c>
      <c r="O52">
        <f t="shared" si="7"/>
        <v>283</v>
      </c>
      <c r="P52">
        <f t="shared" si="8"/>
        <v>285</v>
      </c>
      <c r="Q52">
        <f t="shared" si="9"/>
        <v>283</v>
      </c>
      <c r="R52">
        <f t="shared" si="10"/>
        <v>287</v>
      </c>
      <c r="S52">
        <f t="shared" si="11"/>
        <v>287</v>
      </c>
      <c r="T52">
        <f t="shared" si="12"/>
        <v>288</v>
      </c>
      <c r="U52">
        <f t="shared" si="13"/>
        <v>287</v>
      </c>
      <c r="V52">
        <f t="shared" si="14"/>
        <v>287</v>
      </c>
    </row>
    <row r="53" spans="1:22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  <c r="M53">
        <f t="shared" si="5"/>
        <v>287</v>
      </c>
      <c r="N53">
        <f t="shared" si="6"/>
        <v>286</v>
      </c>
      <c r="O53">
        <f t="shared" si="7"/>
        <v>283</v>
      </c>
      <c r="P53">
        <f t="shared" si="8"/>
        <v>284</v>
      </c>
      <c r="Q53">
        <f t="shared" si="9"/>
        <v>284</v>
      </c>
      <c r="R53">
        <f t="shared" si="10"/>
        <v>284</v>
      </c>
      <c r="S53">
        <f t="shared" si="11"/>
        <v>286</v>
      </c>
      <c r="T53">
        <f t="shared" si="12"/>
        <v>285</v>
      </c>
      <c r="U53">
        <f t="shared" si="13"/>
        <v>283</v>
      </c>
      <c r="V53">
        <f t="shared" si="14"/>
        <v>285</v>
      </c>
    </row>
    <row r="54" spans="1:22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  <c r="M54">
        <f t="shared" si="5"/>
        <v>284</v>
      </c>
      <c r="N54">
        <f t="shared" si="6"/>
        <v>283</v>
      </c>
      <c r="O54">
        <f t="shared" si="7"/>
        <v>287</v>
      </c>
      <c r="P54">
        <f t="shared" si="8"/>
        <v>288</v>
      </c>
      <c r="Q54">
        <f t="shared" si="9"/>
        <v>286</v>
      </c>
      <c r="R54">
        <f t="shared" si="10"/>
        <v>287</v>
      </c>
      <c r="S54">
        <f t="shared" si="11"/>
        <v>284</v>
      </c>
      <c r="T54">
        <f t="shared" si="12"/>
        <v>285</v>
      </c>
      <c r="U54">
        <f t="shared" si="13"/>
        <v>286</v>
      </c>
      <c r="V54">
        <f t="shared" si="14"/>
        <v>284</v>
      </c>
    </row>
    <row r="55" spans="1:22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  <c r="M55">
        <f t="shared" si="5"/>
        <v>286</v>
      </c>
      <c r="N55">
        <f t="shared" si="6"/>
        <v>284</v>
      </c>
      <c r="O55">
        <f t="shared" si="7"/>
        <v>286</v>
      </c>
      <c r="P55">
        <f t="shared" si="8"/>
        <v>284</v>
      </c>
      <c r="Q55">
        <f t="shared" si="9"/>
        <v>284</v>
      </c>
      <c r="R55">
        <f t="shared" si="10"/>
        <v>283</v>
      </c>
      <c r="S55">
        <f t="shared" si="11"/>
        <v>284</v>
      </c>
      <c r="T55">
        <f t="shared" si="12"/>
        <v>288</v>
      </c>
      <c r="U55">
        <f t="shared" si="13"/>
        <v>285</v>
      </c>
      <c r="V55">
        <f t="shared" si="14"/>
        <v>286</v>
      </c>
    </row>
    <row r="56" spans="1:22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  <c r="M56">
        <f t="shared" si="5"/>
        <v>284</v>
      </c>
      <c r="N56">
        <f t="shared" si="6"/>
        <v>285</v>
      </c>
      <c r="O56">
        <f t="shared" si="7"/>
        <v>284</v>
      </c>
      <c r="P56">
        <f t="shared" si="8"/>
        <v>288</v>
      </c>
      <c r="Q56">
        <f t="shared" si="9"/>
        <v>287</v>
      </c>
      <c r="R56">
        <f t="shared" si="10"/>
        <v>284</v>
      </c>
      <c r="S56">
        <f t="shared" si="11"/>
        <v>286</v>
      </c>
      <c r="T56">
        <f t="shared" si="12"/>
        <v>285</v>
      </c>
      <c r="U56">
        <f t="shared" si="13"/>
        <v>286</v>
      </c>
      <c r="V56">
        <f t="shared" si="14"/>
        <v>288</v>
      </c>
    </row>
    <row r="57" spans="1:22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  <c r="M57">
        <f t="shared" si="5"/>
        <v>286</v>
      </c>
      <c r="N57">
        <f t="shared" si="6"/>
        <v>288</v>
      </c>
      <c r="O57">
        <f t="shared" si="7"/>
        <v>288</v>
      </c>
      <c r="P57">
        <f t="shared" si="8"/>
        <v>287</v>
      </c>
      <c r="Q57">
        <f t="shared" si="9"/>
        <v>283</v>
      </c>
      <c r="R57">
        <f t="shared" si="10"/>
        <v>287</v>
      </c>
      <c r="S57">
        <f t="shared" si="11"/>
        <v>286</v>
      </c>
      <c r="T57">
        <f t="shared" si="12"/>
        <v>284</v>
      </c>
      <c r="U57">
        <f t="shared" si="13"/>
        <v>286</v>
      </c>
      <c r="V57">
        <f t="shared" si="14"/>
        <v>285</v>
      </c>
    </row>
    <row r="58" spans="1:22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  <c r="M58">
        <f t="shared" si="5"/>
        <v>283</v>
      </c>
      <c r="N58">
        <f t="shared" si="6"/>
        <v>283</v>
      </c>
      <c r="O58">
        <f t="shared" si="7"/>
        <v>288</v>
      </c>
      <c r="P58">
        <f t="shared" si="8"/>
        <v>285</v>
      </c>
      <c r="Q58">
        <f t="shared" si="9"/>
        <v>284</v>
      </c>
      <c r="R58">
        <f t="shared" si="10"/>
        <v>288</v>
      </c>
      <c r="S58">
        <f t="shared" si="11"/>
        <v>287</v>
      </c>
      <c r="T58">
        <f t="shared" si="12"/>
        <v>287</v>
      </c>
      <c r="U58">
        <f t="shared" si="13"/>
        <v>284</v>
      </c>
      <c r="V58">
        <f t="shared" si="14"/>
        <v>288</v>
      </c>
    </row>
    <row r="59" spans="1:22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  <c r="M59">
        <f t="shared" si="5"/>
        <v>285</v>
      </c>
      <c r="N59">
        <f t="shared" si="6"/>
        <v>285</v>
      </c>
      <c r="O59">
        <f t="shared" si="7"/>
        <v>285</v>
      </c>
      <c r="P59">
        <f t="shared" si="8"/>
        <v>288</v>
      </c>
      <c r="Q59">
        <f t="shared" si="9"/>
        <v>288</v>
      </c>
      <c r="R59">
        <f t="shared" si="10"/>
        <v>288</v>
      </c>
      <c r="S59">
        <f t="shared" si="11"/>
        <v>285</v>
      </c>
      <c r="T59">
        <f t="shared" si="12"/>
        <v>284</v>
      </c>
      <c r="U59">
        <f t="shared" si="13"/>
        <v>286</v>
      </c>
      <c r="V59">
        <f t="shared" si="14"/>
        <v>283</v>
      </c>
    </row>
    <row r="60" spans="1:22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  <c r="M60">
        <f t="shared" si="5"/>
        <v>287</v>
      </c>
      <c r="N60">
        <f t="shared" si="6"/>
        <v>284</v>
      </c>
      <c r="O60">
        <f t="shared" si="7"/>
        <v>287</v>
      </c>
      <c r="P60">
        <f t="shared" si="8"/>
        <v>285</v>
      </c>
      <c r="Q60">
        <f t="shared" si="9"/>
        <v>283</v>
      </c>
      <c r="R60">
        <f t="shared" si="10"/>
        <v>288</v>
      </c>
      <c r="S60">
        <f t="shared" si="11"/>
        <v>286</v>
      </c>
      <c r="T60">
        <f t="shared" si="12"/>
        <v>288</v>
      </c>
      <c r="U60">
        <f t="shared" si="13"/>
        <v>285</v>
      </c>
      <c r="V60">
        <f t="shared" si="14"/>
        <v>285</v>
      </c>
    </row>
    <row r="61" spans="1:22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  <c r="M61">
        <f t="shared" si="5"/>
        <v>287</v>
      </c>
      <c r="N61">
        <f t="shared" si="6"/>
        <v>283</v>
      </c>
      <c r="O61">
        <f t="shared" si="7"/>
        <v>288</v>
      </c>
      <c r="P61">
        <f t="shared" si="8"/>
        <v>284</v>
      </c>
      <c r="Q61">
        <f t="shared" si="9"/>
        <v>284</v>
      </c>
      <c r="R61">
        <f t="shared" si="10"/>
        <v>286</v>
      </c>
      <c r="S61">
        <f t="shared" si="11"/>
        <v>289</v>
      </c>
      <c r="T61">
        <f t="shared" si="12"/>
        <v>288</v>
      </c>
      <c r="U61">
        <f t="shared" si="13"/>
        <v>284</v>
      </c>
      <c r="V61">
        <f t="shared" si="14"/>
        <v>288</v>
      </c>
    </row>
    <row r="62" spans="1:22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  <c r="M62">
        <f t="shared" si="5"/>
        <v>286</v>
      </c>
      <c r="N62">
        <f t="shared" si="6"/>
        <v>286</v>
      </c>
      <c r="O62">
        <f t="shared" si="7"/>
        <v>285</v>
      </c>
      <c r="P62">
        <f t="shared" si="8"/>
        <v>289</v>
      </c>
      <c r="Q62">
        <f t="shared" si="9"/>
        <v>286</v>
      </c>
      <c r="R62">
        <f t="shared" si="10"/>
        <v>287</v>
      </c>
      <c r="S62">
        <f t="shared" si="11"/>
        <v>288</v>
      </c>
      <c r="T62">
        <f t="shared" si="12"/>
        <v>284</v>
      </c>
      <c r="U62">
        <f t="shared" si="13"/>
        <v>283</v>
      </c>
      <c r="V62">
        <f t="shared" si="14"/>
        <v>286</v>
      </c>
    </row>
    <row r="63" spans="1:22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  <c r="M63">
        <f t="shared" si="5"/>
        <v>285</v>
      </c>
      <c r="N63">
        <f t="shared" si="6"/>
        <v>288</v>
      </c>
      <c r="O63">
        <f t="shared" si="7"/>
        <v>287</v>
      </c>
      <c r="P63">
        <f t="shared" si="8"/>
        <v>287</v>
      </c>
      <c r="Q63">
        <f t="shared" si="9"/>
        <v>285</v>
      </c>
      <c r="R63">
        <f t="shared" si="10"/>
        <v>288</v>
      </c>
      <c r="S63">
        <f t="shared" si="11"/>
        <v>284</v>
      </c>
      <c r="T63">
        <f t="shared" si="12"/>
        <v>287</v>
      </c>
      <c r="U63">
        <f t="shared" si="13"/>
        <v>288</v>
      </c>
      <c r="V63">
        <f t="shared" si="14"/>
        <v>284</v>
      </c>
    </row>
    <row r="64" spans="1:22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  <c r="M64">
        <f t="shared" si="5"/>
        <v>288</v>
      </c>
      <c r="N64">
        <f t="shared" si="6"/>
        <v>287</v>
      </c>
      <c r="O64">
        <f t="shared" si="7"/>
        <v>283</v>
      </c>
      <c r="P64">
        <f t="shared" si="8"/>
        <v>284</v>
      </c>
      <c r="Q64">
        <f t="shared" si="9"/>
        <v>288</v>
      </c>
      <c r="R64">
        <f t="shared" si="10"/>
        <v>284</v>
      </c>
      <c r="S64">
        <f t="shared" si="11"/>
        <v>284</v>
      </c>
      <c r="T64">
        <f t="shared" si="12"/>
        <v>288</v>
      </c>
      <c r="U64">
        <f t="shared" si="13"/>
        <v>288</v>
      </c>
      <c r="V64">
        <f t="shared" si="14"/>
        <v>284</v>
      </c>
    </row>
    <row r="65" spans="1:22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  <c r="M65">
        <f t="shared" si="5"/>
        <v>285</v>
      </c>
      <c r="N65">
        <f t="shared" si="6"/>
        <v>287</v>
      </c>
      <c r="O65">
        <f t="shared" si="7"/>
        <v>288</v>
      </c>
      <c r="P65">
        <f t="shared" si="8"/>
        <v>285</v>
      </c>
      <c r="Q65">
        <f t="shared" si="9"/>
        <v>285</v>
      </c>
      <c r="R65">
        <f t="shared" si="10"/>
        <v>287</v>
      </c>
      <c r="S65">
        <f t="shared" si="11"/>
        <v>285</v>
      </c>
      <c r="T65">
        <f t="shared" si="12"/>
        <v>287</v>
      </c>
      <c r="U65">
        <f t="shared" si="13"/>
        <v>283</v>
      </c>
      <c r="V65">
        <f t="shared" si="14"/>
        <v>287</v>
      </c>
    </row>
    <row r="66" spans="1:22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  <c r="M66">
        <f t="shared" si="5"/>
        <v>288</v>
      </c>
      <c r="N66">
        <f t="shared" si="6"/>
        <v>286</v>
      </c>
      <c r="O66">
        <f t="shared" si="7"/>
        <v>286</v>
      </c>
      <c r="P66">
        <f t="shared" si="8"/>
        <v>283</v>
      </c>
      <c r="Q66">
        <f t="shared" si="9"/>
        <v>287</v>
      </c>
      <c r="R66">
        <f t="shared" si="10"/>
        <v>284</v>
      </c>
      <c r="S66">
        <f t="shared" si="11"/>
        <v>283</v>
      </c>
      <c r="T66">
        <f t="shared" si="12"/>
        <v>288</v>
      </c>
      <c r="U66">
        <f t="shared" si="13"/>
        <v>285</v>
      </c>
      <c r="V66">
        <f t="shared" si="14"/>
        <v>283</v>
      </c>
    </row>
    <row r="67" spans="1:22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  <c r="M67">
        <f t="shared" ref="M67:M130" si="15">ROUNDDOWN(C67+273.15,0)</f>
        <v>284</v>
      </c>
      <c r="N67">
        <f t="shared" ref="N67:N130" si="16">ROUNDDOWN(D67+273.15,0)</f>
        <v>283</v>
      </c>
      <c r="O67">
        <f t="shared" ref="O67:O130" si="17">ROUNDDOWN(E67+273.15,0)</f>
        <v>283</v>
      </c>
      <c r="P67">
        <f t="shared" ref="P67:P130" si="18">ROUNDDOWN(F67+273.15,0)</f>
        <v>286</v>
      </c>
      <c r="Q67">
        <f t="shared" ref="Q67:Q130" si="19">ROUNDDOWN(G67+273.15,0)</f>
        <v>287</v>
      </c>
      <c r="R67">
        <f t="shared" ref="R67:R130" si="20">ROUNDDOWN(H67+273.15,0)</f>
        <v>285</v>
      </c>
      <c r="S67">
        <f t="shared" ref="S67:S130" si="21">ROUNDDOWN(I67+273.15,0)</f>
        <v>286</v>
      </c>
      <c r="T67">
        <f t="shared" ref="T67:T130" si="22">ROUNDDOWN(J67+273.15,0)</f>
        <v>288</v>
      </c>
      <c r="U67">
        <f t="shared" ref="U67:U130" si="23">ROUNDDOWN(K67+273.15,0)</f>
        <v>286</v>
      </c>
      <c r="V67">
        <f t="shared" ref="V67:V130" si="24">ROUNDDOWN(L67+273.15,0)</f>
        <v>286</v>
      </c>
    </row>
    <row r="68" spans="1:22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  <c r="M68">
        <f t="shared" si="15"/>
        <v>284</v>
      </c>
      <c r="N68">
        <f t="shared" si="16"/>
        <v>284</v>
      </c>
      <c r="O68">
        <f t="shared" si="17"/>
        <v>286</v>
      </c>
      <c r="P68">
        <f t="shared" si="18"/>
        <v>289</v>
      </c>
      <c r="Q68">
        <f t="shared" si="19"/>
        <v>288</v>
      </c>
      <c r="R68">
        <f t="shared" si="20"/>
        <v>285</v>
      </c>
      <c r="S68">
        <f t="shared" si="21"/>
        <v>286</v>
      </c>
      <c r="T68">
        <f t="shared" si="22"/>
        <v>288</v>
      </c>
      <c r="U68">
        <f t="shared" si="23"/>
        <v>285</v>
      </c>
      <c r="V68">
        <f t="shared" si="24"/>
        <v>288</v>
      </c>
    </row>
    <row r="69" spans="1:22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  <c r="M69">
        <f t="shared" si="15"/>
        <v>283</v>
      </c>
      <c r="N69">
        <f t="shared" si="16"/>
        <v>288</v>
      </c>
      <c r="O69">
        <f t="shared" si="17"/>
        <v>284</v>
      </c>
      <c r="P69">
        <f t="shared" si="18"/>
        <v>287</v>
      </c>
      <c r="Q69">
        <f t="shared" si="19"/>
        <v>284</v>
      </c>
      <c r="R69">
        <f t="shared" si="20"/>
        <v>284</v>
      </c>
      <c r="S69">
        <f t="shared" si="21"/>
        <v>285</v>
      </c>
      <c r="T69">
        <f t="shared" si="22"/>
        <v>285</v>
      </c>
      <c r="U69">
        <f t="shared" si="23"/>
        <v>288</v>
      </c>
      <c r="V69">
        <f t="shared" si="24"/>
        <v>288</v>
      </c>
    </row>
    <row r="70" spans="1:22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  <c r="M70">
        <f t="shared" si="15"/>
        <v>289</v>
      </c>
      <c r="N70">
        <f t="shared" si="16"/>
        <v>286</v>
      </c>
      <c r="O70">
        <f t="shared" si="17"/>
        <v>284</v>
      </c>
      <c r="P70">
        <f t="shared" si="18"/>
        <v>284</v>
      </c>
      <c r="Q70">
        <f t="shared" si="19"/>
        <v>286</v>
      </c>
      <c r="R70">
        <f t="shared" si="20"/>
        <v>288</v>
      </c>
      <c r="S70">
        <f t="shared" si="21"/>
        <v>288</v>
      </c>
      <c r="T70">
        <f t="shared" si="22"/>
        <v>285</v>
      </c>
      <c r="U70">
        <f t="shared" si="23"/>
        <v>283</v>
      </c>
      <c r="V70">
        <f t="shared" si="24"/>
        <v>288</v>
      </c>
    </row>
    <row r="71" spans="1:22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  <c r="M71">
        <f t="shared" si="15"/>
        <v>283</v>
      </c>
      <c r="N71">
        <f t="shared" si="16"/>
        <v>287</v>
      </c>
      <c r="O71">
        <f t="shared" si="17"/>
        <v>283</v>
      </c>
      <c r="P71">
        <f t="shared" si="18"/>
        <v>286</v>
      </c>
      <c r="Q71">
        <f t="shared" si="19"/>
        <v>283</v>
      </c>
      <c r="R71">
        <f t="shared" si="20"/>
        <v>288</v>
      </c>
      <c r="S71">
        <f t="shared" si="21"/>
        <v>287</v>
      </c>
      <c r="T71">
        <f t="shared" si="22"/>
        <v>286</v>
      </c>
      <c r="U71">
        <f t="shared" si="23"/>
        <v>287</v>
      </c>
      <c r="V71">
        <f t="shared" si="24"/>
        <v>287</v>
      </c>
    </row>
    <row r="72" spans="1:22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  <c r="M72">
        <f t="shared" si="15"/>
        <v>287</v>
      </c>
      <c r="N72">
        <f t="shared" si="16"/>
        <v>284</v>
      </c>
      <c r="O72">
        <f t="shared" si="17"/>
        <v>284</v>
      </c>
      <c r="P72">
        <f t="shared" si="18"/>
        <v>287</v>
      </c>
      <c r="Q72">
        <f t="shared" si="19"/>
        <v>284</v>
      </c>
      <c r="R72">
        <f t="shared" si="20"/>
        <v>283</v>
      </c>
      <c r="S72">
        <f t="shared" si="21"/>
        <v>287</v>
      </c>
      <c r="T72">
        <f t="shared" si="22"/>
        <v>285</v>
      </c>
      <c r="U72">
        <f t="shared" si="23"/>
        <v>285</v>
      </c>
      <c r="V72">
        <f t="shared" si="24"/>
        <v>287</v>
      </c>
    </row>
    <row r="73" spans="1:22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  <c r="M73">
        <f t="shared" si="15"/>
        <v>288</v>
      </c>
      <c r="N73">
        <f t="shared" si="16"/>
        <v>286</v>
      </c>
      <c r="O73">
        <f t="shared" si="17"/>
        <v>288</v>
      </c>
      <c r="P73">
        <f t="shared" si="18"/>
        <v>285</v>
      </c>
      <c r="Q73">
        <f t="shared" si="19"/>
        <v>283</v>
      </c>
      <c r="R73">
        <f t="shared" si="20"/>
        <v>288</v>
      </c>
      <c r="S73">
        <f t="shared" si="21"/>
        <v>285</v>
      </c>
      <c r="T73">
        <f t="shared" si="22"/>
        <v>286</v>
      </c>
      <c r="U73">
        <f t="shared" si="23"/>
        <v>285</v>
      </c>
      <c r="V73">
        <f t="shared" si="24"/>
        <v>284</v>
      </c>
    </row>
    <row r="74" spans="1:22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  <c r="M74">
        <f t="shared" si="15"/>
        <v>287</v>
      </c>
      <c r="N74">
        <f t="shared" si="16"/>
        <v>285</v>
      </c>
      <c r="O74">
        <f t="shared" si="17"/>
        <v>285</v>
      </c>
      <c r="P74">
        <f t="shared" si="18"/>
        <v>283</v>
      </c>
      <c r="Q74">
        <f t="shared" si="19"/>
        <v>288</v>
      </c>
      <c r="R74">
        <f t="shared" si="20"/>
        <v>288</v>
      </c>
      <c r="S74">
        <f t="shared" si="21"/>
        <v>288</v>
      </c>
      <c r="T74">
        <f t="shared" si="22"/>
        <v>288</v>
      </c>
      <c r="U74">
        <f t="shared" si="23"/>
        <v>286</v>
      </c>
      <c r="V74">
        <f t="shared" si="24"/>
        <v>288</v>
      </c>
    </row>
    <row r="75" spans="1:22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  <c r="M75">
        <f t="shared" si="15"/>
        <v>292</v>
      </c>
      <c r="N75">
        <f t="shared" si="16"/>
        <v>285</v>
      </c>
      <c r="O75">
        <f t="shared" si="17"/>
        <v>284</v>
      </c>
      <c r="P75">
        <f t="shared" si="18"/>
        <v>289</v>
      </c>
      <c r="Q75">
        <f t="shared" si="19"/>
        <v>288</v>
      </c>
      <c r="R75">
        <f t="shared" si="20"/>
        <v>290</v>
      </c>
      <c r="S75">
        <f t="shared" si="21"/>
        <v>285</v>
      </c>
      <c r="T75">
        <f t="shared" si="22"/>
        <v>285</v>
      </c>
      <c r="U75">
        <f t="shared" si="23"/>
        <v>286</v>
      </c>
      <c r="V75">
        <f t="shared" si="24"/>
        <v>292</v>
      </c>
    </row>
    <row r="76" spans="1:22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  <c r="M76">
        <f t="shared" si="15"/>
        <v>283</v>
      </c>
      <c r="N76">
        <f t="shared" si="16"/>
        <v>283</v>
      </c>
      <c r="O76">
        <f t="shared" si="17"/>
        <v>292</v>
      </c>
      <c r="P76">
        <f t="shared" si="18"/>
        <v>288</v>
      </c>
      <c r="Q76">
        <f t="shared" si="19"/>
        <v>291</v>
      </c>
      <c r="R76">
        <f t="shared" si="20"/>
        <v>287</v>
      </c>
      <c r="S76">
        <f t="shared" si="21"/>
        <v>288</v>
      </c>
      <c r="T76">
        <f t="shared" si="22"/>
        <v>285</v>
      </c>
      <c r="U76">
        <f t="shared" si="23"/>
        <v>285</v>
      </c>
      <c r="V76">
        <f t="shared" si="24"/>
        <v>286</v>
      </c>
    </row>
    <row r="77" spans="1:22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  <c r="M77">
        <f t="shared" si="15"/>
        <v>284</v>
      </c>
      <c r="N77">
        <f t="shared" si="16"/>
        <v>288</v>
      </c>
      <c r="O77">
        <f t="shared" si="17"/>
        <v>292</v>
      </c>
      <c r="P77">
        <f t="shared" si="18"/>
        <v>283</v>
      </c>
      <c r="Q77">
        <f t="shared" si="19"/>
        <v>284</v>
      </c>
      <c r="R77">
        <f t="shared" si="20"/>
        <v>283</v>
      </c>
      <c r="S77">
        <f t="shared" si="21"/>
        <v>290</v>
      </c>
      <c r="T77">
        <f t="shared" si="22"/>
        <v>290</v>
      </c>
      <c r="U77">
        <f t="shared" si="23"/>
        <v>292</v>
      </c>
      <c r="V77">
        <f t="shared" si="24"/>
        <v>285</v>
      </c>
    </row>
    <row r="78" spans="1:22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  <c r="M78">
        <f t="shared" si="15"/>
        <v>287</v>
      </c>
      <c r="N78">
        <f t="shared" si="16"/>
        <v>288</v>
      </c>
      <c r="O78">
        <f t="shared" si="17"/>
        <v>284</v>
      </c>
      <c r="P78">
        <f t="shared" si="18"/>
        <v>291</v>
      </c>
      <c r="Q78">
        <f t="shared" si="19"/>
        <v>284</v>
      </c>
      <c r="R78">
        <f t="shared" si="20"/>
        <v>287</v>
      </c>
      <c r="S78">
        <f t="shared" si="21"/>
        <v>287</v>
      </c>
      <c r="T78">
        <f t="shared" si="22"/>
        <v>291</v>
      </c>
      <c r="U78">
        <f t="shared" si="23"/>
        <v>288</v>
      </c>
      <c r="V78">
        <f t="shared" si="24"/>
        <v>291</v>
      </c>
    </row>
    <row r="79" spans="1:22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  <c r="M79">
        <f t="shared" si="15"/>
        <v>290</v>
      </c>
      <c r="N79">
        <f t="shared" si="16"/>
        <v>288</v>
      </c>
      <c r="O79">
        <f t="shared" si="17"/>
        <v>284</v>
      </c>
      <c r="P79">
        <f t="shared" si="18"/>
        <v>288</v>
      </c>
      <c r="Q79">
        <f t="shared" si="19"/>
        <v>289</v>
      </c>
      <c r="R79">
        <f t="shared" si="20"/>
        <v>285</v>
      </c>
      <c r="S79">
        <f t="shared" si="21"/>
        <v>286</v>
      </c>
      <c r="T79">
        <f t="shared" si="22"/>
        <v>287</v>
      </c>
      <c r="U79">
        <f t="shared" si="23"/>
        <v>288</v>
      </c>
      <c r="V79">
        <f t="shared" si="24"/>
        <v>286</v>
      </c>
    </row>
    <row r="80" spans="1:22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  <c r="M80">
        <f t="shared" si="15"/>
        <v>286</v>
      </c>
      <c r="N80">
        <f t="shared" si="16"/>
        <v>285</v>
      </c>
      <c r="O80">
        <f t="shared" si="17"/>
        <v>284</v>
      </c>
      <c r="P80">
        <f t="shared" si="18"/>
        <v>284</v>
      </c>
      <c r="Q80">
        <f t="shared" si="19"/>
        <v>289</v>
      </c>
      <c r="R80">
        <f t="shared" si="20"/>
        <v>292</v>
      </c>
      <c r="S80">
        <f t="shared" si="21"/>
        <v>290</v>
      </c>
      <c r="T80">
        <f t="shared" si="22"/>
        <v>288</v>
      </c>
      <c r="U80">
        <f t="shared" si="23"/>
        <v>285</v>
      </c>
      <c r="V80">
        <f t="shared" si="24"/>
        <v>289</v>
      </c>
    </row>
    <row r="81" spans="1:22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  <c r="M81">
        <f t="shared" si="15"/>
        <v>283</v>
      </c>
      <c r="N81">
        <f t="shared" si="16"/>
        <v>286</v>
      </c>
      <c r="O81">
        <f t="shared" si="17"/>
        <v>284</v>
      </c>
      <c r="P81">
        <f t="shared" si="18"/>
        <v>287</v>
      </c>
      <c r="Q81">
        <f t="shared" si="19"/>
        <v>285</v>
      </c>
      <c r="R81">
        <f t="shared" si="20"/>
        <v>289</v>
      </c>
      <c r="S81">
        <f t="shared" si="21"/>
        <v>286</v>
      </c>
      <c r="T81">
        <f t="shared" si="22"/>
        <v>287</v>
      </c>
      <c r="U81">
        <f t="shared" si="23"/>
        <v>283</v>
      </c>
      <c r="V81">
        <f t="shared" si="24"/>
        <v>284</v>
      </c>
    </row>
    <row r="82" spans="1:22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  <c r="M82">
        <f t="shared" si="15"/>
        <v>286</v>
      </c>
      <c r="N82">
        <f t="shared" si="16"/>
        <v>290</v>
      </c>
      <c r="O82">
        <f t="shared" si="17"/>
        <v>286</v>
      </c>
      <c r="P82">
        <f t="shared" si="18"/>
        <v>292</v>
      </c>
      <c r="Q82">
        <f t="shared" si="19"/>
        <v>290</v>
      </c>
      <c r="R82">
        <f t="shared" si="20"/>
        <v>286</v>
      </c>
      <c r="S82">
        <f t="shared" si="21"/>
        <v>290</v>
      </c>
      <c r="T82">
        <f t="shared" si="22"/>
        <v>291</v>
      </c>
      <c r="U82">
        <f t="shared" si="23"/>
        <v>285</v>
      </c>
      <c r="V82">
        <f t="shared" si="24"/>
        <v>289</v>
      </c>
    </row>
    <row r="83" spans="1:22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  <c r="M83">
        <f t="shared" si="15"/>
        <v>290</v>
      </c>
      <c r="N83">
        <f t="shared" si="16"/>
        <v>291</v>
      </c>
      <c r="O83">
        <f t="shared" si="17"/>
        <v>291</v>
      </c>
      <c r="P83">
        <f t="shared" si="18"/>
        <v>291</v>
      </c>
      <c r="Q83">
        <f t="shared" si="19"/>
        <v>290</v>
      </c>
      <c r="R83">
        <f t="shared" si="20"/>
        <v>289</v>
      </c>
      <c r="S83">
        <f t="shared" si="21"/>
        <v>287</v>
      </c>
      <c r="T83">
        <f t="shared" si="22"/>
        <v>291</v>
      </c>
      <c r="U83">
        <f t="shared" si="23"/>
        <v>288</v>
      </c>
      <c r="V83">
        <f t="shared" si="24"/>
        <v>283</v>
      </c>
    </row>
    <row r="84" spans="1:22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  <c r="M84">
        <f t="shared" si="15"/>
        <v>284</v>
      </c>
      <c r="N84">
        <f t="shared" si="16"/>
        <v>290</v>
      </c>
      <c r="O84">
        <f t="shared" si="17"/>
        <v>285</v>
      </c>
      <c r="P84">
        <f t="shared" si="18"/>
        <v>283</v>
      </c>
      <c r="Q84">
        <f t="shared" si="19"/>
        <v>290</v>
      </c>
      <c r="R84">
        <f t="shared" si="20"/>
        <v>291</v>
      </c>
      <c r="S84">
        <f t="shared" si="21"/>
        <v>283</v>
      </c>
      <c r="T84">
        <f t="shared" si="22"/>
        <v>286</v>
      </c>
      <c r="U84">
        <f t="shared" si="23"/>
        <v>285</v>
      </c>
      <c r="V84">
        <f t="shared" si="24"/>
        <v>287</v>
      </c>
    </row>
    <row r="85" spans="1:22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  <c r="M85">
        <f t="shared" si="15"/>
        <v>285</v>
      </c>
      <c r="N85">
        <f t="shared" si="16"/>
        <v>286</v>
      </c>
      <c r="O85">
        <f t="shared" si="17"/>
        <v>285</v>
      </c>
      <c r="P85">
        <f t="shared" si="18"/>
        <v>288</v>
      </c>
      <c r="Q85">
        <f t="shared" si="19"/>
        <v>293</v>
      </c>
      <c r="R85">
        <f t="shared" si="20"/>
        <v>292</v>
      </c>
      <c r="S85">
        <f t="shared" si="21"/>
        <v>284</v>
      </c>
      <c r="T85">
        <f t="shared" si="22"/>
        <v>287</v>
      </c>
      <c r="U85">
        <f t="shared" si="23"/>
        <v>288</v>
      </c>
      <c r="V85">
        <f t="shared" si="24"/>
        <v>285</v>
      </c>
    </row>
    <row r="86" spans="1:22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  <c r="M86">
        <f t="shared" si="15"/>
        <v>286</v>
      </c>
      <c r="N86">
        <f t="shared" si="16"/>
        <v>290</v>
      </c>
      <c r="O86">
        <f t="shared" si="17"/>
        <v>292</v>
      </c>
      <c r="P86">
        <f t="shared" si="18"/>
        <v>283</v>
      </c>
      <c r="Q86">
        <f t="shared" si="19"/>
        <v>284</v>
      </c>
      <c r="R86">
        <f t="shared" si="20"/>
        <v>284</v>
      </c>
      <c r="S86">
        <f t="shared" si="21"/>
        <v>287</v>
      </c>
      <c r="T86">
        <f t="shared" si="22"/>
        <v>290</v>
      </c>
      <c r="U86">
        <f t="shared" si="23"/>
        <v>291</v>
      </c>
      <c r="V86">
        <f t="shared" si="24"/>
        <v>288</v>
      </c>
    </row>
    <row r="87" spans="1:22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  <c r="M87">
        <f t="shared" si="15"/>
        <v>292</v>
      </c>
      <c r="N87">
        <f t="shared" si="16"/>
        <v>286</v>
      </c>
      <c r="O87">
        <f t="shared" si="17"/>
        <v>287</v>
      </c>
      <c r="P87">
        <f t="shared" si="18"/>
        <v>284</v>
      </c>
      <c r="Q87">
        <f t="shared" si="19"/>
        <v>292</v>
      </c>
      <c r="R87">
        <f t="shared" si="20"/>
        <v>288</v>
      </c>
      <c r="S87">
        <f t="shared" si="21"/>
        <v>284</v>
      </c>
      <c r="T87">
        <f t="shared" si="22"/>
        <v>290</v>
      </c>
      <c r="U87">
        <f t="shared" si="23"/>
        <v>284</v>
      </c>
      <c r="V87">
        <f t="shared" si="24"/>
        <v>287</v>
      </c>
    </row>
    <row r="88" spans="1:22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  <c r="M88">
        <f t="shared" si="15"/>
        <v>290</v>
      </c>
      <c r="N88">
        <f t="shared" si="16"/>
        <v>286</v>
      </c>
      <c r="O88">
        <f t="shared" si="17"/>
        <v>289</v>
      </c>
      <c r="P88">
        <f t="shared" si="18"/>
        <v>292</v>
      </c>
      <c r="Q88">
        <f t="shared" si="19"/>
        <v>287</v>
      </c>
      <c r="R88">
        <f t="shared" si="20"/>
        <v>283</v>
      </c>
      <c r="S88">
        <f t="shared" si="21"/>
        <v>287</v>
      </c>
      <c r="T88">
        <f t="shared" si="22"/>
        <v>288</v>
      </c>
      <c r="U88">
        <f t="shared" si="23"/>
        <v>288</v>
      </c>
      <c r="V88">
        <f t="shared" si="24"/>
        <v>292</v>
      </c>
    </row>
    <row r="89" spans="1:22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  <c r="M89">
        <f t="shared" si="15"/>
        <v>288</v>
      </c>
      <c r="N89">
        <f t="shared" si="16"/>
        <v>291</v>
      </c>
      <c r="O89">
        <f t="shared" si="17"/>
        <v>291</v>
      </c>
      <c r="P89">
        <f t="shared" si="18"/>
        <v>283</v>
      </c>
      <c r="Q89">
        <f t="shared" si="19"/>
        <v>289</v>
      </c>
      <c r="R89">
        <f t="shared" si="20"/>
        <v>289</v>
      </c>
      <c r="S89">
        <f t="shared" si="21"/>
        <v>291</v>
      </c>
      <c r="T89">
        <f t="shared" si="22"/>
        <v>284</v>
      </c>
      <c r="U89">
        <f t="shared" si="23"/>
        <v>283</v>
      </c>
      <c r="V89">
        <f t="shared" si="24"/>
        <v>290</v>
      </c>
    </row>
    <row r="90" spans="1:22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  <c r="M90">
        <f t="shared" si="15"/>
        <v>288</v>
      </c>
      <c r="N90">
        <f t="shared" si="16"/>
        <v>289</v>
      </c>
      <c r="O90">
        <f t="shared" si="17"/>
        <v>283</v>
      </c>
      <c r="P90">
        <f t="shared" si="18"/>
        <v>286</v>
      </c>
      <c r="Q90">
        <f t="shared" si="19"/>
        <v>284</v>
      </c>
      <c r="R90">
        <f t="shared" si="20"/>
        <v>290</v>
      </c>
      <c r="S90">
        <f t="shared" si="21"/>
        <v>286</v>
      </c>
      <c r="T90">
        <f t="shared" si="22"/>
        <v>290</v>
      </c>
      <c r="U90">
        <f t="shared" si="23"/>
        <v>287</v>
      </c>
      <c r="V90">
        <f t="shared" si="24"/>
        <v>285</v>
      </c>
    </row>
    <row r="91" spans="1:22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  <c r="M91">
        <f t="shared" si="15"/>
        <v>285</v>
      </c>
      <c r="N91">
        <f t="shared" si="16"/>
        <v>287</v>
      </c>
      <c r="O91">
        <f t="shared" si="17"/>
        <v>293</v>
      </c>
      <c r="P91">
        <f t="shared" si="18"/>
        <v>292</v>
      </c>
      <c r="Q91">
        <f t="shared" si="19"/>
        <v>285</v>
      </c>
      <c r="R91">
        <f t="shared" si="20"/>
        <v>287</v>
      </c>
      <c r="S91">
        <f t="shared" si="21"/>
        <v>290</v>
      </c>
      <c r="T91">
        <f t="shared" si="22"/>
        <v>285</v>
      </c>
      <c r="U91">
        <f t="shared" si="23"/>
        <v>285</v>
      </c>
      <c r="V91">
        <f t="shared" si="24"/>
        <v>285</v>
      </c>
    </row>
    <row r="92" spans="1:22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  <c r="M92">
        <f t="shared" si="15"/>
        <v>289</v>
      </c>
      <c r="N92">
        <f t="shared" si="16"/>
        <v>283</v>
      </c>
      <c r="O92">
        <f t="shared" si="17"/>
        <v>290</v>
      </c>
      <c r="P92">
        <f t="shared" si="18"/>
        <v>292</v>
      </c>
      <c r="Q92">
        <f t="shared" si="19"/>
        <v>290</v>
      </c>
      <c r="R92">
        <f t="shared" si="20"/>
        <v>289</v>
      </c>
      <c r="S92">
        <f t="shared" si="21"/>
        <v>288</v>
      </c>
      <c r="T92">
        <f t="shared" si="22"/>
        <v>283</v>
      </c>
      <c r="U92">
        <f t="shared" si="23"/>
        <v>283</v>
      </c>
      <c r="V92">
        <f t="shared" si="24"/>
        <v>285</v>
      </c>
    </row>
    <row r="93" spans="1:22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  <c r="M93">
        <f t="shared" si="15"/>
        <v>289</v>
      </c>
      <c r="N93">
        <f t="shared" si="16"/>
        <v>285</v>
      </c>
      <c r="O93">
        <f t="shared" si="17"/>
        <v>291</v>
      </c>
      <c r="P93">
        <f t="shared" si="18"/>
        <v>284</v>
      </c>
      <c r="Q93">
        <f t="shared" si="19"/>
        <v>288</v>
      </c>
      <c r="R93">
        <f t="shared" si="20"/>
        <v>291</v>
      </c>
      <c r="S93">
        <f t="shared" si="21"/>
        <v>285</v>
      </c>
      <c r="T93">
        <f t="shared" si="22"/>
        <v>291</v>
      </c>
      <c r="U93">
        <f t="shared" si="23"/>
        <v>287</v>
      </c>
      <c r="V93">
        <f t="shared" si="24"/>
        <v>289</v>
      </c>
    </row>
    <row r="94" spans="1:22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  <c r="M94">
        <f t="shared" si="15"/>
        <v>292</v>
      </c>
      <c r="N94">
        <f t="shared" si="16"/>
        <v>292</v>
      </c>
      <c r="O94">
        <f t="shared" si="17"/>
        <v>285</v>
      </c>
      <c r="P94">
        <f t="shared" si="18"/>
        <v>289</v>
      </c>
      <c r="Q94">
        <f t="shared" si="19"/>
        <v>286</v>
      </c>
      <c r="R94">
        <f t="shared" si="20"/>
        <v>293</v>
      </c>
      <c r="S94">
        <f t="shared" si="21"/>
        <v>292</v>
      </c>
      <c r="T94">
        <f t="shared" si="22"/>
        <v>288</v>
      </c>
      <c r="U94">
        <f t="shared" si="23"/>
        <v>288</v>
      </c>
      <c r="V94">
        <f t="shared" si="24"/>
        <v>286</v>
      </c>
    </row>
    <row r="95" spans="1:22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  <c r="M95">
        <f t="shared" si="15"/>
        <v>287</v>
      </c>
      <c r="N95">
        <f t="shared" si="16"/>
        <v>284</v>
      </c>
      <c r="O95">
        <f t="shared" si="17"/>
        <v>286</v>
      </c>
      <c r="P95">
        <f t="shared" si="18"/>
        <v>291</v>
      </c>
      <c r="Q95">
        <f t="shared" si="19"/>
        <v>291</v>
      </c>
      <c r="R95">
        <f t="shared" si="20"/>
        <v>285</v>
      </c>
      <c r="S95">
        <f t="shared" si="21"/>
        <v>289</v>
      </c>
      <c r="T95">
        <f t="shared" si="22"/>
        <v>283</v>
      </c>
      <c r="U95">
        <f t="shared" si="23"/>
        <v>291</v>
      </c>
      <c r="V95">
        <f t="shared" si="24"/>
        <v>287</v>
      </c>
    </row>
    <row r="96" spans="1:22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  <c r="M96">
        <f t="shared" si="15"/>
        <v>284</v>
      </c>
      <c r="N96">
        <f t="shared" si="16"/>
        <v>284</v>
      </c>
      <c r="O96">
        <f t="shared" si="17"/>
        <v>285</v>
      </c>
      <c r="P96">
        <f t="shared" si="18"/>
        <v>289</v>
      </c>
      <c r="Q96">
        <f t="shared" si="19"/>
        <v>284</v>
      </c>
      <c r="R96">
        <f t="shared" si="20"/>
        <v>292</v>
      </c>
      <c r="S96">
        <f t="shared" si="21"/>
        <v>285</v>
      </c>
      <c r="T96">
        <f t="shared" si="22"/>
        <v>284</v>
      </c>
      <c r="U96">
        <f t="shared" si="23"/>
        <v>287</v>
      </c>
      <c r="V96">
        <f t="shared" si="24"/>
        <v>287</v>
      </c>
    </row>
    <row r="97" spans="1:22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  <c r="M97">
        <f t="shared" si="15"/>
        <v>283</v>
      </c>
      <c r="N97">
        <f t="shared" si="16"/>
        <v>284</v>
      </c>
      <c r="O97">
        <f t="shared" si="17"/>
        <v>290</v>
      </c>
      <c r="P97">
        <f t="shared" si="18"/>
        <v>286</v>
      </c>
      <c r="Q97">
        <f t="shared" si="19"/>
        <v>289</v>
      </c>
      <c r="R97">
        <f t="shared" si="20"/>
        <v>285</v>
      </c>
      <c r="S97">
        <f t="shared" si="21"/>
        <v>284</v>
      </c>
      <c r="T97">
        <f t="shared" si="22"/>
        <v>289</v>
      </c>
      <c r="U97">
        <f t="shared" si="23"/>
        <v>285</v>
      </c>
      <c r="V97">
        <f t="shared" si="24"/>
        <v>284</v>
      </c>
    </row>
    <row r="98" spans="1:22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  <c r="M98">
        <f t="shared" si="15"/>
        <v>288</v>
      </c>
      <c r="N98">
        <f t="shared" si="16"/>
        <v>290</v>
      </c>
      <c r="O98">
        <f t="shared" si="17"/>
        <v>285</v>
      </c>
      <c r="P98">
        <f t="shared" si="18"/>
        <v>283</v>
      </c>
      <c r="Q98">
        <f t="shared" si="19"/>
        <v>286</v>
      </c>
      <c r="R98">
        <f t="shared" si="20"/>
        <v>286</v>
      </c>
      <c r="S98">
        <f t="shared" si="21"/>
        <v>284</v>
      </c>
      <c r="T98">
        <f t="shared" si="22"/>
        <v>283</v>
      </c>
      <c r="U98">
        <f t="shared" si="23"/>
        <v>284</v>
      </c>
      <c r="V98">
        <f t="shared" si="24"/>
        <v>291</v>
      </c>
    </row>
    <row r="99" spans="1:22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  <c r="M99">
        <f t="shared" si="15"/>
        <v>295</v>
      </c>
      <c r="N99">
        <f t="shared" si="16"/>
        <v>298</v>
      </c>
      <c r="O99">
        <f t="shared" si="17"/>
        <v>296</v>
      </c>
      <c r="P99">
        <f t="shared" si="18"/>
        <v>294</v>
      </c>
      <c r="Q99">
        <f t="shared" si="19"/>
        <v>296</v>
      </c>
      <c r="R99">
        <f t="shared" si="20"/>
        <v>293</v>
      </c>
      <c r="S99">
        <f t="shared" si="21"/>
        <v>296</v>
      </c>
      <c r="T99">
        <f t="shared" si="22"/>
        <v>297</v>
      </c>
      <c r="U99">
        <f t="shared" si="23"/>
        <v>296</v>
      </c>
      <c r="V99">
        <f t="shared" si="24"/>
        <v>294</v>
      </c>
    </row>
    <row r="100" spans="1:22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  <c r="M100">
        <f t="shared" si="15"/>
        <v>294</v>
      </c>
      <c r="N100">
        <f t="shared" si="16"/>
        <v>297</v>
      </c>
      <c r="O100">
        <f t="shared" si="17"/>
        <v>293</v>
      </c>
      <c r="P100">
        <f t="shared" si="18"/>
        <v>293</v>
      </c>
      <c r="Q100">
        <f t="shared" si="19"/>
        <v>297</v>
      </c>
      <c r="R100">
        <f t="shared" si="20"/>
        <v>296</v>
      </c>
      <c r="S100">
        <f t="shared" si="21"/>
        <v>297</v>
      </c>
      <c r="T100">
        <f t="shared" si="22"/>
        <v>295</v>
      </c>
      <c r="U100">
        <f t="shared" si="23"/>
        <v>294</v>
      </c>
      <c r="V100">
        <f t="shared" si="24"/>
        <v>297</v>
      </c>
    </row>
    <row r="101" spans="1:22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  <c r="M101">
        <f t="shared" si="15"/>
        <v>295</v>
      </c>
      <c r="N101">
        <f t="shared" si="16"/>
        <v>295</v>
      </c>
      <c r="O101">
        <f t="shared" si="17"/>
        <v>296</v>
      </c>
      <c r="P101">
        <f t="shared" si="18"/>
        <v>293</v>
      </c>
      <c r="Q101">
        <f t="shared" si="19"/>
        <v>294</v>
      </c>
      <c r="R101">
        <f t="shared" si="20"/>
        <v>294</v>
      </c>
      <c r="S101">
        <f t="shared" si="21"/>
        <v>294</v>
      </c>
      <c r="T101">
        <f t="shared" si="22"/>
        <v>297</v>
      </c>
      <c r="U101">
        <f t="shared" si="23"/>
        <v>297</v>
      </c>
      <c r="V101">
        <f t="shared" si="24"/>
        <v>296</v>
      </c>
    </row>
    <row r="102" spans="1:22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  <c r="M102">
        <f t="shared" si="15"/>
        <v>293</v>
      </c>
      <c r="N102">
        <f t="shared" si="16"/>
        <v>294</v>
      </c>
      <c r="O102">
        <f t="shared" si="17"/>
        <v>295</v>
      </c>
      <c r="P102">
        <f t="shared" si="18"/>
        <v>293</v>
      </c>
      <c r="Q102">
        <f t="shared" si="19"/>
        <v>296</v>
      </c>
      <c r="R102">
        <f t="shared" si="20"/>
        <v>296</v>
      </c>
      <c r="S102">
        <f t="shared" si="21"/>
        <v>296</v>
      </c>
      <c r="T102">
        <f t="shared" si="22"/>
        <v>294</v>
      </c>
      <c r="U102">
        <f t="shared" si="23"/>
        <v>297</v>
      </c>
      <c r="V102">
        <f t="shared" si="24"/>
        <v>294</v>
      </c>
    </row>
    <row r="103" spans="1:22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  <c r="M103">
        <f t="shared" si="15"/>
        <v>293</v>
      </c>
      <c r="N103">
        <f t="shared" si="16"/>
        <v>293</v>
      </c>
      <c r="O103">
        <f t="shared" si="17"/>
        <v>296</v>
      </c>
      <c r="P103">
        <f t="shared" si="18"/>
        <v>295</v>
      </c>
      <c r="Q103">
        <f t="shared" si="19"/>
        <v>296</v>
      </c>
      <c r="R103">
        <f t="shared" si="20"/>
        <v>298</v>
      </c>
      <c r="S103">
        <f t="shared" si="21"/>
        <v>294</v>
      </c>
      <c r="T103">
        <f t="shared" si="22"/>
        <v>293</v>
      </c>
      <c r="U103">
        <f t="shared" si="23"/>
        <v>296</v>
      </c>
      <c r="V103">
        <f t="shared" si="24"/>
        <v>293</v>
      </c>
    </row>
    <row r="104" spans="1:22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  <c r="M104">
        <f t="shared" si="15"/>
        <v>297</v>
      </c>
      <c r="N104">
        <f t="shared" si="16"/>
        <v>293</v>
      </c>
      <c r="O104">
        <f t="shared" si="17"/>
        <v>296</v>
      </c>
      <c r="P104">
        <f t="shared" si="18"/>
        <v>294</v>
      </c>
      <c r="Q104">
        <f t="shared" si="19"/>
        <v>295</v>
      </c>
      <c r="R104">
        <f t="shared" si="20"/>
        <v>294</v>
      </c>
      <c r="S104">
        <f t="shared" si="21"/>
        <v>294</v>
      </c>
      <c r="T104">
        <f t="shared" si="22"/>
        <v>298</v>
      </c>
      <c r="U104">
        <f t="shared" si="23"/>
        <v>295</v>
      </c>
      <c r="V104">
        <f t="shared" si="24"/>
        <v>293</v>
      </c>
    </row>
    <row r="105" spans="1:22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  <c r="M105">
        <f t="shared" si="15"/>
        <v>296</v>
      </c>
      <c r="N105">
        <f t="shared" si="16"/>
        <v>295</v>
      </c>
      <c r="O105">
        <f t="shared" si="17"/>
        <v>298</v>
      </c>
      <c r="P105">
        <f t="shared" si="18"/>
        <v>295</v>
      </c>
      <c r="Q105">
        <f t="shared" si="19"/>
        <v>293</v>
      </c>
      <c r="R105">
        <f t="shared" si="20"/>
        <v>296</v>
      </c>
      <c r="S105">
        <f t="shared" si="21"/>
        <v>294</v>
      </c>
      <c r="T105">
        <f t="shared" si="22"/>
        <v>293</v>
      </c>
      <c r="U105">
        <f t="shared" si="23"/>
        <v>297</v>
      </c>
      <c r="V105">
        <f t="shared" si="24"/>
        <v>293</v>
      </c>
    </row>
    <row r="106" spans="1:22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  <c r="M106">
        <f t="shared" si="15"/>
        <v>296</v>
      </c>
      <c r="N106">
        <f t="shared" si="16"/>
        <v>293</v>
      </c>
      <c r="O106">
        <f t="shared" si="17"/>
        <v>293</v>
      </c>
      <c r="P106">
        <f t="shared" si="18"/>
        <v>293</v>
      </c>
      <c r="Q106">
        <f t="shared" si="19"/>
        <v>293</v>
      </c>
      <c r="R106">
        <f t="shared" si="20"/>
        <v>294</v>
      </c>
      <c r="S106">
        <f t="shared" si="21"/>
        <v>297</v>
      </c>
      <c r="T106">
        <f t="shared" si="22"/>
        <v>294</v>
      </c>
      <c r="U106">
        <f t="shared" si="23"/>
        <v>296</v>
      </c>
      <c r="V106">
        <f t="shared" si="24"/>
        <v>295</v>
      </c>
    </row>
    <row r="107" spans="1:22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  <c r="M107">
        <f t="shared" si="15"/>
        <v>294</v>
      </c>
      <c r="N107">
        <f t="shared" si="16"/>
        <v>295</v>
      </c>
      <c r="O107">
        <f t="shared" si="17"/>
        <v>294</v>
      </c>
      <c r="P107">
        <f t="shared" si="18"/>
        <v>293</v>
      </c>
      <c r="Q107">
        <f t="shared" si="19"/>
        <v>297</v>
      </c>
      <c r="R107">
        <f t="shared" si="20"/>
        <v>295</v>
      </c>
      <c r="S107">
        <f t="shared" si="21"/>
        <v>297</v>
      </c>
      <c r="T107">
        <f t="shared" si="22"/>
        <v>294</v>
      </c>
      <c r="U107">
        <f t="shared" si="23"/>
        <v>296</v>
      </c>
      <c r="V107">
        <f t="shared" si="24"/>
        <v>295</v>
      </c>
    </row>
    <row r="108" spans="1:22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  <c r="M108">
        <f t="shared" si="15"/>
        <v>296</v>
      </c>
      <c r="N108">
        <f t="shared" si="16"/>
        <v>295</v>
      </c>
      <c r="O108">
        <f t="shared" si="17"/>
        <v>297</v>
      </c>
      <c r="P108">
        <f t="shared" si="18"/>
        <v>296</v>
      </c>
      <c r="Q108">
        <f t="shared" si="19"/>
        <v>293</v>
      </c>
      <c r="R108">
        <f t="shared" si="20"/>
        <v>295</v>
      </c>
      <c r="S108">
        <f t="shared" si="21"/>
        <v>293</v>
      </c>
      <c r="T108">
        <f t="shared" si="22"/>
        <v>295</v>
      </c>
      <c r="U108">
        <f t="shared" si="23"/>
        <v>297</v>
      </c>
      <c r="V108">
        <f t="shared" si="24"/>
        <v>296</v>
      </c>
    </row>
    <row r="109" spans="1:22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  <c r="M109">
        <f t="shared" si="15"/>
        <v>294</v>
      </c>
      <c r="N109">
        <f t="shared" si="16"/>
        <v>294</v>
      </c>
      <c r="O109">
        <f t="shared" si="17"/>
        <v>295</v>
      </c>
      <c r="P109">
        <f t="shared" si="18"/>
        <v>295</v>
      </c>
      <c r="Q109">
        <f t="shared" si="19"/>
        <v>293</v>
      </c>
      <c r="R109">
        <f t="shared" si="20"/>
        <v>296</v>
      </c>
      <c r="S109">
        <f t="shared" si="21"/>
        <v>296</v>
      </c>
      <c r="T109">
        <f t="shared" si="22"/>
        <v>293</v>
      </c>
      <c r="U109">
        <f t="shared" si="23"/>
        <v>294</v>
      </c>
      <c r="V109">
        <f t="shared" si="24"/>
        <v>297</v>
      </c>
    </row>
    <row r="110" spans="1:22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  <c r="M110">
        <f t="shared" si="15"/>
        <v>293</v>
      </c>
      <c r="N110">
        <f t="shared" si="16"/>
        <v>297</v>
      </c>
      <c r="O110">
        <f t="shared" si="17"/>
        <v>297</v>
      </c>
      <c r="P110">
        <f t="shared" si="18"/>
        <v>293</v>
      </c>
      <c r="Q110">
        <f t="shared" si="19"/>
        <v>294</v>
      </c>
      <c r="R110">
        <f t="shared" si="20"/>
        <v>295</v>
      </c>
      <c r="S110">
        <f t="shared" si="21"/>
        <v>296</v>
      </c>
      <c r="T110">
        <f t="shared" si="22"/>
        <v>296</v>
      </c>
      <c r="U110">
        <f t="shared" si="23"/>
        <v>296</v>
      </c>
      <c r="V110">
        <f t="shared" si="24"/>
        <v>294</v>
      </c>
    </row>
    <row r="111" spans="1:22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  <c r="M111">
        <f t="shared" si="15"/>
        <v>297</v>
      </c>
      <c r="N111">
        <f t="shared" si="16"/>
        <v>297</v>
      </c>
      <c r="O111">
        <f t="shared" si="17"/>
        <v>297</v>
      </c>
      <c r="P111">
        <f t="shared" si="18"/>
        <v>293</v>
      </c>
      <c r="Q111">
        <f t="shared" si="19"/>
        <v>296</v>
      </c>
      <c r="R111">
        <f t="shared" si="20"/>
        <v>296</v>
      </c>
      <c r="S111">
        <f t="shared" si="21"/>
        <v>298</v>
      </c>
      <c r="T111">
        <f t="shared" si="22"/>
        <v>297</v>
      </c>
      <c r="U111">
        <f t="shared" si="23"/>
        <v>297</v>
      </c>
      <c r="V111">
        <f t="shared" si="24"/>
        <v>295</v>
      </c>
    </row>
    <row r="112" spans="1:22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  <c r="M112">
        <f t="shared" si="15"/>
        <v>293</v>
      </c>
      <c r="N112">
        <f t="shared" si="16"/>
        <v>294</v>
      </c>
      <c r="O112">
        <f t="shared" si="17"/>
        <v>296</v>
      </c>
      <c r="P112">
        <f t="shared" si="18"/>
        <v>296</v>
      </c>
      <c r="Q112">
        <f t="shared" si="19"/>
        <v>295</v>
      </c>
      <c r="R112">
        <f t="shared" si="20"/>
        <v>296</v>
      </c>
      <c r="S112">
        <f t="shared" si="21"/>
        <v>294</v>
      </c>
      <c r="T112">
        <f t="shared" si="22"/>
        <v>295</v>
      </c>
      <c r="U112">
        <f t="shared" si="23"/>
        <v>296</v>
      </c>
      <c r="V112">
        <f t="shared" si="24"/>
        <v>295</v>
      </c>
    </row>
    <row r="113" spans="1:22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  <c r="M113">
        <f t="shared" si="15"/>
        <v>298</v>
      </c>
      <c r="N113">
        <f t="shared" si="16"/>
        <v>296</v>
      </c>
      <c r="O113">
        <f t="shared" si="17"/>
        <v>298</v>
      </c>
      <c r="P113">
        <f t="shared" si="18"/>
        <v>294</v>
      </c>
      <c r="Q113">
        <f t="shared" si="19"/>
        <v>296</v>
      </c>
      <c r="R113">
        <f t="shared" si="20"/>
        <v>296</v>
      </c>
      <c r="S113">
        <f t="shared" si="21"/>
        <v>295</v>
      </c>
      <c r="T113">
        <f t="shared" si="22"/>
        <v>295</v>
      </c>
      <c r="U113">
        <f t="shared" si="23"/>
        <v>295</v>
      </c>
      <c r="V113">
        <f t="shared" si="24"/>
        <v>295</v>
      </c>
    </row>
    <row r="114" spans="1:22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  <c r="M114">
        <f t="shared" si="15"/>
        <v>297</v>
      </c>
      <c r="N114">
        <f t="shared" si="16"/>
        <v>295</v>
      </c>
      <c r="O114">
        <f t="shared" si="17"/>
        <v>297</v>
      </c>
      <c r="P114">
        <f t="shared" si="18"/>
        <v>296</v>
      </c>
      <c r="Q114">
        <f t="shared" si="19"/>
        <v>297</v>
      </c>
      <c r="R114">
        <f t="shared" si="20"/>
        <v>297</v>
      </c>
      <c r="S114">
        <f t="shared" si="21"/>
        <v>295</v>
      </c>
      <c r="T114">
        <f t="shared" si="22"/>
        <v>294</v>
      </c>
      <c r="U114">
        <f t="shared" si="23"/>
        <v>293</v>
      </c>
      <c r="V114">
        <f t="shared" si="24"/>
        <v>297</v>
      </c>
    </row>
    <row r="115" spans="1:22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  <c r="M115">
        <f t="shared" si="15"/>
        <v>294</v>
      </c>
      <c r="N115">
        <f t="shared" si="16"/>
        <v>295</v>
      </c>
      <c r="O115">
        <f t="shared" si="17"/>
        <v>294</v>
      </c>
      <c r="P115">
        <f t="shared" si="18"/>
        <v>297</v>
      </c>
      <c r="Q115">
        <f t="shared" si="19"/>
        <v>295</v>
      </c>
      <c r="R115">
        <f t="shared" si="20"/>
        <v>297</v>
      </c>
      <c r="S115">
        <f t="shared" si="21"/>
        <v>295</v>
      </c>
      <c r="T115">
        <f t="shared" si="22"/>
        <v>293</v>
      </c>
      <c r="U115">
        <f t="shared" si="23"/>
        <v>293</v>
      </c>
      <c r="V115">
        <f t="shared" si="24"/>
        <v>295</v>
      </c>
    </row>
    <row r="116" spans="1:22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  <c r="M116">
        <f t="shared" si="15"/>
        <v>296</v>
      </c>
      <c r="N116">
        <f t="shared" si="16"/>
        <v>297</v>
      </c>
      <c r="O116">
        <f t="shared" si="17"/>
        <v>297</v>
      </c>
      <c r="P116">
        <f t="shared" si="18"/>
        <v>296</v>
      </c>
      <c r="Q116">
        <f t="shared" si="19"/>
        <v>297</v>
      </c>
      <c r="R116">
        <f t="shared" si="20"/>
        <v>296</v>
      </c>
      <c r="S116">
        <f t="shared" si="21"/>
        <v>296</v>
      </c>
      <c r="T116">
        <f t="shared" si="22"/>
        <v>294</v>
      </c>
      <c r="U116">
        <f t="shared" si="23"/>
        <v>294</v>
      </c>
      <c r="V116">
        <f t="shared" si="24"/>
        <v>295</v>
      </c>
    </row>
    <row r="117" spans="1:22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  <c r="M117">
        <f t="shared" si="15"/>
        <v>295</v>
      </c>
      <c r="N117">
        <f t="shared" si="16"/>
        <v>297</v>
      </c>
      <c r="O117">
        <f t="shared" si="17"/>
        <v>295</v>
      </c>
      <c r="P117">
        <f t="shared" si="18"/>
        <v>297</v>
      </c>
      <c r="Q117">
        <f t="shared" si="19"/>
        <v>296</v>
      </c>
      <c r="R117">
        <f t="shared" si="20"/>
        <v>297</v>
      </c>
      <c r="S117">
        <f t="shared" si="21"/>
        <v>296</v>
      </c>
      <c r="T117">
        <f t="shared" si="22"/>
        <v>294</v>
      </c>
      <c r="U117">
        <f t="shared" si="23"/>
        <v>294</v>
      </c>
      <c r="V117">
        <f t="shared" si="24"/>
        <v>294</v>
      </c>
    </row>
    <row r="118" spans="1:22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  <c r="M118">
        <f t="shared" si="15"/>
        <v>294</v>
      </c>
      <c r="N118">
        <f t="shared" si="16"/>
        <v>293</v>
      </c>
      <c r="O118">
        <f t="shared" si="17"/>
        <v>295</v>
      </c>
      <c r="P118">
        <f t="shared" si="18"/>
        <v>296</v>
      </c>
      <c r="Q118">
        <f t="shared" si="19"/>
        <v>294</v>
      </c>
      <c r="R118">
        <f t="shared" si="20"/>
        <v>296</v>
      </c>
      <c r="S118">
        <f t="shared" si="21"/>
        <v>297</v>
      </c>
      <c r="T118">
        <f t="shared" si="22"/>
        <v>295</v>
      </c>
      <c r="U118">
        <f t="shared" si="23"/>
        <v>294</v>
      </c>
      <c r="V118">
        <f t="shared" si="24"/>
        <v>293</v>
      </c>
    </row>
    <row r="119" spans="1:22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  <c r="M119">
        <f t="shared" si="15"/>
        <v>297</v>
      </c>
      <c r="N119">
        <f t="shared" si="16"/>
        <v>294</v>
      </c>
      <c r="O119">
        <f t="shared" si="17"/>
        <v>293</v>
      </c>
      <c r="P119">
        <f t="shared" si="18"/>
        <v>294</v>
      </c>
      <c r="Q119">
        <f t="shared" si="19"/>
        <v>296</v>
      </c>
      <c r="R119">
        <f t="shared" si="20"/>
        <v>294</v>
      </c>
      <c r="S119">
        <f t="shared" si="21"/>
        <v>294</v>
      </c>
      <c r="T119">
        <f t="shared" si="22"/>
        <v>295</v>
      </c>
      <c r="U119">
        <f t="shared" si="23"/>
        <v>297</v>
      </c>
      <c r="V119">
        <f t="shared" si="24"/>
        <v>295</v>
      </c>
    </row>
    <row r="120" spans="1:22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  <c r="M120">
        <f t="shared" si="15"/>
        <v>293</v>
      </c>
      <c r="N120">
        <f t="shared" si="16"/>
        <v>293</v>
      </c>
      <c r="O120">
        <f t="shared" si="17"/>
        <v>297</v>
      </c>
      <c r="P120">
        <f t="shared" si="18"/>
        <v>294</v>
      </c>
      <c r="Q120">
        <f t="shared" si="19"/>
        <v>293</v>
      </c>
      <c r="R120">
        <f t="shared" si="20"/>
        <v>296</v>
      </c>
      <c r="S120">
        <f t="shared" si="21"/>
        <v>297</v>
      </c>
      <c r="T120">
        <f t="shared" si="22"/>
        <v>293</v>
      </c>
      <c r="U120">
        <f t="shared" si="23"/>
        <v>293</v>
      </c>
      <c r="V120">
        <f t="shared" si="24"/>
        <v>296</v>
      </c>
    </row>
    <row r="121" spans="1:22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  <c r="M121">
        <f t="shared" si="15"/>
        <v>297</v>
      </c>
      <c r="N121">
        <f t="shared" si="16"/>
        <v>293</v>
      </c>
      <c r="O121">
        <f t="shared" si="17"/>
        <v>296</v>
      </c>
      <c r="P121">
        <f t="shared" si="18"/>
        <v>294</v>
      </c>
      <c r="Q121">
        <f t="shared" si="19"/>
        <v>295</v>
      </c>
      <c r="R121">
        <f t="shared" si="20"/>
        <v>296</v>
      </c>
      <c r="S121">
        <f t="shared" si="21"/>
        <v>297</v>
      </c>
      <c r="T121">
        <f t="shared" si="22"/>
        <v>295</v>
      </c>
      <c r="U121">
        <f t="shared" si="23"/>
        <v>296</v>
      </c>
      <c r="V121">
        <f t="shared" si="24"/>
        <v>296</v>
      </c>
    </row>
    <row r="122" spans="1:22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  <c r="M122">
        <f t="shared" si="15"/>
        <v>296</v>
      </c>
      <c r="N122">
        <f t="shared" si="16"/>
        <v>294</v>
      </c>
      <c r="O122">
        <f t="shared" si="17"/>
        <v>295</v>
      </c>
      <c r="P122">
        <f t="shared" si="18"/>
        <v>293</v>
      </c>
      <c r="Q122">
        <f t="shared" si="19"/>
        <v>294</v>
      </c>
      <c r="R122">
        <f t="shared" si="20"/>
        <v>295</v>
      </c>
      <c r="S122">
        <f t="shared" si="21"/>
        <v>297</v>
      </c>
      <c r="T122">
        <f t="shared" si="22"/>
        <v>297</v>
      </c>
      <c r="U122">
        <f t="shared" si="23"/>
        <v>297</v>
      </c>
      <c r="V122">
        <f t="shared" si="24"/>
        <v>294</v>
      </c>
    </row>
    <row r="123" spans="1:22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  <c r="M123">
        <f t="shared" si="15"/>
        <v>296</v>
      </c>
      <c r="N123">
        <f t="shared" si="16"/>
        <v>295</v>
      </c>
      <c r="O123">
        <f t="shared" si="17"/>
        <v>295</v>
      </c>
      <c r="P123">
        <f t="shared" si="18"/>
        <v>296</v>
      </c>
      <c r="Q123">
        <f t="shared" si="19"/>
        <v>297</v>
      </c>
      <c r="R123">
        <f t="shared" si="20"/>
        <v>296</v>
      </c>
      <c r="S123">
        <f t="shared" si="21"/>
        <v>293</v>
      </c>
      <c r="T123">
        <f t="shared" si="22"/>
        <v>293</v>
      </c>
      <c r="U123">
        <f t="shared" si="23"/>
        <v>297</v>
      </c>
      <c r="V123">
        <f t="shared" si="24"/>
        <v>297</v>
      </c>
    </row>
    <row r="124" spans="1:22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  <c r="M124">
        <f t="shared" si="15"/>
        <v>295</v>
      </c>
      <c r="N124">
        <f t="shared" si="16"/>
        <v>294</v>
      </c>
      <c r="O124">
        <f t="shared" si="17"/>
        <v>295</v>
      </c>
      <c r="P124">
        <f t="shared" si="18"/>
        <v>297</v>
      </c>
      <c r="Q124">
        <f t="shared" si="19"/>
        <v>295</v>
      </c>
      <c r="R124">
        <f t="shared" si="20"/>
        <v>294</v>
      </c>
      <c r="S124">
        <f t="shared" si="21"/>
        <v>293</v>
      </c>
      <c r="T124">
        <f t="shared" si="22"/>
        <v>296</v>
      </c>
      <c r="U124">
        <f t="shared" si="23"/>
        <v>296</v>
      </c>
      <c r="V124">
        <f t="shared" si="24"/>
        <v>297</v>
      </c>
    </row>
    <row r="125" spans="1:22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  <c r="M125">
        <f t="shared" si="15"/>
        <v>294</v>
      </c>
      <c r="N125">
        <f t="shared" si="16"/>
        <v>295</v>
      </c>
      <c r="O125">
        <f t="shared" si="17"/>
        <v>295</v>
      </c>
      <c r="P125">
        <f t="shared" si="18"/>
        <v>295</v>
      </c>
      <c r="Q125">
        <f t="shared" si="19"/>
        <v>295</v>
      </c>
      <c r="R125">
        <f t="shared" si="20"/>
        <v>296</v>
      </c>
      <c r="S125">
        <f t="shared" si="21"/>
        <v>295</v>
      </c>
      <c r="T125">
        <f t="shared" si="22"/>
        <v>293</v>
      </c>
      <c r="U125">
        <f t="shared" si="23"/>
        <v>295</v>
      </c>
      <c r="V125">
        <f t="shared" si="24"/>
        <v>295</v>
      </c>
    </row>
    <row r="126" spans="1:22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  <c r="M126">
        <f t="shared" si="15"/>
        <v>295</v>
      </c>
      <c r="N126">
        <f t="shared" si="16"/>
        <v>296</v>
      </c>
      <c r="O126">
        <f t="shared" si="17"/>
        <v>293</v>
      </c>
      <c r="P126">
        <f t="shared" si="18"/>
        <v>295</v>
      </c>
      <c r="Q126">
        <f t="shared" si="19"/>
        <v>297</v>
      </c>
      <c r="R126">
        <f t="shared" si="20"/>
        <v>295</v>
      </c>
      <c r="S126">
        <f t="shared" si="21"/>
        <v>294</v>
      </c>
      <c r="T126">
        <f t="shared" si="22"/>
        <v>297</v>
      </c>
      <c r="U126">
        <f t="shared" si="23"/>
        <v>294</v>
      </c>
      <c r="V126">
        <f t="shared" si="24"/>
        <v>293</v>
      </c>
    </row>
    <row r="127" spans="1:22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  <c r="M127">
        <f t="shared" si="15"/>
        <v>295</v>
      </c>
      <c r="N127">
        <f t="shared" si="16"/>
        <v>293</v>
      </c>
      <c r="O127">
        <f t="shared" si="17"/>
        <v>297</v>
      </c>
      <c r="P127">
        <f t="shared" si="18"/>
        <v>297</v>
      </c>
      <c r="Q127">
        <f t="shared" si="19"/>
        <v>295</v>
      </c>
      <c r="R127">
        <f t="shared" si="20"/>
        <v>297</v>
      </c>
      <c r="S127">
        <f t="shared" si="21"/>
        <v>293</v>
      </c>
      <c r="T127">
        <f t="shared" si="22"/>
        <v>297</v>
      </c>
      <c r="U127">
        <f t="shared" si="23"/>
        <v>294</v>
      </c>
      <c r="V127">
        <f t="shared" si="24"/>
        <v>297</v>
      </c>
    </row>
    <row r="128" spans="1:22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  <c r="M128">
        <f t="shared" si="15"/>
        <v>297</v>
      </c>
      <c r="N128">
        <f t="shared" si="16"/>
        <v>294</v>
      </c>
      <c r="O128">
        <f t="shared" si="17"/>
        <v>297</v>
      </c>
      <c r="P128">
        <f t="shared" si="18"/>
        <v>295</v>
      </c>
      <c r="Q128">
        <f t="shared" si="19"/>
        <v>294</v>
      </c>
      <c r="R128">
        <f t="shared" si="20"/>
        <v>293</v>
      </c>
      <c r="S128">
        <f t="shared" si="21"/>
        <v>296</v>
      </c>
      <c r="T128">
        <f t="shared" si="22"/>
        <v>295</v>
      </c>
      <c r="U128">
        <f t="shared" si="23"/>
        <v>295</v>
      </c>
      <c r="V128">
        <f t="shared" si="24"/>
        <v>295</v>
      </c>
    </row>
    <row r="129" spans="1:22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  <c r="M129">
        <f t="shared" si="15"/>
        <v>295</v>
      </c>
      <c r="N129">
        <f t="shared" si="16"/>
        <v>293</v>
      </c>
      <c r="O129">
        <f t="shared" si="17"/>
        <v>297</v>
      </c>
      <c r="P129">
        <f t="shared" si="18"/>
        <v>297</v>
      </c>
      <c r="Q129">
        <f t="shared" si="19"/>
        <v>296</v>
      </c>
      <c r="R129">
        <f t="shared" si="20"/>
        <v>296</v>
      </c>
      <c r="S129">
        <f t="shared" si="21"/>
        <v>293</v>
      </c>
      <c r="T129">
        <f t="shared" si="22"/>
        <v>295</v>
      </c>
      <c r="U129">
        <f t="shared" si="23"/>
        <v>294</v>
      </c>
      <c r="V129">
        <f t="shared" si="24"/>
        <v>296</v>
      </c>
    </row>
    <row r="130" spans="1:22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  <c r="M130">
        <f t="shared" si="15"/>
        <v>294</v>
      </c>
      <c r="N130">
        <f t="shared" si="16"/>
        <v>293</v>
      </c>
      <c r="O130">
        <f t="shared" si="17"/>
        <v>296</v>
      </c>
      <c r="P130">
        <f t="shared" si="18"/>
        <v>295</v>
      </c>
      <c r="Q130">
        <f t="shared" si="19"/>
        <v>293</v>
      </c>
      <c r="R130">
        <f t="shared" si="20"/>
        <v>295</v>
      </c>
      <c r="S130">
        <f t="shared" si="21"/>
        <v>295</v>
      </c>
      <c r="T130">
        <f t="shared" si="22"/>
        <v>294</v>
      </c>
      <c r="U130">
        <f t="shared" si="23"/>
        <v>296</v>
      </c>
      <c r="V130">
        <f t="shared" si="24"/>
        <v>293</v>
      </c>
    </row>
    <row r="131" spans="1:22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  <c r="M131">
        <f t="shared" ref="M131:M194" si="25">ROUNDDOWN(C131+273.15,0)</f>
        <v>294</v>
      </c>
      <c r="N131">
        <f t="shared" ref="N131:N194" si="26">ROUNDDOWN(D131+273.15,0)</f>
        <v>295</v>
      </c>
      <c r="O131">
        <f t="shared" ref="O131:O194" si="27">ROUNDDOWN(E131+273.15,0)</f>
        <v>293</v>
      </c>
      <c r="P131">
        <f t="shared" ref="P131:P194" si="28">ROUNDDOWN(F131+273.15,0)</f>
        <v>297</v>
      </c>
      <c r="Q131">
        <f t="shared" ref="Q131:Q194" si="29">ROUNDDOWN(G131+273.15,0)</f>
        <v>297</v>
      </c>
      <c r="R131">
        <f t="shared" ref="R131:R194" si="30">ROUNDDOWN(H131+273.15,0)</f>
        <v>298</v>
      </c>
      <c r="S131">
        <f t="shared" ref="S131:S194" si="31">ROUNDDOWN(I131+273.15,0)</f>
        <v>295</v>
      </c>
      <c r="T131">
        <f t="shared" ref="T131:T194" si="32">ROUNDDOWN(J131+273.15,0)</f>
        <v>297</v>
      </c>
      <c r="U131">
        <f t="shared" ref="U131:U194" si="33">ROUNDDOWN(K131+273.15,0)</f>
        <v>294</v>
      </c>
      <c r="V131">
        <f t="shared" ref="V131:V194" si="34">ROUNDDOWN(L131+273.15,0)</f>
        <v>293</v>
      </c>
    </row>
    <row r="132" spans="1:22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  <c r="M132">
        <f t="shared" si="25"/>
        <v>296</v>
      </c>
      <c r="N132">
        <f t="shared" si="26"/>
        <v>294</v>
      </c>
      <c r="O132">
        <f t="shared" si="27"/>
        <v>295</v>
      </c>
      <c r="P132">
        <f t="shared" si="28"/>
        <v>295</v>
      </c>
      <c r="Q132">
        <f t="shared" si="29"/>
        <v>294</v>
      </c>
      <c r="R132">
        <f t="shared" si="30"/>
        <v>297</v>
      </c>
      <c r="S132">
        <f t="shared" si="31"/>
        <v>297</v>
      </c>
      <c r="T132">
        <f t="shared" si="32"/>
        <v>293</v>
      </c>
      <c r="U132">
        <f t="shared" si="33"/>
        <v>296</v>
      </c>
      <c r="V132">
        <f t="shared" si="34"/>
        <v>296</v>
      </c>
    </row>
    <row r="133" spans="1:22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  <c r="M133">
        <f t="shared" si="25"/>
        <v>293</v>
      </c>
      <c r="N133">
        <f t="shared" si="26"/>
        <v>296</v>
      </c>
      <c r="O133">
        <f t="shared" si="27"/>
        <v>297</v>
      </c>
      <c r="P133">
        <f t="shared" si="28"/>
        <v>293</v>
      </c>
      <c r="Q133">
        <f t="shared" si="29"/>
        <v>295</v>
      </c>
      <c r="R133">
        <f t="shared" si="30"/>
        <v>297</v>
      </c>
      <c r="S133">
        <f t="shared" si="31"/>
        <v>294</v>
      </c>
      <c r="T133">
        <f t="shared" si="32"/>
        <v>298</v>
      </c>
      <c r="U133">
        <f t="shared" si="33"/>
        <v>293</v>
      </c>
      <c r="V133">
        <f t="shared" si="34"/>
        <v>297</v>
      </c>
    </row>
    <row r="134" spans="1:22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  <c r="M134">
        <f t="shared" si="25"/>
        <v>296</v>
      </c>
      <c r="N134">
        <f t="shared" si="26"/>
        <v>294</v>
      </c>
      <c r="O134">
        <f t="shared" si="27"/>
        <v>293</v>
      </c>
      <c r="P134">
        <f t="shared" si="28"/>
        <v>293</v>
      </c>
      <c r="Q134">
        <f t="shared" si="29"/>
        <v>294</v>
      </c>
      <c r="R134">
        <f t="shared" si="30"/>
        <v>296</v>
      </c>
      <c r="S134">
        <f t="shared" si="31"/>
        <v>295</v>
      </c>
      <c r="T134">
        <f t="shared" si="32"/>
        <v>296</v>
      </c>
      <c r="U134">
        <f t="shared" si="33"/>
        <v>297</v>
      </c>
      <c r="V134">
        <f t="shared" si="34"/>
        <v>294</v>
      </c>
    </row>
    <row r="135" spans="1:22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  <c r="M135">
        <f t="shared" si="25"/>
        <v>295</v>
      </c>
      <c r="N135">
        <f t="shared" si="26"/>
        <v>295</v>
      </c>
      <c r="O135">
        <f t="shared" si="27"/>
        <v>296</v>
      </c>
      <c r="P135">
        <f t="shared" si="28"/>
        <v>294</v>
      </c>
      <c r="Q135">
        <f t="shared" si="29"/>
        <v>296</v>
      </c>
      <c r="R135">
        <f t="shared" si="30"/>
        <v>296</v>
      </c>
      <c r="S135">
        <f t="shared" si="31"/>
        <v>297</v>
      </c>
      <c r="T135">
        <f t="shared" si="32"/>
        <v>294</v>
      </c>
      <c r="U135">
        <f t="shared" si="33"/>
        <v>298</v>
      </c>
      <c r="V135">
        <f t="shared" si="34"/>
        <v>293</v>
      </c>
    </row>
    <row r="136" spans="1:22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  <c r="M136">
        <f t="shared" si="25"/>
        <v>295</v>
      </c>
      <c r="N136">
        <f t="shared" si="26"/>
        <v>293</v>
      </c>
      <c r="O136">
        <f t="shared" si="27"/>
        <v>295</v>
      </c>
      <c r="P136">
        <f t="shared" si="28"/>
        <v>294</v>
      </c>
      <c r="Q136">
        <f t="shared" si="29"/>
        <v>295</v>
      </c>
      <c r="R136">
        <f t="shared" si="30"/>
        <v>295</v>
      </c>
      <c r="S136">
        <f t="shared" si="31"/>
        <v>293</v>
      </c>
      <c r="T136">
        <f t="shared" si="32"/>
        <v>294</v>
      </c>
      <c r="U136">
        <f t="shared" si="33"/>
        <v>295</v>
      </c>
      <c r="V136">
        <f t="shared" si="34"/>
        <v>293</v>
      </c>
    </row>
    <row r="137" spans="1:22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  <c r="M137">
        <f t="shared" si="25"/>
        <v>293</v>
      </c>
      <c r="N137">
        <f t="shared" si="26"/>
        <v>294</v>
      </c>
      <c r="O137">
        <f t="shared" si="27"/>
        <v>296</v>
      </c>
      <c r="P137">
        <f t="shared" si="28"/>
        <v>296</v>
      </c>
      <c r="Q137">
        <f t="shared" si="29"/>
        <v>295</v>
      </c>
      <c r="R137">
        <f t="shared" si="30"/>
        <v>293</v>
      </c>
      <c r="S137">
        <f t="shared" si="31"/>
        <v>297</v>
      </c>
      <c r="T137">
        <f t="shared" si="32"/>
        <v>296</v>
      </c>
      <c r="U137">
        <f t="shared" si="33"/>
        <v>294</v>
      </c>
      <c r="V137">
        <f t="shared" si="34"/>
        <v>296</v>
      </c>
    </row>
    <row r="138" spans="1:22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  <c r="M138">
        <f t="shared" si="25"/>
        <v>294</v>
      </c>
      <c r="N138">
        <f t="shared" si="26"/>
        <v>296</v>
      </c>
      <c r="O138">
        <f t="shared" si="27"/>
        <v>296</v>
      </c>
      <c r="P138">
        <f t="shared" si="28"/>
        <v>294</v>
      </c>
      <c r="Q138">
        <f t="shared" si="29"/>
        <v>295</v>
      </c>
      <c r="R138">
        <f t="shared" si="30"/>
        <v>296</v>
      </c>
      <c r="S138">
        <f t="shared" si="31"/>
        <v>296</v>
      </c>
      <c r="T138">
        <f t="shared" si="32"/>
        <v>296</v>
      </c>
      <c r="U138">
        <f t="shared" si="33"/>
        <v>296</v>
      </c>
      <c r="V138">
        <f t="shared" si="34"/>
        <v>295</v>
      </c>
    </row>
    <row r="139" spans="1:22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  <c r="M139">
        <f t="shared" si="25"/>
        <v>293</v>
      </c>
      <c r="N139">
        <f t="shared" si="26"/>
        <v>295</v>
      </c>
      <c r="O139">
        <f t="shared" si="27"/>
        <v>296</v>
      </c>
      <c r="P139">
        <f t="shared" si="28"/>
        <v>293</v>
      </c>
      <c r="Q139">
        <f t="shared" si="29"/>
        <v>296</v>
      </c>
      <c r="R139">
        <f t="shared" si="30"/>
        <v>294</v>
      </c>
      <c r="S139">
        <f t="shared" si="31"/>
        <v>297</v>
      </c>
      <c r="T139">
        <f t="shared" si="32"/>
        <v>293</v>
      </c>
      <c r="U139">
        <f t="shared" si="33"/>
        <v>295</v>
      </c>
      <c r="V139">
        <f t="shared" si="34"/>
        <v>294</v>
      </c>
    </row>
    <row r="140" spans="1:22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  <c r="M140">
        <f t="shared" si="25"/>
        <v>294</v>
      </c>
      <c r="N140">
        <f t="shared" si="26"/>
        <v>296</v>
      </c>
      <c r="O140">
        <f t="shared" si="27"/>
        <v>294</v>
      </c>
      <c r="P140">
        <f t="shared" si="28"/>
        <v>296</v>
      </c>
      <c r="Q140">
        <f t="shared" si="29"/>
        <v>296</v>
      </c>
      <c r="R140">
        <f t="shared" si="30"/>
        <v>297</v>
      </c>
      <c r="S140">
        <f t="shared" si="31"/>
        <v>296</v>
      </c>
      <c r="T140">
        <f t="shared" si="32"/>
        <v>293</v>
      </c>
      <c r="U140">
        <f t="shared" si="33"/>
        <v>293</v>
      </c>
      <c r="V140">
        <f t="shared" si="34"/>
        <v>293</v>
      </c>
    </row>
    <row r="141" spans="1:22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  <c r="M141">
        <f t="shared" si="25"/>
        <v>294</v>
      </c>
      <c r="N141">
        <f t="shared" si="26"/>
        <v>293</v>
      </c>
      <c r="O141">
        <f t="shared" si="27"/>
        <v>296</v>
      </c>
      <c r="P141">
        <f t="shared" si="28"/>
        <v>294</v>
      </c>
      <c r="Q141">
        <f t="shared" si="29"/>
        <v>296</v>
      </c>
      <c r="R141">
        <f t="shared" si="30"/>
        <v>293</v>
      </c>
      <c r="S141">
        <f t="shared" si="31"/>
        <v>297</v>
      </c>
      <c r="T141">
        <f t="shared" si="32"/>
        <v>294</v>
      </c>
      <c r="U141">
        <f t="shared" si="33"/>
        <v>294</v>
      </c>
      <c r="V141">
        <f t="shared" si="34"/>
        <v>295</v>
      </c>
    </row>
    <row r="142" spans="1:22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  <c r="M142">
        <f t="shared" si="25"/>
        <v>289</v>
      </c>
      <c r="N142">
        <f t="shared" si="26"/>
        <v>288</v>
      </c>
      <c r="O142">
        <f t="shared" si="27"/>
        <v>283</v>
      </c>
      <c r="P142">
        <f t="shared" si="28"/>
        <v>287</v>
      </c>
      <c r="Q142">
        <f t="shared" si="29"/>
        <v>292</v>
      </c>
      <c r="R142">
        <f t="shared" si="30"/>
        <v>283</v>
      </c>
      <c r="S142">
        <f t="shared" si="31"/>
        <v>283</v>
      </c>
      <c r="T142">
        <f t="shared" si="32"/>
        <v>288</v>
      </c>
      <c r="U142">
        <f t="shared" si="33"/>
        <v>285</v>
      </c>
      <c r="V142">
        <f t="shared" si="34"/>
        <v>287</v>
      </c>
    </row>
    <row r="143" spans="1:22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  <c r="M143">
        <f t="shared" si="25"/>
        <v>289</v>
      </c>
      <c r="N143">
        <f t="shared" si="26"/>
        <v>285</v>
      </c>
      <c r="O143">
        <f t="shared" si="27"/>
        <v>289</v>
      </c>
      <c r="P143">
        <f t="shared" si="28"/>
        <v>288</v>
      </c>
      <c r="Q143">
        <f t="shared" si="29"/>
        <v>290</v>
      </c>
      <c r="R143">
        <f t="shared" si="30"/>
        <v>289</v>
      </c>
      <c r="S143">
        <f t="shared" si="31"/>
        <v>284</v>
      </c>
      <c r="T143">
        <f t="shared" si="32"/>
        <v>290</v>
      </c>
      <c r="U143">
        <f t="shared" si="33"/>
        <v>287</v>
      </c>
      <c r="V143">
        <f t="shared" si="34"/>
        <v>288</v>
      </c>
    </row>
    <row r="144" spans="1:22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  <c r="M144">
        <f t="shared" si="25"/>
        <v>287</v>
      </c>
      <c r="N144">
        <f t="shared" si="26"/>
        <v>288</v>
      </c>
      <c r="O144">
        <f t="shared" si="27"/>
        <v>286</v>
      </c>
      <c r="P144">
        <f t="shared" si="28"/>
        <v>288</v>
      </c>
      <c r="Q144">
        <f t="shared" si="29"/>
        <v>289</v>
      </c>
      <c r="R144">
        <f t="shared" si="30"/>
        <v>287</v>
      </c>
      <c r="S144">
        <f t="shared" si="31"/>
        <v>293</v>
      </c>
      <c r="T144">
        <f t="shared" si="32"/>
        <v>287</v>
      </c>
      <c r="U144">
        <f t="shared" si="33"/>
        <v>285</v>
      </c>
      <c r="V144">
        <f t="shared" si="34"/>
        <v>284</v>
      </c>
    </row>
    <row r="145" spans="1:22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  <c r="M145">
        <f t="shared" si="25"/>
        <v>283</v>
      </c>
      <c r="N145">
        <f t="shared" si="26"/>
        <v>291</v>
      </c>
      <c r="O145">
        <f t="shared" si="27"/>
        <v>288</v>
      </c>
      <c r="P145">
        <f t="shared" si="28"/>
        <v>287</v>
      </c>
      <c r="Q145">
        <f t="shared" si="29"/>
        <v>284</v>
      </c>
      <c r="R145">
        <f t="shared" si="30"/>
        <v>289</v>
      </c>
      <c r="S145">
        <f t="shared" si="31"/>
        <v>293</v>
      </c>
      <c r="T145">
        <f t="shared" si="32"/>
        <v>290</v>
      </c>
      <c r="U145">
        <f t="shared" si="33"/>
        <v>289</v>
      </c>
      <c r="V145">
        <f t="shared" si="34"/>
        <v>290</v>
      </c>
    </row>
    <row r="146" spans="1:22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  <c r="M146">
        <f t="shared" si="25"/>
        <v>290</v>
      </c>
      <c r="N146">
        <f t="shared" si="26"/>
        <v>287</v>
      </c>
      <c r="O146">
        <f t="shared" si="27"/>
        <v>285</v>
      </c>
      <c r="P146">
        <f t="shared" si="28"/>
        <v>291</v>
      </c>
      <c r="Q146">
        <f t="shared" si="29"/>
        <v>288</v>
      </c>
      <c r="R146">
        <f t="shared" si="30"/>
        <v>284</v>
      </c>
      <c r="S146">
        <f t="shared" si="31"/>
        <v>289</v>
      </c>
      <c r="T146">
        <f t="shared" si="32"/>
        <v>291</v>
      </c>
      <c r="U146">
        <f t="shared" si="33"/>
        <v>287</v>
      </c>
      <c r="V146">
        <f t="shared" si="34"/>
        <v>292</v>
      </c>
    </row>
    <row r="147" spans="1:22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  <c r="M147">
        <f t="shared" si="25"/>
        <v>286</v>
      </c>
      <c r="N147">
        <f t="shared" si="26"/>
        <v>284</v>
      </c>
      <c r="O147">
        <f t="shared" si="27"/>
        <v>284</v>
      </c>
      <c r="P147">
        <f t="shared" si="28"/>
        <v>292</v>
      </c>
      <c r="Q147">
        <f t="shared" si="29"/>
        <v>289</v>
      </c>
      <c r="R147">
        <f t="shared" si="30"/>
        <v>286</v>
      </c>
      <c r="S147">
        <f t="shared" si="31"/>
        <v>290</v>
      </c>
      <c r="T147">
        <f t="shared" si="32"/>
        <v>286</v>
      </c>
      <c r="U147">
        <f t="shared" si="33"/>
        <v>287</v>
      </c>
      <c r="V147">
        <f t="shared" si="34"/>
        <v>289</v>
      </c>
    </row>
    <row r="148" spans="1:22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  <c r="M148">
        <f t="shared" si="25"/>
        <v>285</v>
      </c>
      <c r="N148">
        <f t="shared" si="26"/>
        <v>291</v>
      </c>
      <c r="O148">
        <f t="shared" si="27"/>
        <v>292</v>
      </c>
      <c r="P148">
        <f t="shared" si="28"/>
        <v>291</v>
      </c>
      <c r="Q148">
        <f t="shared" si="29"/>
        <v>291</v>
      </c>
      <c r="R148">
        <f t="shared" si="30"/>
        <v>292</v>
      </c>
      <c r="S148">
        <f t="shared" si="31"/>
        <v>285</v>
      </c>
      <c r="T148">
        <f t="shared" si="32"/>
        <v>293</v>
      </c>
      <c r="U148">
        <f t="shared" si="33"/>
        <v>283</v>
      </c>
      <c r="V148">
        <f t="shared" si="34"/>
        <v>293</v>
      </c>
    </row>
    <row r="149" spans="1:22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  <c r="M149">
        <f t="shared" si="25"/>
        <v>287</v>
      </c>
      <c r="N149">
        <f t="shared" si="26"/>
        <v>291</v>
      </c>
      <c r="O149">
        <f t="shared" si="27"/>
        <v>287</v>
      </c>
      <c r="P149">
        <f t="shared" si="28"/>
        <v>286</v>
      </c>
      <c r="Q149">
        <f t="shared" si="29"/>
        <v>284</v>
      </c>
      <c r="R149">
        <f t="shared" si="30"/>
        <v>290</v>
      </c>
      <c r="S149">
        <f t="shared" si="31"/>
        <v>289</v>
      </c>
      <c r="T149">
        <f t="shared" si="32"/>
        <v>286</v>
      </c>
      <c r="U149">
        <f t="shared" si="33"/>
        <v>288</v>
      </c>
      <c r="V149">
        <f t="shared" si="34"/>
        <v>283</v>
      </c>
    </row>
    <row r="150" spans="1:22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  <c r="M150">
        <f t="shared" si="25"/>
        <v>287</v>
      </c>
      <c r="N150">
        <f t="shared" si="26"/>
        <v>283</v>
      </c>
      <c r="O150">
        <f t="shared" si="27"/>
        <v>292</v>
      </c>
      <c r="P150">
        <f t="shared" si="28"/>
        <v>284</v>
      </c>
      <c r="Q150">
        <f t="shared" si="29"/>
        <v>285</v>
      </c>
      <c r="R150">
        <f t="shared" si="30"/>
        <v>284</v>
      </c>
      <c r="S150">
        <f t="shared" si="31"/>
        <v>289</v>
      </c>
      <c r="T150">
        <f t="shared" si="32"/>
        <v>288</v>
      </c>
      <c r="U150">
        <f t="shared" si="33"/>
        <v>289</v>
      </c>
      <c r="V150">
        <f t="shared" si="34"/>
        <v>290</v>
      </c>
    </row>
    <row r="151" spans="1:22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  <c r="M151">
        <f t="shared" si="25"/>
        <v>292</v>
      </c>
      <c r="N151">
        <f t="shared" si="26"/>
        <v>292</v>
      </c>
      <c r="O151">
        <f t="shared" si="27"/>
        <v>290</v>
      </c>
      <c r="P151">
        <f t="shared" si="28"/>
        <v>285</v>
      </c>
      <c r="Q151">
        <f t="shared" si="29"/>
        <v>291</v>
      </c>
      <c r="R151">
        <f t="shared" si="30"/>
        <v>291</v>
      </c>
      <c r="S151">
        <f t="shared" si="31"/>
        <v>290</v>
      </c>
      <c r="T151">
        <f t="shared" si="32"/>
        <v>286</v>
      </c>
      <c r="U151">
        <f t="shared" si="33"/>
        <v>289</v>
      </c>
      <c r="V151">
        <f t="shared" si="34"/>
        <v>290</v>
      </c>
    </row>
    <row r="152" spans="1:22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  <c r="M152">
        <f t="shared" si="25"/>
        <v>289</v>
      </c>
      <c r="N152">
        <f t="shared" si="26"/>
        <v>291</v>
      </c>
      <c r="O152">
        <f t="shared" si="27"/>
        <v>285</v>
      </c>
      <c r="P152">
        <f t="shared" si="28"/>
        <v>288</v>
      </c>
      <c r="Q152">
        <f t="shared" si="29"/>
        <v>285</v>
      </c>
      <c r="R152">
        <f t="shared" si="30"/>
        <v>291</v>
      </c>
      <c r="S152">
        <f t="shared" si="31"/>
        <v>283</v>
      </c>
      <c r="T152">
        <f t="shared" si="32"/>
        <v>292</v>
      </c>
      <c r="U152">
        <f t="shared" si="33"/>
        <v>285</v>
      </c>
      <c r="V152">
        <f t="shared" si="34"/>
        <v>289</v>
      </c>
    </row>
    <row r="153" spans="1:22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  <c r="M153">
        <f t="shared" si="25"/>
        <v>291</v>
      </c>
      <c r="N153">
        <f t="shared" si="26"/>
        <v>292</v>
      </c>
      <c r="O153">
        <f t="shared" si="27"/>
        <v>288</v>
      </c>
      <c r="P153">
        <f t="shared" si="28"/>
        <v>291</v>
      </c>
      <c r="Q153">
        <f t="shared" si="29"/>
        <v>291</v>
      </c>
      <c r="R153">
        <f t="shared" si="30"/>
        <v>287</v>
      </c>
      <c r="S153">
        <f t="shared" si="31"/>
        <v>289</v>
      </c>
      <c r="T153">
        <f t="shared" si="32"/>
        <v>291</v>
      </c>
      <c r="U153">
        <f t="shared" si="33"/>
        <v>285</v>
      </c>
      <c r="V153">
        <f t="shared" si="34"/>
        <v>291</v>
      </c>
    </row>
    <row r="154" spans="1:22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  <c r="M154">
        <f t="shared" si="25"/>
        <v>286</v>
      </c>
      <c r="N154">
        <f t="shared" si="26"/>
        <v>285</v>
      </c>
      <c r="O154">
        <f t="shared" si="27"/>
        <v>289</v>
      </c>
      <c r="P154">
        <f t="shared" si="28"/>
        <v>292</v>
      </c>
      <c r="Q154">
        <f t="shared" si="29"/>
        <v>288</v>
      </c>
      <c r="R154">
        <f t="shared" si="30"/>
        <v>290</v>
      </c>
      <c r="S154">
        <f t="shared" si="31"/>
        <v>284</v>
      </c>
      <c r="T154">
        <f t="shared" si="32"/>
        <v>292</v>
      </c>
      <c r="U154">
        <f t="shared" si="33"/>
        <v>286</v>
      </c>
      <c r="V154">
        <f t="shared" si="34"/>
        <v>288</v>
      </c>
    </row>
    <row r="155" spans="1:22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  <c r="M155">
        <f t="shared" si="25"/>
        <v>283</v>
      </c>
      <c r="N155">
        <f t="shared" si="26"/>
        <v>288</v>
      </c>
      <c r="O155">
        <f t="shared" si="27"/>
        <v>290</v>
      </c>
      <c r="P155">
        <f t="shared" si="28"/>
        <v>290</v>
      </c>
      <c r="Q155">
        <f t="shared" si="29"/>
        <v>285</v>
      </c>
      <c r="R155">
        <f t="shared" si="30"/>
        <v>288</v>
      </c>
      <c r="S155">
        <f t="shared" si="31"/>
        <v>285</v>
      </c>
      <c r="T155">
        <f t="shared" si="32"/>
        <v>286</v>
      </c>
      <c r="U155">
        <f t="shared" si="33"/>
        <v>290</v>
      </c>
      <c r="V155">
        <f t="shared" si="34"/>
        <v>288</v>
      </c>
    </row>
    <row r="156" spans="1:22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  <c r="M156">
        <f t="shared" si="25"/>
        <v>291</v>
      </c>
      <c r="N156">
        <f t="shared" si="26"/>
        <v>283</v>
      </c>
      <c r="O156">
        <f t="shared" si="27"/>
        <v>288</v>
      </c>
      <c r="P156">
        <f t="shared" si="28"/>
        <v>287</v>
      </c>
      <c r="Q156">
        <f t="shared" si="29"/>
        <v>288</v>
      </c>
      <c r="R156">
        <f t="shared" si="30"/>
        <v>291</v>
      </c>
      <c r="S156">
        <f t="shared" si="31"/>
        <v>286</v>
      </c>
      <c r="T156">
        <f t="shared" si="32"/>
        <v>290</v>
      </c>
      <c r="U156">
        <f t="shared" si="33"/>
        <v>285</v>
      </c>
      <c r="V156">
        <f t="shared" si="34"/>
        <v>288</v>
      </c>
    </row>
    <row r="157" spans="1:22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  <c r="M157">
        <f t="shared" si="25"/>
        <v>284</v>
      </c>
      <c r="N157">
        <f t="shared" si="26"/>
        <v>292</v>
      </c>
      <c r="O157">
        <f t="shared" si="27"/>
        <v>291</v>
      </c>
      <c r="P157">
        <f t="shared" si="28"/>
        <v>285</v>
      </c>
      <c r="Q157">
        <f t="shared" si="29"/>
        <v>284</v>
      </c>
      <c r="R157">
        <f t="shared" si="30"/>
        <v>285</v>
      </c>
      <c r="S157">
        <f t="shared" si="31"/>
        <v>292</v>
      </c>
      <c r="T157">
        <f t="shared" si="32"/>
        <v>292</v>
      </c>
      <c r="U157">
        <f t="shared" si="33"/>
        <v>288</v>
      </c>
      <c r="V157">
        <f t="shared" si="34"/>
        <v>285</v>
      </c>
    </row>
    <row r="158" spans="1:22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  <c r="M158">
        <f t="shared" si="25"/>
        <v>289</v>
      </c>
      <c r="N158">
        <f t="shared" si="26"/>
        <v>291</v>
      </c>
      <c r="O158">
        <f t="shared" si="27"/>
        <v>288</v>
      </c>
      <c r="P158">
        <f t="shared" si="28"/>
        <v>284</v>
      </c>
      <c r="Q158">
        <f t="shared" si="29"/>
        <v>290</v>
      </c>
      <c r="R158">
        <f t="shared" si="30"/>
        <v>289</v>
      </c>
      <c r="S158">
        <f t="shared" si="31"/>
        <v>285</v>
      </c>
      <c r="T158">
        <f t="shared" si="32"/>
        <v>286</v>
      </c>
      <c r="U158">
        <f t="shared" si="33"/>
        <v>283</v>
      </c>
      <c r="V158">
        <f t="shared" si="34"/>
        <v>292</v>
      </c>
    </row>
    <row r="159" spans="1:22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  <c r="M159">
        <f t="shared" si="25"/>
        <v>287</v>
      </c>
      <c r="N159">
        <f t="shared" si="26"/>
        <v>283</v>
      </c>
      <c r="O159">
        <f t="shared" si="27"/>
        <v>289</v>
      </c>
      <c r="P159">
        <f t="shared" si="28"/>
        <v>283</v>
      </c>
      <c r="Q159">
        <f t="shared" si="29"/>
        <v>284</v>
      </c>
      <c r="R159">
        <f t="shared" si="30"/>
        <v>292</v>
      </c>
      <c r="S159">
        <f t="shared" si="31"/>
        <v>288</v>
      </c>
      <c r="T159">
        <f t="shared" si="32"/>
        <v>285</v>
      </c>
      <c r="U159">
        <f t="shared" si="33"/>
        <v>292</v>
      </c>
      <c r="V159">
        <f t="shared" si="34"/>
        <v>283</v>
      </c>
    </row>
    <row r="160" spans="1:22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  <c r="M160">
        <f t="shared" si="25"/>
        <v>292</v>
      </c>
      <c r="N160">
        <f t="shared" si="26"/>
        <v>288</v>
      </c>
      <c r="O160">
        <f t="shared" si="27"/>
        <v>283</v>
      </c>
      <c r="P160">
        <f t="shared" si="28"/>
        <v>287</v>
      </c>
      <c r="Q160">
        <f t="shared" si="29"/>
        <v>290</v>
      </c>
      <c r="R160">
        <f t="shared" si="30"/>
        <v>289</v>
      </c>
      <c r="S160">
        <f t="shared" si="31"/>
        <v>292</v>
      </c>
      <c r="T160">
        <f t="shared" si="32"/>
        <v>289</v>
      </c>
      <c r="U160">
        <f t="shared" si="33"/>
        <v>284</v>
      </c>
      <c r="V160">
        <f t="shared" si="34"/>
        <v>284</v>
      </c>
    </row>
    <row r="161" spans="1:22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  <c r="M161">
        <f t="shared" si="25"/>
        <v>287</v>
      </c>
      <c r="N161">
        <f t="shared" si="26"/>
        <v>288</v>
      </c>
      <c r="O161">
        <f t="shared" si="27"/>
        <v>283</v>
      </c>
      <c r="P161">
        <f t="shared" si="28"/>
        <v>292</v>
      </c>
      <c r="Q161">
        <f t="shared" si="29"/>
        <v>284</v>
      </c>
      <c r="R161">
        <f t="shared" si="30"/>
        <v>290</v>
      </c>
      <c r="S161">
        <f t="shared" si="31"/>
        <v>287</v>
      </c>
      <c r="T161">
        <f t="shared" si="32"/>
        <v>284</v>
      </c>
      <c r="U161">
        <f t="shared" si="33"/>
        <v>288</v>
      </c>
      <c r="V161">
        <f t="shared" si="34"/>
        <v>284</v>
      </c>
    </row>
    <row r="162" spans="1:22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  <c r="M162">
        <f t="shared" si="25"/>
        <v>287</v>
      </c>
      <c r="N162">
        <f t="shared" si="26"/>
        <v>285</v>
      </c>
      <c r="O162">
        <f t="shared" si="27"/>
        <v>289</v>
      </c>
      <c r="P162">
        <f t="shared" si="28"/>
        <v>289</v>
      </c>
      <c r="Q162">
        <f t="shared" si="29"/>
        <v>283</v>
      </c>
      <c r="R162">
        <f t="shared" si="30"/>
        <v>283</v>
      </c>
      <c r="S162">
        <f t="shared" si="31"/>
        <v>286</v>
      </c>
      <c r="T162">
        <f t="shared" si="32"/>
        <v>293</v>
      </c>
      <c r="U162">
        <f t="shared" si="33"/>
        <v>293</v>
      </c>
      <c r="V162">
        <f t="shared" si="34"/>
        <v>289</v>
      </c>
    </row>
    <row r="163" spans="1:22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  <c r="M163">
        <f t="shared" si="25"/>
        <v>288</v>
      </c>
      <c r="N163">
        <f t="shared" si="26"/>
        <v>291</v>
      </c>
      <c r="O163">
        <f t="shared" si="27"/>
        <v>286</v>
      </c>
      <c r="P163">
        <f t="shared" si="28"/>
        <v>283</v>
      </c>
      <c r="Q163">
        <f t="shared" si="29"/>
        <v>293</v>
      </c>
      <c r="R163">
        <f t="shared" si="30"/>
        <v>288</v>
      </c>
      <c r="S163">
        <f t="shared" si="31"/>
        <v>287</v>
      </c>
      <c r="T163">
        <f t="shared" si="32"/>
        <v>287</v>
      </c>
      <c r="U163">
        <f t="shared" si="33"/>
        <v>292</v>
      </c>
      <c r="V163">
        <f t="shared" si="34"/>
        <v>290</v>
      </c>
    </row>
    <row r="164" spans="1:22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  <c r="M164">
        <f t="shared" si="25"/>
        <v>287</v>
      </c>
      <c r="N164">
        <f t="shared" si="26"/>
        <v>293</v>
      </c>
      <c r="O164">
        <f t="shared" si="27"/>
        <v>288</v>
      </c>
      <c r="P164">
        <f t="shared" si="28"/>
        <v>284</v>
      </c>
      <c r="Q164">
        <f t="shared" si="29"/>
        <v>286</v>
      </c>
      <c r="R164">
        <f t="shared" si="30"/>
        <v>286</v>
      </c>
      <c r="S164">
        <f t="shared" si="31"/>
        <v>286</v>
      </c>
      <c r="T164">
        <f t="shared" si="32"/>
        <v>291</v>
      </c>
      <c r="U164">
        <f t="shared" si="33"/>
        <v>283</v>
      </c>
      <c r="V164">
        <f t="shared" si="34"/>
        <v>287</v>
      </c>
    </row>
    <row r="165" spans="1:22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  <c r="M165">
        <f t="shared" si="25"/>
        <v>290</v>
      </c>
      <c r="N165">
        <f t="shared" si="26"/>
        <v>283</v>
      </c>
      <c r="O165">
        <f t="shared" si="27"/>
        <v>288</v>
      </c>
      <c r="P165">
        <f t="shared" si="28"/>
        <v>290</v>
      </c>
      <c r="Q165">
        <f t="shared" si="29"/>
        <v>285</v>
      </c>
      <c r="R165">
        <f t="shared" si="30"/>
        <v>292</v>
      </c>
      <c r="S165">
        <f t="shared" si="31"/>
        <v>285</v>
      </c>
      <c r="T165">
        <f t="shared" si="32"/>
        <v>291</v>
      </c>
      <c r="U165">
        <f t="shared" si="33"/>
        <v>287</v>
      </c>
      <c r="V165">
        <f t="shared" si="34"/>
        <v>286</v>
      </c>
    </row>
    <row r="166" spans="1:22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  <c r="M166">
        <f t="shared" si="25"/>
        <v>290</v>
      </c>
      <c r="N166">
        <f t="shared" si="26"/>
        <v>285</v>
      </c>
      <c r="O166">
        <f t="shared" si="27"/>
        <v>292</v>
      </c>
      <c r="P166">
        <f t="shared" si="28"/>
        <v>288</v>
      </c>
      <c r="Q166">
        <f t="shared" si="29"/>
        <v>293</v>
      </c>
      <c r="R166">
        <f t="shared" si="30"/>
        <v>289</v>
      </c>
      <c r="S166">
        <f t="shared" si="31"/>
        <v>284</v>
      </c>
      <c r="T166">
        <f t="shared" si="32"/>
        <v>289</v>
      </c>
      <c r="U166">
        <f t="shared" si="33"/>
        <v>291</v>
      </c>
      <c r="V166">
        <f t="shared" si="34"/>
        <v>291</v>
      </c>
    </row>
    <row r="167" spans="1:22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  <c r="M167">
        <f t="shared" si="25"/>
        <v>284</v>
      </c>
      <c r="N167">
        <f t="shared" si="26"/>
        <v>287</v>
      </c>
      <c r="O167">
        <f t="shared" si="27"/>
        <v>284</v>
      </c>
      <c r="P167">
        <f t="shared" si="28"/>
        <v>290</v>
      </c>
      <c r="Q167">
        <f t="shared" si="29"/>
        <v>285</v>
      </c>
      <c r="R167">
        <f t="shared" si="30"/>
        <v>289</v>
      </c>
      <c r="S167">
        <f t="shared" si="31"/>
        <v>284</v>
      </c>
      <c r="T167">
        <f t="shared" si="32"/>
        <v>286</v>
      </c>
      <c r="U167">
        <f t="shared" si="33"/>
        <v>287</v>
      </c>
      <c r="V167">
        <f t="shared" si="34"/>
        <v>285</v>
      </c>
    </row>
    <row r="168" spans="1:22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  <c r="M168">
        <f t="shared" si="25"/>
        <v>284</v>
      </c>
      <c r="N168">
        <f t="shared" si="26"/>
        <v>289</v>
      </c>
      <c r="O168">
        <f t="shared" si="27"/>
        <v>287</v>
      </c>
      <c r="P168">
        <f t="shared" si="28"/>
        <v>284</v>
      </c>
      <c r="Q168">
        <f t="shared" si="29"/>
        <v>291</v>
      </c>
      <c r="R168">
        <f t="shared" si="30"/>
        <v>287</v>
      </c>
      <c r="S168">
        <f t="shared" si="31"/>
        <v>290</v>
      </c>
      <c r="T168">
        <f t="shared" si="32"/>
        <v>286</v>
      </c>
      <c r="U168">
        <f t="shared" si="33"/>
        <v>283</v>
      </c>
      <c r="V168">
        <f t="shared" si="34"/>
        <v>290</v>
      </c>
    </row>
    <row r="169" spans="1:22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  <c r="M169">
        <f t="shared" si="25"/>
        <v>286</v>
      </c>
      <c r="N169">
        <f t="shared" si="26"/>
        <v>288</v>
      </c>
      <c r="O169">
        <f t="shared" si="27"/>
        <v>291</v>
      </c>
      <c r="P169">
        <f t="shared" si="28"/>
        <v>290</v>
      </c>
      <c r="Q169">
        <f t="shared" si="29"/>
        <v>291</v>
      </c>
      <c r="R169">
        <f t="shared" si="30"/>
        <v>287</v>
      </c>
      <c r="S169">
        <f t="shared" si="31"/>
        <v>292</v>
      </c>
      <c r="T169">
        <f t="shared" si="32"/>
        <v>286</v>
      </c>
      <c r="U169">
        <f t="shared" si="33"/>
        <v>284</v>
      </c>
      <c r="V169">
        <f t="shared" si="34"/>
        <v>291</v>
      </c>
    </row>
    <row r="170" spans="1:22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  <c r="M170">
        <f t="shared" si="25"/>
        <v>286</v>
      </c>
      <c r="N170">
        <f t="shared" si="26"/>
        <v>285</v>
      </c>
      <c r="O170">
        <f t="shared" si="27"/>
        <v>292</v>
      </c>
      <c r="P170">
        <f t="shared" si="28"/>
        <v>283</v>
      </c>
      <c r="Q170">
        <f t="shared" si="29"/>
        <v>290</v>
      </c>
      <c r="R170">
        <f t="shared" si="30"/>
        <v>289</v>
      </c>
      <c r="S170">
        <f t="shared" si="31"/>
        <v>284</v>
      </c>
      <c r="T170">
        <f t="shared" si="32"/>
        <v>291</v>
      </c>
      <c r="U170">
        <f t="shared" si="33"/>
        <v>287</v>
      </c>
      <c r="V170">
        <f t="shared" si="34"/>
        <v>292</v>
      </c>
    </row>
    <row r="171" spans="1:22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  <c r="M171">
        <f t="shared" si="25"/>
        <v>285</v>
      </c>
      <c r="N171">
        <f t="shared" si="26"/>
        <v>286</v>
      </c>
      <c r="O171">
        <f t="shared" si="27"/>
        <v>288</v>
      </c>
      <c r="P171">
        <f t="shared" si="28"/>
        <v>285</v>
      </c>
      <c r="Q171">
        <f t="shared" si="29"/>
        <v>286</v>
      </c>
      <c r="R171">
        <f t="shared" si="30"/>
        <v>286</v>
      </c>
      <c r="S171">
        <f t="shared" si="31"/>
        <v>285</v>
      </c>
      <c r="T171">
        <f t="shared" si="32"/>
        <v>291</v>
      </c>
      <c r="U171">
        <f t="shared" si="33"/>
        <v>291</v>
      </c>
      <c r="V171">
        <f t="shared" si="34"/>
        <v>287</v>
      </c>
    </row>
    <row r="172" spans="1:22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  <c r="M172">
        <f t="shared" si="25"/>
        <v>283</v>
      </c>
      <c r="N172">
        <f t="shared" si="26"/>
        <v>288</v>
      </c>
      <c r="O172">
        <f t="shared" si="27"/>
        <v>290</v>
      </c>
      <c r="P172">
        <f t="shared" si="28"/>
        <v>292</v>
      </c>
      <c r="Q172">
        <f t="shared" si="29"/>
        <v>283</v>
      </c>
      <c r="R172">
        <f t="shared" si="30"/>
        <v>287</v>
      </c>
      <c r="S172">
        <f t="shared" si="31"/>
        <v>286</v>
      </c>
      <c r="T172">
        <f t="shared" si="32"/>
        <v>284</v>
      </c>
      <c r="U172">
        <f t="shared" si="33"/>
        <v>285</v>
      </c>
      <c r="V172">
        <f t="shared" si="34"/>
        <v>286</v>
      </c>
    </row>
    <row r="173" spans="1:22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  <c r="M173">
        <f t="shared" si="25"/>
        <v>285</v>
      </c>
      <c r="N173">
        <f t="shared" si="26"/>
        <v>286</v>
      </c>
      <c r="O173">
        <f t="shared" si="27"/>
        <v>292</v>
      </c>
      <c r="P173">
        <f t="shared" si="28"/>
        <v>284</v>
      </c>
      <c r="Q173">
        <f t="shared" si="29"/>
        <v>292</v>
      </c>
      <c r="R173">
        <f t="shared" si="30"/>
        <v>288</v>
      </c>
      <c r="S173">
        <f t="shared" si="31"/>
        <v>290</v>
      </c>
      <c r="T173">
        <f t="shared" si="32"/>
        <v>291</v>
      </c>
      <c r="U173">
        <f t="shared" si="33"/>
        <v>284</v>
      </c>
      <c r="V173">
        <f t="shared" si="34"/>
        <v>284</v>
      </c>
    </row>
    <row r="174" spans="1:22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  <c r="M174">
        <f t="shared" si="25"/>
        <v>284</v>
      </c>
      <c r="N174">
        <f t="shared" si="26"/>
        <v>291</v>
      </c>
      <c r="O174">
        <f t="shared" si="27"/>
        <v>286</v>
      </c>
      <c r="P174">
        <f t="shared" si="28"/>
        <v>291</v>
      </c>
      <c r="Q174">
        <f t="shared" si="29"/>
        <v>284</v>
      </c>
      <c r="R174">
        <f t="shared" si="30"/>
        <v>286</v>
      </c>
      <c r="S174">
        <f t="shared" si="31"/>
        <v>289</v>
      </c>
      <c r="T174">
        <f t="shared" si="32"/>
        <v>284</v>
      </c>
      <c r="U174">
        <f t="shared" si="33"/>
        <v>286</v>
      </c>
      <c r="V174">
        <f t="shared" si="34"/>
        <v>289</v>
      </c>
    </row>
    <row r="175" spans="1:22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  <c r="M175">
        <f t="shared" si="25"/>
        <v>286</v>
      </c>
      <c r="N175">
        <f t="shared" si="26"/>
        <v>284</v>
      </c>
      <c r="O175">
        <f t="shared" si="27"/>
        <v>286</v>
      </c>
      <c r="P175">
        <f t="shared" si="28"/>
        <v>290</v>
      </c>
      <c r="Q175">
        <f t="shared" si="29"/>
        <v>289</v>
      </c>
      <c r="R175">
        <f t="shared" si="30"/>
        <v>291</v>
      </c>
      <c r="S175">
        <f t="shared" si="31"/>
        <v>285</v>
      </c>
      <c r="T175">
        <f t="shared" si="32"/>
        <v>293</v>
      </c>
      <c r="U175">
        <f t="shared" si="33"/>
        <v>286</v>
      </c>
      <c r="V175">
        <f t="shared" si="34"/>
        <v>291</v>
      </c>
    </row>
    <row r="176" spans="1:22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  <c r="M176">
        <f t="shared" si="25"/>
        <v>285</v>
      </c>
      <c r="N176">
        <f t="shared" si="26"/>
        <v>286</v>
      </c>
      <c r="O176">
        <f t="shared" si="27"/>
        <v>289</v>
      </c>
      <c r="P176">
        <f t="shared" si="28"/>
        <v>290</v>
      </c>
      <c r="Q176">
        <f t="shared" si="29"/>
        <v>286</v>
      </c>
      <c r="R176">
        <f t="shared" si="30"/>
        <v>291</v>
      </c>
      <c r="S176">
        <f t="shared" si="31"/>
        <v>286</v>
      </c>
      <c r="T176">
        <f t="shared" si="32"/>
        <v>285</v>
      </c>
      <c r="U176">
        <f t="shared" si="33"/>
        <v>288</v>
      </c>
      <c r="V176">
        <f t="shared" si="34"/>
        <v>292</v>
      </c>
    </row>
    <row r="177" spans="1:22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  <c r="M177">
        <f t="shared" si="25"/>
        <v>289</v>
      </c>
      <c r="N177">
        <f t="shared" si="26"/>
        <v>285</v>
      </c>
      <c r="O177">
        <f t="shared" si="27"/>
        <v>283</v>
      </c>
      <c r="P177">
        <f t="shared" si="28"/>
        <v>285</v>
      </c>
      <c r="Q177">
        <f t="shared" si="29"/>
        <v>291</v>
      </c>
      <c r="R177">
        <f t="shared" si="30"/>
        <v>286</v>
      </c>
      <c r="S177">
        <f t="shared" si="31"/>
        <v>292</v>
      </c>
      <c r="T177">
        <f t="shared" si="32"/>
        <v>292</v>
      </c>
      <c r="U177">
        <f t="shared" si="33"/>
        <v>284</v>
      </c>
      <c r="V177">
        <f t="shared" si="34"/>
        <v>286</v>
      </c>
    </row>
    <row r="178" spans="1:22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  <c r="M178">
        <f t="shared" si="25"/>
        <v>290</v>
      </c>
      <c r="N178">
        <f t="shared" si="26"/>
        <v>285</v>
      </c>
      <c r="O178">
        <f t="shared" si="27"/>
        <v>284</v>
      </c>
      <c r="P178">
        <f t="shared" si="28"/>
        <v>284</v>
      </c>
      <c r="Q178">
        <f t="shared" si="29"/>
        <v>289</v>
      </c>
      <c r="R178">
        <f t="shared" si="30"/>
        <v>284</v>
      </c>
      <c r="S178">
        <f t="shared" si="31"/>
        <v>283</v>
      </c>
      <c r="T178">
        <f t="shared" si="32"/>
        <v>289</v>
      </c>
      <c r="U178">
        <f t="shared" si="33"/>
        <v>288</v>
      </c>
      <c r="V178">
        <f t="shared" si="34"/>
        <v>290</v>
      </c>
    </row>
    <row r="179" spans="1:22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  <c r="M179">
        <f t="shared" si="25"/>
        <v>292</v>
      </c>
      <c r="N179">
        <f t="shared" si="26"/>
        <v>288</v>
      </c>
      <c r="O179">
        <f t="shared" si="27"/>
        <v>289</v>
      </c>
      <c r="P179">
        <f t="shared" si="28"/>
        <v>291</v>
      </c>
      <c r="Q179">
        <f t="shared" si="29"/>
        <v>283</v>
      </c>
      <c r="R179">
        <f t="shared" si="30"/>
        <v>291</v>
      </c>
      <c r="S179">
        <f t="shared" si="31"/>
        <v>284</v>
      </c>
      <c r="T179">
        <f t="shared" si="32"/>
        <v>291</v>
      </c>
      <c r="U179">
        <f t="shared" si="33"/>
        <v>283</v>
      </c>
      <c r="V179">
        <f t="shared" si="34"/>
        <v>287</v>
      </c>
    </row>
    <row r="180" spans="1:22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  <c r="M180">
        <f t="shared" si="25"/>
        <v>287</v>
      </c>
      <c r="N180">
        <f t="shared" si="26"/>
        <v>292</v>
      </c>
      <c r="O180">
        <f t="shared" si="27"/>
        <v>293</v>
      </c>
      <c r="P180">
        <f t="shared" si="28"/>
        <v>285</v>
      </c>
      <c r="Q180">
        <f t="shared" si="29"/>
        <v>285</v>
      </c>
      <c r="R180">
        <f t="shared" si="30"/>
        <v>283</v>
      </c>
      <c r="S180">
        <f t="shared" si="31"/>
        <v>287</v>
      </c>
      <c r="T180">
        <f t="shared" si="32"/>
        <v>284</v>
      </c>
      <c r="U180">
        <f t="shared" si="33"/>
        <v>283</v>
      </c>
      <c r="V180">
        <f t="shared" si="34"/>
        <v>292</v>
      </c>
    </row>
    <row r="181" spans="1:22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  <c r="M181">
        <f t="shared" si="25"/>
        <v>285</v>
      </c>
      <c r="N181">
        <f t="shared" si="26"/>
        <v>287</v>
      </c>
      <c r="O181">
        <f t="shared" si="27"/>
        <v>284</v>
      </c>
      <c r="P181">
        <f t="shared" si="28"/>
        <v>285</v>
      </c>
      <c r="Q181">
        <f t="shared" si="29"/>
        <v>287</v>
      </c>
      <c r="R181">
        <f t="shared" si="30"/>
        <v>286</v>
      </c>
      <c r="S181">
        <f t="shared" si="31"/>
        <v>291</v>
      </c>
      <c r="T181">
        <f t="shared" si="32"/>
        <v>288</v>
      </c>
      <c r="U181">
        <f t="shared" si="33"/>
        <v>286</v>
      </c>
      <c r="V181">
        <f t="shared" si="34"/>
        <v>292</v>
      </c>
    </row>
    <row r="182" spans="1:22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  <c r="M182">
        <f t="shared" si="25"/>
        <v>283</v>
      </c>
      <c r="N182">
        <f t="shared" si="26"/>
        <v>287</v>
      </c>
      <c r="O182">
        <f t="shared" si="27"/>
        <v>286</v>
      </c>
      <c r="P182">
        <f t="shared" si="28"/>
        <v>286</v>
      </c>
      <c r="Q182">
        <f t="shared" si="29"/>
        <v>292</v>
      </c>
      <c r="R182">
        <f t="shared" si="30"/>
        <v>290</v>
      </c>
      <c r="S182">
        <f t="shared" si="31"/>
        <v>286</v>
      </c>
      <c r="T182">
        <f t="shared" si="32"/>
        <v>291</v>
      </c>
      <c r="U182">
        <f t="shared" si="33"/>
        <v>292</v>
      </c>
      <c r="V182">
        <f t="shared" si="34"/>
        <v>290</v>
      </c>
    </row>
    <row r="183" spans="1:22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  <c r="M183">
        <f t="shared" si="25"/>
        <v>283</v>
      </c>
      <c r="N183">
        <f t="shared" si="26"/>
        <v>287</v>
      </c>
      <c r="O183">
        <f t="shared" si="27"/>
        <v>285</v>
      </c>
      <c r="P183">
        <f t="shared" si="28"/>
        <v>290</v>
      </c>
      <c r="Q183">
        <f t="shared" si="29"/>
        <v>291</v>
      </c>
      <c r="R183">
        <f t="shared" si="30"/>
        <v>292</v>
      </c>
      <c r="S183">
        <f t="shared" si="31"/>
        <v>290</v>
      </c>
      <c r="T183">
        <f t="shared" si="32"/>
        <v>287</v>
      </c>
      <c r="U183">
        <f t="shared" si="33"/>
        <v>289</v>
      </c>
      <c r="V183">
        <f t="shared" si="34"/>
        <v>288</v>
      </c>
    </row>
    <row r="184" spans="1:22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  <c r="M184">
        <f t="shared" si="25"/>
        <v>287</v>
      </c>
      <c r="N184">
        <f t="shared" si="26"/>
        <v>285</v>
      </c>
      <c r="O184">
        <f t="shared" si="27"/>
        <v>291</v>
      </c>
      <c r="P184">
        <f t="shared" si="28"/>
        <v>284</v>
      </c>
      <c r="Q184">
        <f t="shared" si="29"/>
        <v>286</v>
      </c>
      <c r="R184">
        <f t="shared" si="30"/>
        <v>291</v>
      </c>
      <c r="S184">
        <f t="shared" si="31"/>
        <v>284</v>
      </c>
      <c r="T184">
        <f t="shared" si="32"/>
        <v>285</v>
      </c>
      <c r="U184">
        <f t="shared" si="33"/>
        <v>287</v>
      </c>
      <c r="V184">
        <f t="shared" si="34"/>
        <v>285</v>
      </c>
    </row>
    <row r="185" spans="1:22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  <c r="M185">
        <f t="shared" si="25"/>
        <v>288</v>
      </c>
      <c r="N185">
        <f t="shared" si="26"/>
        <v>283</v>
      </c>
      <c r="O185">
        <f t="shared" si="27"/>
        <v>291</v>
      </c>
      <c r="P185">
        <f t="shared" si="28"/>
        <v>291</v>
      </c>
      <c r="Q185">
        <f t="shared" si="29"/>
        <v>288</v>
      </c>
      <c r="R185">
        <f t="shared" si="30"/>
        <v>285</v>
      </c>
      <c r="S185">
        <f t="shared" si="31"/>
        <v>286</v>
      </c>
      <c r="T185">
        <f t="shared" si="32"/>
        <v>284</v>
      </c>
      <c r="U185">
        <f t="shared" si="33"/>
        <v>291</v>
      </c>
      <c r="V185">
        <f t="shared" si="34"/>
        <v>283</v>
      </c>
    </row>
    <row r="186" spans="1:22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  <c r="M186">
        <f t="shared" si="25"/>
        <v>289</v>
      </c>
      <c r="N186">
        <f t="shared" si="26"/>
        <v>286</v>
      </c>
      <c r="O186">
        <f t="shared" si="27"/>
        <v>283</v>
      </c>
      <c r="P186">
        <f t="shared" si="28"/>
        <v>288</v>
      </c>
      <c r="Q186">
        <f t="shared" si="29"/>
        <v>287</v>
      </c>
      <c r="R186">
        <f t="shared" si="30"/>
        <v>290</v>
      </c>
      <c r="S186">
        <f t="shared" si="31"/>
        <v>288</v>
      </c>
      <c r="T186">
        <f t="shared" si="32"/>
        <v>283</v>
      </c>
      <c r="U186">
        <f t="shared" si="33"/>
        <v>286</v>
      </c>
      <c r="V186">
        <f t="shared" si="34"/>
        <v>292</v>
      </c>
    </row>
    <row r="187" spans="1:22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  <c r="M187">
        <f t="shared" si="25"/>
        <v>283</v>
      </c>
      <c r="N187">
        <f t="shared" si="26"/>
        <v>289</v>
      </c>
      <c r="O187">
        <f t="shared" si="27"/>
        <v>289</v>
      </c>
      <c r="P187">
        <f t="shared" si="28"/>
        <v>286</v>
      </c>
      <c r="Q187">
        <f t="shared" si="29"/>
        <v>291</v>
      </c>
      <c r="R187">
        <f t="shared" si="30"/>
        <v>287</v>
      </c>
      <c r="S187">
        <f t="shared" si="31"/>
        <v>286</v>
      </c>
      <c r="T187">
        <f t="shared" si="32"/>
        <v>283</v>
      </c>
      <c r="U187">
        <f t="shared" si="33"/>
        <v>283</v>
      </c>
      <c r="V187">
        <f t="shared" si="34"/>
        <v>283</v>
      </c>
    </row>
    <row r="188" spans="1:22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  <c r="M188">
        <f t="shared" si="25"/>
        <v>283</v>
      </c>
      <c r="N188">
        <f t="shared" si="26"/>
        <v>288</v>
      </c>
      <c r="O188">
        <f t="shared" si="27"/>
        <v>283</v>
      </c>
      <c r="P188">
        <f t="shared" si="28"/>
        <v>291</v>
      </c>
      <c r="Q188">
        <f t="shared" si="29"/>
        <v>284</v>
      </c>
      <c r="R188">
        <f t="shared" si="30"/>
        <v>284</v>
      </c>
      <c r="S188">
        <f t="shared" si="31"/>
        <v>291</v>
      </c>
      <c r="T188">
        <f t="shared" si="32"/>
        <v>291</v>
      </c>
      <c r="U188">
        <f t="shared" si="33"/>
        <v>285</v>
      </c>
      <c r="V188">
        <f t="shared" si="34"/>
        <v>284</v>
      </c>
    </row>
    <row r="189" spans="1:22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  <c r="M189">
        <f t="shared" si="25"/>
        <v>290</v>
      </c>
      <c r="N189">
        <f t="shared" si="26"/>
        <v>288</v>
      </c>
      <c r="O189">
        <f t="shared" si="27"/>
        <v>289</v>
      </c>
      <c r="P189">
        <f t="shared" si="28"/>
        <v>286</v>
      </c>
      <c r="Q189">
        <f t="shared" si="29"/>
        <v>292</v>
      </c>
      <c r="R189">
        <f t="shared" si="30"/>
        <v>292</v>
      </c>
      <c r="S189">
        <f t="shared" si="31"/>
        <v>284</v>
      </c>
      <c r="T189">
        <f t="shared" si="32"/>
        <v>283</v>
      </c>
      <c r="U189">
        <f t="shared" si="33"/>
        <v>290</v>
      </c>
      <c r="V189">
        <f t="shared" si="34"/>
        <v>290</v>
      </c>
    </row>
    <row r="190" spans="1:22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  <c r="M190">
        <f t="shared" si="25"/>
        <v>288</v>
      </c>
      <c r="N190">
        <f t="shared" si="26"/>
        <v>286</v>
      </c>
      <c r="O190">
        <f t="shared" si="27"/>
        <v>285</v>
      </c>
      <c r="P190">
        <f t="shared" si="28"/>
        <v>288</v>
      </c>
      <c r="Q190">
        <f t="shared" si="29"/>
        <v>284</v>
      </c>
      <c r="R190">
        <f t="shared" si="30"/>
        <v>287</v>
      </c>
      <c r="S190">
        <f t="shared" si="31"/>
        <v>291</v>
      </c>
      <c r="T190">
        <f t="shared" si="32"/>
        <v>292</v>
      </c>
      <c r="U190">
        <f t="shared" si="33"/>
        <v>284</v>
      </c>
      <c r="V190">
        <f t="shared" si="34"/>
        <v>289</v>
      </c>
    </row>
    <row r="191" spans="1:22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  <c r="M191">
        <f t="shared" si="25"/>
        <v>283</v>
      </c>
      <c r="N191">
        <f t="shared" si="26"/>
        <v>291</v>
      </c>
      <c r="O191">
        <f t="shared" si="27"/>
        <v>291</v>
      </c>
      <c r="P191">
        <f t="shared" si="28"/>
        <v>289</v>
      </c>
      <c r="Q191">
        <f t="shared" si="29"/>
        <v>292</v>
      </c>
      <c r="R191">
        <f t="shared" si="30"/>
        <v>291</v>
      </c>
      <c r="S191">
        <f t="shared" si="31"/>
        <v>288</v>
      </c>
      <c r="T191">
        <f t="shared" si="32"/>
        <v>289</v>
      </c>
      <c r="U191">
        <f t="shared" si="33"/>
        <v>284</v>
      </c>
      <c r="V191">
        <f t="shared" si="34"/>
        <v>283</v>
      </c>
    </row>
    <row r="192" spans="1:22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  <c r="M192">
        <f t="shared" si="25"/>
        <v>288</v>
      </c>
      <c r="N192">
        <f t="shared" si="26"/>
        <v>287</v>
      </c>
      <c r="O192">
        <f t="shared" si="27"/>
        <v>291</v>
      </c>
      <c r="P192">
        <f t="shared" si="28"/>
        <v>291</v>
      </c>
      <c r="Q192">
        <f t="shared" si="29"/>
        <v>288</v>
      </c>
      <c r="R192">
        <f t="shared" si="30"/>
        <v>292</v>
      </c>
      <c r="S192">
        <f t="shared" si="31"/>
        <v>291</v>
      </c>
      <c r="T192">
        <f t="shared" si="32"/>
        <v>285</v>
      </c>
      <c r="U192">
        <f t="shared" si="33"/>
        <v>292</v>
      </c>
      <c r="V192">
        <f t="shared" si="34"/>
        <v>291</v>
      </c>
    </row>
    <row r="193" spans="1:22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  <c r="M193">
        <f t="shared" si="25"/>
        <v>272</v>
      </c>
      <c r="N193">
        <f t="shared" si="26"/>
        <v>281</v>
      </c>
      <c r="O193">
        <f t="shared" si="27"/>
        <v>280</v>
      </c>
      <c r="P193">
        <f t="shared" si="28"/>
        <v>271</v>
      </c>
      <c r="Q193">
        <f t="shared" si="29"/>
        <v>271</v>
      </c>
      <c r="R193">
        <f t="shared" si="30"/>
        <v>281</v>
      </c>
      <c r="S193">
        <f t="shared" si="31"/>
        <v>268</v>
      </c>
      <c r="T193">
        <f t="shared" si="32"/>
        <v>271</v>
      </c>
      <c r="U193">
        <f t="shared" si="33"/>
        <v>271</v>
      </c>
      <c r="V193">
        <f t="shared" si="34"/>
        <v>272</v>
      </c>
    </row>
    <row r="194" spans="1:22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  <c r="M194">
        <f t="shared" si="25"/>
        <v>272</v>
      </c>
      <c r="N194">
        <f t="shared" si="26"/>
        <v>269</v>
      </c>
      <c r="O194">
        <f t="shared" si="27"/>
        <v>269</v>
      </c>
      <c r="P194">
        <f t="shared" si="28"/>
        <v>281</v>
      </c>
      <c r="Q194">
        <f t="shared" si="29"/>
        <v>271</v>
      </c>
      <c r="R194">
        <f t="shared" si="30"/>
        <v>267</v>
      </c>
      <c r="S194">
        <f t="shared" si="31"/>
        <v>279</v>
      </c>
      <c r="T194">
        <f t="shared" si="32"/>
        <v>267</v>
      </c>
      <c r="U194">
        <f t="shared" si="33"/>
        <v>271</v>
      </c>
      <c r="V194">
        <f t="shared" si="34"/>
        <v>268</v>
      </c>
    </row>
    <row r="195" spans="1:22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  <c r="M195">
        <f t="shared" ref="M195:M200" si="35">ROUNDDOWN(C195+273.15,0)</f>
        <v>268</v>
      </c>
      <c r="N195">
        <f t="shared" ref="N195:N201" si="36">ROUNDDOWN(D195+273.15,0)</f>
        <v>280</v>
      </c>
      <c r="O195">
        <f t="shared" ref="O195:O201" si="37">ROUNDDOWN(E195+273.15,0)</f>
        <v>267</v>
      </c>
      <c r="P195">
        <f t="shared" ref="P195:P201" si="38">ROUNDDOWN(F195+273.15,0)</f>
        <v>281</v>
      </c>
      <c r="Q195">
        <f t="shared" ref="Q195:Q201" si="39">ROUNDDOWN(G195+273.15,0)</f>
        <v>271</v>
      </c>
      <c r="R195">
        <f t="shared" ref="R195:R201" si="40">ROUNDDOWN(H195+273.15,0)</f>
        <v>275</v>
      </c>
      <c r="S195">
        <f t="shared" ref="S195:S201" si="41">ROUNDDOWN(I195+273.15,0)</f>
        <v>278</v>
      </c>
      <c r="T195">
        <f t="shared" ref="T195:T201" si="42">ROUNDDOWN(J195+273.15,0)</f>
        <v>280</v>
      </c>
      <c r="U195">
        <f t="shared" ref="U195:U201" si="43">ROUNDDOWN(K195+273.15,0)</f>
        <v>273</v>
      </c>
      <c r="V195">
        <f t="shared" ref="V195:V201" si="44">ROUNDDOWN(L195+273.15,0)</f>
        <v>271</v>
      </c>
    </row>
    <row r="196" spans="1:22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  <c r="M196">
        <f t="shared" si="35"/>
        <v>278</v>
      </c>
      <c r="N196">
        <f t="shared" si="36"/>
        <v>268</v>
      </c>
      <c r="O196">
        <f t="shared" si="37"/>
        <v>268</v>
      </c>
      <c r="P196">
        <f t="shared" si="38"/>
        <v>273</v>
      </c>
      <c r="Q196">
        <f t="shared" si="39"/>
        <v>279</v>
      </c>
      <c r="R196">
        <f t="shared" si="40"/>
        <v>278</v>
      </c>
      <c r="S196">
        <f t="shared" si="41"/>
        <v>266</v>
      </c>
      <c r="T196">
        <f t="shared" si="42"/>
        <v>273</v>
      </c>
      <c r="U196">
        <f t="shared" si="43"/>
        <v>266</v>
      </c>
      <c r="V196">
        <f t="shared" si="44"/>
        <v>277</v>
      </c>
    </row>
    <row r="197" spans="1:22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  <c r="M197">
        <f t="shared" si="35"/>
        <v>276</v>
      </c>
      <c r="N197">
        <f t="shared" si="36"/>
        <v>276</v>
      </c>
      <c r="O197">
        <f t="shared" si="37"/>
        <v>271</v>
      </c>
      <c r="P197">
        <f t="shared" si="38"/>
        <v>267</v>
      </c>
      <c r="Q197">
        <f t="shared" si="39"/>
        <v>272</v>
      </c>
      <c r="R197">
        <f t="shared" si="40"/>
        <v>266</v>
      </c>
      <c r="S197">
        <f t="shared" si="41"/>
        <v>280</v>
      </c>
      <c r="T197">
        <f t="shared" si="42"/>
        <v>269</v>
      </c>
      <c r="U197">
        <f t="shared" si="43"/>
        <v>266</v>
      </c>
      <c r="V197">
        <f t="shared" si="44"/>
        <v>267</v>
      </c>
    </row>
    <row r="198" spans="1:22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  <c r="M198">
        <f t="shared" si="35"/>
        <v>271</v>
      </c>
      <c r="N198">
        <f t="shared" si="36"/>
        <v>265</v>
      </c>
      <c r="O198">
        <f t="shared" si="37"/>
        <v>276</v>
      </c>
      <c r="P198">
        <f t="shared" si="38"/>
        <v>278</v>
      </c>
      <c r="Q198">
        <f t="shared" si="39"/>
        <v>266</v>
      </c>
      <c r="R198">
        <f t="shared" si="40"/>
        <v>281</v>
      </c>
      <c r="S198">
        <f t="shared" si="41"/>
        <v>281</v>
      </c>
      <c r="T198">
        <f t="shared" si="42"/>
        <v>273</v>
      </c>
      <c r="U198">
        <f t="shared" si="43"/>
        <v>276</v>
      </c>
      <c r="V198">
        <f t="shared" si="44"/>
        <v>273</v>
      </c>
    </row>
    <row r="199" spans="1:22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  <c r="M199">
        <f t="shared" si="35"/>
        <v>265</v>
      </c>
      <c r="N199">
        <f t="shared" si="36"/>
        <v>268</v>
      </c>
      <c r="O199">
        <f t="shared" si="37"/>
        <v>280</v>
      </c>
      <c r="P199">
        <f t="shared" si="38"/>
        <v>272</v>
      </c>
      <c r="Q199">
        <f t="shared" si="39"/>
        <v>269</v>
      </c>
      <c r="R199">
        <f t="shared" si="40"/>
        <v>271</v>
      </c>
      <c r="S199">
        <f t="shared" si="41"/>
        <v>276</v>
      </c>
      <c r="T199">
        <f t="shared" si="42"/>
        <v>266</v>
      </c>
      <c r="U199">
        <f t="shared" si="43"/>
        <v>281</v>
      </c>
      <c r="V199">
        <f t="shared" si="44"/>
        <v>281</v>
      </c>
    </row>
    <row r="200" spans="1:22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  <c r="M200">
        <f t="shared" si="35"/>
        <v>270</v>
      </c>
      <c r="N200">
        <f t="shared" si="36"/>
        <v>278</v>
      </c>
      <c r="O200">
        <f t="shared" si="37"/>
        <v>275</v>
      </c>
      <c r="P200">
        <f t="shared" si="38"/>
        <v>267</v>
      </c>
      <c r="Q200">
        <f t="shared" si="39"/>
        <v>274</v>
      </c>
      <c r="R200">
        <f t="shared" si="40"/>
        <v>269</v>
      </c>
      <c r="S200">
        <f t="shared" si="41"/>
        <v>276</v>
      </c>
      <c r="T200">
        <f t="shared" si="42"/>
        <v>265</v>
      </c>
      <c r="U200">
        <f t="shared" si="43"/>
        <v>275</v>
      </c>
      <c r="V200">
        <f t="shared" si="44"/>
        <v>272</v>
      </c>
    </row>
    <row r="201" spans="1:22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  <c r="M201">
        <f>ROUNDDOWN(C201+273.15,0)</f>
        <v>266</v>
      </c>
      <c r="N201">
        <f t="shared" si="36"/>
        <v>279</v>
      </c>
      <c r="O201">
        <f t="shared" si="37"/>
        <v>267</v>
      </c>
      <c r="P201">
        <f t="shared" si="38"/>
        <v>278</v>
      </c>
      <c r="Q201">
        <f t="shared" si="39"/>
        <v>269</v>
      </c>
      <c r="R201">
        <f t="shared" si="40"/>
        <v>268</v>
      </c>
      <c r="S201">
        <f t="shared" si="41"/>
        <v>272</v>
      </c>
      <c r="T201">
        <f t="shared" si="42"/>
        <v>276</v>
      </c>
      <c r="U201">
        <f t="shared" si="43"/>
        <v>266</v>
      </c>
      <c r="V201">
        <f t="shared" si="44"/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D10D-5523-4696-B5AB-92675DE80797}">
  <dimension ref="A1:T201"/>
  <sheetViews>
    <sheetView topLeftCell="A4" zoomScale="50" workbookViewId="0">
      <selection activeCell="AE14" sqref="AE14"/>
    </sheetView>
  </sheetViews>
  <sheetFormatPr defaultRowHeight="14.5" x14ac:dyDescent="0.35"/>
  <cols>
    <col min="1" max="1" width="9.90625" bestFit="1" customWidth="1"/>
    <col min="2" max="2" width="9.54296875" bestFit="1" customWidth="1"/>
    <col min="3" max="11" width="9.90625" bestFit="1" customWidth="1"/>
    <col min="12" max="12" width="10.90625" bestFit="1" customWidth="1"/>
    <col min="16" max="16" width="18.7265625" bestFit="1" customWidth="1"/>
    <col min="17" max="17" width="15.90625" bestFit="1" customWidth="1"/>
  </cols>
  <sheetData>
    <row r="1" spans="1:20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16" t="s">
        <v>18</v>
      </c>
    </row>
    <row r="2" spans="1:20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  <c r="M2">
        <f>MONTH(A2)</f>
        <v>1</v>
      </c>
    </row>
    <row r="3" spans="1:20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  <c r="M3">
        <f t="shared" ref="M3:M66" si="0">MONTH(A3)</f>
        <v>1</v>
      </c>
    </row>
    <row r="4" spans="1:20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  <c r="M4">
        <f t="shared" si="0"/>
        <v>1</v>
      </c>
    </row>
    <row r="5" spans="1:20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  <c r="M5">
        <f t="shared" si="0"/>
        <v>1</v>
      </c>
    </row>
    <row r="6" spans="1:20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  <c r="M6">
        <f t="shared" si="0"/>
        <v>1</v>
      </c>
    </row>
    <row r="7" spans="1:20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  <c r="M7">
        <f t="shared" si="0"/>
        <v>1</v>
      </c>
    </row>
    <row r="8" spans="1:20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  <c r="M8">
        <f t="shared" si="0"/>
        <v>1</v>
      </c>
    </row>
    <row r="9" spans="1:20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  <c r="M9">
        <f t="shared" si="0"/>
        <v>2</v>
      </c>
    </row>
    <row r="10" spans="1:20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  <c r="M10">
        <f t="shared" si="0"/>
        <v>2</v>
      </c>
      <c r="P10" s="17" t="s">
        <v>19</v>
      </c>
      <c r="Q10" t="s">
        <v>20</v>
      </c>
    </row>
    <row r="11" spans="1:20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  <c r="M11">
        <f t="shared" si="0"/>
        <v>2</v>
      </c>
      <c r="P11" s="18">
        <v>1</v>
      </c>
      <c r="Q11">
        <v>6.36</v>
      </c>
      <c r="R11">
        <f>COUNTIF(M2:M201,1)</f>
        <v>7</v>
      </c>
      <c r="S11" t="s">
        <v>21</v>
      </c>
      <c r="T11">
        <f>ROUND(GETPIVOTDATA("czujnik10",$P$10,"miesiac",1)/R11,2)</f>
        <v>0.91</v>
      </c>
    </row>
    <row r="12" spans="1:20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  <c r="M12">
        <f t="shared" si="0"/>
        <v>2</v>
      </c>
      <c r="P12" s="18">
        <v>2</v>
      </c>
      <c r="Q12">
        <v>2.3599999999999994</v>
      </c>
      <c r="R12">
        <f>COUNTIF(M3:M202,2)</f>
        <v>15</v>
      </c>
      <c r="S12" t="s">
        <v>22</v>
      </c>
      <c r="T12">
        <f t="shared" ref="T12:T22" si="1">ROUND(GETPIVOTDATA("czujnik10",$P$10,"miesiac",1)/R12,2)</f>
        <v>0.42</v>
      </c>
    </row>
    <row r="13" spans="1:20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  <c r="M13">
        <f t="shared" si="0"/>
        <v>2</v>
      </c>
      <c r="P13" s="18">
        <v>3</v>
      </c>
      <c r="Q13">
        <v>43.650000000000006</v>
      </c>
      <c r="R13">
        <f>COUNTIF(M4:M203,3)</f>
        <v>19</v>
      </c>
      <c r="S13" t="s">
        <v>23</v>
      </c>
      <c r="T13">
        <f t="shared" si="1"/>
        <v>0.33</v>
      </c>
    </row>
    <row r="14" spans="1:20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  <c r="M14">
        <f t="shared" si="0"/>
        <v>2</v>
      </c>
      <c r="P14" s="18">
        <v>4</v>
      </c>
      <c r="Q14">
        <v>166.95000000000002</v>
      </c>
      <c r="R14">
        <f>COUNTIF(M5:M204,4)</f>
        <v>13</v>
      </c>
      <c r="S14" t="s">
        <v>24</v>
      </c>
      <c r="T14">
        <f t="shared" si="1"/>
        <v>0.49</v>
      </c>
    </row>
    <row r="15" spans="1:20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  <c r="M15">
        <f t="shared" si="0"/>
        <v>2</v>
      </c>
      <c r="P15" s="18">
        <v>5</v>
      </c>
      <c r="Q15">
        <v>257.71999999999997</v>
      </c>
      <c r="R15">
        <f>COUNTIF(M6:M205,5)</f>
        <v>19</v>
      </c>
      <c r="S15" t="s">
        <v>25</v>
      </c>
      <c r="T15">
        <f t="shared" si="1"/>
        <v>0.33</v>
      </c>
    </row>
    <row r="16" spans="1:20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  <c r="M16">
        <f t="shared" si="0"/>
        <v>2</v>
      </c>
      <c r="P16" s="18">
        <v>6</v>
      </c>
      <c r="Q16">
        <v>349.01999999999992</v>
      </c>
      <c r="R16">
        <f>COUNTIF(M7:M206,6)</f>
        <v>24</v>
      </c>
      <c r="S16" t="s">
        <v>26</v>
      </c>
      <c r="T16">
        <f t="shared" si="1"/>
        <v>0.27</v>
      </c>
    </row>
    <row r="17" spans="1:20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  <c r="M17">
        <f t="shared" si="0"/>
        <v>2</v>
      </c>
      <c r="P17" s="18">
        <v>7</v>
      </c>
      <c r="Q17">
        <v>422.22999999999996</v>
      </c>
      <c r="R17">
        <f>COUNTIF(M8:M207,7)</f>
        <v>19</v>
      </c>
      <c r="S17" t="s">
        <v>27</v>
      </c>
      <c r="T17">
        <f t="shared" si="1"/>
        <v>0.33</v>
      </c>
    </row>
    <row r="18" spans="1:20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  <c r="M18">
        <f t="shared" si="0"/>
        <v>2</v>
      </c>
      <c r="P18" s="18">
        <v>8</v>
      </c>
      <c r="Q18">
        <v>533.49</v>
      </c>
      <c r="R18">
        <f>COUNTIF(M9:M208,8)</f>
        <v>24</v>
      </c>
      <c r="S18" t="s">
        <v>28</v>
      </c>
      <c r="T18">
        <f t="shared" si="1"/>
        <v>0.27</v>
      </c>
    </row>
    <row r="19" spans="1:20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  <c r="M19">
        <f t="shared" si="0"/>
        <v>2</v>
      </c>
      <c r="P19" s="18">
        <v>9</v>
      </c>
      <c r="Q19">
        <v>240.38</v>
      </c>
      <c r="R19">
        <f>COUNTIF(M10:M209,9)</f>
        <v>15</v>
      </c>
      <c r="S19" t="s">
        <v>29</v>
      </c>
      <c r="T19">
        <f t="shared" si="1"/>
        <v>0.42</v>
      </c>
    </row>
    <row r="20" spans="1:20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  <c r="M20">
        <f t="shared" si="0"/>
        <v>2</v>
      </c>
      <c r="P20" s="18">
        <v>10</v>
      </c>
      <c r="Q20">
        <v>285.61</v>
      </c>
      <c r="R20">
        <f>COUNTIF(M11:M210,10)</f>
        <v>19</v>
      </c>
      <c r="S20" t="s">
        <v>30</v>
      </c>
      <c r="T20">
        <f t="shared" si="1"/>
        <v>0.33</v>
      </c>
    </row>
    <row r="21" spans="1:20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  <c r="M21">
        <f t="shared" si="0"/>
        <v>2</v>
      </c>
      <c r="P21" s="18">
        <v>11</v>
      </c>
      <c r="Q21">
        <v>264.10000000000002</v>
      </c>
      <c r="R21">
        <f>COUNTIF(M12:M211,11)</f>
        <v>17</v>
      </c>
      <c r="S21" t="s">
        <v>31</v>
      </c>
      <c r="T21">
        <f t="shared" si="1"/>
        <v>0.37</v>
      </c>
    </row>
    <row r="22" spans="1:20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  <c r="M22">
        <f t="shared" si="0"/>
        <v>2</v>
      </c>
      <c r="P22" s="18">
        <v>12</v>
      </c>
      <c r="Q22">
        <v>5.8299999999999983</v>
      </c>
      <c r="R22">
        <f>COUNTIF(M13:M212,12)</f>
        <v>9</v>
      </c>
      <c r="S22" t="s">
        <v>32</v>
      </c>
      <c r="T22">
        <f t="shared" si="1"/>
        <v>0.71</v>
      </c>
    </row>
    <row r="23" spans="1:20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  <c r="M23">
        <f t="shared" si="0"/>
        <v>2</v>
      </c>
      <c r="P23" s="18" t="s">
        <v>17</v>
      </c>
      <c r="Q23">
        <v>2577.6999999999998</v>
      </c>
    </row>
    <row r="24" spans="1:20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  <c r="M24">
        <f t="shared" si="0"/>
        <v>3</v>
      </c>
    </row>
    <row r="25" spans="1:20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  <c r="M25">
        <f t="shared" si="0"/>
        <v>3</v>
      </c>
    </row>
    <row r="26" spans="1:20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  <c r="M26">
        <f t="shared" si="0"/>
        <v>3</v>
      </c>
    </row>
    <row r="27" spans="1:20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  <c r="M27">
        <f t="shared" si="0"/>
        <v>3</v>
      </c>
    </row>
    <row r="28" spans="1:20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  <c r="M28">
        <f t="shared" si="0"/>
        <v>3</v>
      </c>
    </row>
    <row r="29" spans="1:20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  <c r="M29">
        <f t="shared" si="0"/>
        <v>3</v>
      </c>
    </row>
    <row r="30" spans="1:20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  <c r="M30">
        <f t="shared" si="0"/>
        <v>3</v>
      </c>
    </row>
    <row r="31" spans="1:20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  <c r="M31">
        <f t="shared" si="0"/>
        <v>3</v>
      </c>
    </row>
    <row r="32" spans="1:20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  <c r="M32">
        <f t="shared" si="0"/>
        <v>3</v>
      </c>
    </row>
    <row r="33" spans="1:13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  <c r="M33">
        <f t="shared" si="0"/>
        <v>3</v>
      </c>
    </row>
    <row r="34" spans="1:13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  <c r="M34">
        <f t="shared" si="0"/>
        <v>3</v>
      </c>
    </row>
    <row r="35" spans="1:13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  <c r="M35">
        <f t="shared" si="0"/>
        <v>3</v>
      </c>
    </row>
    <row r="36" spans="1:13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  <c r="M36">
        <f t="shared" si="0"/>
        <v>3</v>
      </c>
    </row>
    <row r="37" spans="1:13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  <c r="M37">
        <f t="shared" si="0"/>
        <v>3</v>
      </c>
    </row>
    <row r="38" spans="1:13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  <c r="M38">
        <f t="shared" si="0"/>
        <v>3</v>
      </c>
    </row>
    <row r="39" spans="1:13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  <c r="M39">
        <f t="shared" si="0"/>
        <v>3</v>
      </c>
    </row>
    <row r="40" spans="1:13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  <c r="M40">
        <f t="shared" si="0"/>
        <v>3</v>
      </c>
    </row>
    <row r="41" spans="1:13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  <c r="M41">
        <f t="shared" si="0"/>
        <v>3</v>
      </c>
    </row>
    <row r="42" spans="1:13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  <c r="M42">
        <f t="shared" si="0"/>
        <v>3</v>
      </c>
    </row>
    <row r="43" spans="1:13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  <c r="M43">
        <f t="shared" si="0"/>
        <v>4</v>
      </c>
    </row>
    <row r="44" spans="1:13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  <c r="M44">
        <f t="shared" si="0"/>
        <v>4</v>
      </c>
    </row>
    <row r="45" spans="1:13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  <c r="M45">
        <f t="shared" si="0"/>
        <v>4</v>
      </c>
    </row>
    <row r="46" spans="1:13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  <c r="M46">
        <f t="shared" si="0"/>
        <v>4</v>
      </c>
    </row>
    <row r="47" spans="1:13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  <c r="M47">
        <f t="shared" si="0"/>
        <v>4</v>
      </c>
    </row>
    <row r="48" spans="1:13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  <c r="M48">
        <f t="shared" si="0"/>
        <v>4</v>
      </c>
    </row>
    <row r="49" spans="1:13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  <c r="M49">
        <f t="shared" si="0"/>
        <v>4</v>
      </c>
    </row>
    <row r="50" spans="1:13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  <c r="M50">
        <f t="shared" si="0"/>
        <v>4</v>
      </c>
    </row>
    <row r="51" spans="1:13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  <c r="M51">
        <f t="shared" si="0"/>
        <v>4</v>
      </c>
    </row>
    <row r="52" spans="1:13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  <c r="M52">
        <f t="shared" si="0"/>
        <v>4</v>
      </c>
    </row>
    <row r="53" spans="1:13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  <c r="M53">
        <f t="shared" si="0"/>
        <v>4</v>
      </c>
    </row>
    <row r="54" spans="1:13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  <c r="M54">
        <f t="shared" si="0"/>
        <v>4</v>
      </c>
    </row>
    <row r="55" spans="1:13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  <c r="M55">
        <f t="shared" si="0"/>
        <v>4</v>
      </c>
    </row>
    <row r="56" spans="1:13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  <c r="M56">
        <f t="shared" si="0"/>
        <v>5</v>
      </c>
    </row>
    <row r="57" spans="1:13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  <c r="M57">
        <f t="shared" si="0"/>
        <v>5</v>
      </c>
    </row>
    <row r="58" spans="1:13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  <c r="M58">
        <f t="shared" si="0"/>
        <v>5</v>
      </c>
    </row>
    <row r="59" spans="1:13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  <c r="M59">
        <f t="shared" si="0"/>
        <v>5</v>
      </c>
    </row>
    <row r="60" spans="1:13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  <c r="M60">
        <f t="shared" si="0"/>
        <v>5</v>
      </c>
    </row>
    <row r="61" spans="1:13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  <c r="M61">
        <f t="shared" si="0"/>
        <v>5</v>
      </c>
    </row>
    <row r="62" spans="1:13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  <c r="M62">
        <f t="shared" si="0"/>
        <v>5</v>
      </c>
    </row>
    <row r="63" spans="1:13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  <c r="M63">
        <f t="shared" si="0"/>
        <v>5</v>
      </c>
    </row>
    <row r="64" spans="1:13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  <c r="M64">
        <f t="shared" si="0"/>
        <v>5</v>
      </c>
    </row>
    <row r="65" spans="1:13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  <c r="M65">
        <f t="shared" si="0"/>
        <v>5</v>
      </c>
    </row>
    <row r="66" spans="1:13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  <c r="M66">
        <f t="shared" si="0"/>
        <v>5</v>
      </c>
    </row>
    <row r="67" spans="1:13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  <c r="M67">
        <f t="shared" ref="M67:M130" si="2">MONTH(A67)</f>
        <v>5</v>
      </c>
    </row>
    <row r="68" spans="1:13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  <c r="M68">
        <f t="shared" si="2"/>
        <v>5</v>
      </c>
    </row>
    <row r="69" spans="1:13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  <c r="M69">
        <f t="shared" si="2"/>
        <v>5</v>
      </c>
    </row>
    <row r="70" spans="1:13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  <c r="M70">
        <f t="shared" si="2"/>
        <v>5</v>
      </c>
    </row>
    <row r="71" spans="1:13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  <c r="M71">
        <f t="shared" si="2"/>
        <v>5</v>
      </c>
    </row>
    <row r="72" spans="1:13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  <c r="M72">
        <f t="shared" si="2"/>
        <v>5</v>
      </c>
    </row>
    <row r="73" spans="1:13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  <c r="M73">
        <f t="shared" si="2"/>
        <v>5</v>
      </c>
    </row>
    <row r="74" spans="1:13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  <c r="M74">
        <f t="shared" si="2"/>
        <v>5</v>
      </c>
    </row>
    <row r="75" spans="1:13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  <c r="M75">
        <f t="shared" si="2"/>
        <v>6</v>
      </c>
    </row>
    <row r="76" spans="1:13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  <c r="M76">
        <f t="shared" si="2"/>
        <v>6</v>
      </c>
    </row>
    <row r="77" spans="1:13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  <c r="M77">
        <f t="shared" si="2"/>
        <v>6</v>
      </c>
    </row>
    <row r="78" spans="1:13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  <c r="M78">
        <f t="shared" si="2"/>
        <v>6</v>
      </c>
    </row>
    <row r="79" spans="1:13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  <c r="M79">
        <f t="shared" si="2"/>
        <v>6</v>
      </c>
    </row>
    <row r="80" spans="1:13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  <c r="M80">
        <f t="shared" si="2"/>
        <v>6</v>
      </c>
    </row>
    <row r="81" spans="1:13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  <c r="M81">
        <f t="shared" si="2"/>
        <v>6</v>
      </c>
    </row>
    <row r="82" spans="1:13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  <c r="M82">
        <f t="shared" si="2"/>
        <v>6</v>
      </c>
    </row>
    <row r="83" spans="1:13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  <c r="M83">
        <f t="shared" si="2"/>
        <v>6</v>
      </c>
    </row>
    <row r="84" spans="1:13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  <c r="M84">
        <f t="shared" si="2"/>
        <v>6</v>
      </c>
    </row>
    <row r="85" spans="1:13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  <c r="M85">
        <f t="shared" si="2"/>
        <v>6</v>
      </c>
    </row>
    <row r="86" spans="1:13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  <c r="M86">
        <f t="shared" si="2"/>
        <v>6</v>
      </c>
    </row>
    <row r="87" spans="1:13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  <c r="M87">
        <f t="shared" si="2"/>
        <v>6</v>
      </c>
    </row>
    <row r="88" spans="1:13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  <c r="M88">
        <f t="shared" si="2"/>
        <v>6</v>
      </c>
    </row>
    <row r="89" spans="1:13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  <c r="M89">
        <f t="shared" si="2"/>
        <v>6</v>
      </c>
    </row>
    <row r="90" spans="1:13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  <c r="M90">
        <f t="shared" si="2"/>
        <v>6</v>
      </c>
    </row>
    <row r="91" spans="1:13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  <c r="M91">
        <f t="shared" si="2"/>
        <v>6</v>
      </c>
    </row>
    <row r="92" spans="1:13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  <c r="M92">
        <f t="shared" si="2"/>
        <v>6</v>
      </c>
    </row>
    <row r="93" spans="1:13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  <c r="M93">
        <f t="shared" si="2"/>
        <v>6</v>
      </c>
    </row>
    <row r="94" spans="1:13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  <c r="M94">
        <f t="shared" si="2"/>
        <v>6</v>
      </c>
    </row>
    <row r="95" spans="1:13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  <c r="M95">
        <f t="shared" si="2"/>
        <v>6</v>
      </c>
    </row>
    <row r="96" spans="1:13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  <c r="M96">
        <f t="shared" si="2"/>
        <v>6</v>
      </c>
    </row>
    <row r="97" spans="1:13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  <c r="M97">
        <f t="shared" si="2"/>
        <v>6</v>
      </c>
    </row>
    <row r="98" spans="1:13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  <c r="M98">
        <f t="shared" si="2"/>
        <v>6</v>
      </c>
    </row>
    <row r="99" spans="1:13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  <c r="M99">
        <f t="shared" si="2"/>
        <v>7</v>
      </c>
    </row>
    <row r="100" spans="1:13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  <c r="M100">
        <f t="shared" si="2"/>
        <v>7</v>
      </c>
    </row>
    <row r="101" spans="1:13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  <c r="M101">
        <f t="shared" si="2"/>
        <v>7</v>
      </c>
    </row>
    <row r="102" spans="1:13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  <c r="M102">
        <f t="shared" si="2"/>
        <v>7</v>
      </c>
    </row>
    <row r="103" spans="1:13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  <c r="M103">
        <f t="shared" si="2"/>
        <v>7</v>
      </c>
    </row>
    <row r="104" spans="1:13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  <c r="M104">
        <f t="shared" si="2"/>
        <v>7</v>
      </c>
    </row>
    <row r="105" spans="1:13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  <c r="M105">
        <f t="shared" si="2"/>
        <v>7</v>
      </c>
    </row>
    <row r="106" spans="1:13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  <c r="M106">
        <f t="shared" si="2"/>
        <v>7</v>
      </c>
    </row>
    <row r="107" spans="1:13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  <c r="M107">
        <f t="shared" si="2"/>
        <v>7</v>
      </c>
    </row>
    <row r="108" spans="1:13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  <c r="M108">
        <f t="shared" si="2"/>
        <v>7</v>
      </c>
    </row>
    <row r="109" spans="1:13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  <c r="M109">
        <f t="shared" si="2"/>
        <v>7</v>
      </c>
    </row>
    <row r="110" spans="1:13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  <c r="M110">
        <f t="shared" si="2"/>
        <v>7</v>
      </c>
    </row>
    <row r="111" spans="1:13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  <c r="M111">
        <f t="shared" si="2"/>
        <v>7</v>
      </c>
    </row>
    <row r="112" spans="1:13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  <c r="M112">
        <f t="shared" si="2"/>
        <v>7</v>
      </c>
    </row>
    <row r="113" spans="1:13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  <c r="M113">
        <f t="shared" si="2"/>
        <v>7</v>
      </c>
    </row>
    <row r="114" spans="1:13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  <c r="M114">
        <f t="shared" si="2"/>
        <v>7</v>
      </c>
    </row>
    <row r="115" spans="1:13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  <c r="M115">
        <f t="shared" si="2"/>
        <v>7</v>
      </c>
    </row>
    <row r="116" spans="1:13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  <c r="M116">
        <f t="shared" si="2"/>
        <v>7</v>
      </c>
    </row>
    <row r="117" spans="1:13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  <c r="M117">
        <f t="shared" si="2"/>
        <v>7</v>
      </c>
    </row>
    <row r="118" spans="1:13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  <c r="M118">
        <f t="shared" si="2"/>
        <v>8</v>
      </c>
    </row>
    <row r="119" spans="1:13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  <c r="M119">
        <f t="shared" si="2"/>
        <v>8</v>
      </c>
    </row>
    <row r="120" spans="1:13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  <c r="M120">
        <f t="shared" si="2"/>
        <v>8</v>
      </c>
    </row>
    <row r="121" spans="1:13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  <c r="M121">
        <f t="shared" si="2"/>
        <v>8</v>
      </c>
    </row>
    <row r="122" spans="1:13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  <c r="M122">
        <f t="shared" si="2"/>
        <v>8</v>
      </c>
    </row>
    <row r="123" spans="1:13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  <c r="M123">
        <f t="shared" si="2"/>
        <v>8</v>
      </c>
    </row>
    <row r="124" spans="1:13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  <c r="M124">
        <f t="shared" si="2"/>
        <v>8</v>
      </c>
    </row>
    <row r="125" spans="1:13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  <c r="M125">
        <f t="shared" si="2"/>
        <v>8</v>
      </c>
    </row>
    <row r="126" spans="1:13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  <c r="M126">
        <f t="shared" si="2"/>
        <v>8</v>
      </c>
    </row>
    <row r="127" spans="1:13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  <c r="M127">
        <f t="shared" si="2"/>
        <v>8</v>
      </c>
    </row>
    <row r="128" spans="1:13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  <c r="M128">
        <f t="shared" si="2"/>
        <v>8</v>
      </c>
    </row>
    <row r="129" spans="1:13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  <c r="M129">
        <f t="shared" si="2"/>
        <v>8</v>
      </c>
    </row>
    <row r="130" spans="1:13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  <c r="M130">
        <f t="shared" si="2"/>
        <v>8</v>
      </c>
    </row>
    <row r="131" spans="1:13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  <c r="M131">
        <f t="shared" ref="M131:M194" si="3">MONTH(A131)</f>
        <v>8</v>
      </c>
    </row>
    <row r="132" spans="1:13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  <c r="M132">
        <f t="shared" si="3"/>
        <v>8</v>
      </c>
    </row>
    <row r="133" spans="1:13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  <c r="M133">
        <f t="shared" si="3"/>
        <v>8</v>
      </c>
    </row>
    <row r="134" spans="1:13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  <c r="M134">
        <f t="shared" si="3"/>
        <v>8</v>
      </c>
    </row>
    <row r="135" spans="1:13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  <c r="M135">
        <f t="shared" si="3"/>
        <v>8</v>
      </c>
    </row>
    <row r="136" spans="1:13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  <c r="M136">
        <f t="shared" si="3"/>
        <v>8</v>
      </c>
    </row>
    <row r="137" spans="1:13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  <c r="M137">
        <f t="shared" si="3"/>
        <v>8</v>
      </c>
    </row>
    <row r="138" spans="1:13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  <c r="M138">
        <f t="shared" si="3"/>
        <v>8</v>
      </c>
    </row>
    <row r="139" spans="1:13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  <c r="M139">
        <f t="shared" si="3"/>
        <v>8</v>
      </c>
    </row>
    <row r="140" spans="1:13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  <c r="M140">
        <f t="shared" si="3"/>
        <v>8</v>
      </c>
    </row>
    <row r="141" spans="1:13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  <c r="M141">
        <f t="shared" si="3"/>
        <v>8</v>
      </c>
    </row>
    <row r="142" spans="1:13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  <c r="M142">
        <f t="shared" si="3"/>
        <v>9</v>
      </c>
    </row>
    <row r="143" spans="1:13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  <c r="M143">
        <f t="shared" si="3"/>
        <v>9</v>
      </c>
    </row>
    <row r="144" spans="1:13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  <c r="M144">
        <f t="shared" si="3"/>
        <v>9</v>
      </c>
    </row>
    <row r="145" spans="1:13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  <c r="M145">
        <f t="shared" si="3"/>
        <v>9</v>
      </c>
    </row>
    <row r="146" spans="1:13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  <c r="M146">
        <f t="shared" si="3"/>
        <v>9</v>
      </c>
    </row>
    <row r="147" spans="1:13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  <c r="M147">
        <f t="shared" si="3"/>
        <v>9</v>
      </c>
    </row>
    <row r="148" spans="1:13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  <c r="M148">
        <f t="shared" si="3"/>
        <v>9</v>
      </c>
    </row>
    <row r="149" spans="1:13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  <c r="M149">
        <f t="shared" si="3"/>
        <v>9</v>
      </c>
    </row>
    <row r="150" spans="1:13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  <c r="M150">
        <f t="shared" si="3"/>
        <v>9</v>
      </c>
    </row>
    <row r="151" spans="1:13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  <c r="M151">
        <f t="shared" si="3"/>
        <v>9</v>
      </c>
    </row>
    <row r="152" spans="1:13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  <c r="M152">
        <f t="shared" si="3"/>
        <v>9</v>
      </c>
    </row>
    <row r="153" spans="1:13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  <c r="M153">
        <f t="shared" si="3"/>
        <v>9</v>
      </c>
    </row>
    <row r="154" spans="1:13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  <c r="M154">
        <f t="shared" si="3"/>
        <v>9</v>
      </c>
    </row>
    <row r="155" spans="1:13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  <c r="M155">
        <f t="shared" si="3"/>
        <v>9</v>
      </c>
    </row>
    <row r="156" spans="1:13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  <c r="M156">
        <f t="shared" si="3"/>
        <v>9</v>
      </c>
    </row>
    <row r="157" spans="1:13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  <c r="M157">
        <f t="shared" si="3"/>
        <v>10</v>
      </c>
    </row>
    <row r="158" spans="1:13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  <c r="M158">
        <f t="shared" si="3"/>
        <v>10</v>
      </c>
    </row>
    <row r="159" spans="1:13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  <c r="M159">
        <f t="shared" si="3"/>
        <v>10</v>
      </c>
    </row>
    <row r="160" spans="1:13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  <c r="M160">
        <f t="shared" si="3"/>
        <v>10</v>
      </c>
    </row>
    <row r="161" spans="1:13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  <c r="M161">
        <f t="shared" si="3"/>
        <v>10</v>
      </c>
    </row>
    <row r="162" spans="1:13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  <c r="M162">
        <f t="shared" si="3"/>
        <v>10</v>
      </c>
    </row>
    <row r="163" spans="1:13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  <c r="M163">
        <f t="shared" si="3"/>
        <v>10</v>
      </c>
    </row>
    <row r="164" spans="1:13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  <c r="M164">
        <f t="shared" si="3"/>
        <v>10</v>
      </c>
    </row>
    <row r="165" spans="1:13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  <c r="M165">
        <f t="shared" si="3"/>
        <v>10</v>
      </c>
    </row>
    <row r="166" spans="1:13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  <c r="M166">
        <f t="shared" si="3"/>
        <v>10</v>
      </c>
    </row>
    <row r="167" spans="1:13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  <c r="M167">
        <f t="shared" si="3"/>
        <v>10</v>
      </c>
    </row>
    <row r="168" spans="1:13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  <c r="M168">
        <f t="shared" si="3"/>
        <v>10</v>
      </c>
    </row>
    <row r="169" spans="1:13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  <c r="M169">
        <f t="shared" si="3"/>
        <v>10</v>
      </c>
    </row>
    <row r="170" spans="1:13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  <c r="M170">
        <f t="shared" si="3"/>
        <v>10</v>
      </c>
    </row>
    <row r="171" spans="1:13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  <c r="M171">
        <f t="shared" si="3"/>
        <v>10</v>
      </c>
    </row>
    <row r="172" spans="1:13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  <c r="M172">
        <f t="shared" si="3"/>
        <v>10</v>
      </c>
    </row>
    <row r="173" spans="1:13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  <c r="M173">
        <f t="shared" si="3"/>
        <v>10</v>
      </c>
    </row>
    <row r="174" spans="1:13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  <c r="M174">
        <f t="shared" si="3"/>
        <v>10</v>
      </c>
    </row>
    <row r="175" spans="1:13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  <c r="M175">
        <f t="shared" si="3"/>
        <v>10</v>
      </c>
    </row>
    <row r="176" spans="1:13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  <c r="M176">
        <f t="shared" si="3"/>
        <v>11</v>
      </c>
    </row>
    <row r="177" spans="1:13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  <c r="M177">
        <f t="shared" si="3"/>
        <v>11</v>
      </c>
    </row>
    <row r="178" spans="1:13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  <c r="M178">
        <f t="shared" si="3"/>
        <v>11</v>
      </c>
    </row>
    <row r="179" spans="1:13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  <c r="M179">
        <f t="shared" si="3"/>
        <v>11</v>
      </c>
    </row>
    <row r="180" spans="1:13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  <c r="M180">
        <f t="shared" si="3"/>
        <v>11</v>
      </c>
    </row>
    <row r="181" spans="1:13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  <c r="M181">
        <f t="shared" si="3"/>
        <v>11</v>
      </c>
    </row>
    <row r="182" spans="1:13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  <c r="M182">
        <f t="shared" si="3"/>
        <v>11</v>
      </c>
    </row>
    <row r="183" spans="1:13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  <c r="M183">
        <f t="shared" si="3"/>
        <v>11</v>
      </c>
    </row>
    <row r="184" spans="1:13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  <c r="M184">
        <f t="shared" si="3"/>
        <v>11</v>
      </c>
    </row>
    <row r="185" spans="1:13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  <c r="M185">
        <f t="shared" si="3"/>
        <v>11</v>
      </c>
    </row>
    <row r="186" spans="1:13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  <c r="M186">
        <f t="shared" si="3"/>
        <v>11</v>
      </c>
    </row>
    <row r="187" spans="1:13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  <c r="M187">
        <f t="shared" si="3"/>
        <v>11</v>
      </c>
    </row>
    <row r="188" spans="1:13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  <c r="M188">
        <f t="shared" si="3"/>
        <v>11</v>
      </c>
    </row>
    <row r="189" spans="1:13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  <c r="M189">
        <f t="shared" si="3"/>
        <v>11</v>
      </c>
    </row>
    <row r="190" spans="1:13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  <c r="M190">
        <f t="shared" si="3"/>
        <v>11</v>
      </c>
    </row>
    <row r="191" spans="1:13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  <c r="M191">
        <f t="shared" si="3"/>
        <v>11</v>
      </c>
    </row>
    <row r="192" spans="1:13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  <c r="M192">
        <f t="shared" si="3"/>
        <v>11</v>
      </c>
    </row>
    <row r="193" spans="1:13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  <c r="M193">
        <f t="shared" si="3"/>
        <v>12</v>
      </c>
    </row>
    <row r="194" spans="1:13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  <c r="M194">
        <f t="shared" si="3"/>
        <v>12</v>
      </c>
    </row>
    <row r="195" spans="1:13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  <c r="M195">
        <f t="shared" ref="M195:M201" si="4">MONTH(A195)</f>
        <v>12</v>
      </c>
    </row>
    <row r="196" spans="1:13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  <c r="M196">
        <f t="shared" si="4"/>
        <v>12</v>
      </c>
    </row>
    <row r="197" spans="1:13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  <c r="M197">
        <f t="shared" si="4"/>
        <v>12</v>
      </c>
    </row>
    <row r="198" spans="1:13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  <c r="M198">
        <f t="shared" si="4"/>
        <v>12</v>
      </c>
    </row>
    <row r="199" spans="1:13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  <c r="M199">
        <f t="shared" si="4"/>
        <v>12</v>
      </c>
    </row>
    <row r="200" spans="1:13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  <c r="M200">
        <f t="shared" si="4"/>
        <v>12</v>
      </c>
    </row>
    <row r="201" spans="1:13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  <c r="M201">
        <f t="shared" si="4"/>
        <v>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2612-A28A-4CBA-9925-4B4D56DC0DFE}">
  <dimension ref="A1:AJ201"/>
  <sheetViews>
    <sheetView topLeftCell="L1" zoomScale="69" workbookViewId="0">
      <selection activeCell="AI4" sqref="AI4"/>
    </sheetView>
  </sheetViews>
  <sheetFormatPr defaultRowHeight="14.5" x14ac:dyDescent="0.35"/>
  <cols>
    <col min="1" max="1" width="9.90625" bestFit="1" customWidth="1"/>
    <col min="2" max="2" width="9.54296875" bestFit="1" customWidth="1"/>
    <col min="3" max="11" width="9.90625" bestFit="1" customWidth="1"/>
    <col min="12" max="12" width="10.90625" bestFit="1" customWidth="1"/>
    <col min="35" max="35" width="20.1796875" bestFit="1" customWidth="1"/>
    <col min="36" max="36" width="19.54296875" bestFit="1" customWidth="1"/>
  </cols>
  <sheetData>
    <row r="1" spans="1:3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 t="s">
        <v>10</v>
      </c>
      <c r="V1" s="5" t="s">
        <v>11</v>
      </c>
      <c r="W1" s="4" t="s">
        <v>2</v>
      </c>
      <c r="X1" s="4" t="s">
        <v>3</v>
      </c>
      <c r="Y1" s="4" t="s">
        <v>4</v>
      </c>
      <c r="Z1" s="4" t="s">
        <v>5</v>
      </c>
      <c r="AA1" s="4" t="s">
        <v>6</v>
      </c>
      <c r="AB1" s="4" t="s">
        <v>7</v>
      </c>
      <c r="AC1" s="4" t="s">
        <v>8</v>
      </c>
      <c r="AD1" s="4" t="s">
        <v>9</v>
      </c>
      <c r="AE1" s="4" t="s">
        <v>10</v>
      </c>
      <c r="AF1" s="5" t="s">
        <v>11</v>
      </c>
    </row>
    <row r="2" spans="1:36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  <c r="M2">
        <f>IF(AND(C2&gt;-10,C2&lt;=15),1,0)</f>
        <v>1</v>
      </c>
      <c r="N2">
        <f t="shared" ref="N2:V2" si="0">IF(AND(D2&gt;-10,D2&lt;=15),1,0)</f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>IF(AND(C2&gt;15,C2&lt;=20),1,0)</f>
        <v>0</v>
      </c>
      <c r="X2">
        <f t="shared" ref="X2:AF2" si="1">IF(AND(D2&gt;15,D2&lt;=20),1,0)</f>
        <v>0</v>
      </c>
      <c r="Y2">
        <f t="shared" si="1"/>
        <v>0</v>
      </c>
      <c r="Z2">
        <f t="shared" si="1"/>
        <v>0</v>
      </c>
      <c r="AA2">
        <f t="shared" si="1"/>
        <v>0</v>
      </c>
      <c r="AB2">
        <f t="shared" si="1"/>
        <v>0</v>
      </c>
      <c r="AC2">
        <f t="shared" si="1"/>
        <v>0</v>
      </c>
      <c r="AD2">
        <f t="shared" si="1"/>
        <v>0</v>
      </c>
      <c r="AE2">
        <f t="shared" si="1"/>
        <v>0</v>
      </c>
      <c r="AF2">
        <f t="shared" si="1"/>
        <v>0</v>
      </c>
    </row>
    <row r="3" spans="1:36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  <c r="M3">
        <f t="shared" ref="M3:M66" si="2">IF(AND(C3&gt;-10,C3&lt;=15),1,0)</f>
        <v>1</v>
      </c>
      <c r="N3">
        <f t="shared" ref="N3:N66" si="3">IF(AND(D3&gt;-10,D3&lt;=15),1,0)</f>
        <v>1</v>
      </c>
      <c r="O3">
        <f t="shared" ref="O3:O66" si="4">IF(AND(E3&gt;-10,E3&lt;=15),1,0)</f>
        <v>1</v>
      </c>
      <c r="P3">
        <f t="shared" ref="P3:P66" si="5">IF(AND(F3&gt;-10,F3&lt;=15),1,0)</f>
        <v>1</v>
      </c>
      <c r="Q3">
        <f t="shared" ref="Q3:Q66" si="6">IF(AND(G3&gt;-10,G3&lt;=15),1,0)</f>
        <v>1</v>
      </c>
      <c r="R3">
        <f t="shared" ref="R3:R66" si="7">IF(AND(H3&gt;-10,H3&lt;=15),1,0)</f>
        <v>1</v>
      </c>
      <c r="S3">
        <f t="shared" ref="S3:S66" si="8">IF(AND(I3&gt;-10,I3&lt;=15),1,0)</f>
        <v>1</v>
      </c>
      <c r="T3">
        <f t="shared" ref="T3:T66" si="9">IF(AND(J3&gt;-10,J3&lt;=15),1,0)</f>
        <v>1</v>
      </c>
      <c r="U3">
        <f t="shared" ref="U3:U66" si="10">IF(AND(K3&gt;-10,K3&lt;=15),1,0)</f>
        <v>1</v>
      </c>
      <c r="V3">
        <f t="shared" ref="V3:V66" si="11">IF(AND(L3&gt;-10,L3&lt;=15),1,0)</f>
        <v>1</v>
      </c>
      <c r="W3">
        <f t="shared" ref="W3:W66" si="12">IF(AND(C3&gt;15,C3&lt;=20),1,0)</f>
        <v>0</v>
      </c>
      <c r="X3">
        <f t="shared" ref="X3:X66" si="13">IF(AND(D3&gt;15,D3&lt;=20),1,0)</f>
        <v>0</v>
      </c>
      <c r="Y3">
        <f t="shared" ref="Y3:Y66" si="14">IF(AND(E3&gt;15,E3&lt;=20),1,0)</f>
        <v>0</v>
      </c>
      <c r="Z3">
        <f t="shared" ref="Z3:Z66" si="15">IF(AND(F3&gt;15,F3&lt;=20),1,0)</f>
        <v>0</v>
      </c>
      <c r="AA3">
        <f t="shared" ref="AA3:AA66" si="16">IF(AND(G3&gt;15,G3&lt;=20),1,0)</f>
        <v>0</v>
      </c>
      <c r="AB3">
        <f t="shared" ref="AB3:AB66" si="17">IF(AND(H3&gt;15,H3&lt;=20),1,0)</f>
        <v>0</v>
      </c>
      <c r="AC3">
        <f t="shared" ref="AC3:AC66" si="18">IF(AND(I3&gt;15,I3&lt;=20),1,0)</f>
        <v>0</v>
      </c>
      <c r="AD3">
        <f t="shared" ref="AD3:AD66" si="19">IF(AND(J3&gt;15,J3&lt;=20),1,0)</f>
        <v>0</v>
      </c>
      <c r="AE3">
        <f t="shared" ref="AE3:AE66" si="20">IF(AND(K3&gt;15,K3&lt;=20),1,0)</f>
        <v>0</v>
      </c>
      <c r="AF3">
        <f t="shared" ref="AF3:AF66" si="21">IF(AND(L3&gt;15,L3&lt;=20),1,0)</f>
        <v>0</v>
      </c>
      <c r="AI3" t="s">
        <v>33</v>
      </c>
      <c r="AJ3" t="s">
        <v>34</v>
      </c>
    </row>
    <row r="4" spans="1:36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  <c r="M4">
        <f t="shared" si="2"/>
        <v>1</v>
      </c>
      <c r="N4">
        <f t="shared" si="3"/>
        <v>1</v>
      </c>
      <c r="O4">
        <f t="shared" si="4"/>
        <v>1</v>
      </c>
      <c r="P4">
        <f t="shared" si="5"/>
        <v>1</v>
      </c>
      <c r="Q4">
        <f t="shared" si="6"/>
        <v>1</v>
      </c>
      <c r="R4">
        <f t="shared" si="7"/>
        <v>1</v>
      </c>
      <c r="S4">
        <f t="shared" si="8"/>
        <v>1</v>
      </c>
      <c r="T4">
        <f t="shared" si="9"/>
        <v>1</v>
      </c>
      <c r="U4">
        <f t="shared" si="10"/>
        <v>1</v>
      </c>
      <c r="V4">
        <f t="shared" si="11"/>
        <v>1</v>
      </c>
      <c r="W4">
        <f t="shared" si="12"/>
        <v>0</v>
      </c>
      <c r="X4">
        <f t="shared" si="13"/>
        <v>0</v>
      </c>
      <c r="Y4">
        <f t="shared" si="14"/>
        <v>0</v>
      </c>
      <c r="Z4">
        <f t="shared" si="15"/>
        <v>0</v>
      </c>
      <c r="AA4">
        <f t="shared" si="16"/>
        <v>0</v>
      </c>
      <c r="AB4">
        <f t="shared" si="17"/>
        <v>0</v>
      </c>
      <c r="AC4">
        <f t="shared" si="18"/>
        <v>0</v>
      </c>
      <c r="AD4">
        <f t="shared" si="19"/>
        <v>0</v>
      </c>
      <c r="AE4">
        <f t="shared" si="20"/>
        <v>0</v>
      </c>
      <c r="AF4">
        <f t="shared" si="21"/>
        <v>0</v>
      </c>
      <c r="AI4">
        <f>SUM(M2:V201)</f>
        <v>1150</v>
      </c>
      <c r="AJ4">
        <f>SUM(W2:AF201)</f>
        <v>421</v>
      </c>
    </row>
    <row r="5" spans="1:36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  <c r="M5">
        <f t="shared" si="2"/>
        <v>1</v>
      </c>
      <c r="N5">
        <f t="shared" si="3"/>
        <v>1</v>
      </c>
      <c r="O5">
        <f t="shared" si="4"/>
        <v>1</v>
      </c>
      <c r="P5">
        <f t="shared" si="5"/>
        <v>1</v>
      </c>
      <c r="Q5">
        <f t="shared" si="6"/>
        <v>1</v>
      </c>
      <c r="R5">
        <f t="shared" si="7"/>
        <v>1</v>
      </c>
      <c r="S5">
        <f t="shared" si="8"/>
        <v>1</v>
      </c>
      <c r="T5">
        <f t="shared" si="9"/>
        <v>1</v>
      </c>
      <c r="U5">
        <f t="shared" si="10"/>
        <v>1</v>
      </c>
      <c r="V5">
        <f t="shared" si="11"/>
        <v>1</v>
      </c>
      <c r="W5">
        <f t="shared" si="12"/>
        <v>0</v>
      </c>
      <c r="X5">
        <f t="shared" si="13"/>
        <v>0</v>
      </c>
      <c r="Y5">
        <f t="shared" si="14"/>
        <v>0</v>
      </c>
      <c r="Z5">
        <f t="shared" si="15"/>
        <v>0</v>
      </c>
      <c r="AA5">
        <f t="shared" si="16"/>
        <v>0</v>
      </c>
      <c r="AB5">
        <f t="shared" si="17"/>
        <v>0</v>
      </c>
      <c r="AC5">
        <f t="shared" si="18"/>
        <v>0</v>
      </c>
      <c r="AD5">
        <f t="shared" si="19"/>
        <v>0</v>
      </c>
      <c r="AE5">
        <f t="shared" si="20"/>
        <v>0</v>
      </c>
      <c r="AF5">
        <f t="shared" si="21"/>
        <v>0</v>
      </c>
    </row>
    <row r="6" spans="1:36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  <c r="M6">
        <f t="shared" si="2"/>
        <v>1</v>
      </c>
      <c r="N6">
        <f t="shared" si="3"/>
        <v>1</v>
      </c>
      <c r="O6">
        <f t="shared" si="4"/>
        <v>1</v>
      </c>
      <c r="P6">
        <f t="shared" si="5"/>
        <v>1</v>
      </c>
      <c r="Q6">
        <f t="shared" si="6"/>
        <v>1</v>
      </c>
      <c r="R6">
        <f t="shared" si="7"/>
        <v>1</v>
      </c>
      <c r="S6">
        <f t="shared" si="8"/>
        <v>1</v>
      </c>
      <c r="T6">
        <f t="shared" si="9"/>
        <v>1</v>
      </c>
      <c r="U6">
        <f t="shared" si="10"/>
        <v>1</v>
      </c>
      <c r="V6">
        <f t="shared" si="11"/>
        <v>1</v>
      </c>
      <c r="W6">
        <f t="shared" si="12"/>
        <v>0</v>
      </c>
      <c r="X6">
        <f t="shared" si="13"/>
        <v>0</v>
      </c>
      <c r="Y6">
        <f t="shared" si="14"/>
        <v>0</v>
      </c>
      <c r="Z6">
        <f t="shared" si="15"/>
        <v>0</v>
      </c>
      <c r="AA6">
        <f t="shared" si="16"/>
        <v>0</v>
      </c>
      <c r="AB6">
        <f t="shared" si="17"/>
        <v>0</v>
      </c>
      <c r="AC6">
        <f t="shared" si="18"/>
        <v>0</v>
      </c>
      <c r="AD6">
        <f t="shared" si="19"/>
        <v>0</v>
      </c>
      <c r="AE6">
        <f t="shared" si="20"/>
        <v>0</v>
      </c>
      <c r="AF6">
        <f t="shared" si="21"/>
        <v>0</v>
      </c>
    </row>
    <row r="7" spans="1:36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  <c r="M7">
        <f t="shared" si="2"/>
        <v>1</v>
      </c>
      <c r="N7">
        <f t="shared" si="3"/>
        <v>1</v>
      </c>
      <c r="O7">
        <f t="shared" si="4"/>
        <v>1</v>
      </c>
      <c r="P7">
        <f t="shared" si="5"/>
        <v>1</v>
      </c>
      <c r="Q7">
        <f t="shared" si="6"/>
        <v>1</v>
      </c>
      <c r="R7">
        <f t="shared" si="7"/>
        <v>1</v>
      </c>
      <c r="S7">
        <f t="shared" si="8"/>
        <v>1</v>
      </c>
      <c r="T7">
        <f t="shared" si="9"/>
        <v>1</v>
      </c>
      <c r="U7">
        <f t="shared" si="10"/>
        <v>1</v>
      </c>
      <c r="V7">
        <f t="shared" si="11"/>
        <v>1</v>
      </c>
      <c r="W7">
        <f t="shared" si="12"/>
        <v>0</v>
      </c>
      <c r="X7">
        <f t="shared" si="13"/>
        <v>0</v>
      </c>
      <c r="Y7">
        <f t="shared" si="14"/>
        <v>0</v>
      </c>
      <c r="Z7">
        <f t="shared" si="15"/>
        <v>0</v>
      </c>
      <c r="AA7">
        <f t="shared" si="16"/>
        <v>0</v>
      </c>
      <c r="AB7">
        <f t="shared" si="17"/>
        <v>0</v>
      </c>
      <c r="AC7">
        <f t="shared" si="18"/>
        <v>0</v>
      </c>
      <c r="AD7">
        <f t="shared" si="19"/>
        <v>0</v>
      </c>
      <c r="AE7">
        <f t="shared" si="20"/>
        <v>0</v>
      </c>
      <c r="AF7">
        <f t="shared" si="21"/>
        <v>0</v>
      </c>
    </row>
    <row r="8" spans="1:36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  <c r="M8">
        <f t="shared" si="2"/>
        <v>1</v>
      </c>
      <c r="N8">
        <f t="shared" si="3"/>
        <v>1</v>
      </c>
      <c r="O8">
        <f t="shared" si="4"/>
        <v>1</v>
      </c>
      <c r="P8">
        <f t="shared" si="5"/>
        <v>1</v>
      </c>
      <c r="Q8">
        <f t="shared" si="6"/>
        <v>1</v>
      </c>
      <c r="R8">
        <f t="shared" si="7"/>
        <v>1</v>
      </c>
      <c r="S8">
        <f t="shared" si="8"/>
        <v>1</v>
      </c>
      <c r="T8">
        <f t="shared" si="9"/>
        <v>1</v>
      </c>
      <c r="U8">
        <f t="shared" si="10"/>
        <v>1</v>
      </c>
      <c r="V8">
        <f t="shared" si="11"/>
        <v>1</v>
      </c>
      <c r="W8">
        <f t="shared" si="12"/>
        <v>0</v>
      </c>
      <c r="X8">
        <f t="shared" si="13"/>
        <v>0</v>
      </c>
      <c r="Y8">
        <f t="shared" si="14"/>
        <v>0</v>
      </c>
      <c r="Z8">
        <f t="shared" si="15"/>
        <v>0</v>
      </c>
      <c r="AA8">
        <f t="shared" si="16"/>
        <v>0</v>
      </c>
      <c r="AB8">
        <f t="shared" si="17"/>
        <v>0</v>
      </c>
      <c r="AC8">
        <f t="shared" si="18"/>
        <v>0</v>
      </c>
      <c r="AD8">
        <f t="shared" si="19"/>
        <v>0</v>
      </c>
      <c r="AE8">
        <f t="shared" si="20"/>
        <v>0</v>
      </c>
      <c r="AF8">
        <f t="shared" si="21"/>
        <v>0</v>
      </c>
    </row>
    <row r="9" spans="1:36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  <c r="M9">
        <f t="shared" si="2"/>
        <v>1</v>
      </c>
      <c r="N9">
        <f t="shared" si="3"/>
        <v>1</v>
      </c>
      <c r="O9">
        <f t="shared" si="4"/>
        <v>1</v>
      </c>
      <c r="P9">
        <f t="shared" si="5"/>
        <v>1</v>
      </c>
      <c r="Q9">
        <f t="shared" si="6"/>
        <v>1</v>
      </c>
      <c r="R9">
        <f t="shared" si="7"/>
        <v>1</v>
      </c>
      <c r="S9">
        <f t="shared" si="8"/>
        <v>1</v>
      </c>
      <c r="T9">
        <f t="shared" si="9"/>
        <v>1</v>
      </c>
      <c r="U9">
        <f t="shared" si="10"/>
        <v>1</v>
      </c>
      <c r="V9">
        <f t="shared" si="11"/>
        <v>1</v>
      </c>
      <c r="W9">
        <f t="shared" si="12"/>
        <v>0</v>
      </c>
      <c r="X9">
        <f t="shared" si="13"/>
        <v>0</v>
      </c>
      <c r="Y9">
        <f t="shared" si="14"/>
        <v>0</v>
      </c>
      <c r="Z9">
        <f t="shared" si="15"/>
        <v>0</v>
      </c>
      <c r="AA9">
        <f t="shared" si="16"/>
        <v>0</v>
      </c>
      <c r="AB9">
        <f t="shared" si="17"/>
        <v>0</v>
      </c>
      <c r="AC9">
        <f t="shared" si="18"/>
        <v>0</v>
      </c>
      <c r="AD9">
        <f t="shared" si="19"/>
        <v>0</v>
      </c>
      <c r="AE9">
        <f t="shared" si="20"/>
        <v>0</v>
      </c>
      <c r="AF9">
        <f t="shared" si="21"/>
        <v>0</v>
      </c>
    </row>
    <row r="10" spans="1:36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  <c r="M10">
        <f t="shared" si="2"/>
        <v>1</v>
      </c>
      <c r="N10">
        <f t="shared" si="3"/>
        <v>1</v>
      </c>
      <c r="O10">
        <f t="shared" si="4"/>
        <v>1</v>
      </c>
      <c r="P10">
        <f t="shared" si="5"/>
        <v>1</v>
      </c>
      <c r="Q10">
        <f t="shared" si="6"/>
        <v>1</v>
      </c>
      <c r="R10">
        <f t="shared" si="7"/>
        <v>1</v>
      </c>
      <c r="S10">
        <f t="shared" si="8"/>
        <v>1</v>
      </c>
      <c r="T10">
        <f t="shared" si="9"/>
        <v>1</v>
      </c>
      <c r="U10">
        <f t="shared" si="10"/>
        <v>1</v>
      </c>
      <c r="V10">
        <f t="shared" si="11"/>
        <v>1</v>
      </c>
      <c r="W10">
        <f t="shared" si="12"/>
        <v>0</v>
      </c>
      <c r="X10">
        <f t="shared" si="13"/>
        <v>0</v>
      </c>
      <c r="Y10">
        <f t="shared" si="14"/>
        <v>0</v>
      </c>
      <c r="Z10">
        <f t="shared" si="15"/>
        <v>0</v>
      </c>
      <c r="AA10">
        <f t="shared" si="16"/>
        <v>0</v>
      </c>
      <c r="AB10">
        <f t="shared" si="17"/>
        <v>0</v>
      </c>
      <c r="AC10">
        <f t="shared" si="18"/>
        <v>0</v>
      </c>
      <c r="AD10">
        <f t="shared" si="19"/>
        <v>0</v>
      </c>
      <c r="AE10">
        <f t="shared" si="20"/>
        <v>0</v>
      </c>
      <c r="AF10">
        <f t="shared" si="21"/>
        <v>0</v>
      </c>
    </row>
    <row r="11" spans="1:36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  <c r="M11">
        <f t="shared" si="2"/>
        <v>1</v>
      </c>
      <c r="N11">
        <f t="shared" si="3"/>
        <v>1</v>
      </c>
      <c r="O11">
        <f t="shared" si="4"/>
        <v>1</v>
      </c>
      <c r="P11">
        <f t="shared" si="5"/>
        <v>1</v>
      </c>
      <c r="Q11">
        <f t="shared" si="6"/>
        <v>1</v>
      </c>
      <c r="R11">
        <f t="shared" si="7"/>
        <v>1</v>
      </c>
      <c r="S11">
        <f t="shared" si="8"/>
        <v>1</v>
      </c>
      <c r="T11">
        <f t="shared" si="9"/>
        <v>1</v>
      </c>
      <c r="U11">
        <f t="shared" si="10"/>
        <v>1</v>
      </c>
      <c r="V11">
        <f t="shared" si="11"/>
        <v>1</v>
      </c>
      <c r="W11">
        <f t="shared" si="12"/>
        <v>0</v>
      </c>
      <c r="X11">
        <f t="shared" si="13"/>
        <v>0</v>
      </c>
      <c r="Y11">
        <f t="shared" si="14"/>
        <v>0</v>
      </c>
      <c r="Z11">
        <f t="shared" si="15"/>
        <v>0</v>
      </c>
      <c r="AA11">
        <f t="shared" si="16"/>
        <v>0</v>
      </c>
      <c r="AB11">
        <f t="shared" si="17"/>
        <v>0</v>
      </c>
      <c r="AC11">
        <f t="shared" si="18"/>
        <v>0</v>
      </c>
      <c r="AD11">
        <f t="shared" si="19"/>
        <v>0</v>
      </c>
      <c r="AE11">
        <f t="shared" si="20"/>
        <v>0</v>
      </c>
      <c r="AF11">
        <f t="shared" si="21"/>
        <v>0</v>
      </c>
    </row>
    <row r="12" spans="1:36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  <c r="M12">
        <f t="shared" si="2"/>
        <v>1</v>
      </c>
      <c r="N12">
        <f t="shared" si="3"/>
        <v>1</v>
      </c>
      <c r="O12">
        <f t="shared" si="4"/>
        <v>1</v>
      </c>
      <c r="P12">
        <f t="shared" si="5"/>
        <v>1</v>
      </c>
      <c r="Q12">
        <f t="shared" si="6"/>
        <v>1</v>
      </c>
      <c r="R12">
        <f t="shared" si="7"/>
        <v>1</v>
      </c>
      <c r="S12">
        <f t="shared" si="8"/>
        <v>1</v>
      </c>
      <c r="T12">
        <f t="shared" si="9"/>
        <v>1</v>
      </c>
      <c r="U12">
        <f t="shared" si="10"/>
        <v>1</v>
      </c>
      <c r="V12">
        <f t="shared" si="11"/>
        <v>1</v>
      </c>
      <c r="W12">
        <f t="shared" si="12"/>
        <v>0</v>
      </c>
      <c r="X12">
        <f t="shared" si="13"/>
        <v>0</v>
      </c>
      <c r="Y12">
        <f t="shared" si="14"/>
        <v>0</v>
      </c>
      <c r="Z12">
        <f t="shared" si="15"/>
        <v>0</v>
      </c>
      <c r="AA12">
        <f t="shared" si="16"/>
        <v>0</v>
      </c>
      <c r="AB12">
        <f t="shared" si="17"/>
        <v>0</v>
      </c>
      <c r="AC12">
        <f t="shared" si="18"/>
        <v>0</v>
      </c>
      <c r="AD12">
        <f t="shared" si="19"/>
        <v>0</v>
      </c>
      <c r="AE12">
        <f t="shared" si="20"/>
        <v>0</v>
      </c>
      <c r="AF12">
        <f t="shared" si="21"/>
        <v>0</v>
      </c>
    </row>
    <row r="13" spans="1:36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  <c r="M13">
        <f t="shared" si="2"/>
        <v>1</v>
      </c>
      <c r="N13">
        <f t="shared" si="3"/>
        <v>1</v>
      </c>
      <c r="O13">
        <f t="shared" si="4"/>
        <v>1</v>
      </c>
      <c r="P13">
        <f t="shared" si="5"/>
        <v>1</v>
      </c>
      <c r="Q13">
        <f t="shared" si="6"/>
        <v>1</v>
      </c>
      <c r="R13">
        <f t="shared" si="7"/>
        <v>1</v>
      </c>
      <c r="S13">
        <f t="shared" si="8"/>
        <v>1</v>
      </c>
      <c r="T13">
        <f t="shared" si="9"/>
        <v>1</v>
      </c>
      <c r="U13">
        <f t="shared" si="10"/>
        <v>1</v>
      </c>
      <c r="V13">
        <f t="shared" si="11"/>
        <v>1</v>
      </c>
      <c r="W13">
        <f t="shared" si="12"/>
        <v>0</v>
      </c>
      <c r="X13">
        <f t="shared" si="13"/>
        <v>0</v>
      </c>
      <c r="Y13">
        <f t="shared" si="14"/>
        <v>0</v>
      </c>
      <c r="Z13">
        <f t="shared" si="15"/>
        <v>0</v>
      </c>
      <c r="AA13">
        <f t="shared" si="16"/>
        <v>0</v>
      </c>
      <c r="AB13">
        <f t="shared" si="17"/>
        <v>0</v>
      </c>
      <c r="AC13">
        <f t="shared" si="18"/>
        <v>0</v>
      </c>
      <c r="AD13">
        <f t="shared" si="19"/>
        <v>0</v>
      </c>
      <c r="AE13">
        <f t="shared" si="20"/>
        <v>0</v>
      </c>
      <c r="AF13">
        <f t="shared" si="21"/>
        <v>0</v>
      </c>
    </row>
    <row r="14" spans="1:36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  <c r="M14">
        <f t="shared" si="2"/>
        <v>1</v>
      </c>
      <c r="N14">
        <f t="shared" si="3"/>
        <v>1</v>
      </c>
      <c r="O14">
        <f t="shared" si="4"/>
        <v>1</v>
      </c>
      <c r="P14">
        <f t="shared" si="5"/>
        <v>1</v>
      </c>
      <c r="Q14">
        <f t="shared" si="6"/>
        <v>1</v>
      </c>
      <c r="R14">
        <f t="shared" si="7"/>
        <v>1</v>
      </c>
      <c r="S14">
        <f t="shared" si="8"/>
        <v>1</v>
      </c>
      <c r="T14">
        <f t="shared" si="9"/>
        <v>1</v>
      </c>
      <c r="U14">
        <f t="shared" si="10"/>
        <v>1</v>
      </c>
      <c r="V14">
        <f t="shared" si="11"/>
        <v>1</v>
      </c>
      <c r="W14">
        <f t="shared" si="12"/>
        <v>0</v>
      </c>
      <c r="X14">
        <f t="shared" si="13"/>
        <v>0</v>
      </c>
      <c r="Y14">
        <f t="shared" si="14"/>
        <v>0</v>
      </c>
      <c r="Z14">
        <f t="shared" si="15"/>
        <v>0</v>
      </c>
      <c r="AA14">
        <f t="shared" si="16"/>
        <v>0</v>
      </c>
      <c r="AB14">
        <f t="shared" si="17"/>
        <v>0</v>
      </c>
      <c r="AC14">
        <f t="shared" si="18"/>
        <v>0</v>
      </c>
      <c r="AD14">
        <f t="shared" si="19"/>
        <v>0</v>
      </c>
      <c r="AE14">
        <f t="shared" si="20"/>
        <v>0</v>
      </c>
      <c r="AF14">
        <f t="shared" si="21"/>
        <v>0</v>
      </c>
    </row>
    <row r="15" spans="1:36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  <c r="M15">
        <f t="shared" si="2"/>
        <v>1</v>
      </c>
      <c r="N15">
        <f t="shared" si="3"/>
        <v>1</v>
      </c>
      <c r="O15">
        <f t="shared" si="4"/>
        <v>1</v>
      </c>
      <c r="P15">
        <f t="shared" si="5"/>
        <v>1</v>
      </c>
      <c r="Q15">
        <f t="shared" si="6"/>
        <v>1</v>
      </c>
      <c r="R15">
        <f t="shared" si="7"/>
        <v>1</v>
      </c>
      <c r="S15">
        <f t="shared" si="8"/>
        <v>1</v>
      </c>
      <c r="T15">
        <f t="shared" si="9"/>
        <v>1</v>
      </c>
      <c r="U15">
        <f t="shared" si="10"/>
        <v>1</v>
      </c>
      <c r="V15">
        <f t="shared" si="11"/>
        <v>1</v>
      </c>
      <c r="W15">
        <f t="shared" si="12"/>
        <v>0</v>
      </c>
      <c r="X15">
        <f t="shared" si="13"/>
        <v>0</v>
      </c>
      <c r="Y15">
        <f t="shared" si="14"/>
        <v>0</v>
      </c>
      <c r="Z15">
        <f t="shared" si="15"/>
        <v>0</v>
      </c>
      <c r="AA15">
        <f t="shared" si="16"/>
        <v>0</v>
      </c>
      <c r="AB15">
        <f t="shared" si="17"/>
        <v>0</v>
      </c>
      <c r="AC15">
        <f t="shared" si="18"/>
        <v>0</v>
      </c>
      <c r="AD15">
        <f t="shared" si="19"/>
        <v>0</v>
      </c>
      <c r="AE15">
        <f t="shared" si="20"/>
        <v>0</v>
      </c>
      <c r="AF15">
        <f t="shared" si="21"/>
        <v>0</v>
      </c>
    </row>
    <row r="16" spans="1:36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  <c r="M16">
        <f t="shared" si="2"/>
        <v>1</v>
      </c>
      <c r="N16">
        <f t="shared" si="3"/>
        <v>1</v>
      </c>
      <c r="O16">
        <f t="shared" si="4"/>
        <v>1</v>
      </c>
      <c r="P16">
        <f t="shared" si="5"/>
        <v>1</v>
      </c>
      <c r="Q16">
        <f t="shared" si="6"/>
        <v>1</v>
      </c>
      <c r="R16">
        <f t="shared" si="7"/>
        <v>1</v>
      </c>
      <c r="S16">
        <f t="shared" si="8"/>
        <v>1</v>
      </c>
      <c r="T16">
        <f t="shared" si="9"/>
        <v>1</v>
      </c>
      <c r="U16">
        <f t="shared" si="10"/>
        <v>1</v>
      </c>
      <c r="V16">
        <f t="shared" si="11"/>
        <v>1</v>
      </c>
      <c r="W16">
        <f t="shared" si="12"/>
        <v>0</v>
      </c>
      <c r="X16">
        <f t="shared" si="13"/>
        <v>0</v>
      </c>
      <c r="Y16">
        <f t="shared" si="14"/>
        <v>0</v>
      </c>
      <c r="Z16">
        <f t="shared" si="15"/>
        <v>0</v>
      </c>
      <c r="AA16">
        <f t="shared" si="16"/>
        <v>0</v>
      </c>
      <c r="AB16">
        <f t="shared" si="17"/>
        <v>0</v>
      </c>
      <c r="AC16">
        <f t="shared" si="18"/>
        <v>0</v>
      </c>
      <c r="AD16">
        <f t="shared" si="19"/>
        <v>0</v>
      </c>
      <c r="AE16">
        <f t="shared" si="20"/>
        <v>0</v>
      </c>
      <c r="AF16">
        <f t="shared" si="21"/>
        <v>0</v>
      </c>
    </row>
    <row r="17" spans="1:32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  <c r="M17">
        <f t="shared" si="2"/>
        <v>1</v>
      </c>
      <c r="N17">
        <f t="shared" si="3"/>
        <v>1</v>
      </c>
      <c r="O17">
        <f t="shared" si="4"/>
        <v>1</v>
      </c>
      <c r="P17">
        <f t="shared" si="5"/>
        <v>1</v>
      </c>
      <c r="Q17">
        <f t="shared" si="6"/>
        <v>1</v>
      </c>
      <c r="R17">
        <f t="shared" si="7"/>
        <v>1</v>
      </c>
      <c r="S17">
        <f t="shared" si="8"/>
        <v>1</v>
      </c>
      <c r="T17">
        <f t="shared" si="9"/>
        <v>1</v>
      </c>
      <c r="U17">
        <f t="shared" si="10"/>
        <v>1</v>
      </c>
      <c r="V17">
        <f t="shared" si="11"/>
        <v>1</v>
      </c>
      <c r="W17">
        <f t="shared" si="12"/>
        <v>0</v>
      </c>
      <c r="X17">
        <f t="shared" si="13"/>
        <v>0</v>
      </c>
      <c r="Y17">
        <f t="shared" si="14"/>
        <v>0</v>
      </c>
      <c r="Z17">
        <f t="shared" si="15"/>
        <v>0</v>
      </c>
      <c r="AA17">
        <f t="shared" si="16"/>
        <v>0</v>
      </c>
      <c r="AB17">
        <f t="shared" si="17"/>
        <v>0</v>
      </c>
      <c r="AC17">
        <f t="shared" si="18"/>
        <v>0</v>
      </c>
      <c r="AD17">
        <f t="shared" si="19"/>
        <v>0</v>
      </c>
      <c r="AE17">
        <f t="shared" si="20"/>
        <v>0</v>
      </c>
      <c r="AF17">
        <f t="shared" si="21"/>
        <v>0</v>
      </c>
    </row>
    <row r="18" spans="1:32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  <c r="M18">
        <f t="shared" si="2"/>
        <v>1</v>
      </c>
      <c r="N18">
        <f t="shared" si="3"/>
        <v>1</v>
      </c>
      <c r="O18">
        <f t="shared" si="4"/>
        <v>1</v>
      </c>
      <c r="P18">
        <f t="shared" si="5"/>
        <v>1</v>
      </c>
      <c r="Q18">
        <f t="shared" si="6"/>
        <v>1</v>
      </c>
      <c r="R18">
        <f t="shared" si="7"/>
        <v>1</v>
      </c>
      <c r="S18">
        <f t="shared" si="8"/>
        <v>1</v>
      </c>
      <c r="T18">
        <f t="shared" si="9"/>
        <v>1</v>
      </c>
      <c r="U18">
        <f t="shared" si="10"/>
        <v>1</v>
      </c>
      <c r="V18">
        <f t="shared" si="11"/>
        <v>1</v>
      </c>
      <c r="W18">
        <f t="shared" si="12"/>
        <v>0</v>
      </c>
      <c r="X18">
        <f t="shared" si="13"/>
        <v>0</v>
      </c>
      <c r="Y18">
        <f t="shared" si="14"/>
        <v>0</v>
      </c>
      <c r="Z18">
        <f t="shared" si="15"/>
        <v>0</v>
      </c>
      <c r="AA18">
        <f t="shared" si="16"/>
        <v>0</v>
      </c>
      <c r="AB18">
        <f t="shared" si="17"/>
        <v>0</v>
      </c>
      <c r="AC18">
        <f t="shared" si="18"/>
        <v>0</v>
      </c>
      <c r="AD18">
        <f t="shared" si="19"/>
        <v>0</v>
      </c>
      <c r="AE18">
        <f t="shared" si="20"/>
        <v>0</v>
      </c>
      <c r="AF18">
        <f t="shared" si="21"/>
        <v>0</v>
      </c>
    </row>
    <row r="19" spans="1:32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  <c r="M19">
        <f t="shared" si="2"/>
        <v>1</v>
      </c>
      <c r="N19">
        <f t="shared" si="3"/>
        <v>1</v>
      </c>
      <c r="O19">
        <f t="shared" si="4"/>
        <v>1</v>
      </c>
      <c r="P19">
        <f t="shared" si="5"/>
        <v>1</v>
      </c>
      <c r="Q19">
        <f t="shared" si="6"/>
        <v>1</v>
      </c>
      <c r="R19">
        <f t="shared" si="7"/>
        <v>1</v>
      </c>
      <c r="S19">
        <f t="shared" si="8"/>
        <v>1</v>
      </c>
      <c r="T19">
        <f t="shared" si="9"/>
        <v>1</v>
      </c>
      <c r="U19">
        <f t="shared" si="10"/>
        <v>1</v>
      </c>
      <c r="V19">
        <f t="shared" si="11"/>
        <v>1</v>
      </c>
      <c r="W19">
        <f t="shared" si="12"/>
        <v>0</v>
      </c>
      <c r="X19">
        <f t="shared" si="13"/>
        <v>0</v>
      </c>
      <c r="Y19">
        <f t="shared" si="14"/>
        <v>0</v>
      </c>
      <c r="Z19">
        <f t="shared" si="15"/>
        <v>0</v>
      </c>
      <c r="AA19">
        <f t="shared" si="16"/>
        <v>0</v>
      </c>
      <c r="AB19">
        <f t="shared" si="17"/>
        <v>0</v>
      </c>
      <c r="AC19">
        <f t="shared" si="18"/>
        <v>0</v>
      </c>
      <c r="AD19">
        <f t="shared" si="19"/>
        <v>0</v>
      </c>
      <c r="AE19">
        <f t="shared" si="20"/>
        <v>0</v>
      </c>
      <c r="AF19">
        <f t="shared" si="21"/>
        <v>0</v>
      </c>
    </row>
    <row r="20" spans="1:32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  <c r="M20">
        <f t="shared" si="2"/>
        <v>1</v>
      </c>
      <c r="N20">
        <f t="shared" si="3"/>
        <v>1</v>
      </c>
      <c r="O20">
        <f t="shared" si="4"/>
        <v>1</v>
      </c>
      <c r="P20">
        <f t="shared" si="5"/>
        <v>1</v>
      </c>
      <c r="Q20">
        <f t="shared" si="6"/>
        <v>1</v>
      </c>
      <c r="R20">
        <f t="shared" si="7"/>
        <v>1</v>
      </c>
      <c r="S20">
        <f t="shared" si="8"/>
        <v>1</v>
      </c>
      <c r="T20">
        <f t="shared" si="9"/>
        <v>1</v>
      </c>
      <c r="U20">
        <f t="shared" si="10"/>
        <v>1</v>
      </c>
      <c r="V20">
        <f t="shared" si="11"/>
        <v>1</v>
      </c>
      <c r="W20">
        <f t="shared" si="12"/>
        <v>0</v>
      </c>
      <c r="X20">
        <f t="shared" si="13"/>
        <v>0</v>
      </c>
      <c r="Y20">
        <f t="shared" si="14"/>
        <v>0</v>
      </c>
      <c r="Z20">
        <f t="shared" si="15"/>
        <v>0</v>
      </c>
      <c r="AA20">
        <f t="shared" si="16"/>
        <v>0</v>
      </c>
      <c r="AB20">
        <f t="shared" si="17"/>
        <v>0</v>
      </c>
      <c r="AC20">
        <f t="shared" si="18"/>
        <v>0</v>
      </c>
      <c r="AD20">
        <f t="shared" si="19"/>
        <v>0</v>
      </c>
      <c r="AE20">
        <f t="shared" si="20"/>
        <v>0</v>
      </c>
      <c r="AF20">
        <f t="shared" si="21"/>
        <v>0</v>
      </c>
    </row>
    <row r="21" spans="1:32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1</v>
      </c>
      <c r="Q21">
        <f t="shared" si="6"/>
        <v>1</v>
      </c>
      <c r="R21">
        <f t="shared" si="7"/>
        <v>1</v>
      </c>
      <c r="S21">
        <f t="shared" si="8"/>
        <v>1</v>
      </c>
      <c r="T21">
        <f t="shared" si="9"/>
        <v>1</v>
      </c>
      <c r="U21">
        <f t="shared" si="10"/>
        <v>1</v>
      </c>
      <c r="V21">
        <f t="shared" si="11"/>
        <v>1</v>
      </c>
      <c r="W21">
        <f t="shared" si="12"/>
        <v>0</v>
      </c>
      <c r="X21">
        <f t="shared" si="13"/>
        <v>0</v>
      </c>
      <c r="Y21">
        <f t="shared" si="14"/>
        <v>0</v>
      </c>
      <c r="Z21">
        <f t="shared" si="15"/>
        <v>0</v>
      </c>
      <c r="AA21">
        <f t="shared" si="16"/>
        <v>0</v>
      </c>
      <c r="AB21">
        <f t="shared" si="17"/>
        <v>0</v>
      </c>
      <c r="AC21">
        <f t="shared" si="18"/>
        <v>0</v>
      </c>
      <c r="AD21">
        <f t="shared" si="19"/>
        <v>0</v>
      </c>
      <c r="AE21">
        <f t="shared" si="20"/>
        <v>0</v>
      </c>
      <c r="AF21">
        <f t="shared" si="21"/>
        <v>0</v>
      </c>
    </row>
    <row r="22" spans="1:32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1</v>
      </c>
      <c r="Q22">
        <f t="shared" si="6"/>
        <v>1</v>
      </c>
      <c r="R22">
        <f t="shared" si="7"/>
        <v>1</v>
      </c>
      <c r="S22">
        <f t="shared" si="8"/>
        <v>1</v>
      </c>
      <c r="T22">
        <f t="shared" si="9"/>
        <v>1</v>
      </c>
      <c r="U22">
        <f t="shared" si="10"/>
        <v>1</v>
      </c>
      <c r="V22">
        <f t="shared" si="11"/>
        <v>1</v>
      </c>
      <c r="W22">
        <f t="shared" si="12"/>
        <v>0</v>
      </c>
      <c r="X22">
        <f t="shared" si="13"/>
        <v>0</v>
      </c>
      <c r="Y22">
        <f t="shared" si="14"/>
        <v>0</v>
      </c>
      <c r="Z22">
        <f t="shared" si="15"/>
        <v>0</v>
      </c>
      <c r="AA22">
        <f t="shared" si="16"/>
        <v>0</v>
      </c>
      <c r="AB22">
        <f t="shared" si="17"/>
        <v>0</v>
      </c>
      <c r="AC22">
        <f t="shared" si="18"/>
        <v>0</v>
      </c>
      <c r="AD22">
        <f t="shared" si="19"/>
        <v>0</v>
      </c>
      <c r="AE22">
        <f t="shared" si="20"/>
        <v>0</v>
      </c>
      <c r="AF22">
        <f t="shared" si="21"/>
        <v>0</v>
      </c>
    </row>
    <row r="23" spans="1:32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  <c r="M23">
        <f t="shared" si="2"/>
        <v>1</v>
      </c>
      <c r="N23">
        <f t="shared" si="3"/>
        <v>1</v>
      </c>
      <c r="O23">
        <f t="shared" si="4"/>
        <v>1</v>
      </c>
      <c r="P23">
        <f t="shared" si="5"/>
        <v>1</v>
      </c>
      <c r="Q23">
        <f t="shared" si="6"/>
        <v>1</v>
      </c>
      <c r="R23">
        <f t="shared" si="7"/>
        <v>1</v>
      </c>
      <c r="S23">
        <f t="shared" si="8"/>
        <v>1</v>
      </c>
      <c r="T23">
        <f t="shared" si="9"/>
        <v>1</v>
      </c>
      <c r="U23">
        <f t="shared" si="10"/>
        <v>1</v>
      </c>
      <c r="V23">
        <f t="shared" si="11"/>
        <v>1</v>
      </c>
      <c r="W23">
        <f t="shared" si="12"/>
        <v>0</v>
      </c>
      <c r="X23">
        <f t="shared" si="13"/>
        <v>0</v>
      </c>
      <c r="Y23">
        <f t="shared" si="14"/>
        <v>0</v>
      </c>
      <c r="Z23">
        <f t="shared" si="15"/>
        <v>0</v>
      </c>
      <c r="AA23">
        <f t="shared" si="16"/>
        <v>0</v>
      </c>
      <c r="AB23">
        <f t="shared" si="17"/>
        <v>0</v>
      </c>
      <c r="AC23">
        <f t="shared" si="18"/>
        <v>0</v>
      </c>
      <c r="AD23">
        <f t="shared" si="19"/>
        <v>0</v>
      </c>
      <c r="AE23">
        <f t="shared" si="20"/>
        <v>0</v>
      </c>
      <c r="AF23">
        <f t="shared" si="21"/>
        <v>0</v>
      </c>
    </row>
    <row r="24" spans="1:32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  <c r="M24">
        <f t="shared" si="2"/>
        <v>1</v>
      </c>
      <c r="N24">
        <f t="shared" si="3"/>
        <v>1</v>
      </c>
      <c r="O24">
        <f t="shared" si="4"/>
        <v>1</v>
      </c>
      <c r="P24">
        <f t="shared" si="5"/>
        <v>1</v>
      </c>
      <c r="Q24">
        <f t="shared" si="6"/>
        <v>1</v>
      </c>
      <c r="R24">
        <f t="shared" si="7"/>
        <v>1</v>
      </c>
      <c r="S24">
        <f t="shared" si="8"/>
        <v>1</v>
      </c>
      <c r="T24">
        <f t="shared" si="9"/>
        <v>1</v>
      </c>
      <c r="U24">
        <f t="shared" si="10"/>
        <v>1</v>
      </c>
      <c r="V24">
        <f t="shared" si="11"/>
        <v>1</v>
      </c>
      <c r="W24">
        <f t="shared" si="12"/>
        <v>0</v>
      </c>
      <c r="X24">
        <f t="shared" si="13"/>
        <v>0</v>
      </c>
      <c r="Y24">
        <f t="shared" si="14"/>
        <v>0</v>
      </c>
      <c r="Z24">
        <f t="shared" si="15"/>
        <v>0</v>
      </c>
      <c r="AA24">
        <f t="shared" si="16"/>
        <v>0</v>
      </c>
      <c r="AB24">
        <f t="shared" si="17"/>
        <v>0</v>
      </c>
      <c r="AC24">
        <f t="shared" si="18"/>
        <v>0</v>
      </c>
      <c r="AD24">
        <f t="shared" si="19"/>
        <v>0</v>
      </c>
      <c r="AE24">
        <f t="shared" si="20"/>
        <v>0</v>
      </c>
      <c r="AF24">
        <f t="shared" si="21"/>
        <v>0</v>
      </c>
    </row>
    <row r="25" spans="1:32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  <c r="M25">
        <f t="shared" si="2"/>
        <v>1</v>
      </c>
      <c r="N25">
        <f t="shared" si="3"/>
        <v>1</v>
      </c>
      <c r="O25">
        <f t="shared" si="4"/>
        <v>1</v>
      </c>
      <c r="P25">
        <f t="shared" si="5"/>
        <v>1</v>
      </c>
      <c r="Q25">
        <f t="shared" si="6"/>
        <v>1</v>
      </c>
      <c r="R25">
        <f t="shared" si="7"/>
        <v>1</v>
      </c>
      <c r="S25">
        <f t="shared" si="8"/>
        <v>1</v>
      </c>
      <c r="T25">
        <f t="shared" si="9"/>
        <v>1</v>
      </c>
      <c r="U25">
        <f t="shared" si="10"/>
        <v>1</v>
      </c>
      <c r="V25">
        <f t="shared" si="11"/>
        <v>1</v>
      </c>
      <c r="W25">
        <f t="shared" si="12"/>
        <v>0</v>
      </c>
      <c r="X25">
        <f t="shared" si="13"/>
        <v>0</v>
      </c>
      <c r="Y25">
        <f t="shared" si="14"/>
        <v>0</v>
      </c>
      <c r="Z25">
        <f t="shared" si="15"/>
        <v>0</v>
      </c>
      <c r="AA25">
        <f t="shared" si="16"/>
        <v>0</v>
      </c>
      <c r="AB25">
        <f t="shared" si="17"/>
        <v>0</v>
      </c>
      <c r="AC25">
        <f t="shared" si="18"/>
        <v>0</v>
      </c>
      <c r="AD25">
        <f t="shared" si="19"/>
        <v>0</v>
      </c>
      <c r="AE25">
        <f t="shared" si="20"/>
        <v>0</v>
      </c>
      <c r="AF25">
        <f t="shared" si="21"/>
        <v>0</v>
      </c>
    </row>
    <row r="26" spans="1:32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  <c r="M26">
        <f t="shared" si="2"/>
        <v>1</v>
      </c>
      <c r="N26">
        <f t="shared" si="3"/>
        <v>1</v>
      </c>
      <c r="O26">
        <f t="shared" si="4"/>
        <v>1</v>
      </c>
      <c r="P26">
        <f t="shared" si="5"/>
        <v>1</v>
      </c>
      <c r="Q26">
        <f t="shared" si="6"/>
        <v>1</v>
      </c>
      <c r="R26">
        <f t="shared" si="7"/>
        <v>1</v>
      </c>
      <c r="S26">
        <f t="shared" si="8"/>
        <v>1</v>
      </c>
      <c r="T26">
        <f t="shared" si="9"/>
        <v>1</v>
      </c>
      <c r="U26">
        <f t="shared" si="10"/>
        <v>1</v>
      </c>
      <c r="V26">
        <f t="shared" si="11"/>
        <v>1</v>
      </c>
      <c r="W26">
        <f t="shared" si="12"/>
        <v>0</v>
      </c>
      <c r="X26">
        <f t="shared" si="13"/>
        <v>0</v>
      </c>
      <c r="Y26">
        <f t="shared" si="14"/>
        <v>0</v>
      </c>
      <c r="Z26">
        <f t="shared" si="15"/>
        <v>0</v>
      </c>
      <c r="AA26">
        <f t="shared" si="16"/>
        <v>0</v>
      </c>
      <c r="AB26">
        <f t="shared" si="17"/>
        <v>0</v>
      </c>
      <c r="AC26">
        <f t="shared" si="18"/>
        <v>0</v>
      </c>
      <c r="AD26">
        <f t="shared" si="19"/>
        <v>0</v>
      </c>
      <c r="AE26">
        <f t="shared" si="20"/>
        <v>0</v>
      </c>
      <c r="AF26">
        <f t="shared" si="21"/>
        <v>0</v>
      </c>
    </row>
    <row r="27" spans="1:32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  <c r="M27">
        <f t="shared" si="2"/>
        <v>1</v>
      </c>
      <c r="N27">
        <f t="shared" si="3"/>
        <v>1</v>
      </c>
      <c r="O27">
        <f t="shared" si="4"/>
        <v>1</v>
      </c>
      <c r="P27">
        <f t="shared" si="5"/>
        <v>1</v>
      </c>
      <c r="Q27">
        <f t="shared" si="6"/>
        <v>1</v>
      </c>
      <c r="R27">
        <f t="shared" si="7"/>
        <v>1</v>
      </c>
      <c r="S27">
        <f t="shared" si="8"/>
        <v>1</v>
      </c>
      <c r="T27">
        <f t="shared" si="9"/>
        <v>1</v>
      </c>
      <c r="U27">
        <f t="shared" si="10"/>
        <v>1</v>
      </c>
      <c r="V27">
        <f t="shared" si="11"/>
        <v>1</v>
      </c>
      <c r="W27">
        <f t="shared" si="12"/>
        <v>0</v>
      </c>
      <c r="X27">
        <f t="shared" si="13"/>
        <v>0</v>
      </c>
      <c r="Y27">
        <f t="shared" si="14"/>
        <v>0</v>
      </c>
      <c r="Z27">
        <f t="shared" si="15"/>
        <v>0</v>
      </c>
      <c r="AA27">
        <f t="shared" si="16"/>
        <v>0</v>
      </c>
      <c r="AB27">
        <f t="shared" si="17"/>
        <v>0</v>
      </c>
      <c r="AC27">
        <f t="shared" si="18"/>
        <v>0</v>
      </c>
      <c r="AD27">
        <f t="shared" si="19"/>
        <v>0</v>
      </c>
      <c r="AE27">
        <f t="shared" si="20"/>
        <v>0</v>
      </c>
      <c r="AF27">
        <f t="shared" si="21"/>
        <v>0</v>
      </c>
    </row>
    <row r="28" spans="1:32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  <c r="M28">
        <f t="shared" si="2"/>
        <v>1</v>
      </c>
      <c r="N28">
        <f t="shared" si="3"/>
        <v>1</v>
      </c>
      <c r="O28">
        <f t="shared" si="4"/>
        <v>1</v>
      </c>
      <c r="P28">
        <f t="shared" si="5"/>
        <v>1</v>
      </c>
      <c r="Q28">
        <f t="shared" si="6"/>
        <v>1</v>
      </c>
      <c r="R28">
        <f t="shared" si="7"/>
        <v>1</v>
      </c>
      <c r="S28">
        <f t="shared" si="8"/>
        <v>1</v>
      </c>
      <c r="T28">
        <f t="shared" si="9"/>
        <v>1</v>
      </c>
      <c r="U28">
        <f t="shared" si="10"/>
        <v>1</v>
      </c>
      <c r="V28">
        <f t="shared" si="11"/>
        <v>1</v>
      </c>
      <c r="W28">
        <f t="shared" si="12"/>
        <v>0</v>
      </c>
      <c r="X28">
        <f t="shared" si="13"/>
        <v>0</v>
      </c>
      <c r="Y28">
        <f t="shared" si="14"/>
        <v>0</v>
      </c>
      <c r="Z28">
        <f t="shared" si="15"/>
        <v>0</v>
      </c>
      <c r="AA28">
        <f t="shared" si="16"/>
        <v>0</v>
      </c>
      <c r="AB28">
        <f t="shared" si="17"/>
        <v>0</v>
      </c>
      <c r="AC28">
        <f t="shared" si="18"/>
        <v>0</v>
      </c>
      <c r="AD28">
        <f t="shared" si="19"/>
        <v>0</v>
      </c>
      <c r="AE28">
        <f t="shared" si="20"/>
        <v>0</v>
      </c>
      <c r="AF28">
        <f t="shared" si="21"/>
        <v>0</v>
      </c>
    </row>
    <row r="29" spans="1:32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  <c r="M29">
        <f t="shared" si="2"/>
        <v>1</v>
      </c>
      <c r="N29">
        <f t="shared" si="3"/>
        <v>1</v>
      </c>
      <c r="O29">
        <f t="shared" si="4"/>
        <v>1</v>
      </c>
      <c r="P29">
        <f t="shared" si="5"/>
        <v>1</v>
      </c>
      <c r="Q29">
        <f t="shared" si="6"/>
        <v>1</v>
      </c>
      <c r="R29">
        <f t="shared" si="7"/>
        <v>1</v>
      </c>
      <c r="S29">
        <f t="shared" si="8"/>
        <v>1</v>
      </c>
      <c r="T29">
        <f t="shared" si="9"/>
        <v>1</v>
      </c>
      <c r="U29">
        <f t="shared" si="10"/>
        <v>1</v>
      </c>
      <c r="V29">
        <f t="shared" si="11"/>
        <v>1</v>
      </c>
      <c r="W29">
        <f t="shared" si="12"/>
        <v>0</v>
      </c>
      <c r="X29">
        <f t="shared" si="13"/>
        <v>0</v>
      </c>
      <c r="Y29">
        <f t="shared" si="14"/>
        <v>0</v>
      </c>
      <c r="Z29">
        <f t="shared" si="15"/>
        <v>0</v>
      </c>
      <c r="AA29">
        <f t="shared" si="16"/>
        <v>0</v>
      </c>
      <c r="AB29">
        <f t="shared" si="17"/>
        <v>0</v>
      </c>
      <c r="AC29">
        <f t="shared" si="18"/>
        <v>0</v>
      </c>
      <c r="AD29">
        <f t="shared" si="19"/>
        <v>0</v>
      </c>
      <c r="AE29">
        <f t="shared" si="20"/>
        <v>0</v>
      </c>
      <c r="AF29">
        <f t="shared" si="21"/>
        <v>0</v>
      </c>
    </row>
    <row r="30" spans="1:32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  <c r="M30">
        <f t="shared" si="2"/>
        <v>1</v>
      </c>
      <c r="N30">
        <f t="shared" si="3"/>
        <v>1</v>
      </c>
      <c r="O30">
        <f t="shared" si="4"/>
        <v>1</v>
      </c>
      <c r="P30">
        <f t="shared" si="5"/>
        <v>1</v>
      </c>
      <c r="Q30">
        <f t="shared" si="6"/>
        <v>1</v>
      </c>
      <c r="R30">
        <f t="shared" si="7"/>
        <v>1</v>
      </c>
      <c r="S30">
        <f t="shared" si="8"/>
        <v>1</v>
      </c>
      <c r="T30">
        <f t="shared" si="9"/>
        <v>1</v>
      </c>
      <c r="U30">
        <f t="shared" si="10"/>
        <v>1</v>
      </c>
      <c r="V30">
        <f t="shared" si="11"/>
        <v>1</v>
      </c>
      <c r="W30">
        <f t="shared" si="12"/>
        <v>0</v>
      </c>
      <c r="X30">
        <f t="shared" si="13"/>
        <v>0</v>
      </c>
      <c r="Y30">
        <f t="shared" si="14"/>
        <v>0</v>
      </c>
      <c r="Z30">
        <f t="shared" si="15"/>
        <v>0</v>
      </c>
      <c r="AA30">
        <f t="shared" si="16"/>
        <v>0</v>
      </c>
      <c r="AB30">
        <f t="shared" si="17"/>
        <v>0</v>
      </c>
      <c r="AC30">
        <f t="shared" si="18"/>
        <v>0</v>
      </c>
      <c r="AD30">
        <f t="shared" si="19"/>
        <v>0</v>
      </c>
      <c r="AE30">
        <f t="shared" si="20"/>
        <v>0</v>
      </c>
      <c r="AF30">
        <f t="shared" si="21"/>
        <v>0</v>
      </c>
    </row>
    <row r="31" spans="1:32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  <c r="M31">
        <f t="shared" si="2"/>
        <v>1</v>
      </c>
      <c r="N31">
        <f t="shared" si="3"/>
        <v>1</v>
      </c>
      <c r="O31">
        <f t="shared" si="4"/>
        <v>1</v>
      </c>
      <c r="P31">
        <f t="shared" si="5"/>
        <v>1</v>
      </c>
      <c r="Q31">
        <f t="shared" si="6"/>
        <v>1</v>
      </c>
      <c r="R31">
        <f t="shared" si="7"/>
        <v>1</v>
      </c>
      <c r="S31">
        <f t="shared" si="8"/>
        <v>1</v>
      </c>
      <c r="T31">
        <f t="shared" si="9"/>
        <v>1</v>
      </c>
      <c r="U31">
        <f t="shared" si="10"/>
        <v>1</v>
      </c>
      <c r="V31">
        <f t="shared" si="11"/>
        <v>1</v>
      </c>
      <c r="W31">
        <f t="shared" si="12"/>
        <v>0</v>
      </c>
      <c r="X31">
        <f t="shared" si="13"/>
        <v>0</v>
      </c>
      <c r="Y31">
        <f t="shared" si="14"/>
        <v>0</v>
      </c>
      <c r="Z31">
        <f t="shared" si="15"/>
        <v>0</v>
      </c>
      <c r="AA31">
        <f t="shared" si="16"/>
        <v>0</v>
      </c>
      <c r="AB31">
        <f t="shared" si="17"/>
        <v>0</v>
      </c>
      <c r="AC31">
        <f t="shared" si="18"/>
        <v>0</v>
      </c>
      <c r="AD31">
        <f t="shared" si="19"/>
        <v>0</v>
      </c>
      <c r="AE31">
        <f t="shared" si="20"/>
        <v>0</v>
      </c>
      <c r="AF31">
        <f t="shared" si="21"/>
        <v>0</v>
      </c>
    </row>
    <row r="32" spans="1:32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  <c r="M32">
        <f t="shared" si="2"/>
        <v>1</v>
      </c>
      <c r="N32">
        <f t="shared" si="3"/>
        <v>1</v>
      </c>
      <c r="O32">
        <f t="shared" si="4"/>
        <v>1</v>
      </c>
      <c r="P32">
        <f t="shared" si="5"/>
        <v>1</v>
      </c>
      <c r="Q32">
        <f t="shared" si="6"/>
        <v>1</v>
      </c>
      <c r="R32">
        <f t="shared" si="7"/>
        <v>1</v>
      </c>
      <c r="S32">
        <f t="shared" si="8"/>
        <v>1</v>
      </c>
      <c r="T32">
        <f t="shared" si="9"/>
        <v>1</v>
      </c>
      <c r="U32">
        <f t="shared" si="10"/>
        <v>1</v>
      </c>
      <c r="V32">
        <f t="shared" si="11"/>
        <v>1</v>
      </c>
      <c r="W32">
        <f t="shared" si="12"/>
        <v>0</v>
      </c>
      <c r="X32">
        <f t="shared" si="13"/>
        <v>0</v>
      </c>
      <c r="Y32">
        <f t="shared" si="14"/>
        <v>0</v>
      </c>
      <c r="Z32">
        <f t="shared" si="15"/>
        <v>0</v>
      </c>
      <c r="AA32">
        <f t="shared" si="16"/>
        <v>0</v>
      </c>
      <c r="AB32">
        <f t="shared" si="17"/>
        <v>0</v>
      </c>
      <c r="AC32">
        <f t="shared" si="18"/>
        <v>0</v>
      </c>
      <c r="AD32">
        <f t="shared" si="19"/>
        <v>0</v>
      </c>
      <c r="AE32">
        <f t="shared" si="20"/>
        <v>0</v>
      </c>
      <c r="AF32">
        <f t="shared" si="21"/>
        <v>0</v>
      </c>
    </row>
    <row r="33" spans="1:32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  <c r="M33">
        <f t="shared" si="2"/>
        <v>1</v>
      </c>
      <c r="N33">
        <f t="shared" si="3"/>
        <v>1</v>
      </c>
      <c r="O33">
        <f t="shared" si="4"/>
        <v>1</v>
      </c>
      <c r="P33">
        <f t="shared" si="5"/>
        <v>1</v>
      </c>
      <c r="Q33">
        <f t="shared" si="6"/>
        <v>1</v>
      </c>
      <c r="R33">
        <f t="shared" si="7"/>
        <v>1</v>
      </c>
      <c r="S33">
        <f t="shared" si="8"/>
        <v>1</v>
      </c>
      <c r="T33">
        <f t="shared" si="9"/>
        <v>1</v>
      </c>
      <c r="U33">
        <f t="shared" si="10"/>
        <v>1</v>
      </c>
      <c r="V33">
        <f t="shared" si="11"/>
        <v>1</v>
      </c>
      <c r="W33">
        <f t="shared" si="12"/>
        <v>0</v>
      </c>
      <c r="X33">
        <f t="shared" si="13"/>
        <v>0</v>
      </c>
      <c r="Y33">
        <f t="shared" si="14"/>
        <v>0</v>
      </c>
      <c r="Z33">
        <f t="shared" si="15"/>
        <v>0</v>
      </c>
      <c r="AA33">
        <f t="shared" si="16"/>
        <v>0</v>
      </c>
      <c r="AB33">
        <f t="shared" si="17"/>
        <v>0</v>
      </c>
      <c r="AC33">
        <f t="shared" si="18"/>
        <v>0</v>
      </c>
      <c r="AD33">
        <f t="shared" si="19"/>
        <v>0</v>
      </c>
      <c r="AE33">
        <f t="shared" si="20"/>
        <v>0</v>
      </c>
      <c r="AF33">
        <f t="shared" si="21"/>
        <v>0</v>
      </c>
    </row>
    <row r="34" spans="1:32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  <c r="M34">
        <f t="shared" si="2"/>
        <v>1</v>
      </c>
      <c r="N34">
        <f t="shared" si="3"/>
        <v>1</v>
      </c>
      <c r="O34">
        <f t="shared" si="4"/>
        <v>1</v>
      </c>
      <c r="P34">
        <f t="shared" si="5"/>
        <v>1</v>
      </c>
      <c r="Q34">
        <f t="shared" si="6"/>
        <v>1</v>
      </c>
      <c r="R34">
        <f t="shared" si="7"/>
        <v>1</v>
      </c>
      <c r="S34">
        <f t="shared" si="8"/>
        <v>1</v>
      </c>
      <c r="T34">
        <f t="shared" si="9"/>
        <v>1</v>
      </c>
      <c r="U34">
        <f t="shared" si="10"/>
        <v>1</v>
      </c>
      <c r="V34">
        <f t="shared" si="11"/>
        <v>1</v>
      </c>
      <c r="W34">
        <f t="shared" si="12"/>
        <v>0</v>
      </c>
      <c r="X34">
        <f t="shared" si="13"/>
        <v>0</v>
      </c>
      <c r="Y34">
        <f t="shared" si="14"/>
        <v>0</v>
      </c>
      <c r="Z34">
        <f t="shared" si="15"/>
        <v>0</v>
      </c>
      <c r="AA34">
        <f t="shared" si="16"/>
        <v>0</v>
      </c>
      <c r="AB34">
        <f t="shared" si="17"/>
        <v>0</v>
      </c>
      <c r="AC34">
        <f t="shared" si="18"/>
        <v>0</v>
      </c>
      <c r="AD34">
        <f t="shared" si="19"/>
        <v>0</v>
      </c>
      <c r="AE34">
        <f t="shared" si="20"/>
        <v>0</v>
      </c>
      <c r="AF34">
        <f t="shared" si="21"/>
        <v>0</v>
      </c>
    </row>
    <row r="35" spans="1:32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  <c r="M35">
        <f t="shared" si="2"/>
        <v>1</v>
      </c>
      <c r="N35">
        <f t="shared" si="3"/>
        <v>1</v>
      </c>
      <c r="O35">
        <f t="shared" si="4"/>
        <v>1</v>
      </c>
      <c r="P35">
        <f t="shared" si="5"/>
        <v>1</v>
      </c>
      <c r="Q35">
        <f t="shared" si="6"/>
        <v>1</v>
      </c>
      <c r="R35">
        <f t="shared" si="7"/>
        <v>1</v>
      </c>
      <c r="S35">
        <f t="shared" si="8"/>
        <v>1</v>
      </c>
      <c r="T35">
        <f t="shared" si="9"/>
        <v>1</v>
      </c>
      <c r="U35">
        <f t="shared" si="10"/>
        <v>1</v>
      </c>
      <c r="V35">
        <f t="shared" si="11"/>
        <v>1</v>
      </c>
      <c r="W35">
        <f t="shared" si="12"/>
        <v>0</v>
      </c>
      <c r="X35">
        <f t="shared" si="13"/>
        <v>0</v>
      </c>
      <c r="Y35">
        <f t="shared" si="14"/>
        <v>0</v>
      </c>
      <c r="Z35">
        <f t="shared" si="15"/>
        <v>0</v>
      </c>
      <c r="AA35">
        <f t="shared" si="16"/>
        <v>0</v>
      </c>
      <c r="AB35">
        <f t="shared" si="17"/>
        <v>0</v>
      </c>
      <c r="AC35">
        <f t="shared" si="18"/>
        <v>0</v>
      </c>
      <c r="AD35">
        <f t="shared" si="19"/>
        <v>0</v>
      </c>
      <c r="AE35">
        <f t="shared" si="20"/>
        <v>0</v>
      </c>
      <c r="AF35">
        <f t="shared" si="21"/>
        <v>0</v>
      </c>
    </row>
    <row r="36" spans="1:32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  <c r="M36">
        <f t="shared" si="2"/>
        <v>1</v>
      </c>
      <c r="N36">
        <f t="shared" si="3"/>
        <v>1</v>
      </c>
      <c r="O36">
        <f t="shared" si="4"/>
        <v>1</v>
      </c>
      <c r="P36">
        <f t="shared" si="5"/>
        <v>1</v>
      </c>
      <c r="Q36">
        <f t="shared" si="6"/>
        <v>1</v>
      </c>
      <c r="R36">
        <f t="shared" si="7"/>
        <v>1</v>
      </c>
      <c r="S36">
        <f t="shared" si="8"/>
        <v>1</v>
      </c>
      <c r="T36">
        <f t="shared" si="9"/>
        <v>1</v>
      </c>
      <c r="U36">
        <f t="shared" si="10"/>
        <v>1</v>
      </c>
      <c r="V36">
        <f t="shared" si="11"/>
        <v>1</v>
      </c>
      <c r="W36">
        <f t="shared" si="12"/>
        <v>0</v>
      </c>
      <c r="X36">
        <f t="shared" si="13"/>
        <v>0</v>
      </c>
      <c r="Y36">
        <f t="shared" si="14"/>
        <v>0</v>
      </c>
      <c r="Z36">
        <f t="shared" si="15"/>
        <v>0</v>
      </c>
      <c r="AA36">
        <f t="shared" si="16"/>
        <v>0</v>
      </c>
      <c r="AB36">
        <f t="shared" si="17"/>
        <v>0</v>
      </c>
      <c r="AC36">
        <f t="shared" si="18"/>
        <v>0</v>
      </c>
      <c r="AD36">
        <f t="shared" si="19"/>
        <v>0</v>
      </c>
      <c r="AE36">
        <f t="shared" si="20"/>
        <v>0</v>
      </c>
      <c r="AF36">
        <f t="shared" si="21"/>
        <v>0</v>
      </c>
    </row>
    <row r="37" spans="1:32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  <c r="M37">
        <f t="shared" si="2"/>
        <v>1</v>
      </c>
      <c r="N37">
        <f t="shared" si="3"/>
        <v>1</v>
      </c>
      <c r="O37">
        <f t="shared" si="4"/>
        <v>1</v>
      </c>
      <c r="P37">
        <f t="shared" si="5"/>
        <v>1</v>
      </c>
      <c r="Q37">
        <f t="shared" si="6"/>
        <v>1</v>
      </c>
      <c r="R37">
        <f t="shared" si="7"/>
        <v>1</v>
      </c>
      <c r="S37">
        <f t="shared" si="8"/>
        <v>1</v>
      </c>
      <c r="T37">
        <f t="shared" si="9"/>
        <v>1</v>
      </c>
      <c r="U37">
        <f t="shared" si="10"/>
        <v>1</v>
      </c>
      <c r="V37">
        <f t="shared" si="11"/>
        <v>1</v>
      </c>
      <c r="W37">
        <f t="shared" si="12"/>
        <v>0</v>
      </c>
      <c r="X37">
        <f t="shared" si="13"/>
        <v>0</v>
      </c>
      <c r="Y37">
        <f t="shared" si="14"/>
        <v>0</v>
      </c>
      <c r="Z37">
        <f t="shared" si="15"/>
        <v>0</v>
      </c>
      <c r="AA37">
        <f t="shared" si="16"/>
        <v>0</v>
      </c>
      <c r="AB37">
        <f t="shared" si="17"/>
        <v>0</v>
      </c>
      <c r="AC37">
        <f t="shared" si="18"/>
        <v>0</v>
      </c>
      <c r="AD37">
        <f t="shared" si="19"/>
        <v>0</v>
      </c>
      <c r="AE37">
        <f t="shared" si="20"/>
        <v>0</v>
      </c>
      <c r="AF37">
        <f t="shared" si="21"/>
        <v>0</v>
      </c>
    </row>
    <row r="38" spans="1:32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  <c r="M38">
        <f t="shared" si="2"/>
        <v>1</v>
      </c>
      <c r="N38">
        <f t="shared" si="3"/>
        <v>1</v>
      </c>
      <c r="O38">
        <f t="shared" si="4"/>
        <v>1</v>
      </c>
      <c r="P38">
        <f t="shared" si="5"/>
        <v>1</v>
      </c>
      <c r="Q38">
        <f t="shared" si="6"/>
        <v>1</v>
      </c>
      <c r="R38">
        <f t="shared" si="7"/>
        <v>1</v>
      </c>
      <c r="S38">
        <f t="shared" si="8"/>
        <v>1</v>
      </c>
      <c r="T38">
        <f t="shared" si="9"/>
        <v>1</v>
      </c>
      <c r="U38">
        <f t="shared" si="10"/>
        <v>1</v>
      </c>
      <c r="V38">
        <f t="shared" si="11"/>
        <v>1</v>
      </c>
      <c r="W38">
        <f t="shared" si="12"/>
        <v>0</v>
      </c>
      <c r="X38">
        <f t="shared" si="13"/>
        <v>0</v>
      </c>
      <c r="Y38">
        <f t="shared" si="14"/>
        <v>0</v>
      </c>
      <c r="Z38">
        <f t="shared" si="15"/>
        <v>0</v>
      </c>
      <c r="AA38">
        <f t="shared" si="16"/>
        <v>0</v>
      </c>
      <c r="AB38">
        <f t="shared" si="17"/>
        <v>0</v>
      </c>
      <c r="AC38">
        <f t="shared" si="18"/>
        <v>0</v>
      </c>
      <c r="AD38">
        <f t="shared" si="19"/>
        <v>0</v>
      </c>
      <c r="AE38">
        <f t="shared" si="20"/>
        <v>0</v>
      </c>
      <c r="AF38">
        <f t="shared" si="21"/>
        <v>0</v>
      </c>
    </row>
    <row r="39" spans="1:32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  <c r="M39">
        <f t="shared" si="2"/>
        <v>1</v>
      </c>
      <c r="N39">
        <f t="shared" si="3"/>
        <v>1</v>
      </c>
      <c r="O39">
        <f t="shared" si="4"/>
        <v>1</v>
      </c>
      <c r="P39">
        <f t="shared" si="5"/>
        <v>1</v>
      </c>
      <c r="Q39">
        <f t="shared" si="6"/>
        <v>1</v>
      </c>
      <c r="R39">
        <f t="shared" si="7"/>
        <v>1</v>
      </c>
      <c r="S39">
        <f t="shared" si="8"/>
        <v>1</v>
      </c>
      <c r="T39">
        <f t="shared" si="9"/>
        <v>1</v>
      </c>
      <c r="U39">
        <f t="shared" si="10"/>
        <v>1</v>
      </c>
      <c r="V39">
        <f t="shared" si="11"/>
        <v>1</v>
      </c>
      <c r="W39">
        <f t="shared" si="12"/>
        <v>0</v>
      </c>
      <c r="X39">
        <f t="shared" si="13"/>
        <v>0</v>
      </c>
      <c r="Y39">
        <f t="shared" si="14"/>
        <v>0</v>
      </c>
      <c r="Z39">
        <f t="shared" si="15"/>
        <v>0</v>
      </c>
      <c r="AA39">
        <f t="shared" si="16"/>
        <v>0</v>
      </c>
      <c r="AB39">
        <f t="shared" si="17"/>
        <v>0</v>
      </c>
      <c r="AC39">
        <f t="shared" si="18"/>
        <v>0</v>
      </c>
      <c r="AD39">
        <f t="shared" si="19"/>
        <v>0</v>
      </c>
      <c r="AE39">
        <f t="shared" si="20"/>
        <v>0</v>
      </c>
      <c r="AF39">
        <f t="shared" si="21"/>
        <v>0</v>
      </c>
    </row>
    <row r="40" spans="1:32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  <c r="M40">
        <f t="shared" si="2"/>
        <v>1</v>
      </c>
      <c r="N40">
        <f t="shared" si="3"/>
        <v>1</v>
      </c>
      <c r="O40">
        <f t="shared" si="4"/>
        <v>1</v>
      </c>
      <c r="P40">
        <f t="shared" si="5"/>
        <v>1</v>
      </c>
      <c r="Q40">
        <f t="shared" si="6"/>
        <v>1</v>
      </c>
      <c r="R40">
        <f t="shared" si="7"/>
        <v>1</v>
      </c>
      <c r="S40">
        <f t="shared" si="8"/>
        <v>1</v>
      </c>
      <c r="T40">
        <f t="shared" si="9"/>
        <v>1</v>
      </c>
      <c r="U40">
        <f t="shared" si="10"/>
        <v>1</v>
      </c>
      <c r="V40">
        <f t="shared" si="11"/>
        <v>1</v>
      </c>
      <c r="W40">
        <f t="shared" si="12"/>
        <v>0</v>
      </c>
      <c r="X40">
        <f t="shared" si="13"/>
        <v>0</v>
      </c>
      <c r="Y40">
        <f t="shared" si="14"/>
        <v>0</v>
      </c>
      <c r="Z40">
        <f t="shared" si="15"/>
        <v>0</v>
      </c>
      <c r="AA40">
        <f t="shared" si="16"/>
        <v>0</v>
      </c>
      <c r="AB40">
        <f t="shared" si="17"/>
        <v>0</v>
      </c>
      <c r="AC40">
        <f t="shared" si="18"/>
        <v>0</v>
      </c>
      <c r="AD40">
        <f t="shared" si="19"/>
        <v>0</v>
      </c>
      <c r="AE40">
        <f t="shared" si="20"/>
        <v>0</v>
      </c>
      <c r="AF40">
        <f t="shared" si="21"/>
        <v>0</v>
      </c>
    </row>
    <row r="41" spans="1:32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  <c r="M41">
        <f t="shared" si="2"/>
        <v>1</v>
      </c>
      <c r="N41">
        <f t="shared" si="3"/>
        <v>1</v>
      </c>
      <c r="O41">
        <f t="shared" si="4"/>
        <v>1</v>
      </c>
      <c r="P41">
        <f t="shared" si="5"/>
        <v>1</v>
      </c>
      <c r="Q41">
        <f t="shared" si="6"/>
        <v>1</v>
      </c>
      <c r="R41">
        <f t="shared" si="7"/>
        <v>1</v>
      </c>
      <c r="S41">
        <f t="shared" si="8"/>
        <v>1</v>
      </c>
      <c r="T41">
        <f t="shared" si="9"/>
        <v>1</v>
      </c>
      <c r="U41">
        <f t="shared" si="10"/>
        <v>1</v>
      </c>
      <c r="V41">
        <f t="shared" si="11"/>
        <v>1</v>
      </c>
      <c r="W41">
        <f t="shared" si="12"/>
        <v>0</v>
      </c>
      <c r="X41">
        <f t="shared" si="13"/>
        <v>0</v>
      </c>
      <c r="Y41">
        <f t="shared" si="14"/>
        <v>0</v>
      </c>
      <c r="Z41">
        <f t="shared" si="15"/>
        <v>0</v>
      </c>
      <c r="AA41">
        <f t="shared" si="16"/>
        <v>0</v>
      </c>
      <c r="AB41">
        <f t="shared" si="17"/>
        <v>0</v>
      </c>
      <c r="AC41">
        <f t="shared" si="18"/>
        <v>0</v>
      </c>
      <c r="AD41">
        <f t="shared" si="19"/>
        <v>0</v>
      </c>
      <c r="AE41">
        <f t="shared" si="20"/>
        <v>0</v>
      </c>
      <c r="AF41">
        <f t="shared" si="21"/>
        <v>0</v>
      </c>
    </row>
    <row r="42" spans="1:32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  <c r="M42">
        <f t="shared" si="2"/>
        <v>1</v>
      </c>
      <c r="N42">
        <f t="shared" si="3"/>
        <v>1</v>
      </c>
      <c r="O42">
        <f t="shared" si="4"/>
        <v>1</v>
      </c>
      <c r="P42">
        <f t="shared" si="5"/>
        <v>1</v>
      </c>
      <c r="Q42">
        <f t="shared" si="6"/>
        <v>1</v>
      </c>
      <c r="R42">
        <f t="shared" si="7"/>
        <v>1</v>
      </c>
      <c r="S42">
        <f t="shared" si="8"/>
        <v>1</v>
      </c>
      <c r="T42">
        <f t="shared" si="9"/>
        <v>1</v>
      </c>
      <c r="U42">
        <f t="shared" si="10"/>
        <v>1</v>
      </c>
      <c r="V42">
        <f t="shared" si="11"/>
        <v>1</v>
      </c>
      <c r="W42">
        <f t="shared" si="12"/>
        <v>0</v>
      </c>
      <c r="X42">
        <f t="shared" si="13"/>
        <v>0</v>
      </c>
      <c r="Y42">
        <f t="shared" si="14"/>
        <v>0</v>
      </c>
      <c r="Z42">
        <f t="shared" si="15"/>
        <v>0</v>
      </c>
      <c r="AA42">
        <f t="shared" si="16"/>
        <v>0</v>
      </c>
      <c r="AB42">
        <f t="shared" si="17"/>
        <v>0</v>
      </c>
      <c r="AC42">
        <f t="shared" si="18"/>
        <v>0</v>
      </c>
      <c r="AD42">
        <f t="shared" si="19"/>
        <v>0</v>
      </c>
      <c r="AE42">
        <f t="shared" si="20"/>
        <v>0</v>
      </c>
      <c r="AF42">
        <f t="shared" si="21"/>
        <v>0</v>
      </c>
    </row>
    <row r="43" spans="1:32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  <c r="M43">
        <f t="shared" si="2"/>
        <v>1</v>
      </c>
      <c r="N43">
        <f t="shared" si="3"/>
        <v>1</v>
      </c>
      <c r="O43">
        <f t="shared" si="4"/>
        <v>1</v>
      </c>
      <c r="P43">
        <f t="shared" si="5"/>
        <v>1</v>
      </c>
      <c r="Q43">
        <f t="shared" si="6"/>
        <v>1</v>
      </c>
      <c r="R43">
        <f t="shared" si="7"/>
        <v>1</v>
      </c>
      <c r="S43">
        <f t="shared" si="8"/>
        <v>0</v>
      </c>
      <c r="T43">
        <f t="shared" si="9"/>
        <v>1</v>
      </c>
      <c r="U43">
        <f t="shared" si="10"/>
        <v>1</v>
      </c>
      <c r="V43">
        <f t="shared" si="11"/>
        <v>1</v>
      </c>
      <c r="W43">
        <f t="shared" si="12"/>
        <v>0</v>
      </c>
      <c r="X43">
        <f t="shared" si="13"/>
        <v>0</v>
      </c>
      <c r="Y43">
        <f t="shared" si="14"/>
        <v>0</v>
      </c>
      <c r="Z43">
        <f t="shared" si="15"/>
        <v>0</v>
      </c>
      <c r="AA43">
        <f t="shared" si="16"/>
        <v>0</v>
      </c>
      <c r="AB43">
        <f t="shared" si="17"/>
        <v>0</v>
      </c>
      <c r="AC43">
        <f t="shared" si="18"/>
        <v>1</v>
      </c>
      <c r="AD43">
        <f t="shared" si="19"/>
        <v>0</v>
      </c>
      <c r="AE43">
        <f t="shared" si="20"/>
        <v>0</v>
      </c>
      <c r="AF43">
        <f t="shared" si="21"/>
        <v>0</v>
      </c>
    </row>
    <row r="44" spans="1:32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  <c r="M44">
        <f t="shared" si="2"/>
        <v>1</v>
      </c>
      <c r="N44">
        <f t="shared" si="3"/>
        <v>0</v>
      </c>
      <c r="O44">
        <f t="shared" si="4"/>
        <v>1</v>
      </c>
      <c r="P44">
        <f t="shared" si="5"/>
        <v>1</v>
      </c>
      <c r="Q44">
        <f t="shared" si="6"/>
        <v>1</v>
      </c>
      <c r="R44">
        <f t="shared" si="7"/>
        <v>1</v>
      </c>
      <c r="S44">
        <f t="shared" si="8"/>
        <v>1</v>
      </c>
      <c r="T44">
        <f t="shared" si="9"/>
        <v>1</v>
      </c>
      <c r="U44">
        <f t="shared" si="10"/>
        <v>1</v>
      </c>
      <c r="V44">
        <f t="shared" si="11"/>
        <v>1</v>
      </c>
      <c r="W44">
        <f t="shared" si="12"/>
        <v>0</v>
      </c>
      <c r="X44">
        <f t="shared" si="13"/>
        <v>1</v>
      </c>
      <c r="Y44">
        <f t="shared" si="14"/>
        <v>0</v>
      </c>
      <c r="Z44">
        <f t="shared" si="15"/>
        <v>0</v>
      </c>
      <c r="AA44">
        <f t="shared" si="16"/>
        <v>0</v>
      </c>
      <c r="AB44">
        <f t="shared" si="17"/>
        <v>0</v>
      </c>
      <c r="AC44">
        <f t="shared" si="18"/>
        <v>0</v>
      </c>
      <c r="AD44">
        <f t="shared" si="19"/>
        <v>0</v>
      </c>
      <c r="AE44">
        <f t="shared" si="20"/>
        <v>0</v>
      </c>
      <c r="AF44">
        <f t="shared" si="21"/>
        <v>0</v>
      </c>
    </row>
    <row r="45" spans="1:32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  <c r="M45">
        <f t="shared" si="2"/>
        <v>1</v>
      </c>
      <c r="N45">
        <f t="shared" si="3"/>
        <v>1</v>
      </c>
      <c r="O45">
        <f t="shared" si="4"/>
        <v>0</v>
      </c>
      <c r="P45">
        <f t="shared" si="5"/>
        <v>1</v>
      </c>
      <c r="Q45">
        <f t="shared" si="6"/>
        <v>0</v>
      </c>
      <c r="R45">
        <f t="shared" si="7"/>
        <v>0</v>
      </c>
      <c r="S45">
        <f t="shared" si="8"/>
        <v>1</v>
      </c>
      <c r="T45">
        <f t="shared" si="9"/>
        <v>0</v>
      </c>
      <c r="U45">
        <f t="shared" si="10"/>
        <v>0</v>
      </c>
      <c r="V45">
        <f t="shared" si="11"/>
        <v>1</v>
      </c>
      <c r="W45">
        <f t="shared" si="12"/>
        <v>0</v>
      </c>
      <c r="X45">
        <f t="shared" si="13"/>
        <v>0</v>
      </c>
      <c r="Y45">
        <f t="shared" si="14"/>
        <v>1</v>
      </c>
      <c r="Z45">
        <f t="shared" si="15"/>
        <v>0</v>
      </c>
      <c r="AA45">
        <f t="shared" si="16"/>
        <v>1</v>
      </c>
      <c r="AB45">
        <f t="shared" si="17"/>
        <v>1</v>
      </c>
      <c r="AC45">
        <f t="shared" si="18"/>
        <v>0</v>
      </c>
      <c r="AD45">
        <f t="shared" si="19"/>
        <v>1</v>
      </c>
      <c r="AE45">
        <f t="shared" si="20"/>
        <v>1</v>
      </c>
      <c r="AF45">
        <f t="shared" si="21"/>
        <v>0</v>
      </c>
    </row>
    <row r="46" spans="1:32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  <c r="M46">
        <f t="shared" si="2"/>
        <v>1</v>
      </c>
      <c r="N46">
        <f t="shared" si="3"/>
        <v>1</v>
      </c>
      <c r="O46">
        <f t="shared" si="4"/>
        <v>1</v>
      </c>
      <c r="P46">
        <f t="shared" si="5"/>
        <v>1</v>
      </c>
      <c r="Q46">
        <f t="shared" si="6"/>
        <v>0</v>
      </c>
      <c r="R46">
        <f t="shared" si="7"/>
        <v>1</v>
      </c>
      <c r="S46">
        <f t="shared" si="8"/>
        <v>1</v>
      </c>
      <c r="T46">
        <f t="shared" si="9"/>
        <v>1</v>
      </c>
      <c r="U46">
        <f t="shared" si="10"/>
        <v>1</v>
      </c>
      <c r="V46">
        <f t="shared" si="11"/>
        <v>1</v>
      </c>
      <c r="W46">
        <f t="shared" si="12"/>
        <v>0</v>
      </c>
      <c r="X46">
        <f t="shared" si="13"/>
        <v>0</v>
      </c>
      <c r="Y46">
        <f t="shared" si="14"/>
        <v>0</v>
      </c>
      <c r="Z46">
        <f t="shared" si="15"/>
        <v>0</v>
      </c>
      <c r="AA46">
        <f t="shared" si="16"/>
        <v>1</v>
      </c>
      <c r="AB46">
        <f t="shared" si="17"/>
        <v>0</v>
      </c>
      <c r="AC46">
        <f t="shared" si="18"/>
        <v>0</v>
      </c>
      <c r="AD46">
        <f t="shared" si="19"/>
        <v>0</v>
      </c>
      <c r="AE46">
        <f t="shared" si="20"/>
        <v>0</v>
      </c>
      <c r="AF46">
        <f t="shared" si="21"/>
        <v>0</v>
      </c>
    </row>
    <row r="47" spans="1:32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  <c r="M47">
        <f t="shared" si="2"/>
        <v>1</v>
      </c>
      <c r="N47">
        <f t="shared" si="3"/>
        <v>1</v>
      </c>
      <c r="O47">
        <f t="shared" si="4"/>
        <v>1</v>
      </c>
      <c r="P47">
        <f t="shared" si="5"/>
        <v>0</v>
      </c>
      <c r="Q47">
        <f t="shared" si="6"/>
        <v>0</v>
      </c>
      <c r="R47">
        <f t="shared" si="7"/>
        <v>1</v>
      </c>
      <c r="S47">
        <f t="shared" si="8"/>
        <v>1</v>
      </c>
      <c r="T47">
        <f t="shared" si="9"/>
        <v>1</v>
      </c>
      <c r="U47">
        <f t="shared" si="10"/>
        <v>1</v>
      </c>
      <c r="V47">
        <f t="shared" si="11"/>
        <v>1</v>
      </c>
      <c r="W47">
        <f t="shared" si="12"/>
        <v>0</v>
      </c>
      <c r="X47">
        <f t="shared" si="13"/>
        <v>0</v>
      </c>
      <c r="Y47">
        <f t="shared" si="14"/>
        <v>0</v>
      </c>
      <c r="Z47">
        <f t="shared" si="15"/>
        <v>1</v>
      </c>
      <c r="AA47">
        <f t="shared" si="16"/>
        <v>1</v>
      </c>
      <c r="AB47">
        <f t="shared" si="17"/>
        <v>0</v>
      </c>
      <c r="AC47">
        <f t="shared" si="18"/>
        <v>0</v>
      </c>
      <c r="AD47">
        <f t="shared" si="19"/>
        <v>0</v>
      </c>
      <c r="AE47">
        <f t="shared" si="20"/>
        <v>0</v>
      </c>
      <c r="AF47">
        <f t="shared" si="21"/>
        <v>0</v>
      </c>
    </row>
    <row r="48" spans="1:32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  <c r="M48">
        <f t="shared" si="2"/>
        <v>0</v>
      </c>
      <c r="N48">
        <f t="shared" si="3"/>
        <v>1</v>
      </c>
      <c r="O48">
        <f t="shared" si="4"/>
        <v>1</v>
      </c>
      <c r="P48">
        <f t="shared" si="5"/>
        <v>1</v>
      </c>
      <c r="Q48">
        <f t="shared" si="6"/>
        <v>1</v>
      </c>
      <c r="R48">
        <f t="shared" si="7"/>
        <v>1</v>
      </c>
      <c r="S48">
        <f t="shared" si="8"/>
        <v>1</v>
      </c>
      <c r="T48">
        <f t="shared" si="9"/>
        <v>1</v>
      </c>
      <c r="U48">
        <f t="shared" si="10"/>
        <v>1</v>
      </c>
      <c r="V48">
        <f t="shared" si="11"/>
        <v>1</v>
      </c>
      <c r="W48">
        <f t="shared" si="12"/>
        <v>1</v>
      </c>
      <c r="X48">
        <f t="shared" si="13"/>
        <v>0</v>
      </c>
      <c r="Y48">
        <f t="shared" si="14"/>
        <v>0</v>
      </c>
      <c r="Z48">
        <f t="shared" si="15"/>
        <v>0</v>
      </c>
      <c r="AA48">
        <f t="shared" si="16"/>
        <v>0</v>
      </c>
      <c r="AB48">
        <f t="shared" si="17"/>
        <v>0</v>
      </c>
      <c r="AC48">
        <f t="shared" si="18"/>
        <v>0</v>
      </c>
      <c r="AD48">
        <f t="shared" si="19"/>
        <v>0</v>
      </c>
      <c r="AE48">
        <f t="shared" si="20"/>
        <v>0</v>
      </c>
      <c r="AF48">
        <f t="shared" si="21"/>
        <v>0</v>
      </c>
    </row>
    <row r="49" spans="1:32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  <c r="M49">
        <f t="shared" si="2"/>
        <v>1</v>
      </c>
      <c r="N49">
        <f t="shared" si="3"/>
        <v>0</v>
      </c>
      <c r="O49">
        <f t="shared" si="4"/>
        <v>1</v>
      </c>
      <c r="P49">
        <f t="shared" si="5"/>
        <v>1</v>
      </c>
      <c r="Q49">
        <f t="shared" si="6"/>
        <v>1</v>
      </c>
      <c r="R49">
        <f t="shared" si="7"/>
        <v>0</v>
      </c>
      <c r="S49">
        <f t="shared" si="8"/>
        <v>1</v>
      </c>
      <c r="T49">
        <f t="shared" si="9"/>
        <v>1</v>
      </c>
      <c r="U49">
        <f t="shared" si="10"/>
        <v>0</v>
      </c>
      <c r="V49">
        <f t="shared" si="11"/>
        <v>1</v>
      </c>
      <c r="W49">
        <f t="shared" si="12"/>
        <v>0</v>
      </c>
      <c r="X49">
        <f t="shared" si="13"/>
        <v>1</v>
      </c>
      <c r="Y49">
        <f t="shared" si="14"/>
        <v>0</v>
      </c>
      <c r="Z49">
        <f t="shared" si="15"/>
        <v>0</v>
      </c>
      <c r="AA49">
        <f t="shared" si="16"/>
        <v>0</v>
      </c>
      <c r="AB49">
        <f t="shared" si="17"/>
        <v>1</v>
      </c>
      <c r="AC49">
        <f t="shared" si="18"/>
        <v>0</v>
      </c>
      <c r="AD49">
        <f t="shared" si="19"/>
        <v>0</v>
      </c>
      <c r="AE49">
        <f t="shared" si="20"/>
        <v>1</v>
      </c>
      <c r="AF49">
        <f t="shared" si="21"/>
        <v>0</v>
      </c>
    </row>
    <row r="50" spans="1:32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  <c r="M50">
        <f t="shared" si="2"/>
        <v>1</v>
      </c>
      <c r="N50">
        <f t="shared" si="3"/>
        <v>1</v>
      </c>
      <c r="O50">
        <f t="shared" si="4"/>
        <v>1</v>
      </c>
      <c r="P50">
        <f t="shared" si="5"/>
        <v>1</v>
      </c>
      <c r="Q50">
        <f t="shared" si="6"/>
        <v>1</v>
      </c>
      <c r="R50">
        <f t="shared" si="7"/>
        <v>1</v>
      </c>
      <c r="S50">
        <f t="shared" si="8"/>
        <v>1</v>
      </c>
      <c r="T50">
        <f t="shared" si="9"/>
        <v>1</v>
      </c>
      <c r="U50">
        <f t="shared" si="10"/>
        <v>0</v>
      </c>
      <c r="V50">
        <f t="shared" si="11"/>
        <v>1</v>
      </c>
      <c r="W50">
        <f t="shared" si="12"/>
        <v>0</v>
      </c>
      <c r="X50">
        <f t="shared" si="13"/>
        <v>0</v>
      </c>
      <c r="Y50">
        <f t="shared" si="14"/>
        <v>0</v>
      </c>
      <c r="Z50">
        <f t="shared" si="15"/>
        <v>0</v>
      </c>
      <c r="AA50">
        <f t="shared" si="16"/>
        <v>0</v>
      </c>
      <c r="AB50">
        <f t="shared" si="17"/>
        <v>0</v>
      </c>
      <c r="AC50">
        <f t="shared" si="18"/>
        <v>0</v>
      </c>
      <c r="AD50">
        <f t="shared" si="19"/>
        <v>0</v>
      </c>
      <c r="AE50">
        <f t="shared" si="20"/>
        <v>1</v>
      </c>
      <c r="AF50">
        <f t="shared" si="21"/>
        <v>0</v>
      </c>
    </row>
    <row r="51" spans="1:32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  <c r="M51">
        <f t="shared" si="2"/>
        <v>0</v>
      </c>
      <c r="N51">
        <f t="shared" si="3"/>
        <v>1</v>
      </c>
      <c r="O51">
        <f t="shared" si="4"/>
        <v>1</v>
      </c>
      <c r="P51">
        <f t="shared" si="5"/>
        <v>1</v>
      </c>
      <c r="Q51">
        <f t="shared" si="6"/>
        <v>1</v>
      </c>
      <c r="R51">
        <f t="shared" si="7"/>
        <v>1</v>
      </c>
      <c r="S51">
        <f t="shared" si="8"/>
        <v>1</v>
      </c>
      <c r="T51">
        <f t="shared" si="9"/>
        <v>1</v>
      </c>
      <c r="U51">
        <f t="shared" si="10"/>
        <v>1</v>
      </c>
      <c r="V51">
        <f t="shared" si="11"/>
        <v>1</v>
      </c>
      <c r="W51">
        <f t="shared" si="12"/>
        <v>1</v>
      </c>
      <c r="X51">
        <f t="shared" si="13"/>
        <v>0</v>
      </c>
      <c r="Y51">
        <f t="shared" si="14"/>
        <v>0</v>
      </c>
      <c r="Z51">
        <f t="shared" si="15"/>
        <v>0</v>
      </c>
      <c r="AA51">
        <f t="shared" si="16"/>
        <v>0</v>
      </c>
      <c r="AB51">
        <f t="shared" si="17"/>
        <v>0</v>
      </c>
      <c r="AC51">
        <f t="shared" si="18"/>
        <v>0</v>
      </c>
      <c r="AD51">
        <f t="shared" si="19"/>
        <v>0</v>
      </c>
      <c r="AE51">
        <f t="shared" si="20"/>
        <v>0</v>
      </c>
      <c r="AF51">
        <f t="shared" si="21"/>
        <v>0</v>
      </c>
    </row>
    <row r="52" spans="1:32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  <c r="M52">
        <f t="shared" si="2"/>
        <v>1</v>
      </c>
      <c r="N52">
        <f t="shared" si="3"/>
        <v>1</v>
      </c>
      <c r="O52">
        <f t="shared" si="4"/>
        <v>1</v>
      </c>
      <c r="P52">
        <f t="shared" si="5"/>
        <v>1</v>
      </c>
      <c r="Q52">
        <f t="shared" si="6"/>
        <v>1</v>
      </c>
      <c r="R52">
        <f t="shared" si="7"/>
        <v>1</v>
      </c>
      <c r="S52">
        <f t="shared" si="8"/>
        <v>1</v>
      </c>
      <c r="T52">
        <f t="shared" si="9"/>
        <v>0</v>
      </c>
      <c r="U52">
        <f t="shared" si="10"/>
        <v>1</v>
      </c>
      <c r="V52">
        <f t="shared" si="11"/>
        <v>1</v>
      </c>
      <c r="W52">
        <f t="shared" si="12"/>
        <v>0</v>
      </c>
      <c r="X52">
        <f t="shared" si="13"/>
        <v>0</v>
      </c>
      <c r="Y52">
        <f t="shared" si="14"/>
        <v>0</v>
      </c>
      <c r="Z52">
        <f t="shared" si="15"/>
        <v>0</v>
      </c>
      <c r="AA52">
        <f t="shared" si="16"/>
        <v>0</v>
      </c>
      <c r="AB52">
        <f t="shared" si="17"/>
        <v>0</v>
      </c>
      <c r="AC52">
        <f t="shared" si="18"/>
        <v>0</v>
      </c>
      <c r="AD52">
        <f t="shared" si="19"/>
        <v>1</v>
      </c>
      <c r="AE52">
        <f t="shared" si="20"/>
        <v>0</v>
      </c>
      <c r="AF52">
        <f t="shared" si="21"/>
        <v>0</v>
      </c>
    </row>
    <row r="53" spans="1:32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  <c r="M53">
        <f t="shared" si="2"/>
        <v>1</v>
      </c>
      <c r="N53">
        <f t="shared" si="3"/>
        <v>1</v>
      </c>
      <c r="O53">
        <f t="shared" si="4"/>
        <v>1</v>
      </c>
      <c r="P53">
        <f t="shared" si="5"/>
        <v>1</v>
      </c>
      <c r="Q53">
        <f t="shared" si="6"/>
        <v>1</v>
      </c>
      <c r="R53">
        <f t="shared" si="7"/>
        <v>1</v>
      </c>
      <c r="S53">
        <f t="shared" si="8"/>
        <v>1</v>
      </c>
      <c r="T53">
        <f t="shared" si="9"/>
        <v>1</v>
      </c>
      <c r="U53">
        <f t="shared" si="10"/>
        <v>1</v>
      </c>
      <c r="V53">
        <f t="shared" si="11"/>
        <v>1</v>
      </c>
      <c r="W53">
        <f t="shared" si="12"/>
        <v>0</v>
      </c>
      <c r="X53">
        <f t="shared" si="13"/>
        <v>0</v>
      </c>
      <c r="Y53">
        <f t="shared" si="14"/>
        <v>0</v>
      </c>
      <c r="Z53">
        <f t="shared" si="15"/>
        <v>0</v>
      </c>
      <c r="AA53">
        <f t="shared" si="16"/>
        <v>0</v>
      </c>
      <c r="AB53">
        <f t="shared" si="17"/>
        <v>0</v>
      </c>
      <c r="AC53">
        <f t="shared" si="18"/>
        <v>0</v>
      </c>
      <c r="AD53">
        <f t="shared" si="19"/>
        <v>0</v>
      </c>
      <c r="AE53">
        <f t="shared" si="20"/>
        <v>0</v>
      </c>
      <c r="AF53">
        <f t="shared" si="21"/>
        <v>0</v>
      </c>
    </row>
    <row r="54" spans="1:32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  <c r="M54">
        <f t="shared" si="2"/>
        <v>1</v>
      </c>
      <c r="N54">
        <f t="shared" si="3"/>
        <v>1</v>
      </c>
      <c r="O54">
        <f t="shared" si="4"/>
        <v>1</v>
      </c>
      <c r="P54">
        <f t="shared" si="5"/>
        <v>0</v>
      </c>
      <c r="Q54">
        <f t="shared" si="6"/>
        <v>1</v>
      </c>
      <c r="R54">
        <f t="shared" si="7"/>
        <v>1</v>
      </c>
      <c r="S54">
        <f t="shared" si="8"/>
        <v>1</v>
      </c>
      <c r="T54">
        <f t="shared" si="9"/>
        <v>1</v>
      </c>
      <c r="U54">
        <f t="shared" si="10"/>
        <v>1</v>
      </c>
      <c r="V54">
        <f t="shared" si="11"/>
        <v>1</v>
      </c>
      <c r="W54">
        <f t="shared" si="12"/>
        <v>0</v>
      </c>
      <c r="X54">
        <f t="shared" si="13"/>
        <v>0</v>
      </c>
      <c r="Y54">
        <f t="shared" si="14"/>
        <v>0</v>
      </c>
      <c r="Z54">
        <f t="shared" si="15"/>
        <v>1</v>
      </c>
      <c r="AA54">
        <f t="shared" si="16"/>
        <v>0</v>
      </c>
      <c r="AB54">
        <f t="shared" si="17"/>
        <v>0</v>
      </c>
      <c r="AC54">
        <f t="shared" si="18"/>
        <v>0</v>
      </c>
      <c r="AD54">
        <f t="shared" si="19"/>
        <v>0</v>
      </c>
      <c r="AE54">
        <f t="shared" si="20"/>
        <v>0</v>
      </c>
      <c r="AF54">
        <f t="shared" si="21"/>
        <v>0</v>
      </c>
    </row>
    <row r="55" spans="1:32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  <c r="M55">
        <f t="shared" si="2"/>
        <v>1</v>
      </c>
      <c r="N55">
        <f t="shared" si="3"/>
        <v>1</v>
      </c>
      <c r="O55">
        <f t="shared" si="4"/>
        <v>1</v>
      </c>
      <c r="P55">
        <f t="shared" si="5"/>
        <v>1</v>
      </c>
      <c r="Q55">
        <f t="shared" si="6"/>
        <v>1</v>
      </c>
      <c r="R55">
        <f t="shared" si="7"/>
        <v>1</v>
      </c>
      <c r="S55">
        <f t="shared" si="8"/>
        <v>1</v>
      </c>
      <c r="T55">
        <f t="shared" si="9"/>
        <v>0</v>
      </c>
      <c r="U55">
        <f t="shared" si="10"/>
        <v>1</v>
      </c>
      <c r="V55">
        <f t="shared" si="11"/>
        <v>1</v>
      </c>
      <c r="W55">
        <f t="shared" si="12"/>
        <v>0</v>
      </c>
      <c r="X55">
        <f t="shared" si="13"/>
        <v>0</v>
      </c>
      <c r="Y55">
        <f t="shared" si="14"/>
        <v>0</v>
      </c>
      <c r="Z55">
        <f t="shared" si="15"/>
        <v>0</v>
      </c>
      <c r="AA55">
        <f t="shared" si="16"/>
        <v>0</v>
      </c>
      <c r="AB55">
        <f t="shared" si="17"/>
        <v>0</v>
      </c>
      <c r="AC55">
        <f t="shared" si="18"/>
        <v>0</v>
      </c>
      <c r="AD55">
        <f t="shared" si="19"/>
        <v>1</v>
      </c>
      <c r="AE55">
        <f t="shared" si="20"/>
        <v>0</v>
      </c>
      <c r="AF55">
        <f t="shared" si="21"/>
        <v>0</v>
      </c>
    </row>
    <row r="56" spans="1:32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  <c r="M56">
        <f t="shared" si="2"/>
        <v>1</v>
      </c>
      <c r="N56">
        <f t="shared" si="3"/>
        <v>1</v>
      </c>
      <c r="O56">
        <f t="shared" si="4"/>
        <v>1</v>
      </c>
      <c r="P56">
        <f t="shared" si="5"/>
        <v>0</v>
      </c>
      <c r="Q56">
        <f t="shared" si="6"/>
        <v>1</v>
      </c>
      <c r="R56">
        <f t="shared" si="7"/>
        <v>1</v>
      </c>
      <c r="S56">
        <f t="shared" si="8"/>
        <v>1</v>
      </c>
      <c r="T56">
        <f t="shared" si="9"/>
        <v>1</v>
      </c>
      <c r="U56">
        <f t="shared" si="10"/>
        <v>1</v>
      </c>
      <c r="V56">
        <f t="shared" si="11"/>
        <v>0</v>
      </c>
      <c r="W56">
        <f t="shared" si="12"/>
        <v>0</v>
      </c>
      <c r="X56">
        <f t="shared" si="13"/>
        <v>0</v>
      </c>
      <c r="Y56">
        <f t="shared" si="14"/>
        <v>0</v>
      </c>
      <c r="Z56">
        <f t="shared" si="15"/>
        <v>1</v>
      </c>
      <c r="AA56">
        <f t="shared" si="16"/>
        <v>0</v>
      </c>
      <c r="AB56">
        <f t="shared" si="17"/>
        <v>0</v>
      </c>
      <c r="AC56">
        <f t="shared" si="18"/>
        <v>0</v>
      </c>
      <c r="AD56">
        <f t="shared" si="19"/>
        <v>0</v>
      </c>
      <c r="AE56">
        <f t="shared" si="20"/>
        <v>0</v>
      </c>
      <c r="AF56">
        <f t="shared" si="21"/>
        <v>1</v>
      </c>
    </row>
    <row r="57" spans="1:32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  <c r="M57">
        <f t="shared" si="2"/>
        <v>1</v>
      </c>
      <c r="N57">
        <f t="shared" si="3"/>
        <v>1</v>
      </c>
      <c r="O57">
        <f t="shared" si="4"/>
        <v>1</v>
      </c>
      <c r="P57">
        <f t="shared" si="5"/>
        <v>1</v>
      </c>
      <c r="Q57">
        <f t="shared" si="6"/>
        <v>1</v>
      </c>
      <c r="R57">
        <f t="shared" si="7"/>
        <v>1</v>
      </c>
      <c r="S57">
        <f t="shared" si="8"/>
        <v>1</v>
      </c>
      <c r="T57">
        <f t="shared" si="9"/>
        <v>1</v>
      </c>
      <c r="U57">
        <f t="shared" si="10"/>
        <v>1</v>
      </c>
      <c r="V57">
        <f t="shared" si="11"/>
        <v>1</v>
      </c>
      <c r="W57">
        <f t="shared" si="12"/>
        <v>0</v>
      </c>
      <c r="X57">
        <f t="shared" si="13"/>
        <v>0</v>
      </c>
      <c r="Y57">
        <f t="shared" si="14"/>
        <v>0</v>
      </c>
      <c r="Z57">
        <f t="shared" si="15"/>
        <v>0</v>
      </c>
      <c r="AA57">
        <f t="shared" si="16"/>
        <v>0</v>
      </c>
      <c r="AB57">
        <f t="shared" si="17"/>
        <v>0</v>
      </c>
      <c r="AC57">
        <f t="shared" si="18"/>
        <v>0</v>
      </c>
      <c r="AD57">
        <f t="shared" si="19"/>
        <v>0</v>
      </c>
      <c r="AE57">
        <f t="shared" si="20"/>
        <v>0</v>
      </c>
      <c r="AF57">
        <f t="shared" si="21"/>
        <v>0</v>
      </c>
    </row>
    <row r="58" spans="1:32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  <c r="M58">
        <f t="shared" si="2"/>
        <v>1</v>
      </c>
      <c r="N58">
        <f t="shared" si="3"/>
        <v>1</v>
      </c>
      <c r="O58">
        <f t="shared" si="4"/>
        <v>0</v>
      </c>
      <c r="P58">
        <f t="shared" si="5"/>
        <v>1</v>
      </c>
      <c r="Q58">
        <f t="shared" si="6"/>
        <v>1</v>
      </c>
      <c r="R58">
        <f t="shared" si="7"/>
        <v>1</v>
      </c>
      <c r="S58">
        <f t="shared" si="8"/>
        <v>1</v>
      </c>
      <c r="T58">
        <f t="shared" si="9"/>
        <v>1</v>
      </c>
      <c r="U58">
        <f t="shared" si="10"/>
        <v>1</v>
      </c>
      <c r="V58">
        <f t="shared" si="11"/>
        <v>0</v>
      </c>
      <c r="W58">
        <f t="shared" si="12"/>
        <v>0</v>
      </c>
      <c r="X58">
        <f t="shared" si="13"/>
        <v>0</v>
      </c>
      <c r="Y58">
        <f t="shared" si="14"/>
        <v>1</v>
      </c>
      <c r="Z58">
        <f t="shared" si="15"/>
        <v>0</v>
      </c>
      <c r="AA58">
        <f t="shared" si="16"/>
        <v>0</v>
      </c>
      <c r="AB58">
        <f t="shared" si="17"/>
        <v>0</v>
      </c>
      <c r="AC58">
        <f t="shared" si="18"/>
        <v>0</v>
      </c>
      <c r="AD58">
        <f t="shared" si="19"/>
        <v>0</v>
      </c>
      <c r="AE58">
        <f t="shared" si="20"/>
        <v>0</v>
      </c>
      <c r="AF58">
        <f t="shared" si="21"/>
        <v>1</v>
      </c>
    </row>
    <row r="59" spans="1:32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  <c r="M59">
        <f t="shared" si="2"/>
        <v>1</v>
      </c>
      <c r="N59">
        <f t="shared" si="3"/>
        <v>1</v>
      </c>
      <c r="O59">
        <f t="shared" si="4"/>
        <v>1</v>
      </c>
      <c r="P59">
        <f t="shared" si="5"/>
        <v>1</v>
      </c>
      <c r="Q59">
        <f t="shared" si="6"/>
        <v>0</v>
      </c>
      <c r="R59">
        <f t="shared" si="7"/>
        <v>0</v>
      </c>
      <c r="S59">
        <f t="shared" si="8"/>
        <v>1</v>
      </c>
      <c r="T59">
        <f t="shared" si="9"/>
        <v>1</v>
      </c>
      <c r="U59">
        <f t="shared" si="10"/>
        <v>1</v>
      </c>
      <c r="V59">
        <f t="shared" si="11"/>
        <v>1</v>
      </c>
      <c r="W59">
        <f t="shared" si="12"/>
        <v>0</v>
      </c>
      <c r="X59">
        <f t="shared" si="13"/>
        <v>0</v>
      </c>
      <c r="Y59">
        <f t="shared" si="14"/>
        <v>0</v>
      </c>
      <c r="Z59">
        <f t="shared" si="15"/>
        <v>0</v>
      </c>
      <c r="AA59">
        <f t="shared" si="16"/>
        <v>1</v>
      </c>
      <c r="AB59">
        <f t="shared" si="17"/>
        <v>1</v>
      </c>
      <c r="AC59">
        <f t="shared" si="18"/>
        <v>0</v>
      </c>
      <c r="AD59">
        <f t="shared" si="19"/>
        <v>0</v>
      </c>
      <c r="AE59">
        <f t="shared" si="20"/>
        <v>0</v>
      </c>
      <c r="AF59">
        <f t="shared" si="21"/>
        <v>0</v>
      </c>
    </row>
    <row r="60" spans="1:32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  <c r="M60">
        <f t="shared" si="2"/>
        <v>1</v>
      </c>
      <c r="N60">
        <f t="shared" si="3"/>
        <v>1</v>
      </c>
      <c r="O60">
        <f t="shared" si="4"/>
        <v>1</v>
      </c>
      <c r="P60">
        <f t="shared" si="5"/>
        <v>1</v>
      </c>
      <c r="Q60">
        <f t="shared" si="6"/>
        <v>1</v>
      </c>
      <c r="R60">
        <f t="shared" si="7"/>
        <v>0</v>
      </c>
      <c r="S60">
        <f t="shared" si="8"/>
        <v>1</v>
      </c>
      <c r="T60">
        <f t="shared" si="9"/>
        <v>0</v>
      </c>
      <c r="U60">
        <f t="shared" si="10"/>
        <v>1</v>
      </c>
      <c r="V60">
        <f t="shared" si="11"/>
        <v>1</v>
      </c>
      <c r="W60">
        <f t="shared" si="12"/>
        <v>0</v>
      </c>
      <c r="X60">
        <f t="shared" si="13"/>
        <v>0</v>
      </c>
      <c r="Y60">
        <f t="shared" si="14"/>
        <v>0</v>
      </c>
      <c r="Z60">
        <f t="shared" si="15"/>
        <v>0</v>
      </c>
      <c r="AA60">
        <f t="shared" si="16"/>
        <v>0</v>
      </c>
      <c r="AB60">
        <f t="shared" si="17"/>
        <v>1</v>
      </c>
      <c r="AC60">
        <f t="shared" si="18"/>
        <v>0</v>
      </c>
      <c r="AD60">
        <f t="shared" si="19"/>
        <v>1</v>
      </c>
      <c r="AE60">
        <f t="shared" si="20"/>
        <v>0</v>
      </c>
      <c r="AF60">
        <f t="shared" si="21"/>
        <v>0</v>
      </c>
    </row>
    <row r="61" spans="1:32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  <c r="M61">
        <f t="shared" si="2"/>
        <v>1</v>
      </c>
      <c r="N61">
        <f t="shared" si="3"/>
        <v>1</v>
      </c>
      <c r="O61">
        <f t="shared" si="4"/>
        <v>0</v>
      </c>
      <c r="P61">
        <f t="shared" si="5"/>
        <v>1</v>
      </c>
      <c r="Q61">
        <f t="shared" si="6"/>
        <v>1</v>
      </c>
      <c r="R61">
        <f t="shared" si="7"/>
        <v>1</v>
      </c>
      <c r="S61">
        <f t="shared" si="8"/>
        <v>0</v>
      </c>
      <c r="T61">
        <f t="shared" si="9"/>
        <v>0</v>
      </c>
      <c r="U61">
        <f t="shared" si="10"/>
        <v>1</v>
      </c>
      <c r="V61">
        <f t="shared" si="11"/>
        <v>0</v>
      </c>
      <c r="W61">
        <f t="shared" si="12"/>
        <v>0</v>
      </c>
      <c r="X61">
        <f t="shared" si="13"/>
        <v>0</v>
      </c>
      <c r="Y61">
        <f t="shared" si="14"/>
        <v>1</v>
      </c>
      <c r="Z61">
        <f t="shared" si="15"/>
        <v>0</v>
      </c>
      <c r="AA61">
        <f t="shared" si="16"/>
        <v>0</v>
      </c>
      <c r="AB61">
        <f t="shared" si="17"/>
        <v>0</v>
      </c>
      <c r="AC61">
        <f t="shared" si="18"/>
        <v>1</v>
      </c>
      <c r="AD61">
        <f t="shared" si="19"/>
        <v>1</v>
      </c>
      <c r="AE61">
        <f t="shared" si="20"/>
        <v>0</v>
      </c>
      <c r="AF61">
        <f t="shared" si="21"/>
        <v>1</v>
      </c>
    </row>
    <row r="62" spans="1:32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  <c r="M62">
        <f t="shared" si="2"/>
        <v>1</v>
      </c>
      <c r="N62">
        <f t="shared" si="3"/>
        <v>1</v>
      </c>
      <c r="O62">
        <f t="shared" si="4"/>
        <v>1</v>
      </c>
      <c r="P62">
        <f t="shared" si="5"/>
        <v>0</v>
      </c>
      <c r="Q62">
        <f t="shared" si="6"/>
        <v>1</v>
      </c>
      <c r="R62">
        <f t="shared" si="7"/>
        <v>1</v>
      </c>
      <c r="S62">
        <f t="shared" si="8"/>
        <v>0</v>
      </c>
      <c r="T62">
        <f t="shared" si="9"/>
        <v>1</v>
      </c>
      <c r="U62">
        <f t="shared" si="10"/>
        <v>1</v>
      </c>
      <c r="V62">
        <f t="shared" si="11"/>
        <v>1</v>
      </c>
      <c r="W62">
        <f t="shared" si="12"/>
        <v>0</v>
      </c>
      <c r="X62">
        <f t="shared" si="13"/>
        <v>0</v>
      </c>
      <c r="Y62">
        <f t="shared" si="14"/>
        <v>0</v>
      </c>
      <c r="Z62">
        <f t="shared" si="15"/>
        <v>1</v>
      </c>
      <c r="AA62">
        <f t="shared" si="16"/>
        <v>0</v>
      </c>
      <c r="AB62">
        <f t="shared" si="17"/>
        <v>0</v>
      </c>
      <c r="AC62">
        <f t="shared" si="18"/>
        <v>1</v>
      </c>
      <c r="AD62">
        <f t="shared" si="19"/>
        <v>0</v>
      </c>
      <c r="AE62">
        <f t="shared" si="20"/>
        <v>0</v>
      </c>
      <c r="AF62">
        <f t="shared" si="21"/>
        <v>0</v>
      </c>
    </row>
    <row r="63" spans="1:32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  <c r="M63">
        <f t="shared" si="2"/>
        <v>1</v>
      </c>
      <c r="N63">
        <f t="shared" si="3"/>
        <v>1</v>
      </c>
      <c r="O63">
        <f t="shared" si="4"/>
        <v>1</v>
      </c>
      <c r="P63">
        <f t="shared" si="5"/>
        <v>1</v>
      </c>
      <c r="Q63">
        <f t="shared" si="6"/>
        <v>1</v>
      </c>
      <c r="R63">
        <f t="shared" si="7"/>
        <v>0</v>
      </c>
      <c r="S63">
        <f t="shared" si="8"/>
        <v>1</v>
      </c>
      <c r="T63">
        <f t="shared" si="9"/>
        <v>1</v>
      </c>
      <c r="U63">
        <f t="shared" si="10"/>
        <v>0</v>
      </c>
      <c r="V63">
        <f t="shared" si="11"/>
        <v>1</v>
      </c>
      <c r="W63">
        <f t="shared" si="12"/>
        <v>0</v>
      </c>
      <c r="X63">
        <f t="shared" si="13"/>
        <v>0</v>
      </c>
      <c r="Y63">
        <f t="shared" si="14"/>
        <v>0</v>
      </c>
      <c r="Z63">
        <f t="shared" si="15"/>
        <v>0</v>
      </c>
      <c r="AA63">
        <f t="shared" si="16"/>
        <v>0</v>
      </c>
      <c r="AB63">
        <f t="shared" si="17"/>
        <v>1</v>
      </c>
      <c r="AC63">
        <f t="shared" si="18"/>
        <v>0</v>
      </c>
      <c r="AD63">
        <f t="shared" si="19"/>
        <v>0</v>
      </c>
      <c r="AE63">
        <f t="shared" si="20"/>
        <v>1</v>
      </c>
      <c r="AF63">
        <f t="shared" si="21"/>
        <v>0</v>
      </c>
    </row>
    <row r="64" spans="1:32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  <c r="M64">
        <f t="shared" si="2"/>
        <v>0</v>
      </c>
      <c r="N64">
        <f t="shared" si="3"/>
        <v>1</v>
      </c>
      <c r="O64">
        <f t="shared" si="4"/>
        <v>1</v>
      </c>
      <c r="P64">
        <f t="shared" si="5"/>
        <v>1</v>
      </c>
      <c r="Q64">
        <f t="shared" si="6"/>
        <v>0</v>
      </c>
      <c r="R64">
        <f t="shared" si="7"/>
        <v>1</v>
      </c>
      <c r="S64">
        <f t="shared" si="8"/>
        <v>1</v>
      </c>
      <c r="T64">
        <f t="shared" si="9"/>
        <v>0</v>
      </c>
      <c r="U64">
        <f t="shared" si="10"/>
        <v>0</v>
      </c>
      <c r="V64">
        <f t="shared" si="11"/>
        <v>1</v>
      </c>
      <c r="W64">
        <f t="shared" si="12"/>
        <v>1</v>
      </c>
      <c r="X64">
        <f t="shared" si="13"/>
        <v>0</v>
      </c>
      <c r="Y64">
        <f t="shared" si="14"/>
        <v>0</v>
      </c>
      <c r="Z64">
        <f t="shared" si="15"/>
        <v>0</v>
      </c>
      <c r="AA64">
        <f t="shared" si="16"/>
        <v>1</v>
      </c>
      <c r="AB64">
        <f t="shared" si="17"/>
        <v>0</v>
      </c>
      <c r="AC64">
        <f t="shared" si="18"/>
        <v>0</v>
      </c>
      <c r="AD64">
        <f t="shared" si="19"/>
        <v>1</v>
      </c>
      <c r="AE64">
        <f t="shared" si="20"/>
        <v>1</v>
      </c>
      <c r="AF64">
        <f t="shared" si="21"/>
        <v>0</v>
      </c>
    </row>
    <row r="65" spans="1:32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  <c r="M65">
        <f t="shared" si="2"/>
        <v>1</v>
      </c>
      <c r="N65">
        <f t="shared" si="3"/>
        <v>1</v>
      </c>
      <c r="O65">
        <f t="shared" si="4"/>
        <v>0</v>
      </c>
      <c r="P65">
        <f t="shared" si="5"/>
        <v>1</v>
      </c>
      <c r="Q65">
        <f t="shared" si="6"/>
        <v>1</v>
      </c>
      <c r="R65">
        <f t="shared" si="7"/>
        <v>1</v>
      </c>
      <c r="S65">
        <f t="shared" si="8"/>
        <v>1</v>
      </c>
      <c r="T65">
        <f t="shared" si="9"/>
        <v>1</v>
      </c>
      <c r="U65">
        <f t="shared" si="10"/>
        <v>1</v>
      </c>
      <c r="V65">
        <f t="shared" si="11"/>
        <v>1</v>
      </c>
      <c r="W65">
        <f t="shared" si="12"/>
        <v>0</v>
      </c>
      <c r="X65">
        <f t="shared" si="13"/>
        <v>0</v>
      </c>
      <c r="Y65">
        <f t="shared" si="14"/>
        <v>1</v>
      </c>
      <c r="Z65">
        <f t="shared" si="15"/>
        <v>0</v>
      </c>
      <c r="AA65">
        <f t="shared" si="16"/>
        <v>0</v>
      </c>
      <c r="AB65">
        <f t="shared" si="17"/>
        <v>0</v>
      </c>
      <c r="AC65">
        <f t="shared" si="18"/>
        <v>0</v>
      </c>
      <c r="AD65">
        <f t="shared" si="19"/>
        <v>0</v>
      </c>
      <c r="AE65">
        <f t="shared" si="20"/>
        <v>0</v>
      </c>
      <c r="AF65">
        <f t="shared" si="21"/>
        <v>0</v>
      </c>
    </row>
    <row r="66" spans="1:32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  <c r="M66">
        <f t="shared" si="2"/>
        <v>0</v>
      </c>
      <c r="N66">
        <f t="shared" si="3"/>
        <v>1</v>
      </c>
      <c r="O66">
        <f t="shared" si="4"/>
        <v>1</v>
      </c>
      <c r="P66">
        <f t="shared" si="5"/>
        <v>1</v>
      </c>
      <c r="Q66">
        <f t="shared" si="6"/>
        <v>1</v>
      </c>
      <c r="R66">
        <f t="shared" si="7"/>
        <v>1</v>
      </c>
      <c r="S66">
        <f t="shared" si="8"/>
        <v>1</v>
      </c>
      <c r="T66">
        <f t="shared" si="9"/>
        <v>0</v>
      </c>
      <c r="U66">
        <f t="shared" si="10"/>
        <v>1</v>
      </c>
      <c r="V66">
        <f t="shared" si="11"/>
        <v>1</v>
      </c>
      <c r="W66">
        <f t="shared" si="12"/>
        <v>1</v>
      </c>
      <c r="X66">
        <f t="shared" si="13"/>
        <v>0</v>
      </c>
      <c r="Y66">
        <f t="shared" si="14"/>
        <v>0</v>
      </c>
      <c r="Z66">
        <f t="shared" si="15"/>
        <v>0</v>
      </c>
      <c r="AA66">
        <f t="shared" si="16"/>
        <v>0</v>
      </c>
      <c r="AB66">
        <f t="shared" si="17"/>
        <v>0</v>
      </c>
      <c r="AC66">
        <f t="shared" si="18"/>
        <v>0</v>
      </c>
      <c r="AD66">
        <f t="shared" si="19"/>
        <v>1</v>
      </c>
      <c r="AE66">
        <f t="shared" si="20"/>
        <v>0</v>
      </c>
      <c r="AF66">
        <f t="shared" si="21"/>
        <v>0</v>
      </c>
    </row>
    <row r="67" spans="1:32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  <c r="M67">
        <f t="shared" ref="M67:M130" si="22">IF(AND(C67&gt;-10,C67&lt;=15),1,0)</f>
        <v>1</v>
      </c>
      <c r="N67">
        <f t="shared" ref="N67:N130" si="23">IF(AND(D67&gt;-10,D67&lt;=15),1,0)</f>
        <v>1</v>
      </c>
      <c r="O67">
        <f t="shared" ref="O67:O130" si="24">IF(AND(E67&gt;-10,E67&lt;=15),1,0)</f>
        <v>1</v>
      </c>
      <c r="P67">
        <f t="shared" ref="P67:P130" si="25">IF(AND(F67&gt;-10,F67&lt;=15),1,0)</f>
        <v>1</v>
      </c>
      <c r="Q67">
        <f t="shared" ref="Q67:Q130" si="26">IF(AND(G67&gt;-10,G67&lt;=15),1,0)</f>
        <v>1</v>
      </c>
      <c r="R67">
        <f t="shared" ref="R67:R130" si="27">IF(AND(H67&gt;-10,H67&lt;=15),1,0)</f>
        <v>1</v>
      </c>
      <c r="S67">
        <f t="shared" ref="S67:S130" si="28">IF(AND(I67&gt;-10,I67&lt;=15),1,0)</f>
        <v>1</v>
      </c>
      <c r="T67">
        <f t="shared" ref="T67:T130" si="29">IF(AND(J67&gt;-10,J67&lt;=15),1,0)</f>
        <v>0</v>
      </c>
      <c r="U67">
        <f t="shared" ref="U67:U130" si="30">IF(AND(K67&gt;-10,K67&lt;=15),1,0)</f>
        <v>1</v>
      </c>
      <c r="V67">
        <f t="shared" ref="V67:V130" si="31">IF(AND(L67&gt;-10,L67&lt;=15),1,0)</f>
        <v>1</v>
      </c>
      <c r="W67">
        <f t="shared" ref="W67:W130" si="32">IF(AND(C67&gt;15,C67&lt;=20),1,0)</f>
        <v>0</v>
      </c>
      <c r="X67">
        <f t="shared" ref="X67:X130" si="33">IF(AND(D67&gt;15,D67&lt;=20),1,0)</f>
        <v>0</v>
      </c>
      <c r="Y67">
        <f t="shared" ref="Y67:Y130" si="34">IF(AND(E67&gt;15,E67&lt;=20),1,0)</f>
        <v>0</v>
      </c>
      <c r="Z67">
        <f t="shared" ref="Z67:Z130" si="35">IF(AND(F67&gt;15,F67&lt;=20),1,0)</f>
        <v>0</v>
      </c>
      <c r="AA67">
        <f t="shared" ref="AA67:AA130" si="36">IF(AND(G67&gt;15,G67&lt;=20),1,0)</f>
        <v>0</v>
      </c>
      <c r="AB67">
        <f t="shared" ref="AB67:AB130" si="37">IF(AND(H67&gt;15,H67&lt;=20),1,0)</f>
        <v>0</v>
      </c>
      <c r="AC67">
        <f t="shared" ref="AC67:AC130" si="38">IF(AND(I67&gt;15,I67&lt;=20),1,0)</f>
        <v>0</v>
      </c>
      <c r="AD67">
        <f t="shared" ref="AD67:AD130" si="39">IF(AND(J67&gt;15,J67&lt;=20),1,0)</f>
        <v>1</v>
      </c>
      <c r="AE67">
        <f t="shared" ref="AE67:AE130" si="40">IF(AND(K67&gt;15,K67&lt;=20),1,0)</f>
        <v>0</v>
      </c>
      <c r="AF67">
        <f t="shared" ref="AF67:AF130" si="41">IF(AND(L67&gt;15,L67&lt;=20),1,0)</f>
        <v>0</v>
      </c>
    </row>
    <row r="68" spans="1:32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  <c r="M68">
        <f t="shared" si="22"/>
        <v>1</v>
      </c>
      <c r="N68">
        <f t="shared" si="23"/>
        <v>1</v>
      </c>
      <c r="O68">
        <f t="shared" si="24"/>
        <v>1</v>
      </c>
      <c r="P68">
        <f t="shared" si="25"/>
        <v>0</v>
      </c>
      <c r="Q68">
        <f t="shared" si="26"/>
        <v>0</v>
      </c>
      <c r="R68">
        <f t="shared" si="27"/>
        <v>1</v>
      </c>
      <c r="S68">
        <f t="shared" si="28"/>
        <v>1</v>
      </c>
      <c r="T68">
        <f t="shared" si="29"/>
        <v>0</v>
      </c>
      <c r="U68">
        <f t="shared" si="30"/>
        <v>1</v>
      </c>
      <c r="V68">
        <f t="shared" si="31"/>
        <v>0</v>
      </c>
      <c r="W68">
        <f t="shared" si="32"/>
        <v>0</v>
      </c>
      <c r="X68">
        <f t="shared" si="33"/>
        <v>0</v>
      </c>
      <c r="Y68">
        <f t="shared" si="34"/>
        <v>0</v>
      </c>
      <c r="Z68">
        <f t="shared" si="35"/>
        <v>1</v>
      </c>
      <c r="AA68">
        <f t="shared" si="36"/>
        <v>1</v>
      </c>
      <c r="AB68">
        <f t="shared" si="37"/>
        <v>0</v>
      </c>
      <c r="AC68">
        <f t="shared" si="38"/>
        <v>0</v>
      </c>
      <c r="AD68">
        <f t="shared" si="39"/>
        <v>1</v>
      </c>
      <c r="AE68">
        <f t="shared" si="40"/>
        <v>0</v>
      </c>
      <c r="AF68">
        <f t="shared" si="41"/>
        <v>1</v>
      </c>
    </row>
    <row r="69" spans="1:32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  <c r="M69">
        <f t="shared" si="22"/>
        <v>1</v>
      </c>
      <c r="N69">
        <f t="shared" si="23"/>
        <v>1</v>
      </c>
      <c r="O69">
        <f t="shared" si="24"/>
        <v>1</v>
      </c>
      <c r="P69">
        <f t="shared" si="25"/>
        <v>1</v>
      </c>
      <c r="Q69">
        <f t="shared" si="26"/>
        <v>1</v>
      </c>
      <c r="R69">
        <f t="shared" si="27"/>
        <v>1</v>
      </c>
      <c r="S69">
        <f t="shared" si="28"/>
        <v>1</v>
      </c>
      <c r="T69">
        <f t="shared" si="29"/>
        <v>1</v>
      </c>
      <c r="U69">
        <f t="shared" si="30"/>
        <v>0</v>
      </c>
      <c r="V69">
        <f t="shared" si="31"/>
        <v>0</v>
      </c>
      <c r="W69">
        <f t="shared" si="32"/>
        <v>0</v>
      </c>
      <c r="X69">
        <f t="shared" si="33"/>
        <v>0</v>
      </c>
      <c r="Y69">
        <f t="shared" si="34"/>
        <v>0</v>
      </c>
      <c r="Z69">
        <f t="shared" si="35"/>
        <v>0</v>
      </c>
      <c r="AA69">
        <f t="shared" si="36"/>
        <v>0</v>
      </c>
      <c r="AB69">
        <f t="shared" si="37"/>
        <v>0</v>
      </c>
      <c r="AC69">
        <f t="shared" si="38"/>
        <v>0</v>
      </c>
      <c r="AD69">
        <f t="shared" si="39"/>
        <v>0</v>
      </c>
      <c r="AE69">
        <f t="shared" si="40"/>
        <v>1</v>
      </c>
      <c r="AF69">
        <f t="shared" si="41"/>
        <v>1</v>
      </c>
    </row>
    <row r="70" spans="1:32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  <c r="M70">
        <f t="shared" si="22"/>
        <v>0</v>
      </c>
      <c r="N70">
        <f t="shared" si="23"/>
        <v>1</v>
      </c>
      <c r="O70">
        <f t="shared" si="24"/>
        <v>1</v>
      </c>
      <c r="P70">
        <f t="shared" si="25"/>
        <v>1</v>
      </c>
      <c r="Q70">
        <f t="shared" si="26"/>
        <v>1</v>
      </c>
      <c r="R70">
        <f t="shared" si="27"/>
        <v>0</v>
      </c>
      <c r="S70">
        <f t="shared" si="28"/>
        <v>0</v>
      </c>
      <c r="T70">
        <f t="shared" si="29"/>
        <v>1</v>
      </c>
      <c r="U70">
        <f t="shared" si="30"/>
        <v>1</v>
      </c>
      <c r="V70">
        <f t="shared" si="31"/>
        <v>0</v>
      </c>
      <c r="W70">
        <f t="shared" si="32"/>
        <v>1</v>
      </c>
      <c r="X70">
        <f t="shared" si="33"/>
        <v>0</v>
      </c>
      <c r="Y70">
        <f t="shared" si="34"/>
        <v>0</v>
      </c>
      <c r="Z70">
        <f t="shared" si="35"/>
        <v>0</v>
      </c>
      <c r="AA70">
        <f t="shared" si="36"/>
        <v>0</v>
      </c>
      <c r="AB70">
        <f t="shared" si="37"/>
        <v>1</v>
      </c>
      <c r="AC70">
        <f t="shared" si="38"/>
        <v>1</v>
      </c>
      <c r="AD70">
        <f t="shared" si="39"/>
        <v>0</v>
      </c>
      <c r="AE70">
        <f t="shared" si="40"/>
        <v>0</v>
      </c>
      <c r="AF70">
        <f t="shared" si="41"/>
        <v>1</v>
      </c>
    </row>
    <row r="71" spans="1:32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  <c r="M71">
        <f t="shared" si="22"/>
        <v>1</v>
      </c>
      <c r="N71">
        <f t="shared" si="23"/>
        <v>1</v>
      </c>
      <c r="O71">
        <f t="shared" si="24"/>
        <v>1</v>
      </c>
      <c r="P71">
        <f t="shared" si="25"/>
        <v>1</v>
      </c>
      <c r="Q71">
        <f t="shared" si="26"/>
        <v>1</v>
      </c>
      <c r="R71">
        <f t="shared" si="27"/>
        <v>0</v>
      </c>
      <c r="S71">
        <f t="shared" si="28"/>
        <v>1</v>
      </c>
      <c r="T71">
        <f t="shared" si="29"/>
        <v>1</v>
      </c>
      <c r="U71">
        <f t="shared" si="30"/>
        <v>1</v>
      </c>
      <c r="V71">
        <f t="shared" si="31"/>
        <v>1</v>
      </c>
      <c r="W71">
        <f t="shared" si="32"/>
        <v>0</v>
      </c>
      <c r="X71">
        <f t="shared" si="33"/>
        <v>0</v>
      </c>
      <c r="Y71">
        <f t="shared" si="34"/>
        <v>0</v>
      </c>
      <c r="Z71">
        <f t="shared" si="35"/>
        <v>0</v>
      </c>
      <c r="AA71">
        <f t="shared" si="36"/>
        <v>0</v>
      </c>
      <c r="AB71">
        <f t="shared" si="37"/>
        <v>1</v>
      </c>
      <c r="AC71">
        <f t="shared" si="38"/>
        <v>0</v>
      </c>
      <c r="AD71">
        <f t="shared" si="39"/>
        <v>0</v>
      </c>
      <c r="AE71">
        <f t="shared" si="40"/>
        <v>0</v>
      </c>
      <c r="AF71">
        <f t="shared" si="41"/>
        <v>0</v>
      </c>
    </row>
    <row r="72" spans="1:32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  <c r="M72">
        <f t="shared" si="22"/>
        <v>1</v>
      </c>
      <c r="N72">
        <f t="shared" si="23"/>
        <v>1</v>
      </c>
      <c r="O72">
        <f t="shared" si="24"/>
        <v>1</v>
      </c>
      <c r="P72">
        <f t="shared" si="25"/>
        <v>1</v>
      </c>
      <c r="Q72">
        <f t="shared" si="26"/>
        <v>1</v>
      </c>
      <c r="R72">
        <f t="shared" si="27"/>
        <v>1</v>
      </c>
      <c r="S72">
        <f t="shared" si="28"/>
        <v>1</v>
      </c>
      <c r="T72">
        <f t="shared" si="29"/>
        <v>1</v>
      </c>
      <c r="U72">
        <f t="shared" si="30"/>
        <v>1</v>
      </c>
      <c r="V72">
        <f t="shared" si="31"/>
        <v>1</v>
      </c>
      <c r="W72">
        <f t="shared" si="32"/>
        <v>0</v>
      </c>
      <c r="X72">
        <f t="shared" si="33"/>
        <v>0</v>
      </c>
      <c r="Y72">
        <f t="shared" si="34"/>
        <v>0</v>
      </c>
      <c r="Z72">
        <f t="shared" si="35"/>
        <v>0</v>
      </c>
      <c r="AA72">
        <f t="shared" si="36"/>
        <v>0</v>
      </c>
      <c r="AB72">
        <f t="shared" si="37"/>
        <v>0</v>
      </c>
      <c r="AC72">
        <f t="shared" si="38"/>
        <v>0</v>
      </c>
      <c r="AD72">
        <f t="shared" si="39"/>
        <v>0</v>
      </c>
      <c r="AE72">
        <f t="shared" si="40"/>
        <v>0</v>
      </c>
      <c r="AF72">
        <f t="shared" si="41"/>
        <v>0</v>
      </c>
    </row>
    <row r="73" spans="1:32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  <c r="M73">
        <f t="shared" si="22"/>
        <v>0</v>
      </c>
      <c r="N73">
        <f t="shared" si="23"/>
        <v>1</v>
      </c>
      <c r="O73">
        <f t="shared" si="24"/>
        <v>0</v>
      </c>
      <c r="P73">
        <f t="shared" si="25"/>
        <v>1</v>
      </c>
      <c r="Q73">
        <f t="shared" si="26"/>
        <v>1</v>
      </c>
      <c r="R73">
        <f t="shared" si="27"/>
        <v>0</v>
      </c>
      <c r="S73">
        <f t="shared" si="28"/>
        <v>1</v>
      </c>
      <c r="T73">
        <f t="shared" si="29"/>
        <v>1</v>
      </c>
      <c r="U73">
        <f t="shared" si="30"/>
        <v>1</v>
      </c>
      <c r="V73">
        <f t="shared" si="31"/>
        <v>1</v>
      </c>
      <c r="W73">
        <f t="shared" si="32"/>
        <v>1</v>
      </c>
      <c r="X73">
        <f t="shared" si="33"/>
        <v>0</v>
      </c>
      <c r="Y73">
        <f t="shared" si="34"/>
        <v>1</v>
      </c>
      <c r="Z73">
        <f t="shared" si="35"/>
        <v>0</v>
      </c>
      <c r="AA73">
        <f t="shared" si="36"/>
        <v>0</v>
      </c>
      <c r="AB73">
        <f t="shared" si="37"/>
        <v>1</v>
      </c>
      <c r="AC73">
        <f t="shared" si="38"/>
        <v>0</v>
      </c>
      <c r="AD73">
        <f t="shared" si="39"/>
        <v>0</v>
      </c>
      <c r="AE73">
        <f t="shared" si="40"/>
        <v>0</v>
      </c>
      <c r="AF73">
        <f t="shared" si="41"/>
        <v>0</v>
      </c>
    </row>
    <row r="74" spans="1:32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  <c r="M74">
        <f t="shared" si="22"/>
        <v>1</v>
      </c>
      <c r="N74">
        <f t="shared" si="23"/>
        <v>1</v>
      </c>
      <c r="O74">
        <f t="shared" si="24"/>
        <v>1</v>
      </c>
      <c r="P74">
        <f t="shared" si="25"/>
        <v>1</v>
      </c>
      <c r="Q74">
        <f t="shared" si="26"/>
        <v>0</v>
      </c>
      <c r="R74">
        <f t="shared" si="27"/>
        <v>0</v>
      </c>
      <c r="S74">
        <f t="shared" si="28"/>
        <v>0</v>
      </c>
      <c r="T74">
        <f t="shared" si="29"/>
        <v>0</v>
      </c>
      <c r="U74">
        <f t="shared" si="30"/>
        <v>1</v>
      </c>
      <c r="V74">
        <f t="shared" si="31"/>
        <v>0</v>
      </c>
      <c r="W74">
        <f t="shared" si="32"/>
        <v>0</v>
      </c>
      <c r="X74">
        <f t="shared" si="33"/>
        <v>0</v>
      </c>
      <c r="Y74">
        <f t="shared" si="34"/>
        <v>0</v>
      </c>
      <c r="Z74">
        <f t="shared" si="35"/>
        <v>0</v>
      </c>
      <c r="AA74">
        <f t="shared" si="36"/>
        <v>1</v>
      </c>
      <c r="AB74">
        <f t="shared" si="37"/>
        <v>1</v>
      </c>
      <c r="AC74">
        <f t="shared" si="38"/>
        <v>1</v>
      </c>
      <c r="AD74">
        <f t="shared" si="39"/>
        <v>1</v>
      </c>
      <c r="AE74">
        <f t="shared" si="40"/>
        <v>0</v>
      </c>
      <c r="AF74">
        <f t="shared" si="41"/>
        <v>1</v>
      </c>
    </row>
    <row r="75" spans="1:32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  <c r="M75">
        <f t="shared" si="22"/>
        <v>0</v>
      </c>
      <c r="N75">
        <f t="shared" si="23"/>
        <v>1</v>
      </c>
      <c r="O75">
        <f t="shared" si="24"/>
        <v>1</v>
      </c>
      <c r="P75">
        <f t="shared" si="25"/>
        <v>0</v>
      </c>
      <c r="Q75">
        <f t="shared" si="26"/>
        <v>0</v>
      </c>
      <c r="R75">
        <f t="shared" si="27"/>
        <v>0</v>
      </c>
      <c r="S75">
        <f t="shared" si="28"/>
        <v>1</v>
      </c>
      <c r="T75">
        <f t="shared" si="29"/>
        <v>1</v>
      </c>
      <c r="U75">
        <f t="shared" si="30"/>
        <v>1</v>
      </c>
      <c r="V75">
        <f t="shared" si="31"/>
        <v>0</v>
      </c>
      <c r="W75">
        <f t="shared" si="32"/>
        <v>1</v>
      </c>
      <c r="X75">
        <f t="shared" si="33"/>
        <v>0</v>
      </c>
      <c r="Y75">
        <f t="shared" si="34"/>
        <v>0</v>
      </c>
      <c r="Z75">
        <f t="shared" si="35"/>
        <v>1</v>
      </c>
      <c r="AA75">
        <f t="shared" si="36"/>
        <v>1</v>
      </c>
      <c r="AB75">
        <f t="shared" si="37"/>
        <v>1</v>
      </c>
      <c r="AC75">
        <f t="shared" si="38"/>
        <v>0</v>
      </c>
      <c r="AD75">
        <f t="shared" si="39"/>
        <v>0</v>
      </c>
      <c r="AE75">
        <f t="shared" si="40"/>
        <v>0</v>
      </c>
      <c r="AF75">
        <f t="shared" si="41"/>
        <v>1</v>
      </c>
    </row>
    <row r="76" spans="1:32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  <c r="M76">
        <f t="shared" si="22"/>
        <v>1</v>
      </c>
      <c r="N76">
        <f t="shared" si="23"/>
        <v>1</v>
      </c>
      <c r="O76">
        <f t="shared" si="24"/>
        <v>0</v>
      </c>
      <c r="P76">
        <f t="shared" si="25"/>
        <v>0</v>
      </c>
      <c r="Q76">
        <f t="shared" si="26"/>
        <v>0</v>
      </c>
      <c r="R76">
        <f t="shared" si="27"/>
        <v>1</v>
      </c>
      <c r="S76">
        <f t="shared" si="28"/>
        <v>0</v>
      </c>
      <c r="T76">
        <f t="shared" si="29"/>
        <v>1</v>
      </c>
      <c r="U76">
        <f t="shared" si="30"/>
        <v>1</v>
      </c>
      <c r="V76">
        <f t="shared" si="31"/>
        <v>1</v>
      </c>
      <c r="W76">
        <f t="shared" si="32"/>
        <v>0</v>
      </c>
      <c r="X76">
        <f t="shared" si="33"/>
        <v>0</v>
      </c>
      <c r="Y76">
        <f t="shared" si="34"/>
        <v>1</v>
      </c>
      <c r="Z76">
        <f t="shared" si="35"/>
        <v>1</v>
      </c>
      <c r="AA76">
        <f t="shared" si="36"/>
        <v>1</v>
      </c>
      <c r="AB76">
        <f t="shared" si="37"/>
        <v>0</v>
      </c>
      <c r="AC76">
        <f t="shared" si="38"/>
        <v>1</v>
      </c>
      <c r="AD76">
        <f t="shared" si="39"/>
        <v>0</v>
      </c>
      <c r="AE76">
        <f t="shared" si="40"/>
        <v>0</v>
      </c>
      <c r="AF76">
        <f t="shared" si="41"/>
        <v>0</v>
      </c>
    </row>
    <row r="77" spans="1:32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  <c r="M77">
        <f t="shared" si="22"/>
        <v>1</v>
      </c>
      <c r="N77">
        <f t="shared" si="23"/>
        <v>0</v>
      </c>
      <c r="O77">
        <f t="shared" si="24"/>
        <v>0</v>
      </c>
      <c r="P77">
        <f t="shared" si="25"/>
        <v>1</v>
      </c>
      <c r="Q77">
        <f t="shared" si="26"/>
        <v>1</v>
      </c>
      <c r="R77">
        <f t="shared" si="27"/>
        <v>1</v>
      </c>
      <c r="S77">
        <f t="shared" si="28"/>
        <v>0</v>
      </c>
      <c r="T77">
        <f t="shared" si="29"/>
        <v>0</v>
      </c>
      <c r="U77">
        <f t="shared" si="30"/>
        <v>0</v>
      </c>
      <c r="V77">
        <f t="shared" si="31"/>
        <v>1</v>
      </c>
      <c r="W77">
        <f t="shared" si="32"/>
        <v>0</v>
      </c>
      <c r="X77">
        <f t="shared" si="33"/>
        <v>1</v>
      </c>
      <c r="Y77">
        <f t="shared" si="34"/>
        <v>1</v>
      </c>
      <c r="Z77">
        <f t="shared" si="35"/>
        <v>0</v>
      </c>
      <c r="AA77">
        <f t="shared" si="36"/>
        <v>0</v>
      </c>
      <c r="AB77">
        <f t="shared" si="37"/>
        <v>0</v>
      </c>
      <c r="AC77">
        <f t="shared" si="38"/>
        <v>1</v>
      </c>
      <c r="AD77">
        <f t="shared" si="39"/>
        <v>1</v>
      </c>
      <c r="AE77">
        <f t="shared" si="40"/>
        <v>1</v>
      </c>
      <c r="AF77">
        <f t="shared" si="41"/>
        <v>0</v>
      </c>
    </row>
    <row r="78" spans="1:32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  <c r="M78">
        <f t="shared" si="22"/>
        <v>1</v>
      </c>
      <c r="N78">
        <f t="shared" si="23"/>
        <v>0</v>
      </c>
      <c r="O78">
        <f t="shared" si="24"/>
        <v>1</v>
      </c>
      <c r="P78">
        <f t="shared" si="25"/>
        <v>0</v>
      </c>
      <c r="Q78">
        <f t="shared" si="26"/>
        <v>1</v>
      </c>
      <c r="R78">
        <f t="shared" si="27"/>
        <v>1</v>
      </c>
      <c r="S78">
        <f t="shared" si="28"/>
        <v>1</v>
      </c>
      <c r="T78">
        <f t="shared" si="29"/>
        <v>0</v>
      </c>
      <c r="U78">
        <f t="shared" si="30"/>
        <v>0</v>
      </c>
      <c r="V78">
        <f t="shared" si="31"/>
        <v>0</v>
      </c>
      <c r="W78">
        <f t="shared" si="32"/>
        <v>0</v>
      </c>
      <c r="X78">
        <f t="shared" si="33"/>
        <v>1</v>
      </c>
      <c r="Y78">
        <f t="shared" si="34"/>
        <v>0</v>
      </c>
      <c r="Z78">
        <f t="shared" si="35"/>
        <v>1</v>
      </c>
      <c r="AA78">
        <f t="shared" si="36"/>
        <v>0</v>
      </c>
      <c r="AB78">
        <f t="shared" si="37"/>
        <v>0</v>
      </c>
      <c r="AC78">
        <f t="shared" si="38"/>
        <v>0</v>
      </c>
      <c r="AD78">
        <f t="shared" si="39"/>
        <v>1</v>
      </c>
      <c r="AE78">
        <f t="shared" si="40"/>
        <v>1</v>
      </c>
      <c r="AF78">
        <f t="shared" si="41"/>
        <v>1</v>
      </c>
    </row>
    <row r="79" spans="1:32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  <c r="M79">
        <f t="shared" si="22"/>
        <v>0</v>
      </c>
      <c r="N79">
        <f t="shared" si="23"/>
        <v>0</v>
      </c>
      <c r="O79">
        <f t="shared" si="24"/>
        <v>1</v>
      </c>
      <c r="P79">
        <f t="shared" si="25"/>
        <v>0</v>
      </c>
      <c r="Q79">
        <f t="shared" si="26"/>
        <v>0</v>
      </c>
      <c r="R79">
        <f t="shared" si="27"/>
        <v>1</v>
      </c>
      <c r="S79">
        <f t="shared" si="28"/>
        <v>1</v>
      </c>
      <c r="T79">
        <f t="shared" si="29"/>
        <v>1</v>
      </c>
      <c r="U79">
        <f t="shared" si="30"/>
        <v>0</v>
      </c>
      <c r="V79">
        <f t="shared" si="31"/>
        <v>1</v>
      </c>
      <c r="W79">
        <f t="shared" si="32"/>
        <v>1</v>
      </c>
      <c r="X79">
        <f t="shared" si="33"/>
        <v>1</v>
      </c>
      <c r="Y79">
        <f t="shared" si="34"/>
        <v>0</v>
      </c>
      <c r="Z79">
        <f t="shared" si="35"/>
        <v>1</v>
      </c>
      <c r="AA79">
        <f t="shared" si="36"/>
        <v>1</v>
      </c>
      <c r="AB79">
        <f t="shared" si="37"/>
        <v>0</v>
      </c>
      <c r="AC79">
        <f t="shared" si="38"/>
        <v>0</v>
      </c>
      <c r="AD79">
        <f t="shared" si="39"/>
        <v>0</v>
      </c>
      <c r="AE79">
        <f t="shared" si="40"/>
        <v>1</v>
      </c>
      <c r="AF79">
        <f t="shared" si="41"/>
        <v>0</v>
      </c>
    </row>
    <row r="80" spans="1:32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  <c r="M80">
        <f t="shared" si="22"/>
        <v>1</v>
      </c>
      <c r="N80">
        <f t="shared" si="23"/>
        <v>1</v>
      </c>
      <c r="O80">
        <f t="shared" si="24"/>
        <v>1</v>
      </c>
      <c r="P80">
        <f t="shared" si="25"/>
        <v>1</v>
      </c>
      <c r="Q80">
        <f t="shared" si="26"/>
        <v>0</v>
      </c>
      <c r="R80">
        <f t="shared" si="27"/>
        <v>0</v>
      </c>
      <c r="S80">
        <f t="shared" si="28"/>
        <v>0</v>
      </c>
      <c r="T80">
        <f t="shared" si="29"/>
        <v>1</v>
      </c>
      <c r="U80">
        <f t="shared" si="30"/>
        <v>1</v>
      </c>
      <c r="V80">
        <f t="shared" si="31"/>
        <v>0</v>
      </c>
      <c r="W80">
        <f t="shared" si="32"/>
        <v>0</v>
      </c>
      <c r="X80">
        <f t="shared" si="33"/>
        <v>0</v>
      </c>
      <c r="Y80">
        <f t="shared" si="34"/>
        <v>0</v>
      </c>
      <c r="Z80">
        <f t="shared" si="35"/>
        <v>0</v>
      </c>
      <c r="AA80">
        <f t="shared" si="36"/>
        <v>1</v>
      </c>
      <c r="AB80">
        <f t="shared" si="37"/>
        <v>1</v>
      </c>
      <c r="AC80">
        <f t="shared" si="38"/>
        <v>1</v>
      </c>
      <c r="AD80">
        <f t="shared" si="39"/>
        <v>0</v>
      </c>
      <c r="AE80">
        <f t="shared" si="40"/>
        <v>0</v>
      </c>
      <c r="AF80">
        <f t="shared" si="41"/>
        <v>1</v>
      </c>
    </row>
    <row r="81" spans="1:32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  <c r="M81">
        <f t="shared" si="22"/>
        <v>1</v>
      </c>
      <c r="N81">
        <f t="shared" si="23"/>
        <v>1</v>
      </c>
      <c r="O81">
        <f t="shared" si="24"/>
        <v>1</v>
      </c>
      <c r="P81">
        <f t="shared" si="25"/>
        <v>1</v>
      </c>
      <c r="Q81">
        <f t="shared" si="26"/>
        <v>1</v>
      </c>
      <c r="R81">
        <f t="shared" si="27"/>
        <v>0</v>
      </c>
      <c r="S81">
        <f t="shared" si="28"/>
        <v>1</v>
      </c>
      <c r="T81">
        <f t="shared" si="29"/>
        <v>1</v>
      </c>
      <c r="U81">
        <f t="shared" si="30"/>
        <v>1</v>
      </c>
      <c r="V81">
        <f t="shared" si="31"/>
        <v>1</v>
      </c>
      <c r="W81">
        <f t="shared" si="32"/>
        <v>0</v>
      </c>
      <c r="X81">
        <f t="shared" si="33"/>
        <v>0</v>
      </c>
      <c r="Y81">
        <f t="shared" si="34"/>
        <v>0</v>
      </c>
      <c r="Z81">
        <f t="shared" si="35"/>
        <v>0</v>
      </c>
      <c r="AA81">
        <f t="shared" si="36"/>
        <v>0</v>
      </c>
      <c r="AB81">
        <f t="shared" si="37"/>
        <v>1</v>
      </c>
      <c r="AC81">
        <f t="shared" si="38"/>
        <v>0</v>
      </c>
      <c r="AD81">
        <f t="shared" si="39"/>
        <v>0</v>
      </c>
      <c r="AE81">
        <f t="shared" si="40"/>
        <v>0</v>
      </c>
      <c r="AF81">
        <f t="shared" si="41"/>
        <v>0</v>
      </c>
    </row>
    <row r="82" spans="1:32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  <c r="M82">
        <f t="shared" si="22"/>
        <v>1</v>
      </c>
      <c r="N82">
        <f t="shared" si="23"/>
        <v>0</v>
      </c>
      <c r="O82">
        <f t="shared" si="24"/>
        <v>1</v>
      </c>
      <c r="P82">
        <f t="shared" si="25"/>
        <v>0</v>
      </c>
      <c r="Q82">
        <f t="shared" si="26"/>
        <v>0</v>
      </c>
      <c r="R82">
        <f t="shared" si="27"/>
        <v>1</v>
      </c>
      <c r="S82">
        <f t="shared" si="28"/>
        <v>0</v>
      </c>
      <c r="T82">
        <f t="shared" si="29"/>
        <v>0</v>
      </c>
      <c r="U82">
        <f t="shared" si="30"/>
        <v>1</v>
      </c>
      <c r="V82">
        <f t="shared" si="31"/>
        <v>0</v>
      </c>
      <c r="W82">
        <f t="shared" si="32"/>
        <v>0</v>
      </c>
      <c r="X82">
        <f t="shared" si="33"/>
        <v>1</v>
      </c>
      <c r="Y82">
        <f t="shared" si="34"/>
        <v>0</v>
      </c>
      <c r="Z82">
        <f t="shared" si="35"/>
        <v>1</v>
      </c>
      <c r="AA82">
        <f t="shared" si="36"/>
        <v>1</v>
      </c>
      <c r="AB82">
        <f t="shared" si="37"/>
        <v>0</v>
      </c>
      <c r="AC82">
        <f t="shared" si="38"/>
        <v>1</v>
      </c>
      <c r="AD82">
        <f t="shared" si="39"/>
        <v>1</v>
      </c>
      <c r="AE82">
        <f t="shared" si="40"/>
        <v>0</v>
      </c>
      <c r="AF82">
        <f t="shared" si="41"/>
        <v>1</v>
      </c>
    </row>
    <row r="83" spans="1:32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  <c r="M83">
        <f t="shared" si="22"/>
        <v>0</v>
      </c>
      <c r="N83">
        <f t="shared" si="23"/>
        <v>0</v>
      </c>
      <c r="O83">
        <f t="shared" si="24"/>
        <v>0</v>
      </c>
      <c r="P83">
        <f t="shared" si="25"/>
        <v>0</v>
      </c>
      <c r="Q83">
        <f t="shared" si="26"/>
        <v>0</v>
      </c>
      <c r="R83">
        <f t="shared" si="27"/>
        <v>0</v>
      </c>
      <c r="S83">
        <f t="shared" si="28"/>
        <v>1</v>
      </c>
      <c r="T83">
        <f t="shared" si="29"/>
        <v>0</v>
      </c>
      <c r="U83">
        <f t="shared" si="30"/>
        <v>1</v>
      </c>
      <c r="V83">
        <f t="shared" si="31"/>
        <v>1</v>
      </c>
      <c r="W83">
        <f t="shared" si="32"/>
        <v>1</v>
      </c>
      <c r="X83">
        <f t="shared" si="33"/>
        <v>1</v>
      </c>
      <c r="Y83">
        <f t="shared" si="34"/>
        <v>1</v>
      </c>
      <c r="Z83">
        <f t="shared" si="35"/>
        <v>1</v>
      </c>
      <c r="AA83">
        <f t="shared" si="36"/>
        <v>1</v>
      </c>
      <c r="AB83">
        <f t="shared" si="37"/>
        <v>1</v>
      </c>
      <c r="AC83">
        <f t="shared" si="38"/>
        <v>0</v>
      </c>
      <c r="AD83">
        <f t="shared" si="39"/>
        <v>1</v>
      </c>
      <c r="AE83">
        <f t="shared" si="40"/>
        <v>0</v>
      </c>
      <c r="AF83">
        <f t="shared" si="41"/>
        <v>0</v>
      </c>
    </row>
    <row r="84" spans="1:32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  <c r="M84">
        <f t="shared" si="22"/>
        <v>1</v>
      </c>
      <c r="N84">
        <f t="shared" si="23"/>
        <v>0</v>
      </c>
      <c r="O84">
        <f t="shared" si="24"/>
        <v>1</v>
      </c>
      <c r="P84">
        <f t="shared" si="25"/>
        <v>1</v>
      </c>
      <c r="Q84">
        <f t="shared" si="26"/>
        <v>0</v>
      </c>
      <c r="R84">
        <f t="shared" si="27"/>
        <v>0</v>
      </c>
      <c r="S84">
        <f t="shared" si="28"/>
        <v>1</v>
      </c>
      <c r="T84">
        <f t="shared" si="29"/>
        <v>1</v>
      </c>
      <c r="U84">
        <f t="shared" si="30"/>
        <v>1</v>
      </c>
      <c r="V84">
        <f t="shared" si="31"/>
        <v>1</v>
      </c>
      <c r="W84">
        <f t="shared" si="32"/>
        <v>0</v>
      </c>
      <c r="X84">
        <f t="shared" si="33"/>
        <v>1</v>
      </c>
      <c r="Y84">
        <f t="shared" si="34"/>
        <v>0</v>
      </c>
      <c r="Z84">
        <f t="shared" si="35"/>
        <v>0</v>
      </c>
      <c r="AA84">
        <f t="shared" si="36"/>
        <v>1</v>
      </c>
      <c r="AB84">
        <f t="shared" si="37"/>
        <v>1</v>
      </c>
      <c r="AC84">
        <f t="shared" si="38"/>
        <v>0</v>
      </c>
      <c r="AD84">
        <f t="shared" si="39"/>
        <v>0</v>
      </c>
      <c r="AE84">
        <f t="shared" si="40"/>
        <v>0</v>
      </c>
      <c r="AF84">
        <f t="shared" si="41"/>
        <v>0</v>
      </c>
    </row>
    <row r="85" spans="1:32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  <c r="M85">
        <f t="shared" si="22"/>
        <v>1</v>
      </c>
      <c r="N85">
        <f t="shared" si="23"/>
        <v>1</v>
      </c>
      <c r="O85">
        <f t="shared" si="24"/>
        <v>1</v>
      </c>
      <c r="P85">
        <f t="shared" si="25"/>
        <v>0</v>
      </c>
      <c r="Q85">
        <f t="shared" si="26"/>
        <v>0</v>
      </c>
      <c r="R85">
        <f t="shared" si="27"/>
        <v>0</v>
      </c>
      <c r="S85">
        <f t="shared" si="28"/>
        <v>1</v>
      </c>
      <c r="T85">
        <f t="shared" si="29"/>
        <v>1</v>
      </c>
      <c r="U85">
        <f t="shared" si="30"/>
        <v>0</v>
      </c>
      <c r="V85">
        <f t="shared" si="31"/>
        <v>1</v>
      </c>
      <c r="W85">
        <f t="shared" si="32"/>
        <v>0</v>
      </c>
      <c r="X85">
        <f t="shared" si="33"/>
        <v>0</v>
      </c>
      <c r="Y85">
        <f t="shared" si="34"/>
        <v>0</v>
      </c>
      <c r="Z85">
        <f t="shared" si="35"/>
        <v>1</v>
      </c>
      <c r="AA85">
        <f t="shared" si="36"/>
        <v>1</v>
      </c>
      <c r="AB85">
        <f t="shared" si="37"/>
        <v>1</v>
      </c>
      <c r="AC85">
        <f t="shared" si="38"/>
        <v>0</v>
      </c>
      <c r="AD85">
        <f t="shared" si="39"/>
        <v>0</v>
      </c>
      <c r="AE85">
        <f t="shared" si="40"/>
        <v>1</v>
      </c>
      <c r="AF85">
        <f t="shared" si="41"/>
        <v>0</v>
      </c>
    </row>
    <row r="86" spans="1:32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  <c r="M86">
        <f t="shared" si="22"/>
        <v>1</v>
      </c>
      <c r="N86">
        <f t="shared" si="23"/>
        <v>0</v>
      </c>
      <c r="O86">
        <f t="shared" si="24"/>
        <v>0</v>
      </c>
      <c r="P86">
        <f t="shared" si="25"/>
        <v>1</v>
      </c>
      <c r="Q86">
        <f t="shared" si="26"/>
        <v>1</v>
      </c>
      <c r="R86">
        <f t="shared" si="27"/>
        <v>1</v>
      </c>
      <c r="S86">
        <f t="shared" si="28"/>
        <v>1</v>
      </c>
      <c r="T86">
        <f t="shared" si="29"/>
        <v>0</v>
      </c>
      <c r="U86">
        <f t="shared" si="30"/>
        <v>0</v>
      </c>
      <c r="V86">
        <f t="shared" si="31"/>
        <v>0</v>
      </c>
      <c r="W86">
        <f t="shared" si="32"/>
        <v>0</v>
      </c>
      <c r="X86">
        <f t="shared" si="33"/>
        <v>1</v>
      </c>
      <c r="Y86">
        <f t="shared" si="34"/>
        <v>1</v>
      </c>
      <c r="Z86">
        <f t="shared" si="35"/>
        <v>0</v>
      </c>
      <c r="AA86">
        <f t="shared" si="36"/>
        <v>0</v>
      </c>
      <c r="AB86">
        <f t="shared" si="37"/>
        <v>0</v>
      </c>
      <c r="AC86">
        <f t="shared" si="38"/>
        <v>0</v>
      </c>
      <c r="AD86">
        <f t="shared" si="39"/>
        <v>1</v>
      </c>
      <c r="AE86">
        <f t="shared" si="40"/>
        <v>1</v>
      </c>
      <c r="AF86">
        <f t="shared" si="41"/>
        <v>1</v>
      </c>
    </row>
    <row r="87" spans="1:32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  <c r="M87">
        <f t="shared" si="22"/>
        <v>0</v>
      </c>
      <c r="N87">
        <f t="shared" si="23"/>
        <v>1</v>
      </c>
      <c r="O87">
        <f t="shared" si="24"/>
        <v>1</v>
      </c>
      <c r="P87">
        <f t="shared" si="25"/>
        <v>1</v>
      </c>
      <c r="Q87">
        <f t="shared" si="26"/>
        <v>0</v>
      </c>
      <c r="R87">
        <f t="shared" si="27"/>
        <v>0</v>
      </c>
      <c r="S87">
        <f t="shared" si="28"/>
        <v>1</v>
      </c>
      <c r="T87">
        <f t="shared" si="29"/>
        <v>0</v>
      </c>
      <c r="U87">
        <f t="shared" si="30"/>
        <v>1</v>
      </c>
      <c r="V87">
        <f t="shared" si="31"/>
        <v>1</v>
      </c>
      <c r="W87">
        <f t="shared" si="32"/>
        <v>1</v>
      </c>
      <c r="X87">
        <f t="shared" si="33"/>
        <v>0</v>
      </c>
      <c r="Y87">
        <f t="shared" si="34"/>
        <v>0</v>
      </c>
      <c r="Z87">
        <f t="shared" si="35"/>
        <v>0</v>
      </c>
      <c r="AA87">
        <f t="shared" si="36"/>
        <v>1</v>
      </c>
      <c r="AB87">
        <f t="shared" si="37"/>
        <v>1</v>
      </c>
      <c r="AC87">
        <f t="shared" si="38"/>
        <v>0</v>
      </c>
      <c r="AD87">
        <f t="shared" si="39"/>
        <v>1</v>
      </c>
      <c r="AE87">
        <f t="shared" si="40"/>
        <v>0</v>
      </c>
      <c r="AF87">
        <f t="shared" si="41"/>
        <v>0</v>
      </c>
    </row>
    <row r="88" spans="1:32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  <c r="M88">
        <f t="shared" si="22"/>
        <v>0</v>
      </c>
      <c r="N88">
        <f t="shared" si="23"/>
        <v>1</v>
      </c>
      <c r="O88">
        <f t="shared" si="24"/>
        <v>0</v>
      </c>
      <c r="P88">
        <f t="shared" si="25"/>
        <v>0</v>
      </c>
      <c r="Q88">
        <f t="shared" si="26"/>
        <v>1</v>
      </c>
      <c r="R88">
        <f t="shared" si="27"/>
        <v>1</v>
      </c>
      <c r="S88">
        <f t="shared" si="28"/>
        <v>1</v>
      </c>
      <c r="T88">
        <f t="shared" si="29"/>
        <v>1</v>
      </c>
      <c r="U88">
        <f t="shared" si="30"/>
        <v>0</v>
      </c>
      <c r="V88">
        <f t="shared" si="31"/>
        <v>0</v>
      </c>
      <c r="W88">
        <f t="shared" si="32"/>
        <v>1</v>
      </c>
      <c r="X88">
        <f t="shared" si="33"/>
        <v>0</v>
      </c>
      <c r="Y88">
        <f t="shared" si="34"/>
        <v>1</v>
      </c>
      <c r="Z88">
        <f t="shared" si="35"/>
        <v>1</v>
      </c>
      <c r="AA88">
        <f t="shared" si="36"/>
        <v>0</v>
      </c>
      <c r="AB88">
        <f t="shared" si="37"/>
        <v>0</v>
      </c>
      <c r="AC88">
        <f t="shared" si="38"/>
        <v>0</v>
      </c>
      <c r="AD88">
        <f t="shared" si="39"/>
        <v>0</v>
      </c>
      <c r="AE88">
        <f t="shared" si="40"/>
        <v>1</v>
      </c>
      <c r="AF88">
        <f t="shared" si="41"/>
        <v>1</v>
      </c>
    </row>
    <row r="89" spans="1:32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  <c r="M89">
        <f t="shared" si="22"/>
        <v>1</v>
      </c>
      <c r="N89">
        <f t="shared" si="23"/>
        <v>0</v>
      </c>
      <c r="O89">
        <f t="shared" si="24"/>
        <v>0</v>
      </c>
      <c r="P89">
        <f t="shared" si="25"/>
        <v>1</v>
      </c>
      <c r="Q89">
        <f t="shared" si="26"/>
        <v>0</v>
      </c>
      <c r="R89">
        <f t="shared" si="27"/>
        <v>0</v>
      </c>
      <c r="S89">
        <f t="shared" si="28"/>
        <v>0</v>
      </c>
      <c r="T89">
        <f t="shared" si="29"/>
        <v>1</v>
      </c>
      <c r="U89">
        <f t="shared" si="30"/>
        <v>1</v>
      </c>
      <c r="V89">
        <f t="shared" si="31"/>
        <v>0</v>
      </c>
      <c r="W89">
        <f t="shared" si="32"/>
        <v>0</v>
      </c>
      <c r="X89">
        <f t="shared" si="33"/>
        <v>1</v>
      </c>
      <c r="Y89">
        <f t="shared" si="34"/>
        <v>1</v>
      </c>
      <c r="Z89">
        <f t="shared" si="35"/>
        <v>0</v>
      </c>
      <c r="AA89">
        <f t="shared" si="36"/>
        <v>1</v>
      </c>
      <c r="AB89">
        <f t="shared" si="37"/>
        <v>1</v>
      </c>
      <c r="AC89">
        <f t="shared" si="38"/>
        <v>1</v>
      </c>
      <c r="AD89">
        <f t="shared" si="39"/>
        <v>0</v>
      </c>
      <c r="AE89">
        <f t="shared" si="40"/>
        <v>0</v>
      </c>
      <c r="AF89">
        <f t="shared" si="41"/>
        <v>1</v>
      </c>
    </row>
    <row r="90" spans="1:32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  <c r="M90">
        <f t="shared" si="22"/>
        <v>0</v>
      </c>
      <c r="N90">
        <f t="shared" si="23"/>
        <v>0</v>
      </c>
      <c r="O90">
        <f t="shared" si="24"/>
        <v>1</v>
      </c>
      <c r="P90">
        <f t="shared" si="25"/>
        <v>1</v>
      </c>
      <c r="Q90">
        <f t="shared" si="26"/>
        <v>1</v>
      </c>
      <c r="R90">
        <f t="shared" si="27"/>
        <v>0</v>
      </c>
      <c r="S90">
        <f t="shared" si="28"/>
        <v>1</v>
      </c>
      <c r="T90">
        <f t="shared" si="29"/>
        <v>0</v>
      </c>
      <c r="U90">
        <f t="shared" si="30"/>
        <v>1</v>
      </c>
      <c r="V90">
        <f t="shared" si="31"/>
        <v>1</v>
      </c>
      <c r="W90">
        <f t="shared" si="32"/>
        <v>1</v>
      </c>
      <c r="X90">
        <f t="shared" si="33"/>
        <v>1</v>
      </c>
      <c r="Y90">
        <f t="shared" si="34"/>
        <v>0</v>
      </c>
      <c r="Z90">
        <f t="shared" si="35"/>
        <v>0</v>
      </c>
      <c r="AA90">
        <f t="shared" si="36"/>
        <v>0</v>
      </c>
      <c r="AB90">
        <f t="shared" si="37"/>
        <v>1</v>
      </c>
      <c r="AC90">
        <f t="shared" si="38"/>
        <v>0</v>
      </c>
      <c r="AD90">
        <f t="shared" si="39"/>
        <v>1</v>
      </c>
      <c r="AE90">
        <f t="shared" si="40"/>
        <v>0</v>
      </c>
      <c r="AF90">
        <f t="shared" si="41"/>
        <v>0</v>
      </c>
    </row>
    <row r="91" spans="1:32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  <c r="M91">
        <f t="shared" si="22"/>
        <v>1</v>
      </c>
      <c r="N91">
        <f t="shared" si="23"/>
        <v>1</v>
      </c>
      <c r="O91">
        <f t="shared" si="24"/>
        <v>0</v>
      </c>
      <c r="P91">
        <f t="shared" si="25"/>
        <v>0</v>
      </c>
      <c r="Q91">
        <f t="shared" si="26"/>
        <v>1</v>
      </c>
      <c r="R91">
        <f t="shared" si="27"/>
        <v>1</v>
      </c>
      <c r="S91">
        <f t="shared" si="28"/>
        <v>0</v>
      </c>
      <c r="T91">
        <f t="shared" si="29"/>
        <v>1</v>
      </c>
      <c r="U91">
        <f t="shared" si="30"/>
        <v>1</v>
      </c>
      <c r="V91">
        <f t="shared" si="31"/>
        <v>1</v>
      </c>
      <c r="W91">
        <f t="shared" si="32"/>
        <v>0</v>
      </c>
      <c r="X91">
        <f t="shared" si="33"/>
        <v>0</v>
      </c>
      <c r="Y91">
        <f t="shared" si="34"/>
        <v>1</v>
      </c>
      <c r="Z91">
        <f t="shared" si="35"/>
        <v>1</v>
      </c>
      <c r="AA91">
        <f t="shared" si="36"/>
        <v>0</v>
      </c>
      <c r="AB91">
        <f t="shared" si="37"/>
        <v>0</v>
      </c>
      <c r="AC91">
        <f t="shared" si="38"/>
        <v>1</v>
      </c>
      <c r="AD91">
        <f t="shared" si="39"/>
        <v>0</v>
      </c>
      <c r="AE91">
        <f t="shared" si="40"/>
        <v>0</v>
      </c>
      <c r="AF91">
        <f t="shared" si="41"/>
        <v>0</v>
      </c>
    </row>
    <row r="92" spans="1:32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  <c r="M92">
        <f t="shared" si="22"/>
        <v>0</v>
      </c>
      <c r="N92">
        <f t="shared" si="23"/>
        <v>1</v>
      </c>
      <c r="O92">
        <f t="shared" si="24"/>
        <v>0</v>
      </c>
      <c r="P92">
        <f t="shared" si="25"/>
        <v>0</v>
      </c>
      <c r="Q92">
        <f t="shared" si="26"/>
        <v>0</v>
      </c>
      <c r="R92">
        <f t="shared" si="27"/>
        <v>0</v>
      </c>
      <c r="S92">
        <f t="shared" si="28"/>
        <v>0</v>
      </c>
      <c r="T92">
        <f t="shared" si="29"/>
        <v>1</v>
      </c>
      <c r="U92">
        <f t="shared" si="30"/>
        <v>1</v>
      </c>
      <c r="V92">
        <f t="shared" si="31"/>
        <v>1</v>
      </c>
      <c r="W92">
        <f t="shared" si="32"/>
        <v>1</v>
      </c>
      <c r="X92">
        <f t="shared" si="33"/>
        <v>0</v>
      </c>
      <c r="Y92">
        <f t="shared" si="34"/>
        <v>1</v>
      </c>
      <c r="Z92">
        <f t="shared" si="35"/>
        <v>1</v>
      </c>
      <c r="AA92">
        <f t="shared" si="36"/>
        <v>1</v>
      </c>
      <c r="AB92">
        <f t="shared" si="37"/>
        <v>1</v>
      </c>
      <c r="AC92">
        <f t="shared" si="38"/>
        <v>1</v>
      </c>
      <c r="AD92">
        <f t="shared" si="39"/>
        <v>0</v>
      </c>
      <c r="AE92">
        <f t="shared" si="40"/>
        <v>0</v>
      </c>
      <c r="AF92">
        <f t="shared" si="41"/>
        <v>0</v>
      </c>
    </row>
    <row r="93" spans="1:32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  <c r="M93">
        <f t="shared" si="22"/>
        <v>0</v>
      </c>
      <c r="N93">
        <f t="shared" si="23"/>
        <v>1</v>
      </c>
      <c r="O93">
        <f t="shared" si="24"/>
        <v>0</v>
      </c>
      <c r="P93">
        <f t="shared" si="25"/>
        <v>1</v>
      </c>
      <c r="Q93">
        <f t="shared" si="26"/>
        <v>0</v>
      </c>
      <c r="R93">
        <f t="shared" si="27"/>
        <v>0</v>
      </c>
      <c r="S93">
        <f t="shared" si="28"/>
        <v>1</v>
      </c>
      <c r="T93">
        <f t="shared" si="29"/>
        <v>0</v>
      </c>
      <c r="U93">
        <f t="shared" si="30"/>
        <v>1</v>
      </c>
      <c r="V93">
        <f t="shared" si="31"/>
        <v>0</v>
      </c>
      <c r="W93">
        <f t="shared" si="32"/>
        <v>1</v>
      </c>
      <c r="X93">
        <f t="shared" si="33"/>
        <v>0</v>
      </c>
      <c r="Y93">
        <f t="shared" si="34"/>
        <v>1</v>
      </c>
      <c r="Z93">
        <f t="shared" si="35"/>
        <v>0</v>
      </c>
      <c r="AA93">
        <f t="shared" si="36"/>
        <v>1</v>
      </c>
      <c r="AB93">
        <f t="shared" si="37"/>
        <v>1</v>
      </c>
      <c r="AC93">
        <f t="shared" si="38"/>
        <v>0</v>
      </c>
      <c r="AD93">
        <f t="shared" si="39"/>
        <v>1</v>
      </c>
      <c r="AE93">
        <f t="shared" si="40"/>
        <v>0</v>
      </c>
      <c r="AF93">
        <f t="shared" si="41"/>
        <v>1</v>
      </c>
    </row>
    <row r="94" spans="1:32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  <c r="M94">
        <f t="shared" si="22"/>
        <v>0</v>
      </c>
      <c r="N94">
        <f t="shared" si="23"/>
        <v>0</v>
      </c>
      <c r="O94">
        <f t="shared" si="24"/>
        <v>1</v>
      </c>
      <c r="P94">
        <f t="shared" si="25"/>
        <v>0</v>
      </c>
      <c r="Q94">
        <f t="shared" si="26"/>
        <v>1</v>
      </c>
      <c r="R94">
        <f t="shared" si="27"/>
        <v>0</v>
      </c>
      <c r="S94">
        <f t="shared" si="28"/>
        <v>0</v>
      </c>
      <c r="T94">
        <f t="shared" si="29"/>
        <v>0</v>
      </c>
      <c r="U94">
        <f t="shared" si="30"/>
        <v>0</v>
      </c>
      <c r="V94">
        <f t="shared" si="31"/>
        <v>1</v>
      </c>
      <c r="W94">
        <f t="shared" si="32"/>
        <v>1</v>
      </c>
      <c r="X94">
        <f t="shared" si="33"/>
        <v>1</v>
      </c>
      <c r="Y94">
        <f t="shared" si="34"/>
        <v>0</v>
      </c>
      <c r="Z94">
        <f t="shared" si="35"/>
        <v>1</v>
      </c>
      <c r="AA94">
        <f t="shared" si="36"/>
        <v>0</v>
      </c>
      <c r="AB94">
        <f t="shared" si="37"/>
        <v>1</v>
      </c>
      <c r="AC94">
        <f t="shared" si="38"/>
        <v>1</v>
      </c>
      <c r="AD94">
        <f t="shared" si="39"/>
        <v>1</v>
      </c>
      <c r="AE94">
        <f t="shared" si="40"/>
        <v>1</v>
      </c>
      <c r="AF94">
        <f t="shared" si="41"/>
        <v>0</v>
      </c>
    </row>
    <row r="95" spans="1:32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  <c r="M95">
        <f t="shared" si="22"/>
        <v>1</v>
      </c>
      <c r="N95">
        <f t="shared" si="23"/>
        <v>1</v>
      </c>
      <c r="O95">
        <f t="shared" si="24"/>
        <v>1</v>
      </c>
      <c r="P95">
        <f t="shared" si="25"/>
        <v>0</v>
      </c>
      <c r="Q95">
        <f t="shared" si="26"/>
        <v>0</v>
      </c>
      <c r="R95">
        <f t="shared" si="27"/>
        <v>1</v>
      </c>
      <c r="S95">
        <f t="shared" si="28"/>
        <v>0</v>
      </c>
      <c r="T95">
        <f t="shared" si="29"/>
        <v>1</v>
      </c>
      <c r="U95">
        <f t="shared" si="30"/>
        <v>0</v>
      </c>
      <c r="V95">
        <f t="shared" si="31"/>
        <v>1</v>
      </c>
      <c r="W95">
        <f t="shared" si="32"/>
        <v>0</v>
      </c>
      <c r="X95">
        <f t="shared" si="33"/>
        <v>0</v>
      </c>
      <c r="Y95">
        <f t="shared" si="34"/>
        <v>0</v>
      </c>
      <c r="Z95">
        <f t="shared" si="35"/>
        <v>1</v>
      </c>
      <c r="AA95">
        <f t="shared" si="36"/>
        <v>1</v>
      </c>
      <c r="AB95">
        <f t="shared" si="37"/>
        <v>0</v>
      </c>
      <c r="AC95">
        <f t="shared" si="38"/>
        <v>1</v>
      </c>
      <c r="AD95">
        <f t="shared" si="39"/>
        <v>0</v>
      </c>
      <c r="AE95">
        <f t="shared" si="40"/>
        <v>1</v>
      </c>
      <c r="AF95">
        <f t="shared" si="41"/>
        <v>0</v>
      </c>
    </row>
    <row r="96" spans="1:32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  <c r="M96">
        <f t="shared" si="22"/>
        <v>1</v>
      </c>
      <c r="N96">
        <f t="shared" si="23"/>
        <v>1</v>
      </c>
      <c r="O96">
        <f t="shared" si="24"/>
        <v>1</v>
      </c>
      <c r="P96">
        <f t="shared" si="25"/>
        <v>0</v>
      </c>
      <c r="Q96">
        <f t="shared" si="26"/>
        <v>1</v>
      </c>
      <c r="R96">
        <f t="shared" si="27"/>
        <v>0</v>
      </c>
      <c r="S96">
        <f t="shared" si="28"/>
        <v>1</v>
      </c>
      <c r="T96">
        <f t="shared" si="29"/>
        <v>1</v>
      </c>
      <c r="U96">
        <f t="shared" si="30"/>
        <v>1</v>
      </c>
      <c r="V96">
        <f t="shared" si="31"/>
        <v>1</v>
      </c>
      <c r="W96">
        <f t="shared" si="32"/>
        <v>0</v>
      </c>
      <c r="X96">
        <f t="shared" si="33"/>
        <v>0</v>
      </c>
      <c r="Y96">
        <f t="shared" si="34"/>
        <v>0</v>
      </c>
      <c r="Z96">
        <f t="shared" si="35"/>
        <v>1</v>
      </c>
      <c r="AA96">
        <f t="shared" si="36"/>
        <v>0</v>
      </c>
      <c r="AB96">
        <f t="shared" si="37"/>
        <v>1</v>
      </c>
      <c r="AC96">
        <f t="shared" si="38"/>
        <v>0</v>
      </c>
      <c r="AD96">
        <f t="shared" si="39"/>
        <v>0</v>
      </c>
      <c r="AE96">
        <f t="shared" si="40"/>
        <v>0</v>
      </c>
      <c r="AF96">
        <f t="shared" si="41"/>
        <v>0</v>
      </c>
    </row>
    <row r="97" spans="1:32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  <c r="M97">
        <f t="shared" si="22"/>
        <v>1</v>
      </c>
      <c r="N97">
        <f t="shared" si="23"/>
        <v>1</v>
      </c>
      <c r="O97">
        <f t="shared" si="24"/>
        <v>0</v>
      </c>
      <c r="P97">
        <f t="shared" si="25"/>
        <v>1</v>
      </c>
      <c r="Q97">
        <f t="shared" si="26"/>
        <v>0</v>
      </c>
      <c r="R97">
        <f t="shared" si="27"/>
        <v>1</v>
      </c>
      <c r="S97">
        <f t="shared" si="28"/>
        <v>1</v>
      </c>
      <c r="T97">
        <f t="shared" si="29"/>
        <v>0</v>
      </c>
      <c r="U97">
        <f t="shared" si="30"/>
        <v>1</v>
      </c>
      <c r="V97">
        <f t="shared" si="31"/>
        <v>1</v>
      </c>
      <c r="W97">
        <f t="shared" si="32"/>
        <v>0</v>
      </c>
      <c r="X97">
        <f t="shared" si="33"/>
        <v>0</v>
      </c>
      <c r="Y97">
        <f t="shared" si="34"/>
        <v>1</v>
      </c>
      <c r="Z97">
        <f t="shared" si="35"/>
        <v>0</v>
      </c>
      <c r="AA97">
        <f t="shared" si="36"/>
        <v>1</v>
      </c>
      <c r="AB97">
        <f t="shared" si="37"/>
        <v>0</v>
      </c>
      <c r="AC97">
        <f t="shared" si="38"/>
        <v>0</v>
      </c>
      <c r="AD97">
        <f t="shared" si="39"/>
        <v>1</v>
      </c>
      <c r="AE97">
        <f t="shared" si="40"/>
        <v>0</v>
      </c>
      <c r="AF97">
        <f t="shared" si="41"/>
        <v>0</v>
      </c>
    </row>
    <row r="98" spans="1:32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  <c r="M98">
        <f t="shared" si="22"/>
        <v>0</v>
      </c>
      <c r="N98">
        <f t="shared" si="23"/>
        <v>0</v>
      </c>
      <c r="O98">
        <f t="shared" si="24"/>
        <v>1</v>
      </c>
      <c r="P98">
        <f t="shared" si="25"/>
        <v>1</v>
      </c>
      <c r="Q98">
        <f t="shared" si="26"/>
        <v>1</v>
      </c>
      <c r="R98">
        <f t="shared" si="27"/>
        <v>1</v>
      </c>
      <c r="S98">
        <f t="shared" si="28"/>
        <v>1</v>
      </c>
      <c r="T98">
        <f t="shared" si="29"/>
        <v>1</v>
      </c>
      <c r="U98">
        <f t="shared" si="30"/>
        <v>1</v>
      </c>
      <c r="V98">
        <f t="shared" si="31"/>
        <v>0</v>
      </c>
      <c r="W98">
        <f t="shared" si="32"/>
        <v>1</v>
      </c>
      <c r="X98">
        <f t="shared" si="33"/>
        <v>1</v>
      </c>
      <c r="Y98">
        <f t="shared" si="34"/>
        <v>0</v>
      </c>
      <c r="Z98">
        <f t="shared" si="35"/>
        <v>0</v>
      </c>
      <c r="AA98">
        <f t="shared" si="36"/>
        <v>0</v>
      </c>
      <c r="AB98">
        <f t="shared" si="37"/>
        <v>0</v>
      </c>
      <c r="AC98">
        <f t="shared" si="38"/>
        <v>0</v>
      </c>
      <c r="AD98">
        <f t="shared" si="39"/>
        <v>0</v>
      </c>
      <c r="AE98">
        <f t="shared" si="40"/>
        <v>0</v>
      </c>
      <c r="AF98">
        <f t="shared" si="41"/>
        <v>1</v>
      </c>
    </row>
    <row r="99" spans="1:32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  <c r="M99">
        <f t="shared" si="22"/>
        <v>0</v>
      </c>
      <c r="N99">
        <f t="shared" si="23"/>
        <v>0</v>
      </c>
      <c r="O99">
        <f t="shared" si="24"/>
        <v>0</v>
      </c>
      <c r="P99">
        <f t="shared" si="25"/>
        <v>0</v>
      </c>
      <c r="Q99">
        <f t="shared" si="26"/>
        <v>0</v>
      </c>
      <c r="R99">
        <f t="shared" si="27"/>
        <v>0</v>
      </c>
      <c r="S99">
        <f t="shared" si="28"/>
        <v>0</v>
      </c>
      <c r="T99">
        <f t="shared" si="29"/>
        <v>0</v>
      </c>
      <c r="U99">
        <f t="shared" si="30"/>
        <v>0</v>
      </c>
      <c r="V99">
        <f t="shared" si="31"/>
        <v>0</v>
      </c>
      <c r="W99">
        <f t="shared" si="32"/>
        <v>0</v>
      </c>
      <c r="X99">
        <f t="shared" si="33"/>
        <v>0</v>
      </c>
      <c r="Y99">
        <f t="shared" si="34"/>
        <v>0</v>
      </c>
      <c r="Z99">
        <f t="shared" si="35"/>
        <v>0</v>
      </c>
      <c r="AA99">
        <f t="shared" si="36"/>
        <v>0</v>
      </c>
      <c r="AB99">
        <f t="shared" si="37"/>
        <v>0</v>
      </c>
      <c r="AC99">
        <f t="shared" si="38"/>
        <v>0</v>
      </c>
      <c r="AD99">
        <f t="shared" si="39"/>
        <v>0</v>
      </c>
      <c r="AE99">
        <f t="shared" si="40"/>
        <v>0</v>
      </c>
      <c r="AF99">
        <f t="shared" si="41"/>
        <v>0</v>
      </c>
    </row>
    <row r="100" spans="1:32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  <c r="M100">
        <f t="shared" si="22"/>
        <v>0</v>
      </c>
      <c r="N100">
        <f t="shared" si="23"/>
        <v>0</v>
      </c>
      <c r="O100">
        <f t="shared" si="24"/>
        <v>0</v>
      </c>
      <c r="P100">
        <f t="shared" si="25"/>
        <v>0</v>
      </c>
      <c r="Q100">
        <f t="shared" si="26"/>
        <v>0</v>
      </c>
      <c r="R100">
        <f t="shared" si="27"/>
        <v>0</v>
      </c>
      <c r="S100">
        <f t="shared" si="28"/>
        <v>0</v>
      </c>
      <c r="T100">
        <f t="shared" si="29"/>
        <v>0</v>
      </c>
      <c r="U100">
        <f t="shared" si="30"/>
        <v>0</v>
      </c>
      <c r="V100">
        <f t="shared" si="31"/>
        <v>0</v>
      </c>
      <c r="W100">
        <f t="shared" si="32"/>
        <v>0</v>
      </c>
      <c r="X100">
        <f t="shared" si="33"/>
        <v>0</v>
      </c>
      <c r="Y100">
        <f t="shared" si="34"/>
        <v>0</v>
      </c>
      <c r="Z100">
        <f t="shared" si="35"/>
        <v>0</v>
      </c>
      <c r="AA100">
        <f t="shared" si="36"/>
        <v>0</v>
      </c>
      <c r="AB100">
        <f t="shared" si="37"/>
        <v>0</v>
      </c>
      <c r="AC100">
        <f t="shared" si="38"/>
        <v>0</v>
      </c>
      <c r="AD100">
        <f t="shared" si="39"/>
        <v>0</v>
      </c>
      <c r="AE100">
        <f t="shared" si="40"/>
        <v>0</v>
      </c>
      <c r="AF100">
        <f t="shared" si="41"/>
        <v>0</v>
      </c>
    </row>
    <row r="101" spans="1:32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  <c r="M101">
        <f t="shared" si="22"/>
        <v>0</v>
      </c>
      <c r="N101">
        <f t="shared" si="23"/>
        <v>0</v>
      </c>
      <c r="O101">
        <f t="shared" si="24"/>
        <v>0</v>
      </c>
      <c r="P101">
        <f t="shared" si="25"/>
        <v>0</v>
      </c>
      <c r="Q101">
        <f t="shared" si="26"/>
        <v>0</v>
      </c>
      <c r="R101">
        <f t="shared" si="27"/>
        <v>0</v>
      </c>
      <c r="S101">
        <f t="shared" si="28"/>
        <v>0</v>
      </c>
      <c r="T101">
        <f t="shared" si="29"/>
        <v>0</v>
      </c>
      <c r="U101">
        <f t="shared" si="30"/>
        <v>0</v>
      </c>
      <c r="V101">
        <f t="shared" si="31"/>
        <v>0</v>
      </c>
      <c r="W101">
        <f t="shared" si="32"/>
        <v>0</v>
      </c>
      <c r="X101">
        <f t="shared" si="33"/>
        <v>0</v>
      </c>
      <c r="Y101">
        <f t="shared" si="34"/>
        <v>0</v>
      </c>
      <c r="Z101">
        <f t="shared" si="35"/>
        <v>0</v>
      </c>
      <c r="AA101">
        <f t="shared" si="36"/>
        <v>0</v>
      </c>
      <c r="AB101">
        <f t="shared" si="37"/>
        <v>0</v>
      </c>
      <c r="AC101">
        <f t="shared" si="38"/>
        <v>0</v>
      </c>
      <c r="AD101">
        <f t="shared" si="39"/>
        <v>0</v>
      </c>
      <c r="AE101">
        <f t="shared" si="40"/>
        <v>0</v>
      </c>
      <c r="AF101">
        <f t="shared" si="41"/>
        <v>0</v>
      </c>
    </row>
    <row r="102" spans="1:32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  <c r="M102">
        <f t="shared" si="22"/>
        <v>0</v>
      </c>
      <c r="N102">
        <f t="shared" si="23"/>
        <v>0</v>
      </c>
      <c r="O102">
        <f t="shared" si="24"/>
        <v>0</v>
      </c>
      <c r="P102">
        <f t="shared" si="25"/>
        <v>0</v>
      </c>
      <c r="Q102">
        <f t="shared" si="26"/>
        <v>0</v>
      </c>
      <c r="R102">
        <f t="shared" si="27"/>
        <v>0</v>
      </c>
      <c r="S102">
        <f t="shared" si="28"/>
        <v>0</v>
      </c>
      <c r="T102">
        <f t="shared" si="29"/>
        <v>0</v>
      </c>
      <c r="U102">
        <f t="shared" si="30"/>
        <v>0</v>
      </c>
      <c r="V102">
        <f t="shared" si="31"/>
        <v>0</v>
      </c>
      <c r="W102">
        <f t="shared" si="32"/>
        <v>0</v>
      </c>
      <c r="X102">
        <f t="shared" si="33"/>
        <v>0</v>
      </c>
      <c r="Y102">
        <f t="shared" si="34"/>
        <v>0</v>
      </c>
      <c r="Z102">
        <f t="shared" si="35"/>
        <v>0</v>
      </c>
      <c r="AA102">
        <f t="shared" si="36"/>
        <v>0</v>
      </c>
      <c r="AB102">
        <f t="shared" si="37"/>
        <v>0</v>
      </c>
      <c r="AC102">
        <f t="shared" si="38"/>
        <v>0</v>
      </c>
      <c r="AD102">
        <f t="shared" si="39"/>
        <v>0</v>
      </c>
      <c r="AE102">
        <f t="shared" si="40"/>
        <v>0</v>
      </c>
      <c r="AF102">
        <f t="shared" si="41"/>
        <v>0</v>
      </c>
    </row>
    <row r="103" spans="1:32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  <c r="M103">
        <f t="shared" si="22"/>
        <v>0</v>
      </c>
      <c r="N103">
        <f t="shared" si="23"/>
        <v>0</v>
      </c>
      <c r="O103">
        <f t="shared" si="24"/>
        <v>0</v>
      </c>
      <c r="P103">
        <f t="shared" si="25"/>
        <v>0</v>
      </c>
      <c r="Q103">
        <f t="shared" si="26"/>
        <v>0</v>
      </c>
      <c r="R103">
        <f t="shared" si="27"/>
        <v>0</v>
      </c>
      <c r="S103">
        <f t="shared" si="28"/>
        <v>0</v>
      </c>
      <c r="T103">
        <f t="shared" si="29"/>
        <v>0</v>
      </c>
      <c r="U103">
        <f t="shared" si="30"/>
        <v>0</v>
      </c>
      <c r="V103">
        <f t="shared" si="31"/>
        <v>0</v>
      </c>
      <c r="W103">
        <f t="shared" si="32"/>
        <v>0</v>
      </c>
      <c r="X103">
        <f t="shared" si="33"/>
        <v>0</v>
      </c>
      <c r="Y103">
        <f t="shared" si="34"/>
        <v>0</v>
      </c>
      <c r="Z103">
        <f t="shared" si="35"/>
        <v>0</v>
      </c>
      <c r="AA103">
        <f t="shared" si="36"/>
        <v>0</v>
      </c>
      <c r="AB103">
        <f t="shared" si="37"/>
        <v>0</v>
      </c>
      <c r="AC103">
        <f t="shared" si="38"/>
        <v>0</v>
      </c>
      <c r="AD103">
        <f t="shared" si="39"/>
        <v>0</v>
      </c>
      <c r="AE103">
        <f t="shared" si="40"/>
        <v>0</v>
      </c>
      <c r="AF103">
        <f t="shared" si="41"/>
        <v>0</v>
      </c>
    </row>
    <row r="104" spans="1:32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  <c r="M104">
        <f t="shared" si="22"/>
        <v>0</v>
      </c>
      <c r="N104">
        <f t="shared" si="23"/>
        <v>0</v>
      </c>
      <c r="O104">
        <f t="shared" si="24"/>
        <v>0</v>
      </c>
      <c r="P104">
        <f t="shared" si="25"/>
        <v>0</v>
      </c>
      <c r="Q104">
        <f t="shared" si="26"/>
        <v>0</v>
      </c>
      <c r="R104">
        <f t="shared" si="27"/>
        <v>0</v>
      </c>
      <c r="S104">
        <f t="shared" si="28"/>
        <v>0</v>
      </c>
      <c r="T104">
        <f t="shared" si="29"/>
        <v>0</v>
      </c>
      <c r="U104">
        <f t="shared" si="30"/>
        <v>0</v>
      </c>
      <c r="V104">
        <f t="shared" si="31"/>
        <v>0</v>
      </c>
      <c r="W104">
        <f t="shared" si="32"/>
        <v>0</v>
      </c>
      <c r="X104">
        <f t="shared" si="33"/>
        <v>0</v>
      </c>
      <c r="Y104">
        <f t="shared" si="34"/>
        <v>0</v>
      </c>
      <c r="Z104">
        <f t="shared" si="35"/>
        <v>0</v>
      </c>
      <c r="AA104">
        <f t="shared" si="36"/>
        <v>0</v>
      </c>
      <c r="AB104">
        <f t="shared" si="37"/>
        <v>0</v>
      </c>
      <c r="AC104">
        <f t="shared" si="38"/>
        <v>0</v>
      </c>
      <c r="AD104">
        <f t="shared" si="39"/>
        <v>0</v>
      </c>
      <c r="AE104">
        <f t="shared" si="40"/>
        <v>0</v>
      </c>
      <c r="AF104">
        <f t="shared" si="41"/>
        <v>0</v>
      </c>
    </row>
    <row r="105" spans="1:32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  <c r="M105">
        <f t="shared" si="22"/>
        <v>0</v>
      </c>
      <c r="N105">
        <f t="shared" si="23"/>
        <v>0</v>
      </c>
      <c r="O105">
        <f t="shared" si="24"/>
        <v>0</v>
      </c>
      <c r="P105">
        <f t="shared" si="25"/>
        <v>0</v>
      </c>
      <c r="Q105">
        <f t="shared" si="26"/>
        <v>0</v>
      </c>
      <c r="R105">
        <f t="shared" si="27"/>
        <v>0</v>
      </c>
      <c r="S105">
        <f t="shared" si="28"/>
        <v>0</v>
      </c>
      <c r="T105">
        <f t="shared" si="29"/>
        <v>0</v>
      </c>
      <c r="U105">
        <f t="shared" si="30"/>
        <v>0</v>
      </c>
      <c r="V105">
        <f t="shared" si="31"/>
        <v>0</v>
      </c>
      <c r="W105">
        <f t="shared" si="32"/>
        <v>0</v>
      </c>
      <c r="X105">
        <f t="shared" si="33"/>
        <v>0</v>
      </c>
      <c r="Y105">
        <f t="shared" si="34"/>
        <v>0</v>
      </c>
      <c r="Z105">
        <f t="shared" si="35"/>
        <v>0</v>
      </c>
      <c r="AA105">
        <f t="shared" si="36"/>
        <v>0</v>
      </c>
      <c r="AB105">
        <f t="shared" si="37"/>
        <v>0</v>
      </c>
      <c r="AC105">
        <f t="shared" si="38"/>
        <v>0</v>
      </c>
      <c r="AD105">
        <f t="shared" si="39"/>
        <v>0</v>
      </c>
      <c r="AE105">
        <f t="shared" si="40"/>
        <v>0</v>
      </c>
      <c r="AF105">
        <f t="shared" si="41"/>
        <v>0</v>
      </c>
    </row>
    <row r="106" spans="1:32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  <c r="M106">
        <f t="shared" si="22"/>
        <v>0</v>
      </c>
      <c r="N106">
        <f t="shared" si="23"/>
        <v>0</v>
      </c>
      <c r="O106">
        <f t="shared" si="24"/>
        <v>0</v>
      </c>
      <c r="P106">
        <f t="shared" si="25"/>
        <v>0</v>
      </c>
      <c r="Q106">
        <f t="shared" si="26"/>
        <v>0</v>
      </c>
      <c r="R106">
        <f t="shared" si="27"/>
        <v>0</v>
      </c>
      <c r="S106">
        <f t="shared" si="28"/>
        <v>0</v>
      </c>
      <c r="T106">
        <f t="shared" si="29"/>
        <v>0</v>
      </c>
      <c r="U106">
        <f t="shared" si="30"/>
        <v>0</v>
      </c>
      <c r="V106">
        <f t="shared" si="31"/>
        <v>0</v>
      </c>
      <c r="W106">
        <f t="shared" si="32"/>
        <v>0</v>
      </c>
      <c r="X106">
        <f t="shared" si="33"/>
        <v>0</v>
      </c>
      <c r="Y106">
        <f t="shared" si="34"/>
        <v>0</v>
      </c>
      <c r="Z106">
        <f t="shared" si="35"/>
        <v>0</v>
      </c>
      <c r="AA106">
        <f t="shared" si="36"/>
        <v>0</v>
      </c>
      <c r="AB106">
        <f t="shared" si="37"/>
        <v>0</v>
      </c>
      <c r="AC106">
        <f t="shared" si="38"/>
        <v>0</v>
      </c>
      <c r="AD106">
        <f t="shared" si="39"/>
        <v>0</v>
      </c>
      <c r="AE106">
        <f t="shared" si="40"/>
        <v>0</v>
      </c>
      <c r="AF106">
        <f t="shared" si="41"/>
        <v>0</v>
      </c>
    </row>
    <row r="107" spans="1:32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  <c r="M107">
        <f t="shared" si="22"/>
        <v>0</v>
      </c>
      <c r="N107">
        <f t="shared" si="23"/>
        <v>0</v>
      </c>
      <c r="O107">
        <f t="shared" si="24"/>
        <v>0</v>
      </c>
      <c r="P107">
        <f t="shared" si="25"/>
        <v>0</v>
      </c>
      <c r="Q107">
        <f t="shared" si="26"/>
        <v>0</v>
      </c>
      <c r="R107">
        <f t="shared" si="27"/>
        <v>0</v>
      </c>
      <c r="S107">
        <f t="shared" si="28"/>
        <v>0</v>
      </c>
      <c r="T107">
        <f t="shared" si="29"/>
        <v>0</v>
      </c>
      <c r="U107">
        <f t="shared" si="30"/>
        <v>0</v>
      </c>
      <c r="V107">
        <f t="shared" si="31"/>
        <v>0</v>
      </c>
      <c r="W107">
        <f t="shared" si="32"/>
        <v>0</v>
      </c>
      <c r="X107">
        <f t="shared" si="33"/>
        <v>0</v>
      </c>
      <c r="Y107">
        <f t="shared" si="34"/>
        <v>0</v>
      </c>
      <c r="Z107">
        <f t="shared" si="35"/>
        <v>0</v>
      </c>
      <c r="AA107">
        <f t="shared" si="36"/>
        <v>0</v>
      </c>
      <c r="AB107">
        <f t="shared" si="37"/>
        <v>0</v>
      </c>
      <c r="AC107">
        <f t="shared" si="38"/>
        <v>0</v>
      </c>
      <c r="AD107">
        <f t="shared" si="39"/>
        <v>0</v>
      </c>
      <c r="AE107">
        <f t="shared" si="40"/>
        <v>0</v>
      </c>
      <c r="AF107">
        <f t="shared" si="41"/>
        <v>0</v>
      </c>
    </row>
    <row r="108" spans="1:32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  <c r="M108">
        <f t="shared" si="22"/>
        <v>0</v>
      </c>
      <c r="N108">
        <f t="shared" si="23"/>
        <v>0</v>
      </c>
      <c r="O108">
        <f t="shared" si="24"/>
        <v>0</v>
      </c>
      <c r="P108">
        <f t="shared" si="25"/>
        <v>0</v>
      </c>
      <c r="Q108">
        <f t="shared" si="26"/>
        <v>0</v>
      </c>
      <c r="R108">
        <f t="shared" si="27"/>
        <v>0</v>
      </c>
      <c r="S108">
        <f t="shared" si="28"/>
        <v>0</v>
      </c>
      <c r="T108">
        <f t="shared" si="29"/>
        <v>0</v>
      </c>
      <c r="U108">
        <f t="shared" si="30"/>
        <v>0</v>
      </c>
      <c r="V108">
        <f t="shared" si="31"/>
        <v>0</v>
      </c>
      <c r="W108">
        <f t="shared" si="32"/>
        <v>0</v>
      </c>
      <c r="X108">
        <f t="shared" si="33"/>
        <v>0</v>
      </c>
      <c r="Y108">
        <f t="shared" si="34"/>
        <v>0</v>
      </c>
      <c r="Z108">
        <f t="shared" si="35"/>
        <v>0</v>
      </c>
      <c r="AA108">
        <f t="shared" si="36"/>
        <v>0</v>
      </c>
      <c r="AB108">
        <f t="shared" si="37"/>
        <v>0</v>
      </c>
      <c r="AC108">
        <f t="shared" si="38"/>
        <v>0</v>
      </c>
      <c r="AD108">
        <f t="shared" si="39"/>
        <v>0</v>
      </c>
      <c r="AE108">
        <f t="shared" si="40"/>
        <v>0</v>
      </c>
      <c r="AF108">
        <f t="shared" si="41"/>
        <v>0</v>
      </c>
    </row>
    <row r="109" spans="1:32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  <c r="M109">
        <f t="shared" si="22"/>
        <v>0</v>
      </c>
      <c r="N109">
        <f t="shared" si="23"/>
        <v>0</v>
      </c>
      <c r="O109">
        <f t="shared" si="24"/>
        <v>0</v>
      </c>
      <c r="P109">
        <f t="shared" si="25"/>
        <v>0</v>
      </c>
      <c r="Q109">
        <f t="shared" si="26"/>
        <v>0</v>
      </c>
      <c r="R109">
        <f t="shared" si="27"/>
        <v>0</v>
      </c>
      <c r="S109">
        <f t="shared" si="28"/>
        <v>0</v>
      </c>
      <c r="T109">
        <f t="shared" si="29"/>
        <v>0</v>
      </c>
      <c r="U109">
        <f t="shared" si="30"/>
        <v>0</v>
      </c>
      <c r="V109">
        <f t="shared" si="31"/>
        <v>0</v>
      </c>
      <c r="W109">
        <f t="shared" si="32"/>
        <v>0</v>
      </c>
      <c r="X109">
        <f t="shared" si="33"/>
        <v>0</v>
      </c>
      <c r="Y109">
        <f t="shared" si="34"/>
        <v>0</v>
      </c>
      <c r="Z109">
        <f t="shared" si="35"/>
        <v>0</v>
      </c>
      <c r="AA109">
        <f t="shared" si="36"/>
        <v>0</v>
      </c>
      <c r="AB109">
        <f t="shared" si="37"/>
        <v>0</v>
      </c>
      <c r="AC109">
        <f t="shared" si="38"/>
        <v>0</v>
      </c>
      <c r="AD109">
        <f t="shared" si="39"/>
        <v>0</v>
      </c>
      <c r="AE109">
        <f t="shared" si="40"/>
        <v>0</v>
      </c>
      <c r="AF109">
        <f t="shared" si="41"/>
        <v>0</v>
      </c>
    </row>
    <row r="110" spans="1:32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  <c r="M110">
        <f t="shared" si="22"/>
        <v>0</v>
      </c>
      <c r="N110">
        <f t="shared" si="23"/>
        <v>0</v>
      </c>
      <c r="O110">
        <f t="shared" si="24"/>
        <v>0</v>
      </c>
      <c r="P110">
        <f t="shared" si="25"/>
        <v>0</v>
      </c>
      <c r="Q110">
        <f t="shared" si="26"/>
        <v>0</v>
      </c>
      <c r="R110">
        <f t="shared" si="27"/>
        <v>0</v>
      </c>
      <c r="S110">
        <f t="shared" si="28"/>
        <v>0</v>
      </c>
      <c r="T110">
        <f t="shared" si="29"/>
        <v>0</v>
      </c>
      <c r="U110">
        <f t="shared" si="30"/>
        <v>0</v>
      </c>
      <c r="V110">
        <f t="shared" si="31"/>
        <v>0</v>
      </c>
      <c r="W110">
        <f t="shared" si="32"/>
        <v>0</v>
      </c>
      <c r="X110">
        <f t="shared" si="33"/>
        <v>0</v>
      </c>
      <c r="Y110">
        <f t="shared" si="34"/>
        <v>0</v>
      </c>
      <c r="Z110">
        <f t="shared" si="35"/>
        <v>0</v>
      </c>
      <c r="AA110">
        <f t="shared" si="36"/>
        <v>0</v>
      </c>
      <c r="AB110">
        <f t="shared" si="37"/>
        <v>0</v>
      </c>
      <c r="AC110">
        <f t="shared" si="38"/>
        <v>0</v>
      </c>
      <c r="AD110">
        <f t="shared" si="39"/>
        <v>0</v>
      </c>
      <c r="AE110">
        <f t="shared" si="40"/>
        <v>0</v>
      </c>
      <c r="AF110">
        <f t="shared" si="41"/>
        <v>0</v>
      </c>
    </row>
    <row r="111" spans="1:32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  <c r="M111">
        <f t="shared" si="22"/>
        <v>0</v>
      </c>
      <c r="N111">
        <f t="shared" si="23"/>
        <v>0</v>
      </c>
      <c r="O111">
        <f t="shared" si="24"/>
        <v>0</v>
      </c>
      <c r="P111">
        <f t="shared" si="25"/>
        <v>0</v>
      </c>
      <c r="Q111">
        <f t="shared" si="26"/>
        <v>0</v>
      </c>
      <c r="R111">
        <f t="shared" si="27"/>
        <v>0</v>
      </c>
      <c r="S111">
        <f t="shared" si="28"/>
        <v>0</v>
      </c>
      <c r="T111">
        <f t="shared" si="29"/>
        <v>0</v>
      </c>
      <c r="U111">
        <f t="shared" si="30"/>
        <v>0</v>
      </c>
      <c r="V111">
        <f t="shared" si="31"/>
        <v>0</v>
      </c>
      <c r="W111">
        <f t="shared" si="32"/>
        <v>0</v>
      </c>
      <c r="X111">
        <f t="shared" si="33"/>
        <v>0</v>
      </c>
      <c r="Y111">
        <f t="shared" si="34"/>
        <v>0</v>
      </c>
      <c r="Z111">
        <f t="shared" si="35"/>
        <v>0</v>
      </c>
      <c r="AA111">
        <f t="shared" si="36"/>
        <v>0</v>
      </c>
      <c r="AB111">
        <f t="shared" si="37"/>
        <v>0</v>
      </c>
      <c r="AC111">
        <f t="shared" si="38"/>
        <v>0</v>
      </c>
      <c r="AD111">
        <f t="shared" si="39"/>
        <v>0</v>
      </c>
      <c r="AE111">
        <f t="shared" si="40"/>
        <v>0</v>
      </c>
      <c r="AF111">
        <f t="shared" si="41"/>
        <v>0</v>
      </c>
    </row>
    <row r="112" spans="1:32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  <c r="M112">
        <f t="shared" si="22"/>
        <v>0</v>
      </c>
      <c r="N112">
        <f t="shared" si="23"/>
        <v>0</v>
      </c>
      <c r="O112">
        <f t="shared" si="24"/>
        <v>0</v>
      </c>
      <c r="P112">
        <f t="shared" si="25"/>
        <v>0</v>
      </c>
      <c r="Q112">
        <f t="shared" si="26"/>
        <v>0</v>
      </c>
      <c r="R112">
        <f t="shared" si="27"/>
        <v>0</v>
      </c>
      <c r="S112">
        <f t="shared" si="28"/>
        <v>0</v>
      </c>
      <c r="T112">
        <f t="shared" si="29"/>
        <v>0</v>
      </c>
      <c r="U112">
        <f t="shared" si="30"/>
        <v>0</v>
      </c>
      <c r="V112">
        <f t="shared" si="31"/>
        <v>0</v>
      </c>
      <c r="W112">
        <f t="shared" si="32"/>
        <v>0</v>
      </c>
      <c r="X112">
        <f t="shared" si="33"/>
        <v>0</v>
      </c>
      <c r="Y112">
        <f t="shared" si="34"/>
        <v>0</v>
      </c>
      <c r="Z112">
        <f t="shared" si="35"/>
        <v>0</v>
      </c>
      <c r="AA112">
        <f t="shared" si="36"/>
        <v>0</v>
      </c>
      <c r="AB112">
        <f t="shared" si="37"/>
        <v>0</v>
      </c>
      <c r="AC112">
        <f t="shared" si="38"/>
        <v>0</v>
      </c>
      <c r="AD112">
        <f t="shared" si="39"/>
        <v>0</v>
      </c>
      <c r="AE112">
        <f t="shared" si="40"/>
        <v>0</v>
      </c>
      <c r="AF112">
        <f t="shared" si="41"/>
        <v>0</v>
      </c>
    </row>
    <row r="113" spans="1:32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  <c r="M113">
        <f t="shared" si="22"/>
        <v>0</v>
      </c>
      <c r="N113">
        <f t="shared" si="23"/>
        <v>0</v>
      </c>
      <c r="O113">
        <f t="shared" si="24"/>
        <v>0</v>
      </c>
      <c r="P113">
        <f t="shared" si="25"/>
        <v>0</v>
      </c>
      <c r="Q113">
        <f t="shared" si="26"/>
        <v>0</v>
      </c>
      <c r="R113">
        <f t="shared" si="27"/>
        <v>0</v>
      </c>
      <c r="S113">
        <f t="shared" si="28"/>
        <v>0</v>
      </c>
      <c r="T113">
        <f t="shared" si="29"/>
        <v>0</v>
      </c>
      <c r="U113">
        <f t="shared" si="30"/>
        <v>0</v>
      </c>
      <c r="V113">
        <f t="shared" si="31"/>
        <v>0</v>
      </c>
      <c r="W113">
        <f t="shared" si="32"/>
        <v>0</v>
      </c>
      <c r="X113">
        <f t="shared" si="33"/>
        <v>0</v>
      </c>
      <c r="Y113">
        <f t="shared" si="34"/>
        <v>0</v>
      </c>
      <c r="Z113">
        <f t="shared" si="35"/>
        <v>0</v>
      </c>
      <c r="AA113">
        <f t="shared" si="36"/>
        <v>0</v>
      </c>
      <c r="AB113">
        <f t="shared" si="37"/>
        <v>0</v>
      </c>
      <c r="AC113">
        <f t="shared" si="38"/>
        <v>0</v>
      </c>
      <c r="AD113">
        <f t="shared" si="39"/>
        <v>0</v>
      </c>
      <c r="AE113">
        <f t="shared" si="40"/>
        <v>0</v>
      </c>
      <c r="AF113">
        <f t="shared" si="41"/>
        <v>0</v>
      </c>
    </row>
    <row r="114" spans="1:32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  <c r="M114">
        <f t="shared" si="22"/>
        <v>0</v>
      </c>
      <c r="N114">
        <f t="shared" si="23"/>
        <v>0</v>
      </c>
      <c r="O114">
        <f t="shared" si="24"/>
        <v>0</v>
      </c>
      <c r="P114">
        <f t="shared" si="25"/>
        <v>0</v>
      </c>
      <c r="Q114">
        <f t="shared" si="26"/>
        <v>0</v>
      </c>
      <c r="R114">
        <f t="shared" si="27"/>
        <v>0</v>
      </c>
      <c r="S114">
        <f t="shared" si="28"/>
        <v>0</v>
      </c>
      <c r="T114">
        <f t="shared" si="29"/>
        <v>0</v>
      </c>
      <c r="U114">
        <f t="shared" si="30"/>
        <v>0</v>
      </c>
      <c r="V114">
        <f t="shared" si="31"/>
        <v>0</v>
      </c>
      <c r="W114">
        <f t="shared" si="32"/>
        <v>0</v>
      </c>
      <c r="X114">
        <f t="shared" si="33"/>
        <v>0</v>
      </c>
      <c r="Y114">
        <f t="shared" si="34"/>
        <v>0</v>
      </c>
      <c r="Z114">
        <f t="shared" si="35"/>
        <v>0</v>
      </c>
      <c r="AA114">
        <f t="shared" si="36"/>
        <v>0</v>
      </c>
      <c r="AB114">
        <f t="shared" si="37"/>
        <v>0</v>
      </c>
      <c r="AC114">
        <f t="shared" si="38"/>
        <v>0</v>
      </c>
      <c r="AD114">
        <f t="shared" si="39"/>
        <v>0</v>
      </c>
      <c r="AE114">
        <f t="shared" si="40"/>
        <v>0</v>
      </c>
      <c r="AF114">
        <f t="shared" si="41"/>
        <v>0</v>
      </c>
    </row>
    <row r="115" spans="1:32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  <c r="M115">
        <f t="shared" si="22"/>
        <v>0</v>
      </c>
      <c r="N115">
        <f t="shared" si="23"/>
        <v>0</v>
      </c>
      <c r="O115">
        <f t="shared" si="24"/>
        <v>0</v>
      </c>
      <c r="P115">
        <f t="shared" si="25"/>
        <v>0</v>
      </c>
      <c r="Q115">
        <f t="shared" si="26"/>
        <v>0</v>
      </c>
      <c r="R115">
        <f t="shared" si="27"/>
        <v>0</v>
      </c>
      <c r="S115">
        <f t="shared" si="28"/>
        <v>0</v>
      </c>
      <c r="T115">
        <f t="shared" si="29"/>
        <v>0</v>
      </c>
      <c r="U115">
        <f t="shared" si="30"/>
        <v>0</v>
      </c>
      <c r="V115">
        <f t="shared" si="31"/>
        <v>0</v>
      </c>
      <c r="W115">
        <f t="shared" si="32"/>
        <v>0</v>
      </c>
      <c r="X115">
        <f t="shared" si="33"/>
        <v>0</v>
      </c>
      <c r="Y115">
        <f t="shared" si="34"/>
        <v>0</v>
      </c>
      <c r="Z115">
        <f t="shared" si="35"/>
        <v>0</v>
      </c>
      <c r="AA115">
        <f t="shared" si="36"/>
        <v>0</v>
      </c>
      <c r="AB115">
        <f t="shared" si="37"/>
        <v>0</v>
      </c>
      <c r="AC115">
        <f t="shared" si="38"/>
        <v>0</v>
      </c>
      <c r="AD115">
        <f t="shared" si="39"/>
        <v>0</v>
      </c>
      <c r="AE115">
        <f t="shared" si="40"/>
        <v>0</v>
      </c>
      <c r="AF115">
        <f t="shared" si="41"/>
        <v>0</v>
      </c>
    </row>
    <row r="116" spans="1:32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  <c r="M116">
        <f t="shared" si="22"/>
        <v>0</v>
      </c>
      <c r="N116">
        <f t="shared" si="23"/>
        <v>0</v>
      </c>
      <c r="O116">
        <f t="shared" si="24"/>
        <v>0</v>
      </c>
      <c r="P116">
        <f t="shared" si="25"/>
        <v>0</v>
      </c>
      <c r="Q116">
        <f t="shared" si="26"/>
        <v>0</v>
      </c>
      <c r="R116">
        <f t="shared" si="27"/>
        <v>0</v>
      </c>
      <c r="S116">
        <f t="shared" si="28"/>
        <v>0</v>
      </c>
      <c r="T116">
        <f t="shared" si="29"/>
        <v>0</v>
      </c>
      <c r="U116">
        <f t="shared" si="30"/>
        <v>0</v>
      </c>
      <c r="V116">
        <f t="shared" si="31"/>
        <v>0</v>
      </c>
      <c r="W116">
        <f t="shared" si="32"/>
        <v>0</v>
      </c>
      <c r="X116">
        <f t="shared" si="33"/>
        <v>0</v>
      </c>
      <c r="Y116">
        <f t="shared" si="34"/>
        <v>0</v>
      </c>
      <c r="Z116">
        <f t="shared" si="35"/>
        <v>0</v>
      </c>
      <c r="AA116">
        <f t="shared" si="36"/>
        <v>0</v>
      </c>
      <c r="AB116">
        <f t="shared" si="37"/>
        <v>0</v>
      </c>
      <c r="AC116">
        <f t="shared" si="38"/>
        <v>0</v>
      </c>
      <c r="AD116">
        <f t="shared" si="39"/>
        <v>0</v>
      </c>
      <c r="AE116">
        <f t="shared" si="40"/>
        <v>0</v>
      </c>
      <c r="AF116">
        <f t="shared" si="41"/>
        <v>0</v>
      </c>
    </row>
    <row r="117" spans="1:32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  <c r="M117">
        <f t="shared" si="22"/>
        <v>0</v>
      </c>
      <c r="N117">
        <f t="shared" si="23"/>
        <v>0</v>
      </c>
      <c r="O117">
        <f t="shared" si="24"/>
        <v>0</v>
      </c>
      <c r="P117">
        <f t="shared" si="25"/>
        <v>0</v>
      </c>
      <c r="Q117">
        <f t="shared" si="26"/>
        <v>0</v>
      </c>
      <c r="R117">
        <f t="shared" si="27"/>
        <v>0</v>
      </c>
      <c r="S117">
        <f t="shared" si="28"/>
        <v>0</v>
      </c>
      <c r="T117">
        <f t="shared" si="29"/>
        <v>0</v>
      </c>
      <c r="U117">
        <f t="shared" si="30"/>
        <v>0</v>
      </c>
      <c r="V117">
        <f t="shared" si="31"/>
        <v>0</v>
      </c>
      <c r="W117">
        <f t="shared" si="32"/>
        <v>0</v>
      </c>
      <c r="X117">
        <f t="shared" si="33"/>
        <v>0</v>
      </c>
      <c r="Y117">
        <f t="shared" si="34"/>
        <v>0</v>
      </c>
      <c r="Z117">
        <f t="shared" si="35"/>
        <v>0</v>
      </c>
      <c r="AA117">
        <f t="shared" si="36"/>
        <v>0</v>
      </c>
      <c r="AB117">
        <f t="shared" si="37"/>
        <v>0</v>
      </c>
      <c r="AC117">
        <f t="shared" si="38"/>
        <v>0</v>
      </c>
      <c r="AD117">
        <f t="shared" si="39"/>
        <v>0</v>
      </c>
      <c r="AE117">
        <f t="shared" si="40"/>
        <v>0</v>
      </c>
      <c r="AF117">
        <f t="shared" si="41"/>
        <v>0</v>
      </c>
    </row>
    <row r="118" spans="1:32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  <c r="M118">
        <f t="shared" si="22"/>
        <v>0</v>
      </c>
      <c r="N118">
        <f t="shared" si="23"/>
        <v>0</v>
      </c>
      <c r="O118">
        <f t="shared" si="24"/>
        <v>0</v>
      </c>
      <c r="P118">
        <f t="shared" si="25"/>
        <v>0</v>
      </c>
      <c r="Q118">
        <f t="shared" si="26"/>
        <v>0</v>
      </c>
      <c r="R118">
        <f t="shared" si="27"/>
        <v>0</v>
      </c>
      <c r="S118">
        <f t="shared" si="28"/>
        <v>0</v>
      </c>
      <c r="T118">
        <f t="shared" si="29"/>
        <v>0</v>
      </c>
      <c r="U118">
        <f t="shared" si="30"/>
        <v>0</v>
      </c>
      <c r="V118">
        <f t="shared" si="31"/>
        <v>0</v>
      </c>
      <c r="W118">
        <f t="shared" si="32"/>
        <v>0</v>
      </c>
      <c r="X118">
        <f t="shared" si="33"/>
        <v>0</v>
      </c>
      <c r="Y118">
        <f t="shared" si="34"/>
        <v>0</v>
      </c>
      <c r="Z118">
        <f t="shared" si="35"/>
        <v>0</v>
      </c>
      <c r="AA118">
        <f t="shared" si="36"/>
        <v>0</v>
      </c>
      <c r="AB118">
        <f t="shared" si="37"/>
        <v>0</v>
      </c>
      <c r="AC118">
        <f t="shared" si="38"/>
        <v>0</v>
      </c>
      <c r="AD118">
        <f t="shared" si="39"/>
        <v>0</v>
      </c>
      <c r="AE118">
        <f t="shared" si="40"/>
        <v>0</v>
      </c>
      <c r="AF118">
        <f t="shared" si="41"/>
        <v>0</v>
      </c>
    </row>
    <row r="119" spans="1:32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  <c r="M119">
        <f t="shared" si="22"/>
        <v>0</v>
      </c>
      <c r="N119">
        <f t="shared" si="23"/>
        <v>0</v>
      </c>
      <c r="O119">
        <f t="shared" si="24"/>
        <v>0</v>
      </c>
      <c r="P119">
        <f t="shared" si="25"/>
        <v>0</v>
      </c>
      <c r="Q119">
        <f t="shared" si="26"/>
        <v>0</v>
      </c>
      <c r="R119">
        <f t="shared" si="27"/>
        <v>0</v>
      </c>
      <c r="S119">
        <f t="shared" si="28"/>
        <v>0</v>
      </c>
      <c r="T119">
        <f t="shared" si="29"/>
        <v>0</v>
      </c>
      <c r="U119">
        <f t="shared" si="30"/>
        <v>0</v>
      </c>
      <c r="V119">
        <f t="shared" si="31"/>
        <v>0</v>
      </c>
      <c r="W119">
        <f t="shared" si="32"/>
        <v>0</v>
      </c>
      <c r="X119">
        <f t="shared" si="33"/>
        <v>0</v>
      </c>
      <c r="Y119">
        <f t="shared" si="34"/>
        <v>0</v>
      </c>
      <c r="Z119">
        <f t="shared" si="35"/>
        <v>0</v>
      </c>
      <c r="AA119">
        <f t="shared" si="36"/>
        <v>0</v>
      </c>
      <c r="AB119">
        <f t="shared" si="37"/>
        <v>0</v>
      </c>
      <c r="AC119">
        <f t="shared" si="38"/>
        <v>0</v>
      </c>
      <c r="AD119">
        <f t="shared" si="39"/>
        <v>0</v>
      </c>
      <c r="AE119">
        <f t="shared" si="40"/>
        <v>0</v>
      </c>
      <c r="AF119">
        <f t="shared" si="41"/>
        <v>0</v>
      </c>
    </row>
    <row r="120" spans="1:32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  <c r="M120">
        <f t="shared" si="22"/>
        <v>0</v>
      </c>
      <c r="N120">
        <f t="shared" si="23"/>
        <v>0</v>
      </c>
      <c r="O120">
        <f t="shared" si="24"/>
        <v>0</v>
      </c>
      <c r="P120">
        <f t="shared" si="25"/>
        <v>0</v>
      </c>
      <c r="Q120">
        <f t="shared" si="26"/>
        <v>0</v>
      </c>
      <c r="R120">
        <f t="shared" si="27"/>
        <v>0</v>
      </c>
      <c r="S120">
        <f t="shared" si="28"/>
        <v>0</v>
      </c>
      <c r="T120">
        <f t="shared" si="29"/>
        <v>0</v>
      </c>
      <c r="U120">
        <f t="shared" si="30"/>
        <v>0</v>
      </c>
      <c r="V120">
        <f t="shared" si="31"/>
        <v>0</v>
      </c>
      <c r="W120">
        <f t="shared" si="32"/>
        <v>0</v>
      </c>
      <c r="X120">
        <f t="shared" si="33"/>
        <v>0</v>
      </c>
      <c r="Y120">
        <f t="shared" si="34"/>
        <v>0</v>
      </c>
      <c r="Z120">
        <f t="shared" si="35"/>
        <v>0</v>
      </c>
      <c r="AA120">
        <f t="shared" si="36"/>
        <v>0</v>
      </c>
      <c r="AB120">
        <f t="shared" si="37"/>
        <v>0</v>
      </c>
      <c r="AC120">
        <f t="shared" si="38"/>
        <v>0</v>
      </c>
      <c r="AD120">
        <f t="shared" si="39"/>
        <v>0</v>
      </c>
      <c r="AE120">
        <f t="shared" si="40"/>
        <v>0</v>
      </c>
      <c r="AF120">
        <f t="shared" si="41"/>
        <v>0</v>
      </c>
    </row>
    <row r="121" spans="1:32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  <c r="M121">
        <f t="shared" si="22"/>
        <v>0</v>
      </c>
      <c r="N121">
        <f t="shared" si="23"/>
        <v>0</v>
      </c>
      <c r="O121">
        <f t="shared" si="24"/>
        <v>0</v>
      </c>
      <c r="P121">
        <f t="shared" si="25"/>
        <v>0</v>
      </c>
      <c r="Q121">
        <f t="shared" si="26"/>
        <v>0</v>
      </c>
      <c r="R121">
        <f t="shared" si="27"/>
        <v>0</v>
      </c>
      <c r="S121">
        <f t="shared" si="28"/>
        <v>0</v>
      </c>
      <c r="T121">
        <f t="shared" si="29"/>
        <v>0</v>
      </c>
      <c r="U121">
        <f t="shared" si="30"/>
        <v>0</v>
      </c>
      <c r="V121">
        <f t="shared" si="31"/>
        <v>0</v>
      </c>
      <c r="W121">
        <f t="shared" si="32"/>
        <v>0</v>
      </c>
      <c r="X121">
        <f t="shared" si="33"/>
        <v>0</v>
      </c>
      <c r="Y121">
        <f t="shared" si="34"/>
        <v>0</v>
      </c>
      <c r="Z121">
        <f t="shared" si="35"/>
        <v>0</v>
      </c>
      <c r="AA121">
        <f t="shared" si="36"/>
        <v>0</v>
      </c>
      <c r="AB121">
        <f t="shared" si="37"/>
        <v>0</v>
      </c>
      <c r="AC121">
        <f t="shared" si="38"/>
        <v>0</v>
      </c>
      <c r="AD121">
        <f t="shared" si="39"/>
        <v>0</v>
      </c>
      <c r="AE121">
        <f t="shared" si="40"/>
        <v>0</v>
      </c>
      <c r="AF121">
        <f t="shared" si="41"/>
        <v>0</v>
      </c>
    </row>
    <row r="122" spans="1:32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  <c r="M122">
        <f t="shared" si="22"/>
        <v>0</v>
      </c>
      <c r="N122">
        <f t="shared" si="23"/>
        <v>0</v>
      </c>
      <c r="O122">
        <f t="shared" si="24"/>
        <v>0</v>
      </c>
      <c r="P122">
        <f t="shared" si="25"/>
        <v>0</v>
      </c>
      <c r="Q122">
        <f t="shared" si="26"/>
        <v>0</v>
      </c>
      <c r="R122">
        <f t="shared" si="27"/>
        <v>0</v>
      </c>
      <c r="S122">
        <f t="shared" si="28"/>
        <v>0</v>
      </c>
      <c r="T122">
        <f t="shared" si="29"/>
        <v>0</v>
      </c>
      <c r="U122">
        <f t="shared" si="30"/>
        <v>0</v>
      </c>
      <c r="V122">
        <f t="shared" si="31"/>
        <v>0</v>
      </c>
      <c r="W122">
        <f t="shared" si="32"/>
        <v>0</v>
      </c>
      <c r="X122">
        <f t="shared" si="33"/>
        <v>0</v>
      </c>
      <c r="Y122">
        <f t="shared" si="34"/>
        <v>0</v>
      </c>
      <c r="Z122">
        <f t="shared" si="35"/>
        <v>0</v>
      </c>
      <c r="AA122">
        <f t="shared" si="36"/>
        <v>0</v>
      </c>
      <c r="AB122">
        <f t="shared" si="37"/>
        <v>0</v>
      </c>
      <c r="AC122">
        <f t="shared" si="38"/>
        <v>0</v>
      </c>
      <c r="AD122">
        <f t="shared" si="39"/>
        <v>0</v>
      </c>
      <c r="AE122">
        <f t="shared" si="40"/>
        <v>0</v>
      </c>
      <c r="AF122">
        <f t="shared" si="41"/>
        <v>0</v>
      </c>
    </row>
    <row r="123" spans="1:32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  <c r="M123">
        <f t="shared" si="22"/>
        <v>0</v>
      </c>
      <c r="N123">
        <f t="shared" si="23"/>
        <v>0</v>
      </c>
      <c r="O123">
        <f t="shared" si="24"/>
        <v>0</v>
      </c>
      <c r="P123">
        <f t="shared" si="25"/>
        <v>0</v>
      </c>
      <c r="Q123">
        <f t="shared" si="26"/>
        <v>0</v>
      </c>
      <c r="R123">
        <f t="shared" si="27"/>
        <v>0</v>
      </c>
      <c r="S123">
        <f t="shared" si="28"/>
        <v>0</v>
      </c>
      <c r="T123">
        <f t="shared" si="29"/>
        <v>0</v>
      </c>
      <c r="U123">
        <f t="shared" si="30"/>
        <v>0</v>
      </c>
      <c r="V123">
        <f t="shared" si="31"/>
        <v>0</v>
      </c>
      <c r="W123">
        <f t="shared" si="32"/>
        <v>0</v>
      </c>
      <c r="X123">
        <f t="shared" si="33"/>
        <v>0</v>
      </c>
      <c r="Y123">
        <f t="shared" si="34"/>
        <v>0</v>
      </c>
      <c r="Z123">
        <f t="shared" si="35"/>
        <v>0</v>
      </c>
      <c r="AA123">
        <f t="shared" si="36"/>
        <v>0</v>
      </c>
      <c r="AB123">
        <f t="shared" si="37"/>
        <v>0</v>
      </c>
      <c r="AC123">
        <f t="shared" si="38"/>
        <v>0</v>
      </c>
      <c r="AD123">
        <f t="shared" si="39"/>
        <v>0</v>
      </c>
      <c r="AE123">
        <f t="shared" si="40"/>
        <v>0</v>
      </c>
      <c r="AF123">
        <f t="shared" si="41"/>
        <v>0</v>
      </c>
    </row>
    <row r="124" spans="1:32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  <c r="M124">
        <f t="shared" si="22"/>
        <v>0</v>
      </c>
      <c r="N124">
        <f t="shared" si="23"/>
        <v>0</v>
      </c>
      <c r="O124">
        <f t="shared" si="24"/>
        <v>0</v>
      </c>
      <c r="P124">
        <f t="shared" si="25"/>
        <v>0</v>
      </c>
      <c r="Q124">
        <f t="shared" si="26"/>
        <v>0</v>
      </c>
      <c r="R124">
        <f t="shared" si="27"/>
        <v>0</v>
      </c>
      <c r="S124">
        <f t="shared" si="28"/>
        <v>0</v>
      </c>
      <c r="T124">
        <f t="shared" si="29"/>
        <v>0</v>
      </c>
      <c r="U124">
        <f t="shared" si="30"/>
        <v>0</v>
      </c>
      <c r="V124">
        <f t="shared" si="31"/>
        <v>0</v>
      </c>
      <c r="W124">
        <f t="shared" si="32"/>
        <v>0</v>
      </c>
      <c r="X124">
        <f t="shared" si="33"/>
        <v>0</v>
      </c>
      <c r="Y124">
        <f t="shared" si="34"/>
        <v>0</v>
      </c>
      <c r="Z124">
        <f t="shared" si="35"/>
        <v>0</v>
      </c>
      <c r="AA124">
        <f t="shared" si="36"/>
        <v>0</v>
      </c>
      <c r="AB124">
        <f t="shared" si="37"/>
        <v>0</v>
      </c>
      <c r="AC124">
        <f t="shared" si="38"/>
        <v>0</v>
      </c>
      <c r="AD124">
        <f t="shared" si="39"/>
        <v>0</v>
      </c>
      <c r="AE124">
        <f t="shared" si="40"/>
        <v>0</v>
      </c>
      <c r="AF124">
        <f t="shared" si="41"/>
        <v>0</v>
      </c>
    </row>
    <row r="125" spans="1:32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  <c r="M125">
        <f t="shared" si="22"/>
        <v>0</v>
      </c>
      <c r="N125">
        <f t="shared" si="23"/>
        <v>0</v>
      </c>
      <c r="O125">
        <f t="shared" si="24"/>
        <v>0</v>
      </c>
      <c r="P125">
        <f t="shared" si="25"/>
        <v>0</v>
      </c>
      <c r="Q125">
        <f t="shared" si="26"/>
        <v>0</v>
      </c>
      <c r="R125">
        <f t="shared" si="27"/>
        <v>0</v>
      </c>
      <c r="S125">
        <f t="shared" si="28"/>
        <v>0</v>
      </c>
      <c r="T125">
        <f t="shared" si="29"/>
        <v>0</v>
      </c>
      <c r="U125">
        <f t="shared" si="30"/>
        <v>0</v>
      </c>
      <c r="V125">
        <f t="shared" si="31"/>
        <v>0</v>
      </c>
      <c r="W125">
        <f t="shared" si="32"/>
        <v>0</v>
      </c>
      <c r="X125">
        <f t="shared" si="33"/>
        <v>0</v>
      </c>
      <c r="Y125">
        <f t="shared" si="34"/>
        <v>0</v>
      </c>
      <c r="Z125">
        <f t="shared" si="35"/>
        <v>0</v>
      </c>
      <c r="AA125">
        <f t="shared" si="36"/>
        <v>0</v>
      </c>
      <c r="AB125">
        <f t="shared" si="37"/>
        <v>0</v>
      </c>
      <c r="AC125">
        <f t="shared" si="38"/>
        <v>0</v>
      </c>
      <c r="AD125">
        <f t="shared" si="39"/>
        <v>0</v>
      </c>
      <c r="AE125">
        <f t="shared" si="40"/>
        <v>0</v>
      </c>
      <c r="AF125">
        <f t="shared" si="41"/>
        <v>0</v>
      </c>
    </row>
    <row r="126" spans="1:32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  <c r="M126">
        <f t="shared" si="22"/>
        <v>0</v>
      </c>
      <c r="N126">
        <f t="shared" si="23"/>
        <v>0</v>
      </c>
      <c r="O126">
        <f t="shared" si="24"/>
        <v>0</v>
      </c>
      <c r="P126">
        <f t="shared" si="25"/>
        <v>0</v>
      </c>
      <c r="Q126">
        <f t="shared" si="26"/>
        <v>0</v>
      </c>
      <c r="R126">
        <f t="shared" si="27"/>
        <v>0</v>
      </c>
      <c r="S126">
        <f t="shared" si="28"/>
        <v>0</v>
      </c>
      <c r="T126">
        <f t="shared" si="29"/>
        <v>0</v>
      </c>
      <c r="U126">
        <f t="shared" si="30"/>
        <v>0</v>
      </c>
      <c r="V126">
        <f t="shared" si="31"/>
        <v>0</v>
      </c>
      <c r="W126">
        <f t="shared" si="32"/>
        <v>0</v>
      </c>
      <c r="X126">
        <f t="shared" si="33"/>
        <v>0</v>
      </c>
      <c r="Y126">
        <f t="shared" si="34"/>
        <v>0</v>
      </c>
      <c r="Z126">
        <f t="shared" si="35"/>
        <v>0</v>
      </c>
      <c r="AA126">
        <f t="shared" si="36"/>
        <v>0</v>
      </c>
      <c r="AB126">
        <f t="shared" si="37"/>
        <v>0</v>
      </c>
      <c r="AC126">
        <f t="shared" si="38"/>
        <v>0</v>
      </c>
      <c r="AD126">
        <f t="shared" si="39"/>
        <v>0</v>
      </c>
      <c r="AE126">
        <f t="shared" si="40"/>
        <v>0</v>
      </c>
      <c r="AF126">
        <f t="shared" si="41"/>
        <v>0</v>
      </c>
    </row>
    <row r="127" spans="1:32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  <c r="M127">
        <f t="shared" si="22"/>
        <v>0</v>
      </c>
      <c r="N127">
        <f t="shared" si="23"/>
        <v>0</v>
      </c>
      <c r="O127">
        <f t="shared" si="24"/>
        <v>0</v>
      </c>
      <c r="P127">
        <f t="shared" si="25"/>
        <v>0</v>
      </c>
      <c r="Q127">
        <f t="shared" si="26"/>
        <v>0</v>
      </c>
      <c r="R127">
        <f t="shared" si="27"/>
        <v>0</v>
      </c>
      <c r="S127">
        <f t="shared" si="28"/>
        <v>0</v>
      </c>
      <c r="T127">
        <f t="shared" si="29"/>
        <v>0</v>
      </c>
      <c r="U127">
        <f t="shared" si="30"/>
        <v>0</v>
      </c>
      <c r="V127">
        <f t="shared" si="31"/>
        <v>0</v>
      </c>
      <c r="W127">
        <f t="shared" si="32"/>
        <v>0</v>
      </c>
      <c r="X127">
        <f t="shared" si="33"/>
        <v>0</v>
      </c>
      <c r="Y127">
        <f t="shared" si="34"/>
        <v>0</v>
      </c>
      <c r="Z127">
        <f t="shared" si="35"/>
        <v>0</v>
      </c>
      <c r="AA127">
        <f t="shared" si="36"/>
        <v>0</v>
      </c>
      <c r="AB127">
        <f t="shared" si="37"/>
        <v>0</v>
      </c>
      <c r="AC127">
        <f t="shared" si="38"/>
        <v>0</v>
      </c>
      <c r="AD127">
        <f t="shared" si="39"/>
        <v>0</v>
      </c>
      <c r="AE127">
        <f t="shared" si="40"/>
        <v>0</v>
      </c>
      <c r="AF127">
        <f t="shared" si="41"/>
        <v>0</v>
      </c>
    </row>
    <row r="128" spans="1:32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  <c r="M128">
        <f t="shared" si="22"/>
        <v>0</v>
      </c>
      <c r="N128">
        <f t="shared" si="23"/>
        <v>0</v>
      </c>
      <c r="O128">
        <f t="shared" si="24"/>
        <v>0</v>
      </c>
      <c r="P128">
        <f t="shared" si="25"/>
        <v>0</v>
      </c>
      <c r="Q128">
        <f t="shared" si="26"/>
        <v>0</v>
      </c>
      <c r="R128">
        <f t="shared" si="27"/>
        <v>0</v>
      </c>
      <c r="S128">
        <f t="shared" si="28"/>
        <v>0</v>
      </c>
      <c r="T128">
        <f t="shared" si="29"/>
        <v>0</v>
      </c>
      <c r="U128">
        <f t="shared" si="30"/>
        <v>0</v>
      </c>
      <c r="V128">
        <f t="shared" si="31"/>
        <v>0</v>
      </c>
      <c r="W128">
        <f t="shared" si="32"/>
        <v>0</v>
      </c>
      <c r="X128">
        <f t="shared" si="33"/>
        <v>0</v>
      </c>
      <c r="Y128">
        <f t="shared" si="34"/>
        <v>0</v>
      </c>
      <c r="Z128">
        <f t="shared" si="35"/>
        <v>0</v>
      </c>
      <c r="AA128">
        <f t="shared" si="36"/>
        <v>0</v>
      </c>
      <c r="AB128">
        <f t="shared" si="37"/>
        <v>0</v>
      </c>
      <c r="AC128">
        <f t="shared" si="38"/>
        <v>0</v>
      </c>
      <c r="AD128">
        <f t="shared" si="39"/>
        <v>0</v>
      </c>
      <c r="AE128">
        <f t="shared" si="40"/>
        <v>0</v>
      </c>
      <c r="AF128">
        <f t="shared" si="41"/>
        <v>0</v>
      </c>
    </row>
    <row r="129" spans="1:32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  <c r="M129">
        <f t="shared" si="22"/>
        <v>0</v>
      </c>
      <c r="N129">
        <f t="shared" si="23"/>
        <v>0</v>
      </c>
      <c r="O129">
        <f t="shared" si="24"/>
        <v>0</v>
      </c>
      <c r="P129">
        <f t="shared" si="25"/>
        <v>0</v>
      </c>
      <c r="Q129">
        <f t="shared" si="26"/>
        <v>0</v>
      </c>
      <c r="R129">
        <f t="shared" si="27"/>
        <v>0</v>
      </c>
      <c r="S129">
        <f t="shared" si="28"/>
        <v>0</v>
      </c>
      <c r="T129">
        <f t="shared" si="29"/>
        <v>0</v>
      </c>
      <c r="U129">
        <f t="shared" si="30"/>
        <v>0</v>
      </c>
      <c r="V129">
        <f t="shared" si="31"/>
        <v>0</v>
      </c>
      <c r="W129">
        <f t="shared" si="32"/>
        <v>0</v>
      </c>
      <c r="X129">
        <f t="shared" si="33"/>
        <v>1</v>
      </c>
      <c r="Y129">
        <f t="shared" si="34"/>
        <v>0</v>
      </c>
      <c r="Z129">
        <f t="shared" si="35"/>
        <v>0</v>
      </c>
      <c r="AA129">
        <f t="shared" si="36"/>
        <v>0</v>
      </c>
      <c r="AB129">
        <f t="shared" si="37"/>
        <v>0</v>
      </c>
      <c r="AC129">
        <f t="shared" si="38"/>
        <v>0</v>
      </c>
      <c r="AD129">
        <f t="shared" si="39"/>
        <v>0</v>
      </c>
      <c r="AE129">
        <f t="shared" si="40"/>
        <v>0</v>
      </c>
      <c r="AF129">
        <f t="shared" si="41"/>
        <v>0</v>
      </c>
    </row>
    <row r="130" spans="1:32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  <c r="M130">
        <f t="shared" si="22"/>
        <v>0</v>
      </c>
      <c r="N130">
        <f t="shared" si="23"/>
        <v>0</v>
      </c>
      <c r="O130">
        <f t="shared" si="24"/>
        <v>0</v>
      </c>
      <c r="P130">
        <f t="shared" si="25"/>
        <v>0</v>
      </c>
      <c r="Q130">
        <f t="shared" si="26"/>
        <v>0</v>
      </c>
      <c r="R130">
        <f t="shared" si="27"/>
        <v>0</v>
      </c>
      <c r="S130">
        <f t="shared" si="28"/>
        <v>0</v>
      </c>
      <c r="T130">
        <f t="shared" si="29"/>
        <v>0</v>
      </c>
      <c r="U130">
        <f t="shared" si="30"/>
        <v>0</v>
      </c>
      <c r="V130">
        <f t="shared" si="31"/>
        <v>0</v>
      </c>
      <c r="W130">
        <f t="shared" si="32"/>
        <v>0</v>
      </c>
      <c r="X130">
        <f t="shared" si="33"/>
        <v>0</v>
      </c>
      <c r="Y130">
        <f t="shared" si="34"/>
        <v>0</v>
      </c>
      <c r="Z130">
        <f t="shared" si="35"/>
        <v>0</v>
      </c>
      <c r="AA130">
        <f t="shared" si="36"/>
        <v>0</v>
      </c>
      <c r="AB130">
        <f t="shared" si="37"/>
        <v>0</v>
      </c>
      <c r="AC130">
        <f t="shared" si="38"/>
        <v>0</v>
      </c>
      <c r="AD130">
        <f t="shared" si="39"/>
        <v>0</v>
      </c>
      <c r="AE130">
        <f t="shared" si="40"/>
        <v>0</v>
      </c>
      <c r="AF130">
        <f t="shared" si="41"/>
        <v>0</v>
      </c>
    </row>
    <row r="131" spans="1:32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  <c r="M131">
        <f t="shared" ref="M131:M194" si="42">IF(AND(C131&gt;-10,C131&lt;=15),1,0)</f>
        <v>0</v>
      </c>
      <c r="N131">
        <f t="shared" ref="N131:N194" si="43">IF(AND(D131&gt;-10,D131&lt;=15),1,0)</f>
        <v>0</v>
      </c>
      <c r="O131">
        <f t="shared" ref="O131:O194" si="44">IF(AND(E131&gt;-10,E131&lt;=15),1,0)</f>
        <v>0</v>
      </c>
      <c r="P131">
        <f t="shared" ref="P131:P194" si="45">IF(AND(F131&gt;-10,F131&lt;=15),1,0)</f>
        <v>0</v>
      </c>
      <c r="Q131">
        <f t="shared" ref="Q131:Q194" si="46">IF(AND(G131&gt;-10,G131&lt;=15),1,0)</f>
        <v>0</v>
      </c>
      <c r="R131">
        <f t="shared" ref="R131:R194" si="47">IF(AND(H131&gt;-10,H131&lt;=15),1,0)</f>
        <v>0</v>
      </c>
      <c r="S131">
        <f t="shared" ref="S131:S194" si="48">IF(AND(I131&gt;-10,I131&lt;=15),1,0)</f>
        <v>0</v>
      </c>
      <c r="T131">
        <f t="shared" ref="T131:T194" si="49">IF(AND(J131&gt;-10,J131&lt;=15),1,0)</f>
        <v>0</v>
      </c>
      <c r="U131">
        <f t="shared" ref="U131:U194" si="50">IF(AND(K131&gt;-10,K131&lt;=15),1,0)</f>
        <v>0</v>
      </c>
      <c r="V131">
        <f t="shared" ref="V131:V194" si="51">IF(AND(L131&gt;-10,L131&lt;=15),1,0)</f>
        <v>0</v>
      </c>
      <c r="W131">
        <f t="shared" ref="W131:W194" si="52">IF(AND(C131&gt;15,C131&lt;=20),1,0)</f>
        <v>0</v>
      </c>
      <c r="X131">
        <f t="shared" ref="X131:X194" si="53">IF(AND(D131&gt;15,D131&lt;=20),1,0)</f>
        <v>0</v>
      </c>
      <c r="Y131">
        <f t="shared" ref="Y131:Y194" si="54">IF(AND(E131&gt;15,E131&lt;=20),1,0)</f>
        <v>0</v>
      </c>
      <c r="Z131">
        <f t="shared" ref="Z131:Z194" si="55">IF(AND(F131&gt;15,F131&lt;=20),1,0)</f>
        <v>0</v>
      </c>
      <c r="AA131">
        <f t="shared" ref="AA131:AA194" si="56">IF(AND(G131&gt;15,G131&lt;=20),1,0)</f>
        <v>0</v>
      </c>
      <c r="AB131">
        <f t="shared" ref="AB131:AB194" si="57">IF(AND(H131&gt;15,H131&lt;=20),1,0)</f>
        <v>0</v>
      </c>
      <c r="AC131">
        <f t="shared" ref="AC131:AC194" si="58">IF(AND(I131&gt;15,I131&lt;=20),1,0)</f>
        <v>0</v>
      </c>
      <c r="AD131">
        <f t="shared" ref="AD131:AD194" si="59">IF(AND(J131&gt;15,J131&lt;=20),1,0)</f>
        <v>0</v>
      </c>
      <c r="AE131">
        <f t="shared" ref="AE131:AE194" si="60">IF(AND(K131&gt;15,K131&lt;=20),1,0)</f>
        <v>0</v>
      </c>
      <c r="AF131">
        <f t="shared" ref="AF131:AF194" si="61">IF(AND(L131&gt;15,L131&lt;=20),1,0)</f>
        <v>0</v>
      </c>
    </row>
    <row r="132" spans="1:32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  <c r="M132">
        <f t="shared" si="42"/>
        <v>0</v>
      </c>
      <c r="N132">
        <f t="shared" si="43"/>
        <v>0</v>
      </c>
      <c r="O132">
        <f t="shared" si="44"/>
        <v>0</v>
      </c>
      <c r="P132">
        <f t="shared" si="45"/>
        <v>0</v>
      </c>
      <c r="Q132">
        <f t="shared" si="46"/>
        <v>0</v>
      </c>
      <c r="R132">
        <f t="shared" si="47"/>
        <v>0</v>
      </c>
      <c r="S132">
        <f t="shared" si="48"/>
        <v>0</v>
      </c>
      <c r="T132">
        <f t="shared" si="49"/>
        <v>0</v>
      </c>
      <c r="U132">
        <f t="shared" si="50"/>
        <v>0</v>
      </c>
      <c r="V132">
        <f t="shared" si="51"/>
        <v>0</v>
      </c>
      <c r="W132">
        <f t="shared" si="52"/>
        <v>0</v>
      </c>
      <c r="X132">
        <f t="shared" si="53"/>
        <v>0</v>
      </c>
      <c r="Y132">
        <f t="shared" si="54"/>
        <v>0</v>
      </c>
      <c r="Z132">
        <f t="shared" si="55"/>
        <v>0</v>
      </c>
      <c r="AA132">
        <f t="shared" si="56"/>
        <v>0</v>
      </c>
      <c r="AB132">
        <f t="shared" si="57"/>
        <v>0</v>
      </c>
      <c r="AC132">
        <f t="shared" si="58"/>
        <v>0</v>
      </c>
      <c r="AD132">
        <f t="shared" si="59"/>
        <v>0</v>
      </c>
      <c r="AE132">
        <f t="shared" si="60"/>
        <v>0</v>
      </c>
      <c r="AF132">
        <f t="shared" si="61"/>
        <v>0</v>
      </c>
    </row>
    <row r="133" spans="1:32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  <c r="M133">
        <f t="shared" si="42"/>
        <v>0</v>
      </c>
      <c r="N133">
        <f t="shared" si="43"/>
        <v>0</v>
      </c>
      <c r="O133">
        <f t="shared" si="44"/>
        <v>0</v>
      </c>
      <c r="P133">
        <f t="shared" si="45"/>
        <v>0</v>
      </c>
      <c r="Q133">
        <f t="shared" si="46"/>
        <v>0</v>
      </c>
      <c r="R133">
        <f t="shared" si="47"/>
        <v>0</v>
      </c>
      <c r="S133">
        <f t="shared" si="48"/>
        <v>0</v>
      </c>
      <c r="T133">
        <f t="shared" si="49"/>
        <v>0</v>
      </c>
      <c r="U133">
        <f t="shared" si="50"/>
        <v>0</v>
      </c>
      <c r="V133">
        <f t="shared" si="51"/>
        <v>0</v>
      </c>
      <c r="W133">
        <f t="shared" si="52"/>
        <v>0</v>
      </c>
      <c r="X133">
        <f t="shared" si="53"/>
        <v>0</v>
      </c>
      <c r="Y133">
        <f t="shared" si="54"/>
        <v>0</v>
      </c>
      <c r="Z133">
        <f t="shared" si="55"/>
        <v>0</v>
      </c>
      <c r="AA133">
        <f t="shared" si="56"/>
        <v>0</v>
      </c>
      <c r="AB133">
        <f t="shared" si="57"/>
        <v>0</v>
      </c>
      <c r="AC133">
        <f t="shared" si="58"/>
        <v>0</v>
      </c>
      <c r="AD133">
        <f t="shared" si="59"/>
        <v>0</v>
      </c>
      <c r="AE133">
        <f t="shared" si="60"/>
        <v>0</v>
      </c>
      <c r="AF133">
        <f t="shared" si="61"/>
        <v>0</v>
      </c>
    </row>
    <row r="134" spans="1:32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  <c r="M134">
        <f t="shared" si="42"/>
        <v>0</v>
      </c>
      <c r="N134">
        <f t="shared" si="43"/>
        <v>0</v>
      </c>
      <c r="O134">
        <f t="shared" si="44"/>
        <v>0</v>
      </c>
      <c r="P134">
        <f t="shared" si="45"/>
        <v>0</v>
      </c>
      <c r="Q134">
        <f t="shared" si="46"/>
        <v>0</v>
      </c>
      <c r="R134">
        <f t="shared" si="47"/>
        <v>0</v>
      </c>
      <c r="S134">
        <f t="shared" si="48"/>
        <v>0</v>
      </c>
      <c r="T134">
        <f t="shared" si="49"/>
        <v>0</v>
      </c>
      <c r="U134">
        <f t="shared" si="50"/>
        <v>0</v>
      </c>
      <c r="V134">
        <f t="shared" si="51"/>
        <v>0</v>
      </c>
      <c r="W134">
        <f t="shared" si="52"/>
        <v>0</v>
      </c>
      <c r="X134">
        <f t="shared" si="53"/>
        <v>0</v>
      </c>
      <c r="Y134">
        <f t="shared" si="54"/>
        <v>0</v>
      </c>
      <c r="Z134">
        <f t="shared" si="55"/>
        <v>0</v>
      </c>
      <c r="AA134">
        <f t="shared" si="56"/>
        <v>0</v>
      </c>
      <c r="AB134">
        <f t="shared" si="57"/>
        <v>0</v>
      </c>
      <c r="AC134">
        <f t="shared" si="58"/>
        <v>0</v>
      </c>
      <c r="AD134">
        <f t="shared" si="59"/>
        <v>0</v>
      </c>
      <c r="AE134">
        <f t="shared" si="60"/>
        <v>0</v>
      </c>
      <c r="AF134">
        <f t="shared" si="61"/>
        <v>0</v>
      </c>
    </row>
    <row r="135" spans="1:32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  <c r="M135">
        <f t="shared" si="42"/>
        <v>0</v>
      </c>
      <c r="N135">
        <f t="shared" si="43"/>
        <v>0</v>
      </c>
      <c r="O135">
        <f t="shared" si="44"/>
        <v>0</v>
      </c>
      <c r="P135">
        <f t="shared" si="45"/>
        <v>0</v>
      </c>
      <c r="Q135">
        <f t="shared" si="46"/>
        <v>0</v>
      </c>
      <c r="R135">
        <f t="shared" si="47"/>
        <v>0</v>
      </c>
      <c r="S135">
        <f t="shared" si="48"/>
        <v>0</v>
      </c>
      <c r="T135">
        <f t="shared" si="49"/>
        <v>0</v>
      </c>
      <c r="U135">
        <f t="shared" si="50"/>
        <v>0</v>
      </c>
      <c r="V135">
        <f t="shared" si="51"/>
        <v>0</v>
      </c>
      <c r="W135">
        <f t="shared" si="52"/>
        <v>0</v>
      </c>
      <c r="X135">
        <f t="shared" si="53"/>
        <v>0</v>
      </c>
      <c r="Y135">
        <f t="shared" si="54"/>
        <v>0</v>
      </c>
      <c r="Z135">
        <f t="shared" si="55"/>
        <v>0</v>
      </c>
      <c r="AA135">
        <f t="shared" si="56"/>
        <v>0</v>
      </c>
      <c r="AB135">
        <f t="shared" si="57"/>
        <v>0</v>
      </c>
      <c r="AC135">
        <f t="shared" si="58"/>
        <v>0</v>
      </c>
      <c r="AD135">
        <f t="shared" si="59"/>
        <v>0</v>
      </c>
      <c r="AE135">
        <f t="shared" si="60"/>
        <v>0</v>
      </c>
      <c r="AF135">
        <f t="shared" si="61"/>
        <v>0</v>
      </c>
    </row>
    <row r="136" spans="1:32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  <c r="M136">
        <f t="shared" si="42"/>
        <v>0</v>
      </c>
      <c r="N136">
        <f t="shared" si="43"/>
        <v>0</v>
      </c>
      <c r="O136">
        <f t="shared" si="44"/>
        <v>0</v>
      </c>
      <c r="P136">
        <f t="shared" si="45"/>
        <v>0</v>
      </c>
      <c r="Q136">
        <f t="shared" si="46"/>
        <v>0</v>
      </c>
      <c r="R136">
        <f t="shared" si="47"/>
        <v>0</v>
      </c>
      <c r="S136">
        <f t="shared" si="48"/>
        <v>0</v>
      </c>
      <c r="T136">
        <f t="shared" si="49"/>
        <v>0</v>
      </c>
      <c r="U136">
        <f t="shared" si="50"/>
        <v>0</v>
      </c>
      <c r="V136">
        <f t="shared" si="51"/>
        <v>0</v>
      </c>
      <c r="W136">
        <f t="shared" si="52"/>
        <v>0</v>
      </c>
      <c r="X136">
        <f t="shared" si="53"/>
        <v>0</v>
      </c>
      <c r="Y136">
        <f t="shared" si="54"/>
        <v>0</v>
      </c>
      <c r="Z136">
        <f t="shared" si="55"/>
        <v>0</v>
      </c>
      <c r="AA136">
        <f t="shared" si="56"/>
        <v>0</v>
      </c>
      <c r="AB136">
        <f t="shared" si="57"/>
        <v>0</v>
      </c>
      <c r="AC136">
        <f t="shared" si="58"/>
        <v>0</v>
      </c>
      <c r="AD136">
        <f t="shared" si="59"/>
        <v>0</v>
      </c>
      <c r="AE136">
        <f t="shared" si="60"/>
        <v>0</v>
      </c>
      <c r="AF136">
        <f t="shared" si="61"/>
        <v>0</v>
      </c>
    </row>
    <row r="137" spans="1:32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  <c r="M137">
        <f t="shared" si="42"/>
        <v>0</v>
      </c>
      <c r="N137">
        <f t="shared" si="43"/>
        <v>0</v>
      </c>
      <c r="O137">
        <f t="shared" si="44"/>
        <v>0</v>
      </c>
      <c r="P137">
        <f t="shared" si="45"/>
        <v>0</v>
      </c>
      <c r="Q137">
        <f t="shared" si="46"/>
        <v>0</v>
      </c>
      <c r="R137">
        <f t="shared" si="47"/>
        <v>0</v>
      </c>
      <c r="S137">
        <f t="shared" si="48"/>
        <v>0</v>
      </c>
      <c r="T137">
        <f t="shared" si="49"/>
        <v>0</v>
      </c>
      <c r="U137">
        <f t="shared" si="50"/>
        <v>0</v>
      </c>
      <c r="V137">
        <f t="shared" si="51"/>
        <v>0</v>
      </c>
      <c r="W137">
        <f t="shared" si="52"/>
        <v>0</v>
      </c>
      <c r="X137">
        <f t="shared" si="53"/>
        <v>0</v>
      </c>
      <c r="Y137">
        <f t="shared" si="54"/>
        <v>0</v>
      </c>
      <c r="Z137">
        <f t="shared" si="55"/>
        <v>0</v>
      </c>
      <c r="AA137">
        <f t="shared" si="56"/>
        <v>0</v>
      </c>
      <c r="AB137">
        <f t="shared" si="57"/>
        <v>0</v>
      </c>
      <c r="AC137">
        <f t="shared" si="58"/>
        <v>0</v>
      </c>
      <c r="AD137">
        <f t="shared" si="59"/>
        <v>0</v>
      </c>
      <c r="AE137">
        <f t="shared" si="60"/>
        <v>0</v>
      </c>
      <c r="AF137">
        <f t="shared" si="61"/>
        <v>0</v>
      </c>
    </row>
    <row r="138" spans="1:32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  <c r="M138">
        <f t="shared" si="42"/>
        <v>0</v>
      </c>
      <c r="N138">
        <f t="shared" si="43"/>
        <v>0</v>
      </c>
      <c r="O138">
        <f t="shared" si="44"/>
        <v>0</v>
      </c>
      <c r="P138">
        <f t="shared" si="45"/>
        <v>0</v>
      </c>
      <c r="Q138">
        <f t="shared" si="46"/>
        <v>0</v>
      </c>
      <c r="R138">
        <f t="shared" si="47"/>
        <v>0</v>
      </c>
      <c r="S138">
        <f t="shared" si="48"/>
        <v>0</v>
      </c>
      <c r="T138">
        <f t="shared" si="49"/>
        <v>0</v>
      </c>
      <c r="U138">
        <f t="shared" si="50"/>
        <v>0</v>
      </c>
      <c r="V138">
        <f t="shared" si="51"/>
        <v>0</v>
      </c>
      <c r="W138">
        <f t="shared" si="52"/>
        <v>0</v>
      </c>
      <c r="X138">
        <f t="shared" si="53"/>
        <v>0</v>
      </c>
      <c r="Y138">
        <f t="shared" si="54"/>
        <v>0</v>
      </c>
      <c r="Z138">
        <f t="shared" si="55"/>
        <v>0</v>
      </c>
      <c r="AA138">
        <f t="shared" si="56"/>
        <v>0</v>
      </c>
      <c r="AB138">
        <f t="shared" si="57"/>
        <v>0</v>
      </c>
      <c r="AC138">
        <f t="shared" si="58"/>
        <v>0</v>
      </c>
      <c r="AD138">
        <f t="shared" si="59"/>
        <v>0</v>
      </c>
      <c r="AE138">
        <f t="shared" si="60"/>
        <v>0</v>
      </c>
      <c r="AF138">
        <f t="shared" si="61"/>
        <v>0</v>
      </c>
    </row>
    <row r="139" spans="1:32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  <c r="M139">
        <f t="shared" si="42"/>
        <v>0</v>
      </c>
      <c r="N139">
        <f t="shared" si="43"/>
        <v>0</v>
      </c>
      <c r="O139">
        <f t="shared" si="44"/>
        <v>0</v>
      </c>
      <c r="P139">
        <f t="shared" si="45"/>
        <v>0</v>
      </c>
      <c r="Q139">
        <f t="shared" si="46"/>
        <v>0</v>
      </c>
      <c r="R139">
        <f t="shared" si="47"/>
        <v>0</v>
      </c>
      <c r="S139">
        <f t="shared" si="48"/>
        <v>0</v>
      </c>
      <c r="T139">
        <f t="shared" si="49"/>
        <v>0</v>
      </c>
      <c r="U139">
        <f t="shared" si="50"/>
        <v>0</v>
      </c>
      <c r="V139">
        <f t="shared" si="51"/>
        <v>0</v>
      </c>
      <c r="W139">
        <f t="shared" si="52"/>
        <v>0</v>
      </c>
      <c r="X139">
        <f t="shared" si="53"/>
        <v>0</v>
      </c>
      <c r="Y139">
        <f t="shared" si="54"/>
        <v>0</v>
      </c>
      <c r="Z139">
        <f t="shared" si="55"/>
        <v>0</v>
      </c>
      <c r="AA139">
        <f t="shared" si="56"/>
        <v>0</v>
      </c>
      <c r="AB139">
        <f t="shared" si="57"/>
        <v>0</v>
      </c>
      <c r="AC139">
        <f t="shared" si="58"/>
        <v>0</v>
      </c>
      <c r="AD139">
        <f t="shared" si="59"/>
        <v>0</v>
      </c>
      <c r="AE139">
        <f t="shared" si="60"/>
        <v>0</v>
      </c>
      <c r="AF139">
        <f t="shared" si="61"/>
        <v>0</v>
      </c>
    </row>
    <row r="140" spans="1:32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  <c r="M140">
        <f t="shared" si="42"/>
        <v>0</v>
      </c>
      <c r="N140">
        <f t="shared" si="43"/>
        <v>0</v>
      </c>
      <c r="O140">
        <f t="shared" si="44"/>
        <v>0</v>
      </c>
      <c r="P140">
        <f t="shared" si="45"/>
        <v>0</v>
      </c>
      <c r="Q140">
        <f t="shared" si="46"/>
        <v>0</v>
      </c>
      <c r="R140">
        <f t="shared" si="47"/>
        <v>0</v>
      </c>
      <c r="S140">
        <f t="shared" si="48"/>
        <v>0</v>
      </c>
      <c r="T140">
        <f t="shared" si="49"/>
        <v>0</v>
      </c>
      <c r="U140">
        <f t="shared" si="50"/>
        <v>0</v>
      </c>
      <c r="V140">
        <f t="shared" si="51"/>
        <v>0</v>
      </c>
      <c r="W140">
        <f t="shared" si="52"/>
        <v>0</v>
      </c>
      <c r="X140">
        <f t="shared" si="53"/>
        <v>0</v>
      </c>
      <c r="Y140">
        <f t="shared" si="54"/>
        <v>0</v>
      </c>
      <c r="Z140">
        <f t="shared" si="55"/>
        <v>0</v>
      </c>
      <c r="AA140">
        <f t="shared" si="56"/>
        <v>0</v>
      </c>
      <c r="AB140">
        <f t="shared" si="57"/>
        <v>0</v>
      </c>
      <c r="AC140">
        <f t="shared" si="58"/>
        <v>0</v>
      </c>
      <c r="AD140">
        <f t="shared" si="59"/>
        <v>0</v>
      </c>
      <c r="AE140">
        <f t="shared" si="60"/>
        <v>0</v>
      </c>
      <c r="AF140">
        <f t="shared" si="61"/>
        <v>0</v>
      </c>
    </row>
    <row r="141" spans="1:32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  <c r="M141">
        <f t="shared" si="42"/>
        <v>0</v>
      </c>
      <c r="N141">
        <f t="shared" si="43"/>
        <v>0</v>
      </c>
      <c r="O141">
        <f t="shared" si="44"/>
        <v>0</v>
      </c>
      <c r="P141">
        <f t="shared" si="45"/>
        <v>0</v>
      </c>
      <c r="Q141">
        <f t="shared" si="46"/>
        <v>0</v>
      </c>
      <c r="R141">
        <f t="shared" si="47"/>
        <v>0</v>
      </c>
      <c r="S141">
        <f t="shared" si="48"/>
        <v>0</v>
      </c>
      <c r="T141">
        <f t="shared" si="49"/>
        <v>0</v>
      </c>
      <c r="U141">
        <f t="shared" si="50"/>
        <v>0</v>
      </c>
      <c r="V141">
        <f t="shared" si="51"/>
        <v>0</v>
      </c>
      <c r="W141">
        <f t="shared" si="52"/>
        <v>0</v>
      </c>
      <c r="X141">
        <f t="shared" si="53"/>
        <v>0</v>
      </c>
      <c r="Y141">
        <f t="shared" si="54"/>
        <v>0</v>
      </c>
      <c r="Z141">
        <f t="shared" si="55"/>
        <v>0</v>
      </c>
      <c r="AA141">
        <f t="shared" si="56"/>
        <v>0</v>
      </c>
      <c r="AB141">
        <f t="shared" si="57"/>
        <v>0</v>
      </c>
      <c r="AC141">
        <f t="shared" si="58"/>
        <v>0</v>
      </c>
      <c r="AD141">
        <f t="shared" si="59"/>
        <v>0</v>
      </c>
      <c r="AE141">
        <f t="shared" si="60"/>
        <v>0</v>
      </c>
      <c r="AF141">
        <f t="shared" si="61"/>
        <v>0</v>
      </c>
    </row>
    <row r="142" spans="1:32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  <c r="M142">
        <f t="shared" si="42"/>
        <v>0</v>
      </c>
      <c r="N142">
        <f t="shared" si="43"/>
        <v>0</v>
      </c>
      <c r="O142">
        <f t="shared" si="44"/>
        <v>1</v>
      </c>
      <c r="P142">
        <f t="shared" si="45"/>
        <v>1</v>
      </c>
      <c r="Q142">
        <f t="shared" si="46"/>
        <v>0</v>
      </c>
      <c r="R142">
        <f t="shared" si="47"/>
        <v>1</v>
      </c>
      <c r="S142">
        <f t="shared" si="48"/>
        <v>1</v>
      </c>
      <c r="T142">
        <f t="shared" si="49"/>
        <v>0</v>
      </c>
      <c r="U142">
        <f t="shared" si="50"/>
        <v>1</v>
      </c>
      <c r="V142">
        <f t="shared" si="51"/>
        <v>1</v>
      </c>
      <c r="W142">
        <f t="shared" si="52"/>
        <v>1</v>
      </c>
      <c r="X142">
        <f t="shared" si="53"/>
        <v>1</v>
      </c>
      <c r="Y142">
        <f t="shared" si="54"/>
        <v>0</v>
      </c>
      <c r="Z142">
        <f t="shared" si="55"/>
        <v>0</v>
      </c>
      <c r="AA142">
        <f t="shared" si="56"/>
        <v>1</v>
      </c>
      <c r="AB142">
        <f t="shared" si="57"/>
        <v>0</v>
      </c>
      <c r="AC142">
        <f t="shared" si="58"/>
        <v>0</v>
      </c>
      <c r="AD142">
        <f t="shared" si="59"/>
        <v>1</v>
      </c>
      <c r="AE142">
        <f t="shared" si="60"/>
        <v>0</v>
      </c>
      <c r="AF142">
        <f t="shared" si="61"/>
        <v>0</v>
      </c>
    </row>
    <row r="143" spans="1:32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  <c r="M143">
        <f t="shared" si="42"/>
        <v>0</v>
      </c>
      <c r="N143">
        <f t="shared" si="43"/>
        <v>1</v>
      </c>
      <c r="O143">
        <f t="shared" si="44"/>
        <v>0</v>
      </c>
      <c r="P143">
        <f t="shared" si="45"/>
        <v>0</v>
      </c>
      <c r="Q143">
        <f t="shared" si="46"/>
        <v>0</v>
      </c>
      <c r="R143">
        <f t="shared" si="47"/>
        <v>0</v>
      </c>
      <c r="S143">
        <f t="shared" si="48"/>
        <v>1</v>
      </c>
      <c r="T143">
        <f t="shared" si="49"/>
        <v>0</v>
      </c>
      <c r="U143">
        <f t="shared" si="50"/>
        <v>1</v>
      </c>
      <c r="V143">
        <f t="shared" si="51"/>
        <v>0</v>
      </c>
      <c r="W143">
        <f t="shared" si="52"/>
        <v>1</v>
      </c>
      <c r="X143">
        <f t="shared" si="53"/>
        <v>0</v>
      </c>
      <c r="Y143">
        <f t="shared" si="54"/>
        <v>1</v>
      </c>
      <c r="Z143">
        <f t="shared" si="55"/>
        <v>1</v>
      </c>
      <c r="AA143">
        <f t="shared" si="56"/>
        <v>1</v>
      </c>
      <c r="AB143">
        <f t="shared" si="57"/>
        <v>1</v>
      </c>
      <c r="AC143">
        <f t="shared" si="58"/>
        <v>0</v>
      </c>
      <c r="AD143">
        <f t="shared" si="59"/>
        <v>1</v>
      </c>
      <c r="AE143">
        <f t="shared" si="60"/>
        <v>0</v>
      </c>
      <c r="AF143">
        <f t="shared" si="61"/>
        <v>1</v>
      </c>
    </row>
    <row r="144" spans="1:32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  <c r="M144">
        <f t="shared" si="42"/>
        <v>1</v>
      </c>
      <c r="N144">
        <f t="shared" si="43"/>
        <v>0</v>
      </c>
      <c r="O144">
        <f t="shared" si="44"/>
        <v>1</v>
      </c>
      <c r="P144">
        <f t="shared" si="45"/>
        <v>0</v>
      </c>
      <c r="Q144">
        <f t="shared" si="46"/>
        <v>0</v>
      </c>
      <c r="R144">
        <f t="shared" si="47"/>
        <v>1</v>
      </c>
      <c r="S144">
        <f t="shared" si="48"/>
        <v>0</v>
      </c>
      <c r="T144">
        <f t="shared" si="49"/>
        <v>1</v>
      </c>
      <c r="U144">
        <f t="shared" si="50"/>
        <v>1</v>
      </c>
      <c r="V144">
        <f t="shared" si="51"/>
        <v>1</v>
      </c>
      <c r="W144">
        <f t="shared" si="52"/>
        <v>0</v>
      </c>
      <c r="X144">
        <f t="shared" si="53"/>
        <v>1</v>
      </c>
      <c r="Y144">
        <f t="shared" si="54"/>
        <v>0</v>
      </c>
      <c r="Z144">
        <f t="shared" si="55"/>
        <v>1</v>
      </c>
      <c r="AA144">
        <f t="shared" si="56"/>
        <v>1</v>
      </c>
      <c r="AB144">
        <f t="shared" si="57"/>
        <v>0</v>
      </c>
      <c r="AC144">
        <f t="shared" si="58"/>
        <v>1</v>
      </c>
      <c r="AD144">
        <f t="shared" si="59"/>
        <v>0</v>
      </c>
      <c r="AE144">
        <f t="shared" si="60"/>
        <v>0</v>
      </c>
      <c r="AF144">
        <f t="shared" si="61"/>
        <v>0</v>
      </c>
    </row>
    <row r="145" spans="1:32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  <c r="M145">
        <f t="shared" si="42"/>
        <v>1</v>
      </c>
      <c r="N145">
        <f t="shared" si="43"/>
        <v>0</v>
      </c>
      <c r="O145">
        <f t="shared" si="44"/>
        <v>0</v>
      </c>
      <c r="P145">
        <f t="shared" si="45"/>
        <v>1</v>
      </c>
      <c r="Q145">
        <f t="shared" si="46"/>
        <v>1</v>
      </c>
      <c r="R145">
        <f t="shared" si="47"/>
        <v>0</v>
      </c>
      <c r="S145">
        <f t="shared" si="48"/>
        <v>0</v>
      </c>
      <c r="T145">
        <f t="shared" si="49"/>
        <v>0</v>
      </c>
      <c r="U145">
        <f t="shared" si="50"/>
        <v>0</v>
      </c>
      <c r="V145">
        <f t="shared" si="51"/>
        <v>0</v>
      </c>
      <c r="W145">
        <f t="shared" si="52"/>
        <v>0</v>
      </c>
      <c r="X145">
        <f t="shared" si="53"/>
        <v>1</v>
      </c>
      <c r="Y145">
        <f t="shared" si="54"/>
        <v>1</v>
      </c>
      <c r="Z145">
        <f t="shared" si="55"/>
        <v>0</v>
      </c>
      <c r="AA145">
        <f t="shared" si="56"/>
        <v>0</v>
      </c>
      <c r="AB145">
        <f t="shared" si="57"/>
        <v>1</v>
      </c>
      <c r="AC145">
        <f t="shared" si="58"/>
        <v>1</v>
      </c>
      <c r="AD145">
        <f t="shared" si="59"/>
        <v>1</v>
      </c>
      <c r="AE145">
        <f t="shared" si="60"/>
        <v>1</v>
      </c>
      <c r="AF145">
        <f t="shared" si="61"/>
        <v>1</v>
      </c>
    </row>
    <row r="146" spans="1:32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  <c r="M146">
        <f t="shared" si="42"/>
        <v>0</v>
      </c>
      <c r="N146">
        <f t="shared" si="43"/>
        <v>1</v>
      </c>
      <c r="O146">
        <f t="shared" si="44"/>
        <v>1</v>
      </c>
      <c r="P146">
        <f t="shared" si="45"/>
        <v>0</v>
      </c>
      <c r="Q146">
        <f t="shared" si="46"/>
        <v>1</v>
      </c>
      <c r="R146">
        <f t="shared" si="47"/>
        <v>1</v>
      </c>
      <c r="S146">
        <f t="shared" si="48"/>
        <v>0</v>
      </c>
      <c r="T146">
        <f t="shared" si="49"/>
        <v>0</v>
      </c>
      <c r="U146">
        <f t="shared" si="50"/>
        <v>1</v>
      </c>
      <c r="V146">
        <f t="shared" si="51"/>
        <v>0</v>
      </c>
      <c r="W146">
        <f t="shared" si="52"/>
        <v>1</v>
      </c>
      <c r="X146">
        <f t="shared" si="53"/>
        <v>0</v>
      </c>
      <c r="Y146">
        <f t="shared" si="54"/>
        <v>0</v>
      </c>
      <c r="Z146">
        <f t="shared" si="55"/>
        <v>1</v>
      </c>
      <c r="AA146">
        <f t="shared" si="56"/>
        <v>0</v>
      </c>
      <c r="AB146">
        <f t="shared" si="57"/>
        <v>0</v>
      </c>
      <c r="AC146">
        <f t="shared" si="58"/>
        <v>1</v>
      </c>
      <c r="AD146">
        <f t="shared" si="59"/>
        <v>1</v>
      </c>
      <c r="AE146">
        <f t="shared" si="60"/>
        <v>0</v>
      </c>
      <c r="AF146">
        <f t="shared" si="61"/>
        <v>1</v>
      </c>
    </row>
    <row r="147" spans="1:32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  <c r="M147">
        <f t="shared" si="42"/>
        <v>1</v>
      </c>
      <c r="N147">
        <f t="shared" si="43"/>
        <v>1</v>
      </c>
      <c r="O147">
        <f t="shared" si="44"/>
        <v>1</v>
      </c>
      <c r="P147">
        <f t="shared" si="45"/>
        <v>0</v>
      </c>
      <c r="Q147">
        <f t="shared" si="46"/>
        <v>0</v>
      </c>
      <c r="R147">
        <f t="shared" si="47"/>
        <v>1</v>
      </c>
      <c r="S147">
        <f t="shared" si="48"/>
        <v>0</v>
      </c>
      <c r="T147">
        <f t="shared" si="49"/>
        <v>1</v>
      </c>
      <c r="U147">
        <f t="shared" si="50"/>
        <v>1</v>
      </c>
      <c r="V147">
        <f t="shared" si="51"/>
        <v>0</v>
      </c>
      <c r="W147">
        <f t="shared" si="52"/>
        <v>0</v>
      </c>
      <c r="X147">
        <f t="shared" si="53"/>
        <v>0</v>
      </c>
      <c r="Y147">
        <f t="shared" si="54"/>
        <v>0</v>
      </c>
      <c r="Z147">
        <f t="shared" si="55"/>
        <v>1</v>
      </c>
      <c r="AA147">
        <f t="shared" si="56"/>
        <v>1</v>
      </c>
      <c r="AB147">
        <f t="shared" si="57"/>
        <v>0</v>
      </c>
      <c r="AC147">
        <f t="shared" si="58"/>
        <v>1</v>
      </c>
      <c r="AD147">
        <f t="shared" si="59"/>
        <v>0</v>
      </c>
      <c r="AE147">
        <f t="shared" si="60"/>
        <v>0</v>
      </c>
      <c r="AF147">
        <f t="shared" si="61"/>
        <v>1</v>
      </c>
    </row>
    <row r="148" spans="1:32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  <c r="M148">
        <f t="shared" si="42"/>
        <v>1</v>
      </c>
      <c r="N148">
        <f t="shared" si="43"/>
        <v>0</v>
      </c>
      <c r="O148">
        <f t="shared" si="44"/>
        <v>0</v>
      </c>
      <c r="P148">
        <f t="shared" si="45"/>
        <v>0</v>
      </c>
      <c r="Q148">
        <f t="shared" si="46"/>
        <v>0</v>
      </c>
      <c r="R148">
        <f t="shared" si="47"/>
        <v>0</v>
      </c>
      <c r="S148">
        <f t="shared" si="48"/>
        <v>1</v>
      </c>
      <c r="T148">
        <f t="shared" si="49"/>
        <v>0</v>
      </c>
      <c r="U148">
        <f t="shared" si="50"/>
        <v>1</v>
      </c>
      <c r="V148">
        <f t="shared" si="51"/>
        <v>0</v>
      </c>
      <c r="W148">
        <f t="shared" si="52"/>
        <v>0</v>
      </c>
      <c r="X148">
        <f t="shared" si="53"/>
        <v>1</v>
      </c>
      <c r="Y148">
        <f t="shared" si="54"/>
        <v>1</v>
      </c>
      <c r="Z148">
        <f t="shared" si="55"/>
        <v>1</v>
      </c>
      <c r="AA148">
        <f t="shared" si="56"/>
        <v>1</v>
      </c>
      <c r="AB148">
        <f t="shared" si="57"/>
        <v>1</v>
      </c>
      <c r="AC148">
        <f t="shared" si="58"/>
        <v>0</v>
      </c>
      <c r="AD148">
        <f t="shared" si="59"/>
        <v>1</v>
      </c>
      <c r="AE148">
        <f t="shared" si="60"/>
        <v>0</v>
      </c>
      <c r="AF148">
        <f t="shared" si="61"/>
        <v>1</v>
      </c>
    </row>
    <row r="149" spans="1:32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  <c r="M149">
        <f t="shared" si="42"/>
        <v>1</v>
      </c>
      <c r="N149">
        <f t="shared" si="43"/>
        <v>0</v>
      </c>
      <c r="O149">
        <f t="shared" si="44"/>
        <v>1</v>
      </c>
      <c r="P149">
        <f t="shared" si="45"/>
        <v>1</v>
      </c>
      <c r="Q149">
        <f t="shared" si="46"/>
        <v>1</v>
      </c>
      <c r="R149">
        <f t="shared" si="47"/>
        <v>0</v>
      </c>
      <c r="S149">
        <f t="shared" si="48"/>
        <v>0</v>
      </c>
      <c r="T149">
        <f t="shared" si="49"/>
        <v>1</v>
      </c>
      <c r="U149">
        <f t="shared" si="50"/>
        <v>0</v>
      </c>
      <c r="V149">
        <f t="shared" si="51"/>
        <v>1</v>
      </c>
      <c r="W149">
        <f t="shared" si="52"/>
        <v>0</v>
      </c>
      <c r="X149">
        <f t="shared" si="53"/>
        <v>1</v>
      </c>
      <c r="Y149">
        <f t="shared" si="54"/>
        <v>0</v>
      </c>
      <c r="Z149">
        <f t="shared" si="55"/>
        <v>0</v>
      </c>
      <c r="AA149">
        <f t="shared" si="56"/>
        <v>0</v>
      </c>
      <c r="AB149">
        <f t="shared" si="57"/>
        <v>1</v>
      </c>
      <c r="AC149">
        <f t="shared" si="58"/>
        <v>1</v>
      </c>
      <c r="AD149">
        <f t="shared" si="59"/>
        <v>0</v>
      </c>
      <c r="AE149">
        <f t="shared" si="60"/>
        <v>1</v>
      </c>
      <c r="AF149">
        <f t="shared" si="61"/>
        <v>0</v>
      </c>
    </row>
    <row r="150" spans="1:32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  <c r="M150">
        <f t="shared" si="42"/>
        <v>1</v>
      </c>
      <c r="N150">
        <f t="shared" si="43"/>
        <v>1</v>
      </c>
      <c r="O150">
        <f t="shared" si="44"/>
        <v>0</v>
      </c>
      <c r="P150">
        <f t="shared" si="45"/>
        <v>1</v>
      </c>
      <c r="Q150">
        <f t="shared" si="46"/>
        <v>1</v>
      </c>
      <c r="R150">
        <f t="shared" si="47"/>
        <v>1</v>
      </c>
      <c r="S150">
        <f t="shared" si="48"/>
        <v>0</v>
      </c>
      <c r="T150">
        <f t="shared" si="49"/>
        <v>0</v>
      </c>
      <c r="U150">
        <f t="shared" si="50"/>
        <v>0</v>
      </c>
      <c r="V150">
        <f t="shared" si="51"/>
        <v>0</v>
      </c>
      <c r="W150">
        <f t="shared" si="52"/>
        <v>0</v>
      </c>
      <c r="X150">
        <f t="shared" si="53"/>
        <v>0</v>
      </c>
      <c r="Y150">
        <f t="shared" si="54"/>
        <v>1</v>
      </c>
      <c r="Z150">
        <f t="shared" si="55"/>
        <v>0</v>
      </c>
      <c r="AA150">
        <f t="shared" si="56"/>
        <v>0</v>
      </c>
      <c r="AB150">
        <f t="shared" si="57"/>
        <v>0</v>
      </c>
      <c r="AC150">
        <f t="shared" si="58"/>
        <v>1</v>
      </c>
      <c r="AD150">
        <f t="shared" si="59"/>
        <v>1</v>
      </c>
      <c r="AE150">
        <f t="shared" si="60"/>
        <v>1</v>
      </c>
      <c r="AF150">
        <f t="shared" si="61"/>
        <v>1</v>
      </c>
    </row>
    <row r="151" spans="1:32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  <c r="M151">
        <f t="shared" si="42"/>
        <v>0</v>
      </c>
      <c r="N151">
        <f t="shared" si="43"/>
        <v>0</v>
      </c>
      <c r="O151">
        <f t="shared" si="44"/>
        <v>0</v>
      </c>
      <c r="P151">
        <f t="shared" si="45"/>
        <v>1</v>
      </c>
      <c r="Q151">
        <f t="shared" si="46"/>
        <v>0</v>
      </c>
      <c r="R151">
        <f t="shared" si="47"/>
        <v>0</v>
      </c>
      <c r="S151">
        <f t="shared" si="48"/>
        <v>0</v>
      </c>
      <c r="T151">
        <f t="shared" si="49"/>
        <v>1</v>
      </c>
      <c r="U151">
        <f t="shared" si="50"/>
        <v>0</v>
      </c>
      <c r="V151">
        <f t="shared" si="51"/>
        <v>0</v>
      </c>
      <c r="W151">
        <f t="shared" si="52"/>
        <v>1</v>
      </c>
      <c r="X151">
        <f t="shared" si="53"/>
        <v>1</v>
      </c>
      <c r="Y151">
        <f t="shared" si="54"/>
        <v>1</v>
      </c>
      <c r="Z151">
        <f t="shared" si="55"/>
        <v>0</v>
      </c>
      <c r="AA151">
        <f t="shared" si="56"/>
        <v>1</v>
      </c>
      <c r="AB151">
        <f t="shared" si="57"/>
        <v>1</v>
      </c>
      <c r="AC151">
        <f t="shared" si="58"/>
        <v>1</v>
      </c>
      <c r="AD151">
        <f t="shared" si="59"/>
        <v>0</v>
      </c>
      <c r="AE151">
        <f t="shared" si="60"/>
        <v>1</v>
      </c>
      <c r="AF151">
        <f t="shared" si="61"/>
        <v>1</v>
      </c>
    </row>
    <row r="152" spans="1:32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  <c r="M152">
        <f t="shared" si="42"/>
        <v>0</v>
      </c>
      <c r="N152">
        <f t="shared" si="43"/>
        <v>0</v>
      </c>
      <c r="O152">
        <f t="shared" si="44"/>
        <v>1</v>
      </c>
      <c r="P152">
        <f t="shared" si="45"/>
        <v>1</v>
      </c>
      <c r="Q152">
        <f t="shared" si="46"/>
        <v>1</v>
      </c>
      <c r="R152">
        <f t="shared" si="47"/>
        <v>0</v>
      </c>
      <c r="S152">
        <f t="shared" si="48"/>
        <v>1</v>
      </c>
      <c r="T152">
        <f t="shared" si="49"/>
        <v>0</v>
      </c>
      <c r="U152">
        <f t="shared" si="50"/>
        <v>1</v>
      </c>
      <c r="V152">
        <f t="shared" si="51"/>
        <v>0</v>
      </c>
      <c r="W152">
        <f t="shared" si="52"/>
        <v>1</v>
      </c>
      <c r="X152">
        <f t="shared" si="53"/>
        <v>1</v>
      </c>
      <c r="Y152">
        <f t="shared" si="54"/>
        <v>0</v>
      </c>
      <c r="Z152">
        <f t="shared" si="55"/>
        <v>0</v>
      </c>
      <c r="AA152">
        <f t="shared" si="56"/>
        <v>0</v>
      </c>
      <c r="AB152">
        <f t="shared" si="57"/>
        <v>1</v>
      </c>
      <c r="AC152">
        <f t="shared" si="58"/>
        <v>0</v>
      </c>
      <c r="AD152">
        <f t="shared" si="59"/>
        <v>1</v>
      </c>
      <c r="AE152">
        <f t="shared" si="60"/>
        <v>0</v>
      </c>
      <c r="AF152">
        <f t="shared" si="61"/>
        <v>1</v>
      </c>
    </row>
    <row r="153" spans="1:32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  <c r="M153">
        <f t="shared" si="42"/>
        <v>0</v>
      </c>
      <c r="N153">
        <f t="shared" si="43"/>
        <v>0</v>
      </c>
      <c r="O153">
        <f t="shared" si="44"/>
        <v>0</v>
      </c>
      <c r="P153">
        <f t="shared" si="45"/>
        <v>0</v>
      </c>
      <c r="Q153">
        <f t="shared" si="46"/>
        <v>0</v>
      </c>
      <c r="R153">
        <f t="shared" si="47"/>
        <v>1</v>
      </c>
      <c r="S153">
        <f t="shared" si="48"/>
        <v>0</v>
      </c>
      <c r="T153">
        <f t="shared" si="49"/>
        <v>0</v>
      </c>
      <c r="U153">
        <f t="shared" si="50"/>
        <v>1</v>
      </c>
      <c r="V153">
        <f t="shared" si="51"/>
        <v>0</v>
      </c>
      <c r="W153">
        <f t="shared" si="52"/>
        <v>1</v>
      </c>
      <c r="X153">
        <f t="shared" si="53"/>
        <v>1</v>
      </c>
      <c r="Y153">
        <f t="shared" si="54"/>
        <v>1</v>
      </c>
      <c r="Z153">
        <f t="shared" si="55"/>
        <v>1</v>
      </c>
      <c r="AA153">
        <f t="shared" si="56"/>
        <v>1</v>
      </c>
      <c r="AB153">
        <f t="shared" si="57"/>
        <v>0</v>
      </c>
      <c r="AC153">
        <f t="shared" si="58"/>
        <v>1</v>
      </c>
      <c r="AD153">
        <f t="shared" si="59"/>
        <v>1</v>
      </c>
      <c r="AE153">
        <f t="shared" si="60"/>
        <v>0</v>
      </c>
      <c r="AF153">
        <f t="shared" si="61"/>
        <v>1</v>
      </c>
    </row>
    <row r="154" spans="1:32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  <c r="M154">
        <f t="shared" si="42"/>
        <v>1</v>
      </c>
      <c r="N154">
        <f t="shared" si="43"/>
        <v>1</v>
      </c>
      <c r="O154">
        <f t="shared" si="44"/>
        <v>0</v>
      </c>
      <c r="P154">
        <f t="shared" si="45"/>
        <v>0</v>
      </c>
      <c r="Q154">
        <f t="shared" si="46"/>
        <v>1</v>
      </c>
      <c r="R154">
        <f t="shared" si="47"/>
        <v>0</v>
      </c>
      <c r="S154">
        <f t="shared" si="48"/>
        <v>1</v>
      </c>
      <c r="T154">
        <f t="shared" si="49"/>
        <v>0</v>
      </c>
      <c r="U154">
        <f t="shared" si="50"/>
        <v>1</v>
      </c>
      <c r="V154">
        <f t="shared" si="51"/>
        <v>0</v>
      </c>
      <c r="W154">
        <f t="shared" si="52"/>
        <v>0</v>
      </c>
      <c r="X154">
        <f t="shared" si="53"/>
        <v>0</v>
      </c>
      <c r="Y154">
        <f t="shared" si="54"/>
        <v>1</v>
      </c>
      <c r="Z154">
        <f t="shared" si="55"/>
        <v>1</v>
      </c>
      <c r="AA154">
        <f t="shared" si="56"/>
        <v>0</v>
      </c>
      <c r="AB154">
        <f t="shared" si="57"/>
        <v>1</v>
      </c>
      <c r="AC154">
        <f t="shared" si="58"/>
        <v>0</v>
      </c>
      <c r="AD154">
        <f t="shared" si="59"/>
        <v>1</v>
      </c>
      <c r="AE154">
        <f t="shared" si="60"/>
        <v>0</v>
      </c>
      <c r="AF154">
        <f t="shared" si="61"/>
        <v>1</v>
      </c>
    </row>
    <row r="155" spans="1:32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  <c r="M155">
        <f t="shared" si="42"/>
        <v>1</v>
      </c>
      <c r="N155">
        <f t="shared" si="43"/>
        <v>1</v>
      </c>
      <c r="O155">
        <f t="shared" si="44"/>
        <v>0</v>
      </c>
      <c r="P155">
        <f t="shared" si="45"/>
        <v>0</v>
      </c>
      <c r="Q155">
        <f t="shared" si="46"/>
        <v>1</v>
      </c>
      <c r="R155">
        <f t="shared" si="47"/>
        <v>0</v>
      </c>
      <c r="S155">
        <f t="shared" si="48"/>
        <v>1</v>
      </c>
      <c r="T155">
        <f t="shared" si="49"/>
        <v>1</v>
      </c>
      <c r="U155">
        <f t="shared" si="50"/>
        <v>0</v>
      </c>
      <c r="V155">
        <f t="shared" si="51"/>
        <v>0</v>
      </c>
      <c r="W155">
        <f t="shared" si="52"/>
        <v>0</v>
      </c>
      <c r="X155">
        <f t="shared" si="53"/>
        <v>0</v>
      </c>
      <c r="Y155">
        <f t="shared" si="54"/>
        <v>1</v>
      </c>
      <c r="Z155">
        <f t="shared" si="55"/>
        <v>1</v>
      </c>
      <c r="AA155">
        <f t="shared" si="56"/>
        <v>0</v>
      </c>
      <c r="AB155">
        <f t="shared" si="57"/>
        <v>1</v>
      </c>
      <c r="AC155">
        <f t="shared" si="58"/>
        <v>0</v>
      </c>
      <c r="AD155">
        <f t="shared" si="59"/>
        <v>0</v>
      </c>
      <c r="AE155">
        <f t="shared" si="60"/>
        <v>1</v>
      </c>
      <c r="AF155">
        <f t="shared" si="61"/>
        <v>1</v>
      </c>
    </row>
    <row r="156" spans="1:32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  <c r="M156">
        <f t="shared" si="42"/>
        <v>0</v>
      </c>
      <c r="N156">
        <f t="shared" si="43"/>
        <v>1</v>
      </c>
      <c r="O156">
        <f t="shared" si="44"/>
        <v>1</v>
      </c>
      <c r="P156">
        <f t="shared" si="45"/>
        <v>1</v>
      </c>
      <c r="Q156">
        <f t="shared" si="46"/>
        <v>1</v>
      </c>
      <c r="R156">
        <f t="shared" si="47"/>
        <v>0</v>
      </c>
      <c r="S156">
        <f t="shared" si="48"/>
        <v>1</v>
      </c>
      <c r="T156">
        <f t="shared" si="49"/>
        <v>0</v>
      </c>
      <c r="U156">
        <f t="shared" si="50"/>
        <v>1</v>
      </c>
      <c r="V156">
        <f t="shared" si="51"/>
        <v>0</v>
      </c>
      <c r="W156">
        <f t="shared" si="52"/>
        <v>1</v>
      </c>
      <c r="X156">
        <f t="shared" si="53"/>
        <v>0</v>
      </c>
      <c r="Y156">
        <f t="shared" si="54"/>
        <v>0</v>
      </c>
      <c r="Z156">
        <f t="shared" si="55"/>
        <v>0</v>
      </c>
      <c r="AA156">
        <f t="shared" si="56"/>
        <v>0</v>
      </c>
      <c r="AB156">
        <f t="shared" si="57"/>
        <v>1</v>
      </c>
      <c r="AC156">
        <f t="shared" si="58"/>
        <v>0</v>
      </c>
      <c r="AD156">
        <f t="shared" si="59"/>
        <v>1</v>
      </c>
      <c r="AE156">
        <f t="shared" si="60"/>
        <v>0</v>
      </c>
      <c r="AF156">
        <f t="shared" si="61"/>
        <v>1</v>
      </c>
    </row>
    <row r="157" spans="1:32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  <c r="M157">
        <f t="shared" si="42"/>
        <v>1</v>
      </c>
      <c r="N157">
        <f t="shared" si="43"/>
        <v>0</v>
      </c>
      <c r="O157">
        <f t="shared" si="44"/>
        <v>0</v>
      </c>
      <c r="P157">
        <f t="shared" si="45"/>
        <v>1</v>
      </c>
      <c r="Q157">
        <f t="shared" si="46"/>
        <v>1</v>
      </c>
      <c r="R157">
        <f t="shared" si="47"/>
        <v>1</v>
      </c>
      <c r="S157">
        <f t="shared" si="48"/>
        <v>0</v>
      </c>
      <c r="T157">
        <f t="shared" si="49"/>
        <v>0</v>
      </c>
      <c r="U157">
        <f t="shared" si="50"/>
        <v>0</v>
      </c>
      <c r="V157">
        <f t="shared" si="51"/>
        <v>1</v>
      </c>
      <c r="W157">
        <f t="shared" si="52"/>
        <v>0</v>
      </c>
      <c r="X157">
        <f t="shared" si="53"/>
        <v>1</v>
      </c>
      <c r="Y157">
        <f t="shared" si="54"/>
        <v>1</v>
      </c>
      <c r="Z157">
        <f t="shared" si="55"/>
        <v>0</v>
      </c>
      <c r="AA157">
        <f t="shared" si="56"/>
        <v>0</v>
      </c>
      <c r="AB157">
        <f t="shared" si="57"/>
        <v>0</v>
      </c>
      <c r="AC157">
        <f t="shared" si="58"/>
        <v>1</v>
      </c>
      <c r="AD157">
        <f t="shared" si="59"/>
        <v>1</v>
      </c>
      <c r="AE157">
        <f t="shared" si="60"/>
        <v>1</v>
      </c>
      <c r="AF157">
        <f t="shared" si="61"/>
        <v>0</v>
      </c>
    </row>
    <row r="158" spans="1:32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  <c r="M158">
        <f t="shared" si="42"/>
        <v>0</v>
      </c>
      <c r="N158">
        <f t="shared" si="43"/>
        <v>0</v>
      </c>
      <c r="O158">
        <f t="shared" si="44"/>
        <v>0</v>
      </c>
      <c r="P158">
        <f t="shared" si="45"/>
        <v>1</v>
      </c>
      <c r="Q158">
        <f t="shared" si="46"/>
        <v>0</v>
      </c>
      <c r="R158">
        <f t="shared" si="47"/>
        <v>0</v>
      </c>
      <c r="S158">
        <f t="shared" si="48"/>
        <v>1</v>
      </c>
      <c r="T158">
        <f t="shared" si="49"/>
        <v>1</v>
      </c>
      <c r="U158">
        <f t="shared" si="50"/>
        <v>1</v>
      </c>
      <c r="V158">
        <f t="shared" si="51"/>
        <v>0</v>
      </c>
      <c r="W158">
        <f t="shared" si="52"/>
        <v>1</v>
      </c>
      <c r="X158">
        <f t="shared" si="53"/>
        <v>1</v>
      </c>
      <c r="Y158">
        <f t="shared" si="54"/>
        <v>1</v>
      </c>
      <c r="Z158">
        <f t="shared" si="55"/>
        <v>0</v>
      </c>
      <c r="AA158">
        <f t="shared" si="56"/>
        <v>1</v>
      </c>
      <c r="AB158">
        <f t="shared" si="57"/>
        <v>1</v>
      </c>
      <c r="AC158">
        <f t="shared" si="58"/>
        <v>0</v>
      </c>
      <c r="AD158">
        <f t="shared" si="59"/>
        <v>0</v>
      </c>
      <c r="AE158">
        <f t="shared" si="60"/>
        <v>0</v>
      </c>
      <c r="AF158">
        <f t="shared" si="61"/>
        <v>1</v>
      </c>
    </row>
    <row r="159" spans="1:32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  <c r="M159">
        <f t="shared" si="42"/>
        <v>1</v>
      </c>
      <c r="N159">
        <f t="shared" si="43"/>
        <v>1</v>
      </c>
      <c r="O159">
        <f t="shared" si="44"/>
        <v>0</v>
      </c>
      <c r="P159">
        <f t="shared" si="45"/>
        <v>1</v>
      </c>
      <c r="Q159">
        <f t="shared" si="46"/>
        <v>1</v>
      </c>
      <c r="R159">
        <f t="shared" si="47"/>
        <v>0</v>
      </c>
      <c r="S159">
        <f t="shared" si="48"/>
        <v>0</v>
      </c>
      <c r="T159">
        <f t="shared" si="49"/>
        <v>1</v>
      </c>
      <c r="U159">
        <f t="shared" si="50"/>
        <v>0</v>
      </c>
      <c r="V159">
        <f t="shared" si="51"/>
        <v>1</v>
      </c>
      <c r="W159">
        <f t="shared" si="52"/>
        <v>0</v>
      </c>
      <c r="X159">
        <f t="shared" si="53"/>
        <v>0</v>
      </c>
      <c r="Y159">
        <f t="shared" si="54"/>
        <v>1</v>
      </c>
      <c r="Z159">
        <f t="shared" si="55"/>
        <v>0</v>
      </c>
      <c r="AA159">
        <f t="shared" si="56"/>
        <v>0</v>
      </c>
      <c r="AB159">
        <f t="shared" si="57"/>
        <v>1</v>
      </c>
      <c r="AC159">
        <f t="shared" si="58"/>
        <v>1</v>
      </c>
      <c r="AD159">
        <f t="shared" si="59"/>
        <v>0</v>
      </c>
      <c r="AE159">
        <f t="shared" si="60"/>
        <v>1</v>
      </c>
      <c r="AF159">
        <f t="shared" si="61"/>
        <v>0</v>
      </c>
    </row>
    <row r="160" spans="1:32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  <c r="M160">
        <f t="shared" si="42"/>
        <v>0</v>
      </c>
      <c r="N160">
        <f t="shared" si="43"/>
        <v>0</v>
      </c>
      <c r="O160">
        <f t="shared" si="44"/>
        <v>1</v>
      </c>
      <c r="P160">
        <f t="shared" si="45"/>
        <v>1</v>
      </c>
      <c r="Q160">
        <f t="shared" si="46"/>
        <v>0</v>
      </c>
      <c r="R160">
        <f t="shared" si="47"/>
        <v>0</v>
      </c>
      <c r="S160">
        <f t="shared" si="48"/>
        <v>0</v>
      </c>
      <c r="T160">
        <f t="shared" si="49"/>
        <v>0</v>
      </c>
      <c r="U160">
        <f t="shared" si="50"/>
        <v>1</v>
      </c>
      <c r="V160">
        <f t="shared" si="51"/>
        <v>1</v>
      </c>
      <c r="W160">
        <f t="shared" si="52"/>
        <v>1</v>
      </c>
      <c r="X160">
        <f t="shared" si="53"/>
        <v>1</v>
      </c>
      <c r="Y160">
        <f t="shared" si="54"/>
        <v>0</v>
      </c>
      <c r="Z160">
        <f t="shared" si="55"/>
        <v>0</v>
      </c>
      <c r="AA160">
        <f t="shared" si="56"/>
        <v>1</v>
      </c>
      <c r="AB160">
        <f t="shared" si="57"/>
        <v>1</v>
      </c>
      <c r="AC160">
        <f t="shared" si="58"/>
        <v>1</v>
      </c>
      <c r="AD160">
        <f t="shared" si="59"/>
        <v>1</v>
      </c>
      <c r="AE160">
        <f t="shared" si="60"/>
        <v>0</v>
      </c>
      <c r="AF160">
        <f t="shared" si="61"/>
        <v>0</v>
      </c>
    </row>
    <row r="161" spans="1:32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  <c r="M161">
        <f t="shared" si="42"/>
        <v>1</v>
      </c>
      <c r="N161">
        <f t="shared" si="43"/>
        <v>0</v>
      </c>
      <c r="O161">
        <f t="shared" si="44"/>
        <v>1</v>
      </c>
      <c r="P161">
        <f t="shared" si="45"/>
        <v>0</v>
      </c>
      <c r="Q161">
        <f t="shared" si="46"/>
        <v>1</v>
      </c>
      <c r="R161">
        <f t="shared" si="47"/>
        <v>0</v>
      </c>
      <c r="S161">
        <f t="shared" si="48"/>
        <v>1</v>
      </c>
      <c r="T161">
        <f t="shared" si="49"/>
        <v>1</v>
      </c>
      <c r="U161">
        <f t="shared" si="50"/>
        <v>0</v>
      </c>
      <c r="V161">
        <f t="shared" si="51"/>
        <v>1</v>
      </c>
      <c r="W161">
        <f t="shared" si="52"/>
        <v>0</v>
      </c>
      <c r="X161">
        <f t="shared" si="53"/>
        <v>1</v>
      </c>
      <c r="Y161">
        <f t="shared" si="54"/>
        <v>0</v>
      </c>
      <c r="Z161">
        <f t="shared" si="55"/>
        <v>1</v>
      </c>
      <c r="AA161">
        <f t="shared" si="56"/>
        <v>0</v>
      </c>
      <c r="AB161">
        <f t="shared" si="57"/>
        <v>1</v>
      </c>
      <c r="AC161">
        <f t="shared" si="58"/>
        <v>0</v>
      </c>
      <c r="AD161">
        <f t="shared" si="59"/>
        <v>0</v>
      </c>
      <c r="AE161">
        <f t="shared" si="60"/>
        <v>1</v>
      </c>
      <c r="AF161">
        <f t="shared" si="61"/>
        <v>0</v>
      </c>
    </row>
    <row r="162" spans="1:32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  <c r="M162">
        <f t="shared" si="42"/>
        <v>1</v>
      </c>
      <c r="N162">
        <f t="shared" si="43"/>
        <v>1</v>
      </c>
      <c r="O162">
        <f t="shared" si="44"/>
        <v>0</v>
      </c>
      <c r="P162">
        <f t="shared" si="45"/>
        <v>0</v>
      </c>
      <c r="Q162">
        <f t="shared" si="46"/>
        <v>1</v>
      </c>
      <c r="R162">
        <f t="shared" si="47"/>
        <v>1</v>
      </c>
      <c r="S162">
        <f t="shared" si="48"/>
        <v>1</v>
      </c>
      <c r="T162">
        <f t="shared" si="49"/>
        <v>0</v>
      </c>
      <c r="U162">
        <f t="shared" si="50"/>
        <v>0</v>
      </c>
      <c r="V162">
        <f t="shared" si="51"/>
        <v>0</v>
      </c>
      <c r="W162">
        <f t="shared" si="52"/>
        <v>0</v>
      </c>
      <c r="X162">
        <f t="shared" si="53"/>
        <v>0</v>
      </c>
      <c r="Y162">
        <f t="shared" si="54"/>
        <v>1</v>
      </c>
      <c r="Z162">
        <f t="shared" si="55"/>
        <v>1</v>
      </c>
      <c r="AA162">
        <f t="shared" si="56"/>
        <v>0</v>
      </c>
      <c r="AB162">
        <f t="shared" si="57"/>
        <v>0</v>
      </c>
      <c r="AC162">
        <f t="shared" si="58"/>
        <v>0</v>
      </c>
      <c r="AD162">
        <f t="shared" si="59"/>
        <v>1</v>
      </c>
      <c r="AE162">
        <f t="shared" si="60"/>
        <v>1</v>
      </c>
      <c r="AF162">
        <f t="shared" si="61"/>
        <v>1</v>
      </c>
    </row>
    <row r="163" spans="1:32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  <c r="M163">
        <f t="shared" si="42"/>
        <v>0</v>
      </c>
      <c r="N163">
        <f t="shared" si="43"/>
        <v>0</v>
      </c>
      <c r="O163">
        <f t="shared" si="44"/>
        <v>1</v>
      </c>
      <c r="P163">
        <f t="shared" si="45"/>
        <v>1</v>
      </c>
      <c r="Q163">
        <f t="shared" si="46"/>
        <v>0</v>
      </c>
      <c r="R163">
        <f t="shared" si="47"/>
        <v>1</v>
      </c>
      <c r="S163">
        <f t="shared" si="48"/>
        <v>1</v>
      </c>
      <c r="T163">
        <f t="shared" si="49"/>
        <v>1</v>
      </c>
      <c r="U163">
        <f t="shared" si="50"/>
        <v>0</v>
      </c>
      <c r="V163">
        <f t="shared" si="51"/>
        <v>0</v>
      </c>
      <c r="W163">
        <f t="shared" si="52"/>
        <v>1</v>
      </c>
      <c r="X163">
        <f t="shared" si="53"/>
        <v>1</v>
      </c>
      <c r="Y163">
        <f t="shared" si="54"/>
        <v>0</v>
      </c>
      <c r="Z163">
        <f t="shared" si="55"/>
        <v>0</v>
      </c>
      <c r="AA163">
        <f t="shared" si="56"/>
        <v>1</v>
      </c>
      <c r="AB163">
        <f t="shared" si="57"/>
        <v>0</v>
      </c>
      <c r="AC163">
        <f t="shared" si="58"/>
        <v>0</v>
      </c>
      <c r="AD163">
        <f t="shared" si="59"/>
        <v>0</v>
      </c>
      <c r="AE163">
        <f t="shared" si="60"/>
        <v>1</v>
      </c>
      <c r="AF163">
        <f t="shared" si="61"/>
        <v>1</v>
      </c>
    </row>
    <row r="164" spans="1:32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  <c r="M164">
        <f t="shared" si="42"/>
        <v>1</v>
      </c>
      <c r="N164">
        <f t="shared" si="43"/>
        <v>0</v>
      </c>
      <c r="O164">
        <f t="shared" si="44"/>
        <v>0</v>
      </c>
      <c r="P164">
        <f t="shared" si="45"/>
        <v>1</v>
      </c>
      <c r="Q164">
        <f t="shared" si="46"/>
        <v>1</v>
      </c>
      <c r="R164">
        <f t="shared" si="47"/>
        <v>1</v>
      </c>
      <c r="S164">
        <f t="shared" si="48"/>
        <v>1</v>
      </c>
      <c r="T164">
        <f t="shared" si="49"/>
        <v>0</v>
      </c>
      <c r="U164">
        <f t="shared" si="50"/>
        <v>1</v>
      </c>
      <c r="V164">
        <f t="shared" si="51"/>
        <v>1</v>
      </c>
      <c r="W164">
        <f t="shared" si="52"/>
        <v>0</v>
      </c>
      <c r="X164">
        <f t="shared" si="53"/>
        <v>1</v>
      </c>
      <c r="Y164">
        <f t="shared" si="54"/>
        <v>1</v>
      </c>
      <c r="Z164">
        <f t="shared" si="55"/>
        <v>0</v>
      </c>
      <c r="AA164">
        <f t="shared" si="56"/>
        <v>0</v>
      </c>
      <c r="AB164">
        <f t="shared" si="57"/>
        <v>0</v>
      </c>
      <c r="AC164">
        <f t="shared" si="58"/>
        <v>0</v>
      </c>
      <c r="AD164">
        <f t="shared" si="59"/>
        <v>1</v>
      </c>
      <c r="AE164">
        <f t="shared" si="60"/>
        <v>0</v>
      </c>
      <c r="AF164">
        <f t="shared" si="61"/>
        <v>0</v>
      </c>
    </row>
    <row r="165" spans="1:32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  <c r="M165">
        <f t="shared" si="42"/>
        <v>0</v>
      </c>
      <c r="N165">
        <f t="shared" si="43"/>
        <v>1</v>
      </c>
      <c r="O165">
        <f t="shared" si="44"/>
        <v>0</v>
      </c>
      <c r="P165">
        <f t="shared" si="45"/>
        <v>0</v>
      </c>
      <c r="Q165">
        <f t="shared" si="46"/>
        <v>1</v>
      </c>
      <c r="R165">
        <f t="shared" si="47"/>
        <v>0</v>
      </c>
      <c r="S165">
        <f t="shared" si="48"/>
        <v>1</v>
      </c>
      <c r="T165">
        <f t="shared" si="49"/>
        <v>0</v>
      </c>
      <c r="U165">
        <f t="shared" si="50"/>
        <v>1</v>
      </c>
      <c r="V165">
        <f t="shared" si="51"/>
        <v>1</v>
      </c>
      <c r="W165">
        <f t="shared" si="52"/>
        <v>1</v>
      </c>
      <c r="X165">
        <f t="shared" si="53"/>
        <v>0</v>
      </c>
      <c r="Y165">
        <f t="shared" si="54"/>
        <v>1</v>
      </c>
      <c r="Z165">
        <f t="shared" si="55"/>
        <v>1</v>
      </c>
      <c r="AA165">
        <f t="shared" si="56"/>
        <v>0</v>
      </c>
      <c r="AB165">
        <f t="shared" si="57"/>
        <v>1</v>
      </c>
      <c r="AC165">
        <f t="shared" si="58"/>
        <v>0</v>
      </c>
      <c r="AD165">
        <f t="shared" si="59"/>
        <v>1</v>
      </c>
      <c r="AE165">
        <f t="shared" si="60"/>
        <v>0</v>
      </c>
      <c r="AF165">
        <f t="shared" si="61"/>
        <v>0</v>
      </c>
    </row>
    <row r="166" spans="1:32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  <c r="M166">
        <f t="shared" si="42"/>
        <v>0</v>
      </c>
      <c r="N166">
        <f t="shared" si="43"/>
        <v>1</v>
      </c>
      <c r="O166">
        <f t="shared" si="44"/>
        <v>0</v>
      </c>
      <c r="P166">
        <f t="shared" si="45"/>
        <v>0</v>
      </c>
      <c r="Q166">
        <f t="shared" si="46"/>
        <v>0</v>
      </c>
      <c r="R166">
        <f t="shared" si="47"/>
        <v>0</v>
      </c>
      <c r="S166">
        <f t="shared" si="48"/>
        <v>1</v>
      </c>
      <c r="T166">
        <f t="shared" si="49"/>
        <v>0</v>
      </c>
      <c r="U166">
        <f t="shared" si="50"/>
        <v>0</v>
      </c>
      <c r="V166">
        <f t="shared" si="51"/>
        <v>0</v>
      </c>
      <c r="W166">
        <f t="shared" si="52"/>
        <v>1</v>
      </c>
      <c r="X166">
        <f t="shared" si="53"/>
        <v>0</v>
      </c>
      <c r="Y166">
        <f t="shared" si="54"/>
        <v>1</v>
      </c>
      <c r="Z166">
        <f t="shared" si="55"/>
        <v>1</v>
      </c>
      <c r="AA166">
        <f t="shared" si="56"/>
        <v>1</v>
      </c>
      <c r="AB166">
        <f t="shared" si="57"/>
        <v>1</v>
      </c>
      <c r="AC166">
        <f t="shared" si="58"/>
        <v>0</v>
      </c>
      <c r="AD166">
        <f t="shared" si="59"/>
        <v>1</v>
      </c>
      <c r="AE166">
        <f t="shared" si="60"/>
        <v>1</v>
      </c>
      <c r="AF166">
        <f t="shared" si="61"/>
        <v>1</v>
      </c>
    </row>
    <row r="167" spans="1:32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  <c r="M167">
        <f t="shared" si="42"/>
        <v>1</v>
      </c>
      <c r="N167">
        <f t="shared" si="43"/>
        <v>1</v>
      </c>
      <c r="O167">
        <f t="shared" si="44"/>
        <v>1</v>
      </c>
      <c r="P167">
        <f t="shared" si="45"/>
        <v>0</v>
      </c>
      <c r="Q167">
        <f t="shared" si="46"/>
        <v>1</v>
      </c>
      <c r="R167">
        <f t="shared" si="47"/>
        <v>0</v>
      </c>
      <c r="S167">
        <f t="shared" si="48"/>
        <v>1</v>
      </c>
      <c r="T167">
        <f t="shared" si="49"/>
        <v>1</v>
      </c>
      <c r="U167">
        <f t="shared" si="50"/>
        <v>1</v>
      </c>
      <c r="V167">
        <f t="shared" si="51"/>
        <v>1</v>
      </c>
      <c r="W167">
        <f t="shared" si="52"/>
        <v>0</v>
      </c>
      <c r="X167">
        <f t="shared" si="53"/>
        <v>0</v>
      </c>
      <c r="Y167">
        <f t="shared" si="54"/>
        <v>0</v>
      </c>
      <c r="Z167">
        <f t="shared" si="55"/>
        <v>1</v>
      </c>
      <c r="AA167">
        <f t="shared" si="56"/>
        <v>0</v>
      </c>
      <c r="AB167">
        <f t="shared" si="57"/>
        <v>1</v>
      </c>
      <c r="AC167">
        <f t="shared" si="58"/>
        <v>0</v>
      </c>
      <c r="AD167">
        <f t="shared" si="59"/>
        <v>0</v>
      </c>
      <c r="AE167">
        <f t="shared" si="60"/>
        <v>0</v>
      </c>
      <c r="AF167">
        <f t="shared" si="61"/>
        <v>0</v>
      </c>
    </row>
    <row r="168" spans="1:32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  <c r="M168">
        <f t="shared" si="42"/>
        <v>1</v>
      </c>
      <c r="N168">
        <f t="shared" si="43"/>
        <v>0</v>
      </c>
      <c r="O168">
        <f t="shared" si="44"/>
        <v>1</v>
      </c>
      <c r="P168">
        <f t="shared" si="45"/>
        <v>1</v>
      </c>
      <c r="Q168">
        <f t="shared" si="46"/>
        <v>0</v>
      </c>
      <c r="R168">
        <f t="shared" si="47"/>
        <v>1</v>
      </c>
      <c r="S168">
        <f t="shared" si="48"/>
        <v>0</v>
      </c>
      <c r="T168">
        <f t="shared" si="49"/>
        <v>1</v>
      </c>
      <c r="U168">
        <f t="shared" si="50"/>
        <v>1</v>
      </c>
      <c r="V168">
        <f t="shared" si="51"/>
        <v>0</v>
      </c>
      <c r="W168">
        <f t="shared" si="52"/>
        <v>0</v>
      </c>
      <c r="X168">
        <f t="shared" si="53"/>
        <v>1</v>
      </c>
      <c r="Y168">
        <f t="shared" si="54"/>
        <v>0</v>
      </c>
      <c r="Z168">
        <f t="shared" si="55"/>
        <v>0</v>
      </c>
      <c r="AA168">
        <f t="shared" si="56"/>
        <v>1</v>
      </c>
      <c r="AB168">
        <f t="shared" si="57"/>
        <v>0</v>
      </c>
      <c r="AC168">
        <f t="shared" si="58"/>
        <v>1</v>
      </c>
      <c r="AD168">
        <f t="shared" si="59"/>
        <v>0</v>
      </c>
      <c r="AE168">
        <f t="shared" si="60"/>
        <v>0</v>
      </c>
      <c r="AF168">
        <f t="shared" si="61"/>
        <v>1</v>
      </c>
    </row>
    <row r="169" spans="1:32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  <c r="M169">
        <f t="shared" si="42"/>
        <v>1</v>
      </c>
      <c r="N169">
        <f t="shared" si="43"/>
        <v>0</v>
      </c>
      <c r="O169">
        <f t="shared" si="44"/>
        <v>0</v>
      </c>
      <c r="P169">
        <f t="shared" si="45"/>
        <v>0</v>
      </c>
      <c r="Q169">
        <f t="shared" si="46"/>
        <v>0</v>
      </c>
      <c r="R169">
        <f t="shared" si="47"/>
        <v>1</v>
      </c>
      <c r="S169">
        <f t="shared" si="48"/>
        <v>0</v>
      </c>
      <c r="T169">
        <f t="shared" si="49"/>
        <v>1</v>
      </c>
      <c r="U169">
        <f t="shared" si="50"/>
        <v>1</v>
      </c>
      <c r="V169">
        <f t="shared" si="51"/>
        <v>0</v>
      </c>
      <c r="W169">
        <f t="shared" si="52"/>
        <v>0</v>
      </c>
      <c r="X169">
        <f t="shared" si="53"/>
        <v>1</v>
      </c>
      <c r="Y169">
        <f t="shared" si="54"/>
        <v>1</v>
      </c>
      <c r="Z169">
        <f t="shared" si="55"/>
        <v>1</v>
      </c>
      <c r="AA169">
        <f t="shared" si="56"/>
        <v>1</v>
      </c>
      <c r="AB169">
        <f t="shared" si="57"/>
        <v>0</v>
      </c>
      <c r="AC169">
        <f t="shared" si="58"/>
        <v>1</v>
      </c>
      <c r="AD169">
        <f t="shared" si="59"/>
        <v>0</v>
      </c>
      <c r="AE169">
        <f t="shared" si="60"/>
        <v>0</v>
      </c>
      <c r="AF169">
        <f t="shared" si="61"/>
        <v>1</v>
      </c>
    </row>
    <row r="170" spans="1:32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  <c r="M170">
        <f t="shared" si="42"/>
        <v>1</v>
      </c>
      <c r="N170">
        <f t="shared" si="43"/>
        <v>1</v>
      </c>
      <c r="O170">
        <f t="shared" si="44"/>
        <v>0</v>
      </c>
      <c r="P170">
        <f t="shared" si="45"/>
        <v>1</v>
      </c>
      <c r="Q170">
        <f t="shared" si="46"/>
        <v>0</v>
      </c>
      <c r="R170">
        <f t="shared" si="47"/>
        <v>0</v>
      </c>
      <c r="S170">
        <f t="shared" si="48"/>
        <v>1</v>
      </c>
      <c r="T170">
        <f t="shared" si="49"/>
        <v>0</v>
      </c>
      <c r="U170">
        <f t="shared" si="50"/>
        <v>1</v>
      </c>
      <c r="V170">
        <f t="shared" si="51"/>
        <v>0</v>
      </c>
      <c r="W170">
        <f t="shared" si="52"/>
        <v>0</v>
      </c>
      <c r="X170">
        <f t="shared" si="53"/>
        <v>0</v>
      </c>
      <c r="Y170">
        <f t="shared" si="54"/>
        <v>1</v>
      </c>
      <c r="Z170">
        <f t="shared" si="55"/>
        <v>0</v>
      </c>
      <c r="AA170">
        <f t="shared" si="56"/>
        <v>1</v>
      </c>
      <c r="AB170">
        <f t="shared" si="57"/>
        <v>1</v>
      </c>
      <c r="AC170">
        <f t="shared" si="58"/>
        <v>0</v>
      </c>
      <c r="AD170">
        <f t="shared" si="59"/>
        <v>1</v>
      </c>
      <c r="AE170">
        <f t="shared" si="60"/>
        <v>0</v>
      </c>
      <c r="AF170">
        <f t="shared" si="61"/>
        <v>1</v>
      </c>
    </row>
    <row r="171" spans="1:32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  <c r="M171">
        <f t="shared" si="42"/>
        <v>1</v>
      </c>
      <c r="N171">
        <f t="shared" si="43"/>
        <v>1</v>
      </c>
      <c r="O171">
        <f t="shared" si="44"/>
        <v>0</v>
      </c>
      <c r="P171">
        <f t="shared" si="45"/>
        <v>1</v>
      </c>
      <c r="Q171">
        <f t="shared" si="46"/>
        <v>1</v>
      </c>
      <c r="R171">
        <f t="shared" si="47"/>
        <v>1</v>
      </c>
      <c r="S171">
        <f t="shared" si="48"/>
        <v>1</v>
      </c>
      <c r="T171">
        <f t="shared" si="49"/>
        <v>0</v>
      </c>
      <c r="U171">
        <f t="shared" si="50"/>
        <v>0</v>
      </c>
      <c r="V171">
        <f t="shared" si="51"/>
        <v>1</v>
      </c>
      <c r="W171">
        <f t="shared" si="52"/>
        <v>0</v>
      </c>
      <c r="X171">
        <f t="shared" si="53"/>
        <v>0</v>
      </c>
      <c r="Y171">
        <f t="shared" si="54"/>
        <v>1</v>
      </c>
      <c r="Z171">
        <f t="shared" si="55"/>
        <v>0</v>
      </c>
      <c r="AA171">
        <f t="shared" si="56"/>
        <v>0</v>
      </c>
      <c r="AB171">
        <f t="shared" si="57"/>
        <v>0</v>
      </c>
      <c r="AC171">
        <f t="shared" si="58"/>
        <v>0</v>
      </c>
      <c r="AD171">
        <f t="shared" si="59"/>
        <v>1</v>
      </c>
      <c r="AE171">
        <f t="shared" si="60"/>
        <v>1</v>
      </c>
      <c r="AF171">
        <f t="shared" si="61"/>
        <v>0</v>
      </c>
    </row>
    <row r="172" spans="1:32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  <c r="M172">
        <f t="shared" si="42"/>
        <v>1</v>
      </c>
      <c r="N172">
        <f t="shared" si="43"/>
        <v>0</v>
      </c>
      <c r="O172">
        <f t="shared" si="44"/>
        <v>0</v>
      </c>
      <c r="P172">
        <f t="shared" si="45"/>
        <v>0</v>
      </c>
      <c r="Q172">
        <f t="shared" si="46"/>
        <v>1</v>
      </c>
      <c r="R172">
        <f t="shared" si="47"/>
        <v>1</v>
      </c>
      <c r="S172">
        <f t="shared" si="48"/>
        <v>1</v>
      </c>
      <c r="T172">
        <f t="shared" si="49"/>
        <v>1</v>
      </c>
      <c r="U172">
        <f t="shared" si="50"/>
        <v>1</v>
      </c>
      <c r="V172">
        <f t="shared" si="51"/>
        <v>1</v>
      </c>
      <c r="W172">
        <f t="shared" si="52"/>
        <v>0</v>
      </c>
      <c r="X172">
        <f t="shared" si="53"/>
        <v>1</v>
      </c>
      <c r="Y172">
        <f t="shared" si="54"/>
        <v>1</v>
      </c>
      <c r="Z172">
        <f t="shared" si="55"/>
        <v>1</v>
      </c>
      <c r="AA172">
        <f t="shared" si="56"/>
        <v>0</v>
      </c>
      <c r="AB172">
        <f t="shared" si="57"/>
        <v>0</v>
      </c>
      <c r="AC172">
        <f t="shared" si="58"/>
        <v>0</v>
      </c>
      <c r="AD172">
        <f t="shared" si="59"/>
        <v>0</v>
      </c>
      <c r="AE172">
        <f t="shared" si="60"/>
        <v>0</v>
      </c>
      <c r="AF172">
        <f t="shared" si="61"/>
        <v>0</v>
      </c>
    </row>
    <row r="173" spans="1:32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  <c r="M173">
        <f t="shared" si="42"/>
        <v>1</v>
      </c>
      <c r="N173">
        <f t="shared" si="43"/>
        <v>1</v>
      </c>
      <c r="O173">
        <f t="shared" si="44"/>
        <v>0</v>
      </c>
      <c r="P173">
        <f t="shared" si="45"/>
        <v>1</v>
      </c>
      <c r="Q173">
        <f t="shared" si="46"/>
        <v>0</v>
      </c>
      <c r="R173">
        <f t="shared" si="47"/>
        <v>0</v>
      </c>
      <c r="S173">
        <f t="shared" si="48"/>
        <v>0</v>
      </c>
      <c r="T173">
        <f t="shared" si="49"/>
        <v>0</v>
      </c>
      <c r="U173">
        <f t="shared" si="50"/>
        <v>1</v>
      </c>
      <c r="V173">
        <f t="shared" si="51"/>
        <v>1</v>
      </c>
      <c r="W173">
        <f t="shared" si="52"/>
        <v>0</v>
      </c>
      <c r="X173">
        <f t="shared" si="53"/>
        <v>0</v>
      </c>
      <c r="Y173">
        <f t="shared" si="54"/>
        <v>1</v>
      </c>
      <c r="Z173">
        <f t="shared" si="55"/>
        <v>0</v>
      </c>
      <c r="AA173">
        <f t="shared" si="56"/>
        <v>1</v>
      </c>
      <c r="AB173">
        <f t="shared" si="57"/>
        <v>1</v>
      </c>
      <c r="AC173">
        <f t="shared" si="58"/>
        <v>1</v>
      </c>
      <c r="AD173">
        <f t="shared" si="59"/>
        <v>1</v>
      </c>
      <c r="AE173">
        <f t="shared" si="60"/>
        <v>0</v>
      </c>
      <c r="AF173">
        <f t="shared" si="61"/>
        <v>0</v>
      </c>
    </row>
    <row r="174" spans="1:32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  <c r="M174">
        <f t="shared" si="42"/>
        <v>1</v>
      </c>
      <c r="N174">
        <f t="shared" si="43"/>
        <v>0</v>
      </c>
      <c r="O174">
        <f t="shared" si="44"/>
        <v>1</v>
      </c>
      <c r="P174">
        <f t="shared" si="45"/>
        <v>0</v>
      </c>
      <c r="Q174">
        <f t="shared" si="46"/>
        <v>1</v>
      </c>
      <c r="R174">
        <f t="shared" si="47"/>
        <v>1</v>
      </c>
      <c r="S174">
        <f t="shared" si="48"/>
        <v>0</v>
      </c>
      <c r="T174">
        <f t="shared" si="49"/>
        <v>1</v>
      </c>
      <c r="U174">
        <f t="shared" si="50"/>
        <v>1</v>
      </c>
      <c r="V174">
        <f t="shared" si="51"/>
        <v>0</v>
      </c>
      <c r="W174">
        <f t="shared" si="52"/>
        <v>0</v>
      </c>
      <c r="X174">
        <f t="shared" si="53"/>
        <v>1</v>
      </c>
      <c r="Y174">
        <f t="shared" si="54"/>
        <v>0</v>
      </c>
      <c r="Z174">
        <f t="shared" si="55"/>
        <v>1</v>
      </c>
      <c r="AA174">
        <f t="shared" si="56"/>
        <v>0</v>
      </c>
      <c r="AB174">
        <f t="shared" si="57"/>
        <v>0</v>
      </c>
      <c r="AC174">
        <f t="shared" si="58"/>
        <v>1</v>
      </c>
      <c r="AD174">
        <f t="shared" si="59"/>
        <v>0</v>
      </c>
      <c r="AE174">
        <f t="shared" si="60"/>
        <v>0</v>
      </c>
      <c r="AF174">
        <f t="shared" si="61"/>
        <v>1</v>
      </c>
    </row>
    <row r="175" spans="1:32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  <c r="M175">
        <f t="shared" si="42"/>
        <v>1</v>
      </c>
      <c r="N175">
        <f t="shared" si="43"/>
        <v>1</v>
      </c>
      <c r="O175">
        <f t="shared" si="44"/>
        <v>1</v>
      </c>
      <c r="P175">
        <f t="shared" si="45"/>
        <v>0</v>
      </c>
      <c r="Q175">
        <f t="shared" si="46"/>
        <v>0</v>
      </c>
      <c r="R175">
        <f t="shared" si="47"/>
        <v>0</v>
      </c>
      <c r="S175">
        <f t="shared" si="48"/>
        <v>1</v>
      </c>
      <c r="T175">
        <f t="shared" si="49"/>
        <v>0</v>
      </c>
      <c r="U175">
        <f t="shared" si="50"/>
        <v>1</v>
      </c>
      <c r="V175">
        <f t="shared" si="51"/>
        <v>0</v>
      </c>
      <c r="W175">
        <f t="shared" si="52"/>
        <v>0</v>
      </c>
      <c r="X175">
        <f t="shared" si="53"/>
        <v>0</v>
      </c>
      <c r="Y175">
        <f t="shared" si="54"/>
        <v>0</v>
      </c>
      <c r="Z175">
        <f t="shared" si="55"/>
        <v>1</v>
      </c>
      <c r="AA175">
        <f t="shared" si="56"/>
        <v>1</v>
      </c>
      <c r="AB175">
        <f t="shared" si="57"/>
        <v>1</v>
      </c>
      <c r="AC175">
        <f t="shared" si="58"/>
        <v>0</v>
      </c>
      <c r="AD175">
        <f t="shared" si="59"/>
        <v>1</v>
      </c>
      <c r="AE175">
        <f t="shared" si="60"/>
        <v>0</v>
      </c>
      <c r="AF175">
        <f t="shared" si="61"/>
        <v>1</v>
      </c>
    </row>
    <row r="176" spans="1:32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  <c r="M176">
        <f t="shared" si="42"/>
        <v>1</v>
      </c>
      <c r="N176">
        <f t="shared" si="43"/>
        <v>1</v>
      </c>
      <c r="O176">
        <f t="shared" si="44"/>
        <v>0</v>
      </c>
      <c r="P176">
        <f t="shared" si="45"/>
        <v>0</v>
      </c>
      <c r="Q176">
        <f t="shared" si="46"/>
        <v>1</v>
      </c>
      <c r="R176">
        <f t="shared" si="47"/>
        <v>0</v>
      </c>
      <c r="S176">
        <f t="shared" si="48"/>
        <v>1</v>
      </c>
      <c r="T176">
        <f t="shared" si="49"/>
        <v>1</v>
      </c>
      <c r="U176">
        <f t="shared" si="50"/>
        <v>0</v>
      </c>
      <c r="V176">
        <f t="shared" si="51"/>
        <v>0</v>
      </c>
      <c r="W176">
        <f t="shared" si="52"/>
        <v>0</v>
      </c>
      <c r="X176">
        <f t="shared" si="53"/>
        <v>0</v>
      </c>
      <c r="Y176">
        <f t="shared" si="54"/>
        <v>1</v>
      </c>
      <c r="Z176">
        <f t="shared" si="55"/>
        <v>1</v>
      </c>
      <c r="AA176">
        <f t="shared" si="56"/>
        <v>0</v>
      </c>
      <c r="AB176">
        <f t="shared" si="57"/>
        <v>1</v>
      </c>
      <c r="AC176">
        <f t="shared" si="58"/>
        <v>0</v>
      </c>
      <c r="AD176">
        <f t="shared" si="59"/>
        <v>0</v>
      </c>
      <c r="AE176">
        <f t="shared" si="60"/>
        <v>1</v>
      </c>
      <c r="AF176">
        <f t="shared" si="61"/>
        <v>1</v>
      </c>
    </row>
    <row r="177" spans="1:32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  <c r="M177">
        <f t="shared" si="42"/>
        <v>0</v>
      </c>
      <c r="N177">
        <f t="shared" si="43"/>
        <v>1</v>
      </c>
      <c r="O177">
        <f t="shared" si="44"/>
        <v>1</v>
      </c>
      <c r="P177">
        <f t="shared" si="45"/>
        <v>1</v>
      </c>
      <c r="Q177">
        <f t="shared" si="46"/>
        <v>0</v>
      </c>
      <c r="R177">
        <f t="shared" si="47"/>
        <v>1</v>
      </c>
      <c r="S177">
        <f t="shared" si="48"/>
        <v>0</v>
      </c>
      <c r="T177">
        <f t="shared" si="49"/>
        <v>0</v>
      </c>
      <c r="U177">
        <f t="shared" si="50"/>
        <v>1</v>
      </c>
      <c r="V177">
        <f t="shared" si="51"/>
        <v>1</v>
      </c>
      <c r="W177">
        <f t="shared" si="52"/>
        <v>1</v>
      </c>
      <c r="X177">
        <f t="shared" si="53"/>
        <v>0</v>
      </c>
      <c r="Y177">
        <f t="shared" si="54"/>
        <v>0</v>
      </c>
      <c r="Z177">
        <f t="shared" si="55"/>
        <v>0</v>
      </c>
      <c r="AA177">
        <f t="shared" si="56"/>
        <v>1</v>
      </c>
      <c r="AB177">
        <f t="shared" si="57"/>
        <v>0</v>
      </c>
      <c r="AC177">
        <f t="shared" si="58"/>
        <v>1</v>
      </c>
      <c r="AD177">
        <f t="shared" si="59"/>
        <v>1</v>
      </c>
      <c r="AE177">
        <f t="shared" si="60"/>
        <v>0</v>
      </c>
      <c r="AF177">
        <f t="shared" si="61"/>
        <v>0</v>
      </c>
    </row>
    <row r="178" spans="1:32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  <c r="M178">
        <f t="shared" si="42"/>
        <v>0</v>
      </c>
      <c r="N178">
        <f t="shared" si="43"/>
        <v>1</v>
      </c>
      <c r="O178">
        <f t="shared" si="44"/>
        <v>1</v>
      </c>
      <c r="P178">
        <f t="shared" si="45"/>
        <v>1</v>
      </c>
      <c r="Q178">
        <f t="shared" si="46"/>
        <v>0</v>
      </c>
      <c r="R178">
        <f t="shared" si="47"/>
        <v>1</v>
      </c>
      <c r="S178">
        <f t="shared" si="48"/>
        <v>1</v>
      </c>
      <c r="T178">
        <f t="shared" si="49"/>
        <v>0</v>
      </c>
      <c r="U178">
        <f t="shared" si="50"/>
        <v>0</v>
      </c>
      <c r="V178">
        <f t="shared" si="51"/>
        <v>0</v>
      </c>
      <c r="W178">
        <f t="shared" si="52"/>
        <v>1</v>
      </c>
      <c r="X178">
        <f t="shared" si="53"/>
        <v>0</v>
      </c>
      <c r="Y178">
        <f t="shared" si="54"/>
        <v>0</v>
      </c>
      <c r="Z178">
        <f t="shared" si="55"/>
        <v>0</v>
      </c>
      <c r="AA178">
        <f t="shared" si="56"/>
        <v>1</v>
      </c>
      <c r="AB178">
        <f t="shared" si="57"/>
        <v>0</v>
      </c>
      <c r="AC178">
        <f t="shared" si="58"/>
        <v>0</v>
      </c>
      <c r="AD178">
        <f t="shared" si="59"/>
        <v>1</v>
      </c>
      <c r="AE178">
        <f t="shared" si="60"/>
        <v>1</v>
      </c>
      <c r="AF178">
        <f t="shared" si="61"/>
        <v>1</v>
      </c>
    </row>
    <row r="179" spans="1:32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  <c r="M179">
        <f t="shared" si="42"/>
        <v>0</v>
      </c>
      <c r="N179">
        <f t="shared" si="43"/>
        <v>1</v>
      </c>
      <c r="O179">
        <f t="shared" si="44"/>
        <v>0</v>
      </c>
      <c r="P179">
        <f t="shared" si="45"/>
        <v>0</v>
      </c>
      <c r="Q179">
        <f t="shared" si="46"/>
        <v>1</v>
      </c>
      <c r="R179">
        <f t="shared" si="47"/>
        <v>0</v>
      </c>
      <c r="S179">
        <f t="shared" si="48"/>
        <v>1</v>
      </c>
      <c r="T179">
        <f t="shared" si="49"/>
        <v>0</v>
      </c>
      <c r="U179">
        <f t="shared" si="50"/>
        <v>1</v>
      </c>
      <c r="V179">
        <f t="shared" si="51"/>
        <v>1</v>
      </c>
      <c r="W179">
        <f t="shared" si="52"/>
        <v>1</v>
      </c>
      <c r="X179">
        <f t="shared" si="53"/>
        <v>0</v>
      </c>
      <c r="Y179">
        <f t="shared" si="54"/>
        <v>1</v>
      </c>
      <c r="Z179">
        <f t="shared" si="55"/>
        <v>1</v>
      </c>
      <c r="AA179">
        <f t="shared" si="56"/>
        <v>0</v>
      </c>
      <c r="AB179">
        <f t="shared" si="57"/>
        <v>1</v>
      </c>
      <c r="AC179">
        <f t="shared" si="58"/>
        <v>0</v>
      </c>
      <c r="AD179">
        <f t="shared" si="59"/>
        <v>1</v>
      </c>
      <c r="AE179">
        <f t="shared" si="60"/>
        <v>0</v>
      </c>
      <c r="AF179">
        <f t="shared" si="61"/>
        <v>0</v>
      </c>
    </row>
    <row r="180" spans="1:32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  <c r="M180">
        <f t="shared" si="42"/>
        <v>1</v>
      </c>
      <c r="N180">
        <f t="shared" si="43"/>
        <v>0</v>
      </c>
      <c r="O180">
        <f t="shared" si="44"/>
        <v>0</v>
      </c>
      <c r="P180">
        <f t="shared" si="45"/>
        <v>1</v>
      </c>
      <c r="Q180">
        <f t="shared" si="46"/>
        <v>1</v>
      </c>
      <c r="R180">
        <f t="shared" si="47"/>
        <v>1</v>
      </c>
      <c r="S180">
        <f t="shared" si="48"/>
        <v>1</v>
      </c>
      <c r="T180">
        <f t="shared" si="49"/>
        <v>1</v>
      </c>
      <c r="U180">
        <f t="shared" si="50"/>
        <v>1</v>
      </c>
      <c r="V180">
        <f t="shared" si="51"/>
        <v>0</v>
      </c>
      <c r="W180">
        <f t="shared" si="52"/>
        <v>0</v>
      </c>
      <c r="X180">
        <f t="shared" si="53"/>
        <v>1</v>
      </c>
      <c r="Y180">
        <f t="shared" si="54"/>
        <v>1</v>
      </c>
      <c r="Z180">
        <f t="shared" si="55"/>
        <v>0</v>
      </c>
      <c r="AA180">
        <f t="shared" si="56"/>
        <v>0</v>
      </c>
      <c r="AB180">
        <f t="shared" si="57"/>
        <v>0</v>
      </c>
      <c r="AC180">
        <f t="shared" si="58"/>
        <v>0</v>
      </c>
      <c r="AD180">
        <f t="shared" si="59"/>
        <v>0</v>
      </c>
      <c r="AE180">
        <f t="shared" si="60"/>
        <v>0</v>
      </c>
      <c r="AF180">
        <f t="shared" si="61"/>
        <v>1</v>
      </c>
    </row>
    <row r="181" spans="1:32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  <c r="M181">
        <f t="shared" si="42"/>
        <v>1</v>
      </c>
      <c r="N181">
        <f t="shared" si="43"/>
        <v>1</v>
      </c>
      <c r="O181">
        <f t="shared" si="44"/>
        <v>1</v>
      </c>
      <c r="P181">
        <f t="shared" si="45"/>
        <v>1</v>
      </c>
      <c r="Q181">
        <f t="shared" si="46"/>
        <v>1</v>
      </c>
      <c r="R181">
        <f t="shared" si="47"/>
        <v>1</v>
      </c>
      <c r="S181">
        <f t="shared" si="48"/>
        <v>0</v>
      </c>
      <c r="T181">
        <f t="shared" si="49"/>
        <v>0</v>
      </c>
      <c r="U181">
        <f t="shared" si="50"/>
        <v>1</v>
      </c>
      <c r="V181">
        <f t="shared" si="51"/>
        <v>0</v>
      </c>
      <c r="W181">
        <f t="shared" si="52"/>
        <v>0</v>
      </c>
      <c r="X181">
        <f t="shared" si="53"/>
        <v>0</v>
      </c>
      <c r="Y181">
        <f t="shared" si="54"/>
        <v>0</v>
      </c>
      <c r="Z181">
        <f t="shared" si="55"/>
        <v>0</v>
      </c>
      <c r="AA181">
        <f t="shared" si="56"/>
        <v>0</v>
      </c>
      <c r="AB181">
        <f t="shared" si="57"/>
        <v>0</v>
      </c>
      <c r="AC181">
        <f t="shared" si="58"/>
        <v>1</v>
      </c>
      <c r="AD181">
        <f t="shared" si="59"/>
        <v>1</v>
      </c>
      <c r="AE181">
        <f t="shared" si="60"/>
        <v>0</v>
      </c>
      <c r="AF181">
        <f t="shared" si="61"/>
        <v>1</v>
      </c>
    </row>
    <row r="182" spans="1:32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  <c r="M182">
        <f t="shared" si="42"/>
        <v>1</v>
      </c>
      <c r="N182">
        <f t="shared" si="43"/>
        <v>1</v>
      </c>
      <c r="O182">
        <f t="shared" si="44"/>
        <v>1</v>
      </c>
      <c r="P182">
        <f t="shared" si="45"/>
        <v>1</v>
      </c>
      <c r="Q182">
        <f t="shared" si="46"/>
        <v>0</v>
      </c>
      <c r="R182">
        <f t="shared" si="47"/>
        <v>0</v>
      </c>
      <c r="S182">
        <f t="shared" si="48"/>
        <v>1</v>
      </c>
      <c r="T182">
        <f t="shared" si="49"/>
        <v>0</v>
      </c>
      <c r="U182">
        <f t="shared" si="50"/>
        <v>0</v>
      </c>
      <c r="V182">
        <f t="shared" si="51"/>
        <v>0</v>
      </c>
      <c r="W182">
        <f t="shared" si="52"/>
        <v>0</v>
      </c>
      <c r="X182">
        <f t="shared" si="53"/>
        <v>0</v>
      </c>
      <c r="Y182">
        <f t="shared" si="54"/>
        <v>0</v>
      </c>
      <c r="Z182">
        <f t="shared" si="55"/>
        <v>0</v>
      </c>
      <c r="AA182">
        <f t="shared" si="56"/>
        <v>1</v>
      </c>
      <c r="AB182">
        <f t="shared" si="57"/>
        <v>1</v>
      </c>
      <c r="AC182">
        <f t="shared" si="58"/>
        <v>0</v>
      </c>
      <c r="AD182">
        <f t="shared" si="59"/>
        <v>1</v>
      </c>
      <c r="AE182">
        <f t="shared" si="60"/>
        <v>1</v>
      </c>
      <c r="AF182">
        <f t="shared" si="61"/>
        <v>1</v>
      </c>
    </row>
    <row r="183" spans="1:32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  <c r="M183">
        <f t="shared" si="42"/>
        <v>1</v>
      </c>
      <c r="N183">
        <f t="shared" si="43"/>
        <v>1</v>
      </c>
      <c r="O183">
        <f t="shared" si="44"/>
        <v>1</v>
      </c>
      <c r="P183">
        <f t="shared" si="45"/>
        <v>0</v>
      </c>
      <c r="Q183">
        <f t="shared" si="46"/>
        <v>0</v>
      </c>
      <c r="R183">
        <f t="shared" si="47"/>
        <v>0</v>
      </c>
      <c r="S183">
        <f t="shared" si="48"/>
        <v>0</v>
      </c>
      <c r="T183">
        <f t="shared" si="49"/>
        <v>1</v>
      </c>
      <c r="U183">
        <f t="shared" si="50"/>
        <v>0</v>
      </c>
      <c r="V183">
        <f t="shared" si="51"/>
        <v>0</v>
      </c>
      <c r="W183">
        <f t="shared" si="52"/>
        <v>0</v>
      </c>
      <c r="X183">
        <f t="shared" si="53"/>
        <v>0</v>
      </c>
      <c r="Y183">
        <f t="shared" si="54"/>
        <v>0</v>
      </c>
      <c r="Z183">
        <f t="shared" si="55"/>
        <v>1</v>
      </c>
      <c r="AA183">
        <f t="shared" si="56"/>
        <v>1</v>
      </c>
      <c r="AB183">
        <f t="shared" si="57"/>
        <v>1</v>
      </c>
      <c r="AC183">
        <f t="shared" si="58"/>
        <v>1</v>
      </c>
      <c r="AD183">
        <f t="shared" si="59"/>
        <v>0</v>
      </c>
      <c r="AE183">
        <f t="shared" si="60"/>
        <v>1</v>
      </c>
      <c r="AF183">
        <f t="shared" si="61"/>
        <v>1</v>
      </c>
    </row>
    <row r="184" spans="1:32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  <c r="M184">
        <f t="shared" si="42"/>
        <v>1</v>
      </c>
      <c r="N184">
        <f t="shared" si="43"/>
        <v>1</v>
      </c>
      <c r="O184">
        <f t="shared" si="44"/>
        <v>0</v>
      </c>
      <c r="P184">
        <f t="shared" si="45"/>
        <v>1</v>
      </c>
      <c r="Q184">
        <f t="shared" si="46"/>
        <v>1</v>
      </c>
      <c r="R184">
        <f t="shared" si="47"/>
        <v>0</v>
      </c>
      <c r="S184">
        <f t="shared" si="48"/>
        <v>1</v>
      </c>
      <c r="T184">
        <f t="shared" si="49"/>
        <v>1</v>
      </c>
      <c r="U184">
        <f t="shared" si="50"/>
        <v>1</v>
      </c>
      <c r="V184">
        <f t="shared" si="51"/>
        <v>1</v>
      </c>
      <c r="W184">
        <f t="shared" si="52"/>
        <v>0</v>
      </c>
      <c r="X184">
        <f t="shared" si="53"/>
        <v>0</v>
      </c>
      <c r="Y184">
        <f t="shared" si="54"/>
        <v>1</v>
      </c>
      <c r="Z184">
        <f t="shared" si="55"/>
        <v>0</v>
      </c>
      <c r="AA184">
        <f t="shared" si="56"/>
        <v>0</v>
      </c>
      <c r="AB184">
        <f t="shared" si="57"/>
        <v>1</v>
      </c>
      <c r="AC184">
        <f t="shared" si="58"/>
        <v>0</v>
      </c>
      <c r="AD184">
        <f t="shared" si="59"/>
        <v>0</v>
      </c>
      <c r="AE184">
        <f t="shared" si="60"/>
        <v>0</v>
      </c>
      <c r="AF184">
        <f t="shared" si="61"/>
        <v>0</v>
      </c>
    </row>
    <row r="185" spans="1:32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  <c r="M185">
        <f t="shared" si="42"/>
        <v>0</v>
      </c>
      <c r="N185">
        <f t="shared" si="43"/>
        <v>1</v>
      </c>
      <c r="O185">
        <f t="shared" si="44"/>
        <v>0</v>
      </c>
      <c r="P185">
        <f t="shared" si="45"/>
        <v>0</v>
      </c>
      <c r="Q185">
        <f t="shared" si="46"/>
        <v>0</v>
      </c>
      <c r="R185">
        <f t="shared" si="47"/>
        <v>1</v>
      </c>
      <c r="S185">
        <f t="shared" si="48"/>
        <v>1</v>
      </c>
      <c r="T185">
        <f t="shared" si="49"/>
        <v>1</v>
      </c>
      <c r="U185">
        <f t="shared" si="50"/>
        <v>0</v>
      </c>
      <c r="V185">
        <f t="shared" si="51"/>
        <v>1</v>
      </c>
      <c r="W185">
        <f t="shared" si="52"/>
        <v>1</v>
      </c>
      <c r="X185">
        <f t="shared" si="53"/>
        <v>0</v>
      </c>
      <c r="Y185">
        <f t="shared" si="54"/>
        <v>1</v>
      </c>
      <c r="Z185">
        <f t="shared" si="55"/>
        <v>1</v>
      </c>
      <c r="AA185">
        <f t="shared" si="56"/>
        <v>1</v>
      </c>
      <c r="AB185">
        <f t="shared" si="57"/>
        <v>0</v>
      </c>
      <c r="AC185">
        <f t="shared" si="58"/>
        <v>0</v>
      </c>
      <c r="AD185">
        <f t="shared" si="59"/>
        <v>0</v>
      </c>
      <c r="AE185">
        <f t="shared" si="60"/>
        <v>1</v>
      </c>
      <c r="AF185">
        <f t="shared" si="61"/>
        <v>0</v>
      </c>
    </row>
    <row r="186" spans="1:32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  <c r="M186">
        <f t="shared" si="42"/>
        <v>0</v>
      </c>
      <c r="N186">
        <f t="shared" si="43"/>
        <v>1</v>
      </c>
      <c r="O186">
        <f t="shared" si="44"/>
        <v>1</v>
      </c>
      <c r="P186">
        <f t="shared" si="45"/>
        <v>0</v>
      </c>
      <c r="Q186">
        <f t="shared" si="46"/>
        <v>1</v>
      </c>
      <c r="R186">
        <f t="shared" si="47"/>
        <v>0</v>
      </c>
      <c r="S186">
        <f t="shared" si="48"/>
        <v>0</v>
      </c>
      <c r="T186">
        <f t="shared" si="49"/>
        <v>1</v>
      </c>
      <c r="U186">
        <f t="shared" si="50"/>
        <v>1</v>
      </c>
      <c r="V186">
        <f t="shared" si="51"/>
        <v>0</v>
      </c>
      <c r="W186">
        <f t="shared" si="52"/>
        <v>1</v>
      </c>
      <c r="X186">
        <f t="shared" si="53"/>
        <v>0</v>
      </c>
      <c r="Y186">
        <f t="shared" si="54"/>
        <v>0</v>
      </c>
      <c r="Z186">
        <f t="shared" si="55"/>
        <v>1</v>
      </c>
      <c r="AA186">
        <f t="shared" si="56"/>
        <v>0</v>
      </c>
      <c r="AB186">
        <f t="shared" si="57"/>
        <v>1</v>
      </c>
      <c r="AC186">
        <f t="shared" si="58"/>
        <v>1</v>
      </c>
      <c r="AD186">
        <f t="shared" si="59"/>
        <v>0</v>
      </c>
      <c r="AE186">
        <f t="shared" si="60"/>
        <v>0</v>
      </c>
      <c r="AF186">
        <f t="shared" si="61"/>
        <v>1</v>
      </c>
    </row>
    <row r="187" spans="1:32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  <c r="M187">
        <f t="shared" si="42"/>
        <v>1</v>
      </c>
      <c r="N187">
        <f t="shared" si="43"/>
        <v>0</v>
      </c>
      <c r="O187">
        <f t="shared" si="44"/>
        <v>0</v>
      </c>
      <c r="P187">
        <f t="shared" si="45"/>
        <v>1</v>
      </c>
      <c r="Q187">
        <f t="shared" si="46"/>
        <v>0</v>
      </c>
      <c r="R187">
        <f t="shared" si="47"/>
        <v>1</v>
      </c>
      <c r="S187">
        <f t="shared" si="48"/>
        <v>1</v>
      </c>
      <c r="T187">
        <f t="shared" si="49"/>
        <v>1</v>
      </c>
      <c r="U187">
        <f t="shared" si="50"/>
        <v>1</v>
      </c>
      <c r="V187">
        <f t="shared" si="51"/>
        <v>1</v>
      </c>
      <c r="W187">
        <f t="shared" si="52"/>
        <v>0</v>
      </c>
      <c r="X187">
        <f t="shared" si="53"/>
        <v>1</v>
      </c>
      <c r="Y187">
        <f t="shared" si="54"/>
        <v>1</v>
      </c>
      <c r="Z187">
        <f t="shared" si="55"/>
        <v>0</v>
      </c>
      <c r="AA187">
        <f t="shared" si="56"/>
        <v>1</v>
      </c>
      <c r="AB187">
        <f t="shared" si="57"/>
        <v>0</v>
      </c>
      <c r="AC187">
        <f t="shared" si="58"/>
        <v>0</v>
      </c>
      <c r="AD187">
        <f t="shared" si="59"/>
        <v>0</v>
      </c>
      <c r="AE187">
        <f t="shared" si="60"/>
        <v>0</v>
      </c>
      <c r="AF187">
        <f t="shared" si="61"/>
        <v>0</v>
      </c>
    </row>
    <row r="188" spans="1:32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  <c r="M188">
        <f t="shared" si="42"/>
        <v>1</v>
      </c>
      <c r="N188">
        <f t="shared" si="43"/>
        <v>0</v>
      </c>
      <c r="O188">
        <f t="shared" si="44"/>
        <v>1</v>
      </c>
      <c r="P188">
        <f t="shared" si="45"/>
        <v>0</v>
      </c>
      <c r="Q188">
        <f t="shared" si="46"/>
        <v>1</v>
      </c>
      <c r="R188">
        <f t="shared" si="47"/>
        <v>1</v>
      </c>
      <c r="S188">
        <f t="shared" si="48"/>
        <v>0</v>
      </c>
      <c r="T188">
        <f t="shared" si="49"/>
        <v>0</v>
      </c>
      <c r="U188">
        <f t="shared" si="50"/>
        <v>1</v>
      </c>
      <c r="V188">
        <f t="shared" si="51"/>
        <v>1</v>
      </c>
      <c r="W188">
        <f t="shared" si="52"/>
        <v>0</v>
      </c>
      <c r="X188">
        <f t="shared" si="53"/>
        <v>1</v>
      </c>
      <c r="Y188">
        <f t="shared" si="54"/>
        <v>0</v>
      </c>
      <c r="Z188">
        <f t="shared" si="55"/>
        <v>1</v>
      </c>
      <c r="AA188">
        <f t="shared" si="56"/>
        <v>0</v>
      </c>
      <c r="AB188">
        <f t="shared" si="57"/>
        <v>0</v>
      </c>
      <c r="AC188">
        <f t="shared" si="58"/>
        <v>1</v>
      </c>
      <c r="AD188">
        <f t="shared" si="59"/>
        <v>1</v>
      </c>
      <c r="AE188">
        <f t="shared" si="60"/>
        <v>0</v>
      </c>
      <c r="AF188">
        <f t="shared" si="61"/>
        <v>0</v>
      </c>
    </row>
    <row r="189" spans="1:32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  <c r="M189">
        <f t="shared" si="42"/>
        <v>0</v>
      </c>
      <c r="N189">
        <f t="shared" si="43"/>
        <v>0</v>
      </c>
      <c r="O189">
        <f t="shared" si="44"/>
        <v>0</v>
      </c>
      <c r="P189">
        <f t="shared" si="45"/>
        <v>1</v>
      </c>
      <c r="Q189">
        <f t="shared" si="46"/>
        <v>0</v>
      </c>
      <c r="R189">
        <f t="shared" si="47"/>
        <v>0</v>
      </c>
      <c r="S189">
        <f t="shared" si="48"/>
        <v>1</v>
      </c>
      <c r="T189">
        <f t="shared" si="49"/>
        <v>1</v>
      </c>
      <c r="U189">
        <f t="shared" si="50"/>
        <v>0</v>
      </c>
      <c r="V189">
        <f t="shared" si="51"/>
        <v>0</v>
      </c>
      <c r="W189">
        <f t="shared" si="52"/>
        <v>1</v>
      </c>
      <c r="X189">
        <f t="shared" si="53"/>
        <v>1</v>
      </c>
      <c r="Y189">
        <f t="shared" si="54"/>
        <v>1</v>
      </c>
      <c r="Z189">
        <f t="shared" si="55"/>
        <v>0</v>
      </c>
      <c r="AA189">
        <f t="shared" si="56"/>
        <v>1</v>
      </c>
      <c r="AB189">
        <f t="shared" si="57"/>
        <v>1</v>
      </c>
      <c r="AC189">
        <f t="shared" si="58"/>
        <v>0</v>
      </c>
      <c r="AD189">
        <f t="shared" si="59"/>
        <v>0</v>
      </c>
      <c r="AE189">
        <f t="shared" si="60"/>
        <v>1</v>
      </c>
      <c r="AF189">
        <f t="shared" si="61"/>
        <v>1</v>
      </c>
    </row>
    <row r="190" spans="1:32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  <c r="M190">
        <f t="shared" si="42"/>
        <v>0</v>
      </c>
      <c r="N190">
        <f t="shared" si="43"/>
        <v>1</v>
      </c>
      <c r="O190">
        <f t="shared" si="44"/>
        <v>1</v>
      </c>
      <c r="P190">
        <f t="shared" si="45"/>
        <v>0</v>
      </c>
      <c r="Q190">
        <f t="shared" si="46"/>
        <v>1</v>
      </c>
      <c r="R190">
        <f t="shared" si="47"/>
        <v>1</v>
      </c>
      <c r="S190">
        <f t="shared" si="48"/>
        <v>0</v>
      </c>
      <c r="T190">
        <f t="shared" si="49"/>
        <v>0</v>
      </c>
      <c r="U190">
        <f t="shared" si="50"/>
        <v>1</v>
      </c>
      <c r="V190">
        <f t="shared" si="51"/>
        <v>0</v>
      </c>
      <c r="W190">
        <f t="shared" si="52"/>
        <v>1</v>
      </c>
      <c r="X190">
        <f t="shared" si="53"/>
        <v>0</v>
      </c>
      <c r="Y190">
        <f t="shared" si="54"/>
        <v>0</v>
      </c>
      <c r="Z190">
        <f t="shared" si="55"/>
        <v>1</v>
      </c>
      <c r="AA190">
        <f t="shared" si="56"/>
        <v>0</v>
      </c>
      <c r="AB190">
        <f t="shared" si="57"/>
        <v>0</v>
      </c>
      <c r="AC190">
        <f t="shared" si="58"/>
        <v>1</v>
      </c>
      <c r="AD190">
        <f t="shared" si="59"/>
        <v>1</v>
      </c>
      <c r="AE190">
        <f t="shared" si="60"/>
        <v>0</v>
      </c>
      <c r="AF190">
        <f t="shared" si="61"/>
        <v>1</v>
      </c>
    </row>
    <row r="191" spans="1:32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  <c r="M191">
        <f t="shared" si="42"/>
        <v>1</v>
      </c>
      <c r="N191">
        <f t="shared" si="43"/>
        <v>0</v>
      </c>
      <c r="O191">
        <f t="shared" si="44"/>
        <v>0</v>
      </c>
      <c r="P191">
        <f t="shared" si="45"/>
        <v>0</v>
      </c>
      <c r="Q191">
        <f t="shared" si="46"/>
        <v>0</v>
      </c>
      <c r="R191">
        <f t="shared" si="47"/>
        <v>0</v>
      </c>
      <c r="S191">
        <f t="shared" si="48"/>
        <v>1</v>
      </c>
      <c r="T191">
        <f t="shared" si="49"/>
        <v>0</v>
      </c>
      <c r="U191">
        <f t="shared" si="50"/>
        <v>1</v>
      </c>
      <c r="V191">
        <f t="shared" si="51"/>
        <v>1</v>
      </c>
      <c r="W191">
        <f t="shared" si="52"/>
        <v>0</v>
      </c>
      <c r="X191">
        <f t="shared" si="53"/>
        <v>1</v>
      </c>
      <c r="Y191">
        <f t="shared" si="54"/>
        <v>1</v>
      </c>
      <c r="Z191">
        <f t="shared" si="55"/>
        <v>1</v>
      </c>
      <c r="AA191">
        <f t="shared" si="56"/>
        <v>1</v>
      </c>
      <c r="AB191">
        <f t="shared" si="57"/>
        <v>1</v>
      </c>
      <c r="AC191">
        <f t="shared" si="58"/>
        <v>0</v>
      </c>
      <c r="AD191">
        <f t="shared" si="59"/>
        <v>1</v>
      </c>
      <c r="AE191">
        <f t="shared" si="60"/>
        <v>0</v>
      </c>
      <c r="AF191">
        <f t="shared" si="61"/>
        <v>0</v>
      </c>
    </row>
    <row r="192" spans="1:32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  <c r="M192">
        <f t="shared" si="42"/>
        <v>0</v>
      </c>
      <c r="N192">
        <f t="shared" si="43"/>
        <v>1</v>
      </c>
      <c r="O192">
        <f t="shared" si="44"/>
        <v>0</v>
      </c>
      <c r="P192">
        <f t="shared" si="45"/>
        <v>0</v>
      </c>
      <c r="Q192">
        <f t="shared" si="46"/>
        <v>0</v>
      </c>
      <c r="R192">
        <f t="shared" si="47"/>
        <v>0</v>
      </c>
      <c r="S192">
        <f t="shared" si="48"/>
        <v>0</v>
      </c>
      <c r="T192">
        <f t="shared" si="49"/>
        <v>1</v>
      </c>
      <c r="U192">
        <f t="shared" si="50"/>
        <v>0</v>
      </c>
      <c r="V192">
        <f t="shared" si="51"/>
        <v>0</v>
      </c>
      <c r="W192">
        <f t="shared" si="52"/>
        <v>1</v>
      </c>
      <c r="X192">
        <f t="shared" si="53"/>
        <v>0</v>
      </c>
      <c r="Y192">
        <f t="shared" si="54"/>
        <v>1</v>
      </c>
      <c r="Z192">
        <f t="shared" si="55"/>
        <v>1</v>
      </c>
      <c r="AA192">
        <f t="shared" si="56"/>
        <v>1</v>
      </c>
      <c r="AB192">
        <f t="shared" si="57"/>
        <v>1</v>
      </c>
      <c r="AC192">
        <f t="shared" si="58"/>
        <v>1</v>
      </c>
      <c r="AD192">
        <f t="shared" si="59"/>
        <v>0</v>
      </c>
      <c r="AE192">
        <f t="shared" si="60"/>
        <v>1</v>
      </c>
      <c r="AF192">
        <f t="shared" si="61"/>
        <v>1</v>
      </c>
    </row>
    <row r="193" spans="1:32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  <c r="M193">
        <f t="shared" si="42"/>
        <v>1</v>
      </c>
      <c r="N193">
        <f t="shared" si="43"/>
        <v>1</v>
      </c>
      <c r="O193">
        <f t="shared" si="44"/>
        <v>1</v>
      </c>
      <c r="P193">
        <f t="shared" si="45"/>
        <v>1</v>
      </c>
      <c r="Q193">
        <f t="shared" si="46"/>
        <v>1</v>
      </c>
      <c r="R193">
        <f t="shared" si="47"/>
        <v>1</v>
      </c>
      <c r="S193">
        <f t="shared" si="48"/>
        <v>1</v>
      </c>
      <c r="T193">
        <f t="shared" si="49"/>
        <v>1</v>
      </c>
      <c r="U193">
        <f t="shared" si="50"/>
        <v>1</v>
      </c>
      <c r="V193">
        <f t="shared" si="51"/>
        <v>1</v>
      </c>
      <c r="W193">
        <f t="shared" si="52"/>
        <v>0</v>
      </c>
      <c r="X193">
        <f t="shared" si="53"/>
        <v>0</v>
      </c>
      <c r="Y193">
        <f t="shared" si="54"/>
        <v>0</v>
      </c>
      <c r="Z193">
        <f t="shared" si="55"/>
        <v>0</v>
      </c>
      <c r="AA193">
        <f t="shared" si="56"/>
        <v>0</v>
      </c>
      <c r="AB193">
        <f t="shared" si="57"/>
        <v>0</v>
      </c>
      <c r="AC193">
        <f t="shared" si="58"/>
        <v>0</v>
      </c>
      <c r="AD193">
        <f t="shared" si="59"/>
        <v>0</v>
      </c>
      <c r="AE193">
        <f t="shared" si="60"/>
        <v>0</v>
      </c>
      <c r="AF193">
        <f t="shared" si="61"/>
        <v>0</v>
      </c>
    </row>
    <row r="194" spans="1:32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  <c r="M194">
        <f t="shared" si="42"/>
        <v>1</v>
      </c>
      <c r="N194">
        <f t="shared" si="43"/>
        <v>1</v>
      </c>
      <c r="O194">
        <f t="shared" si="44"/>
        <v>1</v>
      </c>
      <c r="P194">
        <f t="shared" si="45"/>
        <v>1</v>
      </c>
      <c r="Q194">
        <f t="shared" si="46"/>
        <v>1</v>
      </c>
      <c r="R194">
        <f t="shared" si="47"/>
        <v>1</v>
      </c>
      <c r="S194">
        <f t="shared" si="48"/>
        <v>1</v>
      </c>
      <c r="T194">
        <f t="shared" si="49"/>
        <v>1</v>
      </c>
      <c r="U194">
        <f t="shared" si="50"/>
        <v>1</v>
      </c>
      <c r="V194">
        <f t="shared" si="51"/>
        <v>1</v>
      </c>
      <c r="W194">
        <f t="shared" si="52"/>
        <v>0</v>
      </c>
      <c r="X194">
        <f t="shared" si="53"/>
        <v>0</v>
      </c>
      <c r="Y194">
        <f t="shared" si="54"/>
        <v>0</v>
      </c>
      <c r="Z194">
        <f t="shared" si="55"/>
        <v>0</v>
      </c>
      <c r="AA194">
        <f t="shared" si="56"/>
        <v>0</v>
      </c>
      <c r="AB194">
        <f t="shared" si="57"/>
        <v>0</v>
      </c>
      <c r="AC194">
        <f t="shared" si="58"/>
        <v>0</v>
      </c>
      <c r="AD194">
        <f t="shared" si="59"/>
        <v>0</v>
      </c>
      <c r="AE194">
        <f t="shared" si="60"/>
        <v>0</v>
      </c>
      <c r="AF194">
        <f t="shared" si="61"/>
        <v>0</v>
      </c>
    </row>
    <row r="195" spans="1:32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  <c r="M195">
        <f t="shared" ref="M195:M201" si="62">IF(AND(C195&gt;-10,C195&lt;=15),1,0)</f>
        <v>1</v>
      </c>
      <c r="N195">
        <f t="shared" ref="N195:N201" si="63">IF(AND(D195&gt;-10,D195&lt;=15),1,0)</f>
        <v>1</v>
      </c>
      <c r="O195">
        <f t="shared" ref="O195:O201" si="64">IF(AND(E195&gt;-10,E195&lt;=15),1,0)</f>
        <v>1</v>
      </c>
      <c r="P195">
        <f t="shared" ref="P195:P201" si="65">IF(AND(F195&gt;-10,F195&lt;=15),1,0)</f>
        <v>1</v>
      </c>
      <c r="Q195">
        <f t="shared" ref="Q195:Q201" si="66">IF(AND(G195&gt;-10,G195&lt;=15),1,0)</f>
        <v>1</v>
      </c>
      <c r="R195">
        <f t="shared" ref="R195:R201" si="67">IF(AND(H195&gt;-10,H195&lt;=15),1,0)</f>
        <v>1</v>
      </c>
      <c r="S195">
        <f t="shared" ref="S195:S201" si="68">IF(AND(I195&gt;-10,I195&lt;=15),1,0)</f>
        <v>1</v>
      </c>
      <c r="T195">
        <f t="shared" ref="T195:T201" si="69">IF(AND(J195&gt;-10,J195&lt;=15),1,0)</f>
        <v>1</v>
      </c>
      <c r="U195">
        <f t="shared" ref="U195:U201" si="70">IF(AND(K195&gt;-10,K195&lt;=15),1,0)</f>
        <v>1</v>
      </c>
      <c r="V195">
        <f t="shared" ref="V195:V201" si="71">IF(AND(L195&gt;-10,L195&lt;=15),1,0)</f>
        <v>1</v>
      </c>
      <c r="W195">
        <f t="shared" ref="W195:W201" si="72">IF(AND(C195&gt;15,C195&lt;=20),1,0)</f>
        <v>0</v>
      </c>
      <c r="X195">
        <f t="shared" ref="X195:X201" si="73">IF(AND(D195&gt;15,D195&lt;=20),1,0)</f>
        <v>0</v>
      </c>
      <c r="Y195">
        <f t="shared" ref="Y195:Y201" si="74">IF(AND(E195&gt;15,E195&lt;=20),1,0)</f>
        <v>0</v>
      </c>
      <c r="Z195">
        <f t="shared" ref="Z195:Z201" si="75">IF(AND(F195&gt;15,F195&lt;=20),1,0)</f>
        <v>0</v>
      </c>
      <c r="AA195">
        <f t="shared" ref="AA195:AA201" si="76">IF(AND(G195&gt;15,G195&lt;=20),1,0)</f>
        <v>0</v>
      </c>
      <c r="AB195">
        <f t="shared" ref="AB195:AB201" si="77">IF(AND(H195&gt;15,H195&lt;=20),1,0)</f>
        <v>0</v>
      </c>
      <c r="AC195">
        <f t="shared" ref="AC195:AC201" si="78">IF(AND(I195&gt;15,I195&lt;=20),1,0)</f>
        <v>0</v>
      </c>
      <c r="AD195">
        <f t="shared" ref="AD195:AD201" si="79">IF(AND(J195&gt;15,J195&lt;=20),1,0)</f>
        <v>0</v>
      </c>
      <c r="AE195">
        <f t="shared" ref="AE195:AE201" si="80">IF(AND(K195&gt;15,K195&lt;=20),1,0)</f>
        <v>0</v>
      </c>
      <c r="AF195">
        <f t="shared" ref="AF195:AF201" si="81">IF(AND(L195&gt;15,L195&lt;=20),1,0)</f>
        <v>0</v>
      </c>
    </row>
    <row r="196" spans="1:32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  <c r="M196">
        <f t="shared" si="62"/>
        <v>1</v>
      </c>
      <c r="N196">
        <f t="shared" si="63"/>
        <v>1</v>
      </c>
      <c r="O196">
        <f t="shared" si="64"/>
        <v>1</v>
      </c>
      <c r="P196">
        <f t="shared" si="65"/>
        <v>1</v>
      </c>
      <c r="Q196">
        <f t="shared" si="66"/>
        <v>1</v>
      </c>
      <c r="R196">
        <f t="shared" si="67"/>
        <v>1</v>
      </c>
      <c r="S196">
        <f t="shared" si="68"/>
        <v>1</v>
      </c>
      <c r="T196">
        <f t="shared" si="69"/>
        <v>1</v>
      </c>
      <c r="U196">
        <f t="shared" si="70"/>
        <v>1</v>
      </c>
      <c r="V196">
        <f t="shared" si="71"/>
        <v>1</v>
      </c>
      <c r="W196">
        <f t="shared" si="72"/>
        <v>0</v>
      </c>
      <c r="X196">
        <f t="shared" si="73"/>
        <v>0</v>
      </c>
      <c r="Y196">
        <f t="shared" si="74"/>
        <v>0</v>
      </c>
      <c r="Z196">
        <f t="shared" si="75"/>
        <v>0</v>
      </c>
      <c r="AA196">
        <f t="shared" si="76"/>
        <v>0</v>
      </c>
      <c r="AB196">
        <f t="shared" si="77"/>
        <v>0</v>
      </c>
      <c r="AC196">
        <f t="shared" si="78"/>
        <v>0</v>
      </c>
      <c r="AD196">
        <f t="shared" si="79"/>
        <v>0</v>
      </c>
      <c r="AE196">
        <f t="shared" si="80"/>
        <v>0</v>
      </c>
      <c r="AF196">
        <f t="shared" si="81"/>
        <v>0</v>
      </c>
    </row>
    <row r="197" spans="1:32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  <c r="M197">
        <f t="shared" si="62"/>
        <v>1</v>
      </c>
      <c r="N197">
        <f t="shared" si="63"/>
        <v>1</v>
      </c>
      <c r="O197">
        <f t="shared" si="64"/>
        <v>1</v>
      </c>
      <c r="P197">
        <f t="shared" si="65"/>
        <v>1</v>
      </c>
      <c r="Q197">
        <f t="shared" si="66"/>
        <v>1</v>
      </c>
      <c r="R197">
        <f t="shared" si="67"/>
        <v>1</v>
      </c>
      <c r="S197">
        <f t="shared" si="68"/>
        <v>1</v>
      </c>
      <c r="T197">
        <f t="shared" si="69"/>
        <v>1</v>
      </c>
      <c r="U197">
        <f t="shared" si="70"/>
        <v>1</v>
      </c>
      <c r="V197">
        <f t="shared" si="71"/>
        <v>1</v>
      </c>
      <c r="W197">
        <f t="shared" si="72"/>
        <v>0</v>
      </c>
      <c r="X197">
        <f t="shared" si="73"/>
        <v>0</v>
      </c>
      <c r="Y197">
        <f t="shared" si="74"/>
        <v>0</v>
      </c>
      <c r="Z197">
        <f t="shared" si="75"/>
        <v>0</v>
      </c>
      <c r="AA197">
        <f t="shared" si="76"/>
        <v>0</v>
      </c>
      <c r="AB197">
        <f t="shared" si="77"/>
        <v>0</v>
      </c>
      <c r="AC197">
        <f t="shared" si="78"/>
        <v>0</v>
      </c>
      <c r="AD197">
        <f t="shared" si="79"/>
        <v>0</v>
      </c>
      <c r="AE197">
        <f t="shared" si="80"/>
        <v>0</v>
      </c>
      <c r="AF197">
        <f t="shared" si="81"/>
        <v>0</v>
      </c>
    </row>
    <row r="198" spans="1:32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  <c r="M198">
        <f t="shared" si="62"/>
        <v>1</v>
      </c>
      <c r="N198">
        <f t="shared" si="63"/>
        <v>1</v>
      </c>
      <c r="O198">
        <f t="shared" si="64"/>
        <v>1</v>
      </c>
      <c r="P198">
        <f t="shared" si="65"/>
        <v>1</v>
      </c>
      <c r="Q198">
        <f t="shared" si="66"/>
        <v>1</v>
      </c>
      <c r="R198">
        <f t="shared" si="67"/>
        <v>1</v>
      </c>
      <c r="S198">
        <f t="shared" si="68"/>
        <v>1</v>
      </c>
      <c r="T198">
        <f t="shared" si="69"/>
        <v>1</v>
      </c>
      <c r="U198">
        <f t="shared" si="70"/>
        <v>1</v>
      </c>
      <c r="V198">
        <f t="shared" si="71"/>
        <v>1</v>
      </c>
      <c r="W198">
        <f t="shared" si="72"/>
        <v>0</v>
      </c>
      <c r="X198">
        <f t="shared" si="73"/>
        <v>0</v>
      </c>
      <c r="Y198">
        <f t="shared" si="74"/>
        <v>0</v>
      </c>
      <c r="Z198">
        <f t="shared" si="75"/>
        <v>0</v>
      </c>
      <c r="AA198">
        <f t="shared" si="76"/>
        <v>0</v>
      </c>
      <c r="AB198">
        <f t="shared" si="77"/>
        <v>0</v>
      </c>
      <c r="AC198">
        <f t="shared" si="78"/>
        <v>0</v>
      </c>
      <c r="AD198">
        <f t="shared" si="79"/>
        <v>0</v>
      </c>
      <c r="AE198">
        <f t="shared" si="80"/>
        <v>0</v>
      </c>
      <c r="AF198">
        <f t="shared" si="81"/>
        <v>0</v>
      </c>
    </row>
    <row r="199" spans="1:32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  <c r="M199">
        <f t="shared" si="62"/>
        <v>1</v>
      </c>
      <c r="N199">
        <f t="shared" si="63"/>
        <v>1</v>
      </c>
      <c r="O199">
        <f t="shared" si="64"/>
        <v>1</v>
      </c>
      <c r="P199">
        <f t="shared" si="65"/>
        <v>1</v>
      </c>
      <c r="Q199">
        <f t="shared" si="66"/>
        <v>1</v>
      </c>
      <c r="R199">
        <f t="shared" si="67"/>
        <v>1</v>
      </c>
      <c r="S199">
        <f t="shared" si="68"/>
        <v>1</v>
      </c>
      <c r="T199">
        <f t="shared" si="69"/>
        <v>1</v>
      </c>
      <c r="U199">
        <f t="shared" si="70"/>
        <v>1</v>
      </c>
      <c r="V199">
        <f t="shared" si="71"/>
        <v>1</v>
      </c>
      <c r="W199">
        <f t="shared" si="72"/>
        <v>0</v>
      </c>
      <c r="X199">
        <f t="shared" si="73"/>
        <v>0</v>
      </c>
      <c r="Y199">
        <f t="shared" si="74"/>
        <v>0</v>
      </c>
      <c r="Z199">
        <f t="shared" si="75"/>
        <v>0</v>
      </c>
      <c r="AA199">
        <f t="shared" si="76"/>
        <v>0</v>
      </c>
      <c r="AB199">
        <f t="shared" si="77"/>
        <v>0</v>
      </c>
      <c r="AC199">
        <f t="shared" si="78"/>
        <v>0</v>
      </c>
      <c r="AD199">
        <f t="shared" si="79"/>
        <v>0</v>
      </c>
      <c r="AE199">
        <f t="shared" si="80"/>
        <v>0</v>
      </c>
      <c r="AF199">
        <f t="shared" si="81"/>
        <v>0</v>
      </c>
    </row>
    <row r="200" spans="1:32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  <c r="M200">
        <f t="shared" si="62"/>
        <v>1</v>
      </c>
      <c r="N200">
        <f t="shared" si="63"/>
        <v>1</v>
      </c>
      <c r="O200">
        <f t="shared" si="64"/>
        <v>1</v>
      </c>
      <c r="P200">
        <f t="shared" si="65"/>
        <v>1</v>
      </c>
      <c r="Q200">
        <f t="shared" si="66"/>
        <v>1</v>
      </c>
      <c r="R200">
        <f t="shared" si="67"/>
        <v>1</v>
      </c>
      <c r="S200">
        <f t="shared" si="68"/>
        <v>1</v>
      </c>
      <c r="T200">
        <f t="shared" si="69"/>
        <v>1</v>
      </c>
      <c r="U200">
        <f t="shared" si="70"/>
        <v>1</v>
      </c>
      <c r="V200">
        <f t="shared" si="71"/>
        <v>1</v>
      </c>
      <c r="W200">
        <f t="shared" si="72"/>
        <v>0</v>
      </c>
      <c r="X200">
        <f t="shared" si="73"/>
        <v>0</v>
      </c>
      <c r="Y200">
        <f t="shared" si="74"/>
        <v>0</v>
      </c>
      <c r="Z200">
        <f t="shared" si="75"/>
        <v>0</v>
      </c>
      <c r="AA200">
        <f t="shared" si="76"/>
        <v>0</v>
      </c>
      <c r="AB200">
        <f t="shared" si="77"/>
        <v>0</v>
      </c>
      <c r="AC200">
        <f t="shared" si="78"/>
        <v>0</v>
      </c>
      <c r="AD200">
        <f t="shared" si="79"/>
        <v>0</v>
      </c>
      <c r="AE200">
        <f t="shared" si="80"/>
        <v>0</v>
      </c>
      <c r="AF200">
        <f t="shared" si="81"/>
        <v>0</v>
      </c>
    </row>
    <row r="201" spans="1:32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  <c r="M201">
        <f t="shared" si="62"/>
        <v>1</v>
      </c>
      <c r="N201">
        <f t="shared" si="63"/>
        <v>1</v>
      </c>
      <c r="O201">
        <f t="shared" si="64"/>
        <v>1</v>
      </c>
      <c r="P201">
        <f t="shared" si="65"/>
        <v>1</v>
      </c>
      <c r="Q201">
        <f t="shared" si="66"/>
        <v>1</v>
      </c>
      <c r="R201">
        <f t="shared" si="67"/>
        <v>1</v>
      </c>
      <c r="S201">
        <f t="shared" si="68"/>
        <v>1</v>
      </c>
      <c r="T201">
        <f t="shared" si="69"/>
        <v>1</v>
      </c>
      <c r="U201">
        <f t="shared" si="70"/>
        <v>1</v>
      </c>
      <c r="V201">
        <f t="shared" si="71"/>
        <v>1</v>
      </c>
      <c r="W201">
        <f t="shared" si="72"/>
        <v>0</v>
      </c>
      <c r="X201">
        <f t="shared" si="73"/>
        <v>0</v>
      </c>
      <c r="Y201">
        <f t="shared" si="74"/>
        <v>0</v>
      </c>
      <c r="Z201">
        <f t="shared" si="75"/>
        <v>0</v>
      </c>
      <c r="AA201">
        <f t="shared" si="76"/>
        <v>0</v>
      </c>
      <c r="AB201">
        <f t="shared" si="77"/>
        <v>0</v>
      </c>
      <c r="AC201">
        <f t="shared" si="78"/>
        <v>0</v>
      </c>
      <c r="AD201">
        <f t="shared" si="79"/>
        <v>0</v>
      </c>
      <c r="AE201">
        <f t="shared" si="80"/>
        <v>0</v>
      </c>
      <c r="AF201">
        <f t="shared" si="8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4425-8040-47E2-BBF2-BBCF4B85680A}">
  <dimension ref="A1:X201"/>
  <sheetViews>
    <sheetView tabSelected="1" topLeftCell="A86" zoomScale="66" workbookViewId="0">
      <selection activeCell="O104" sqref="O104:R104"/>
    </sheetView>
  </sheetViews>
  <sheetFormatPr defaultRowHeight="14.5" x14ac:dyDescent="0.35"/>
  <cols>
    <col min="1" max="1" width="9.90625" bestFit="1" customWidth="1"/>
    <col min="2" max="2" width="9.54296875" bestFit="1" customWidth="1"/>
    <col min="3" max="11" width="9.90625" bestFit="1" customWidth="1"/>
    <col min="12" max="12" width="10.90625" bestFit="1" customWidth="1"/>
    <col min="23" max="23" width="9.90625" bestFit="1" customWidth="1"/>
    <col min="24" max="24" width="9.54296875" bestFit="1" customWidth="1"/>
  </cols>
  <sheetData>
    <row r="1" spans="1:24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19" t="s">
        <v>35</v>
      </c>
      <c r="N1" s="19" t="s">
        <v>18</v>
      </c>
      <c r="O1" s="19" t="s">
        <v>2</v>
      </c>
      <c r="P1" s="19" t="s">
        <v>3</v>
      </c>
      <c r="Q1" s="19" t="s">
        <v>9</v>
      </c>
      <c r="R1" s="19" t="s">
        <v>10</v>
      </c>
      <c r="S1" s="19" t="s">
        <v>2</v>
      </c>
      <c r="T1" s="19" t="s">
        <v>3</v>
      </c>
      <c r="U1" s="19" t="s">
        <v>9</v>
      </c>
      <c r="V1" s="19" t="s">
        <v>10</v>
      </c>
      <c r="W1" s="3" t="s">
        <v>0</v>
      </c>
      <c r="X1" s="4" t="s">
        <v>1</v>
      </c>
    </row>
    <row r="2" spans="1:24" x14ac:dyDescent="0.35">
      <c r="A2" s="6">
        <v>42374</v>
      </c>
      <c r="B2" s="7">
        <v>0.46597222222222223</v>
      </c>
      <c r="C2" s="8">
        <v>0.61</v>
      </c>
      <c r="D2" s="8">
        <v>-4.9800000000000004</v>
      </c>
      <c r="E2" s="8">
        <v>-1.56</v>
      </c>
      <c r="F2" s="8">
        <v>-5.59</v>
      </c>
      <c r="G2" s="8">
        <v>-2.8</v>
      </c>
      <c r="H2" s="8">
        <v>3.39</v>
      </c>
      <c r="I2" s="8">
        <v>2.81</v>
      </c>
      <c r="J2" s="8">
        <v>-1.6</v>
      </c>
      <c r="K2" s="8">
        <v>1.71</v>
      </c>
      <c r="L2" s="9">
        <v>4.53</v>
      </c>
      <c r="M2">
        <f>DAY(A2)</f>
        <v>5</v>
      </c>
      <c r="N2">
        <f>MONTH(A2)</f>
        <v>1</v>
      </c>
      <c r="O2">
        <f>IF(AND($M2&gt;=5, $M2&lt;=10),C2-1.2,C2)</f>
        <v>-0.59</v>
      </c>
      <c r="P2">
        <f t="shared" ref="P2:R2" si="0">IF(AND($M2&gt;=5, $M2&lt;=10),D2-1.2,D2)</f>
        <v>-6.1800000000000006</v>
      </c>
      <c r="Q2">
        <f>IF(OR(N2 = 7, N2 = 8),ROUNDDOWN(J2 * 1.07,2), J2)</f>
        <v>-1.6</v>
      </c>
      <c r="R2">
        <f>IF(AND($M2&gt;=5, $M2&lt;=10),K2-1.2,K2)</f>
        <v>0.51</v>
      </c>
      <c r="S2">
        <f>IF($N2=5,O2+0.9,O2)</f>
        <v>-0.59</v>
      </c>
      <c r="T2">
        <f t="shared" ref="T2:V2" si="1">IF($N2=5,P2+0.9,P2)</f>
        <v>-6.1800000000000006</v>
      </c>
      <c r="U2">
        <f t="shared" si="1"/>
        <v>-1.6</v>
      </c>
      <c r="V2">
        <f t="shared" si="1"/>
        <v>0.51</v>
      </c>
      <c r="W2" s="6">
        <v>42374</v>
      </c>
      <c r="X2" s="7">
        <v>0.46597222222222223</v>
      </c>
    </row>
    <row r="3" spans="1:24" x14ac:dyDescent="0.35">
      <c r="A3" s="10">
        <v>42377</v>
      </c>
      <c r="B3" s="11">
        <v>0.29166666666666669</v>
      </c>
      <c r="C3" s="12">
        <v>-4.5</v>
      </c>
      <c r="D3" s="12">
        <v>2.56</v>
      </c>
      <c r="E3" s="12">
        <v>-5.28</v>
      </c>
      <c r="F3" s="12">
        <v>-6.02</v>
      </c>
      <c r="G3" s="12">
        <v>-5.78</v>
      </c>
      <c r="H3" s="12">
        <v>-7.56</v>
      </c>
      <c r="I3" s="12">
        <v>-2.48</v>
      </c>
      <c r="J3" s="12">
        <v>3.31</v>
      </c>
      <c r="K3" s="12">
        <v>-5.4</v>
      </c>
      <c r="L3" s="13">
        <v>0.03</v>
      </c>
      <c r="M3">
        <f t="shared" ref="M3:M66" si="2">DAY(A3)</f>
        <v>8</v>
      </c>
      <c r="N3">
        <f t="shared" ref="N3:N66" si="3">MONTH(A3)</f>
        <v>1</v>
      </c>
      <c r="O3">
        <f t="shared" ref="O3:O66" si="4">IF(AND($M3&gt;=5, $M3&lt;=10),C3-1.2,C3)</f>
        <v>-5.7</v>
      </c>
      <c r="P3">
        <f t="shared" ref="P3:P66" si="5">IF(AND($M3&gt;=5, $M3&lt;=10),D3-1.2,D3)</f>
        <v>1.36</v>
      </c>
      <c r="Q3">
        <f t="shared" ref="Q3:Q66" si="6">IF(OR(N3 = 7, N3 = 8),ROUNDDOWN(J3 * 1.07,2), J3)</f>
        <v>3.31</v>
      </c>
      <c r="R3">
        <f t="shared" ref="R3:R66" si="7">IF(AND($M3&gt;=5, $M3&lt;=10),K3-1.2,K3)</f>
        <v>-6.6000000000000005</v>
      </c>
      <c r="S3">
        <f t="shared" ref="S3:S66" si="8">IF($N3=5,O3+0.9,O3)</f>
        <v>-5.7</v>
      </c>
      <c r="T3">
        <f t="shared" ref="T3:T66" si="9">IF($N3=5,P3+0.9,P3)</f>
        <v>1.36</v>
      </c>
      <c r="U3">
        <f t="shared" ref="U3:U66" si="10">IF($N3=5,Q3+0.9,Q3)</f>
        <v>3.31</v>
      </c>
      <c r="V3">
        <f t="shared" ref="V3:V66" si="11">IF($N3=5,R3+0.9,R3)</f>
        <v>-6.6000000000000005</v>
      </c>
      <c r="W3" s="10">
        <v>42377</v>
      </c>
      <c r="X3" s="11">
        <v>0.29166666666666669</v>
      </c>
    </row>
    <row r="4" spans="1:24" x14ac:dyDescent="0.35">
      <c r="A4" s="6">
        <v>42387</v>
      </c>
      <c r="B4" s="7">
        <v>0.42499999999999999</v>
      </c>
      <c r="C4" s="8">
        <v>2.59</v>
      </c>
      <c r="D4" s="8">
        <v>-7.29</v>
      </c>
      <c r="E4" s="8">
        <v>1.55</v>
      </c>
      <c r="F4" s="8">
        <v>6.79</v>
      </c>
      <c r="G4" s="8">
        <v>3.87</v>
      </c>
      <c r="H4" s="8">
        <v>-7.74</v>
      </c>
      <c r="I4" s="8">
        <v>4.5199999999999996</v>
      </c>
      <c r="J4" s="8">
        <v>-4.7699999999999996</v>
      </c>
      <c r="K4" s="8">
        <v>-3.88</v>
      </c>
      <c r="L4" s="9">
        <v>-4.25</v>
      </c>
      <c r="M4">
        <f t="shared" si="2"/>
        <v>18</v>
      </c>
      <c r="N4">
        <f t="shared" si="3"/>
        <v>1</v>
      </c>
      <c r="O4">
        <f t="shared" si="4"/>
        <v>2.59</v>
      </c>
      <c r="P4">
        <f t="shared" si="5"/>
        <v>-7.29</v>
      </c>
      <c r="Q4">
        <f t="shared" si="6"/>
        <v>-4.7699999999999996</v>
      </c>
      <c r="R4">
        <f t="shared" si="7"/>
        <v>-3.88</v>
      </c>
      <c r="S4">
        <f t="shared" si="8"/>
        <v>2.59</v>
      </c>
      <c r="T4">
        <f t="shared" si="9"/>
        <v>-7.29</v>
      </c>
      <c r="U4">
        <f t="shared" si="10"/>
        <v>-4.7699999999999996</v>
      </c>
      <c r="V4">
        <f t="shared" si="11"/>
        <v>-3.88</v>
      </c>
      <c r="W4" s="6">
        <v>42387</v>
      </c>
      <c r="X4" s="7">
        <v>0.42499999999999999</v>
      </c>
    </row>
    <row r="5" spans="1:24" x14ac:dyDescent="0.35">
      <c r="A5" s="10">
        <v>42389</v>
      </c>
      <c r="B5" s="11">
        <v>5.5555555555555558E-3</v>
      </c>
      <c r="C5" s="12">
        <v>7.76</v>
      </c>
      <c r="D5" s="12">
        <v>-7.18</v>
      </c>
      <c r="E5" s="12">
        <v>-0.49</v>
      </c>
      <c r="F5" s="12">
        <v>-2.23</v>
      </c>
      <c r="G5" s="12">
        <v>6.46</v>
      </c>
      <c r="H5" s="12">
        <v>3.09</v>
      </c>
      <c r="I5" s="12">
        <v>-0.48</v>
      </c>
      <c r="J5" s="12">
        <v>-2.84</v>
      </c>
      <c r="K5" s="12">
        <v>-1.31</v>
      </c>
      <c r="L5" s="13">
        <v>-2.96</v>
      </c>
      <c r="M5">
        <f t="shared" si="2"/>
        <v>20</v>
      </c>
      <c r="N5">
        <f t="shared" si="3"/>
        <v>1</v>
      </c>
      <c r="O5">
        <f t="shared" si="4"/>
        <v>7.76</v>
      </c>
      <c r="P5">
        <f t="shared" si="5"/>
        <v>-7.18</v>
      </c>
      <c r="Q5">
        <f t="shared" si="6"/>
        <v>-2.84</v>
      </c>
      <c r="R5">
        <f t="shared" si="7"/>
        <v>-1.31</v>
      </c>
      <c r="S5">
        <f t="shared" si="8"/>
        <v>7.76</v>
      </c>
      <c r="T5">
        <f t="shared" si="9"/>
        <v>-7.18</v>
      </c>
      <c r="U5">
        <f t="shared" si="10"/>
        <v>-2.84</v>
      </c>
      <c r="V5">
        <f t="shared" si="11"/>
        <v>-1.31</v>
      </c>
      <c r="W5" s="10">
        <v>42389</v>
      </c>
      <c r="X5" s="11">
        <v>5.5555555555555558E-3</v>
      </c>
    </row>
    <row r="6" spans="1:24" x14ac:dyDescent="0.35">
      <c r="A6" s="6">
        <v>42390</v>
      </c>
      <c r="B6" s="7">
        <v>0.41805555555555557</v>
      </c>
      <c r="C6" s="8">
        <v>7.12</v>
      </c>
      <c r="D6" s="8">
        <v>5.13</v>
      </c>
      <c r="E6" s="8">
        <v>-3.67</v>
      </c>
      <c r="F6" s="8">
        <v>-3.5</v>
      </c>
      <c r="G6" s="8">
        <v>8.14</v>
      </c>
      <c r="H6" s="8">
        <v>-5.31</v>
      </c>
      <c r="I6" s="8">
        <v>-0.44</v>
      </c>
      <c r="J6" s="8">
        <v>0.87</v>
      </c>
      <c r="K6" s="8">
        <v>-5.21</v>
      </c>
      <c r="L6" s="9">
        <v>-3.49</v>
      </c>
      <c r="M6">
        <f t="shared" si="2"/>
        <v>21</v>
      </c>
      <c r="N6">
        <f t="shared" si="3"/>
        <v>1</v>
      </c>
      <c r="O6">
        <f t="shared" si="4"/>
        <v>7.12</v>
      </c>
      <c r="P6">
        <f t="shared" si="5"/>
        <v>5.13</v>
      </c>
      <c r="Q6">
        <f t="shared" si="6"/>
        <v>0.87</v>
      </c>
      <c r="R6">
        <f t="shared" si="7"/>
        <v>-5.21</v>
      </c>
      <c r="S6">
        <f t="shared" si="8"/>
        <v>7.12</v>
      </c>
      <c r="T6">
        <f t="shared" si="9"/>
        <v>5.13</v>
      </c>
      <c r="U6">
        <f t="shared" si="10"/>
        <v>0.87</v>
      </c>
      <c r="V6">
        <f t="shared" si="11"/>
        <v>-5.21</v>
      </c>
      <c r="W6" s="6">
        <v>42390</v>
      </c>
      <c r="X6" s="7">
        <v>0.41805555555555557</v>
      </c>
    </row>
    <row r="7" spans="1:24" x14ac:dyDescent="0.35">
      <c r="A7" s="10">
        <v>42391</v>
      </c>
      <c r="B7" s="11">
        <v>0.13263888888888889</v>
      </c>
      <c r="C7" s="12">
        <v>4.1100000000000003</v>
      </c>
      <c r="D7" s="12">
        <v>0.85</v>
      </c>
      <c r="E7" s="12">
        <v>-3.78</v>
      </c>
      <c r="F7" s="12">
        <v>-7.4</v>
      </c>
      <c r="G7" s="12">
        <v>3.55</v>
      </c>
      <c r="H7" s="12">
        <v>-3.54</v>
      </c>
      <c r="I7" s="12">
        <v>-3.92</v>
      </c>
      <c r="J7" s="12">
        <v>1.5</v>
      </c>
      <c r="K7" s="12">
        <v>-3.41</v>
      </c>
      <c r="L7" s="13">
        <v>4.67</v>
      </c>
      <c r="M7">
        <f t="shared" si="2"/>
        <v>22</v>
      </c>
      <c r="N7">
        <f t="shared" si="3"/>
        <v>1</v>
      </c>
      <c r="O7">
        <f t="shared" si="4"/>
        <v>4.1100000000000003</v>
      </c>
      <c r="P7">
        <f t="shared" si="5"/>
        <v>0.85</v>
      </c>
      <c r="Q7">
        <f t="shared" si="6"/>
        <v>1.5</v>
      </c>
      <c r="R7">
        <f t="shared" si="7"/>
        <v>-3.41</v>
      </c>
      <c r="S7">
        <f t="shared" si="8"/>
        <v>4.1100000000000003</v>
      </c>
      <c r="T7">
        <f t="shared" si="9"/>
        <v>0.85</v>
      </c>
      <c r="U7">
        <f t="shared" si="10"/>
        <v>1.5</v>
      </c>
      <c r="V7">
        <f t="shared" si="11"/>
        <v>-3.41</v>
      </c>
      <c r="W7" s="10">
        <v>42391</v>
      </c>
      <c r="X7" s="11">
        <v>0.13263888888888889</v>
      </c>
    </row>
    <row r="8" spans="1:24" x14ac:dyDescent="0.35">
      <c r="A8" s="6">
        <v>42399</v>
      </c>
      <c r="B8" s="7">
        <v>4.583333333333333E-2</v>
      </c>
      <c r="C8" s="8">
        <v>-5.38</v>
      </c>
      <c r="D8" s="8">
        <v>5.93</v>
      </c>
      <c r="E8" s="8">
        <v>-7.57</v>
      </c>
      <c r="F8" s="8">
        <v>4.72</v>
      </c>
      <c r="G8" s="8">
        <v>2.64</v>
      </c>
      <c r="H8" s="8">
        <v>7.75</v>
      </c>
      <c r="I8" s="8">
        <v>-4.3499999999999996</v>
      </c>
      <c r="J8" s="8">
        <v>-6.59</v>
      </c>
      <c r="K8" s="8">
        <v>-7.28</v>
      </c>
      <c r="L8" s="9">
        <v>7.83</v>
      </c>
      <c r="M8">
        <f t="shared" si="2"/>
        <v>30</v>
      </c>
      <c r="N8">
        <f t="shared" si="3"/>
        <v>1</v>
      </c>
      <c r="O8">
        <f t="shared" si="4"/>
        <v>-5.38</v>
      </c>
      <c r="P8">
        <f t="shared" si="5"/>
        <v>5.93</v>
      </c>
      <c r="Q8">
        <f t="shared" si="6"/>
        <v>-6.59</v>
      </c>
      <c r="R8">
        <f t="shared" si="7"/>
        <v>-7.28</v>
      </c>
      <c r="S8">
        <f t="shared" si="8"/>
        <v>-5.38</v>
      </c>
      <c r="T8">
        <f t="shared" si="9"/>
        <v>5.93</v>
      </c>
      <c r="U8">
        <f t="shared" si="10"/>
        <v>-6.59</v>
      </c>
      <c r="V8">
        <f t="shared" si="11"/>
        <v>-7.28</v>
      </c>
      <c r="W8" s="6">
        <v>42399</v>
      </c>
      <c r="X8" s="7">
        <v>4.583333333333333E-2</v>
      </c>
    </row>
    <row r="9" spans="1:24" x14ac:dyDescent="0.35">
      <c r="A9" s="10">
        <v>42405</v>
      </c>
      <c r="B9" s="11">
        <v>0.12638888888888888</v>
      </c>
      <c r="C9" s="12">
        <v>3.21</v>
      </c>
      <c r="D9" s="12">
        <v>-7.03</v>
      </c>
      <c r="E9" s="12">
        <v>-6.63</v>
      </c>
      <c r="F9" s="12">
        <v>-2.59</v>
      </c>
      <c r="G9" s="12">
        <v>6.44</v>
      </c>
      <c r="H9" s="12">
        <v>1.67</v>
      </c>
      <c r="I9" s="12">
        <v>7.34</v>
      </c>
      <c r="J9" s="12">
        <v>7.78</v>
      </c>
      <c r="K9" s="12">
        <v>2.48</v>
      </c>
      <c r="L9" s="13">
        <v>-2.82</v>
      </c>
      <c r="M9">
        <f t="shared" si="2"/>
        <v>5</v>
      </c>
      <c r="N9">
        <f t="shared" si="3"/>
        <v>2</v>
      </c>
      <c r="O9">
        <f t="shared" si="4"/>
        <v>2.0099999999999998</v>
      </c>
      <c r="P9">
        <f t="shared" si="5"/>
        <v>-8.23</v>
      </c>
      <c r="Q9">
        <f t="shared" si="6"/>
        <v>7.78</v>
      </c>
      <c r="R9">
        <f t="shared" si="7"/>
        <v>1.28</v>
      </c>
      <c r="S9">
        <f t="shared" si="8"/>
        <v>2.0099999999999998</v>
      </c>
      <c r="T9">
        <f t="shared" si="9"/>
        <v>-8.23</v>
      </c>
      <c r="U9">
        <f t="shared" si="10"/>
        <v>7.78</v>
      </c>
      <c r="V9">
        <f t="shared" si="11"/>
        <v>1.28</v>
      </c>
      <c r="W9" s="10">
        <v>42405</v>
      </c>
      <c r="X9" s="11">
        <v>0.12638888888888888</v>
      </c>
    </row>
    <row r="10" spans="1:24" x14ac:dyDescent="0.35">
      <c r="A10" s="6">
        <v>42406</v>
      </c>
      <c r="B10" s="7">
        <v>8.7499999999999994E-2</v>
      </c>
      <c r="C10" s="8">
        <v>1.94</v>
      </c>
      <c r="D10" s="8">
        <v>1.72</v>
      </c>
      <c r="E10" s="8">
        <v>-1.91</v>
      </c>
      <c r="F10" s="8">
        <v>-5.44</v>
      </c>
      <c r="G10" s="8">
        <v>2.11</v>
      </c>
      <c r="H10" s="8">
        <v>-2.93</v>
      </c>
      <c r="I10" s="8">
        <v>-3.28</v>
      </c>
      <c r="J10" s="8">
        <v>-7.12</v>
      </c>
      <c r="K10" s="8">
        <v>2.12</v>
      </c>
      <c r="L10" s="9">
        <v>7.35</v>
      </c>
      <c r="M10">
        <f t="shared" si="2"/>
        <v>6</v>
      </c>
      <c r="N10">
        <f t="shared" si="3"/>
        <v>2</v>
      </c>
      <c r="O10">
        <f t="shared" si="4"/>
        <v>0.74</v>
      </c>
      <c r="P10">
        <f t="shared" si="5"/>
        <v>0.52</v>
      </c>
      <c r="Q10">
        <f t="shared" si="6"/>
        <v>-7.12</v>
      </c>
      <c r="R10">
        <f t="shared" si="7"/>
        <v>0.92000000000000015</v>
      </c>
      <c r="S10">
        <f t="shared" si="8"/>
        <v>0.74</v>
      </c>
      <c r="T10">
        <f t="shared" si="9"/>
        <v>0.52</v>
      </c>
      <c r="U10">
        <f t="shared" si="10"/>
        <v>-7.12</v>
      </c>
      <c r="V10">
        <f t="shared" si="11"/>
        <v>0.92000000000000015</v>
      </c>
      <c r="W10" s="6">
        <v>42406</v>
      </c>
      <c r="X10" s="7">
        <v>8.7499999999999994E-2</v>
      </c>
    </row>
    <row r="11" spans="1:24" x14ac:dyDescent="0.35">
      <c r="A11" s="10">
        <v>42406</v>
      </c>
      <c r="B11" s="11">
        <v>0.21111111111111111</v>
      </c>
      <c r="C11" s="12">
        <v>8.81</v>
      </c>
      <c r="D11" s="12">
        <v>-1.66</v>
      </c>
      <c r="E11" s="12">
        <v>2.0099999999999998</v>
      </c>
      <c r="F11" s="12">
        <v>1.63</v>
      </c>
      <c r="G11" s="12">
        <v>8.82</v>
      </c>
      <c r="H11" s="12">
        <v>4.05</v>
      </c>
      <c r="I11" s="12">
        <v>-5.04</v>
      </c>
      <c r="J11" s="12">
        <v>8.32</v>
      </c>
      <c r="K11" s="12">
        <v>-6.62</v>
      </c>
      <c r="L11" s="13">
        <v>-7.35</v>
      </c>
      <c r="M11">
        <f t="shared" si="2"/>
        <v>6</v>
      </c>
      <c r="N11">
        <f t="shared" si="3"/>
        <v>2</v>
      </c>
      <c r="O11">
        <f t="shared" si="4"/>
        <v>7.61</v>
      </c>
      <c r="P11">
        <f t="shared" si="5"/>
        <v>-2.86</v>
      </c>
      <c r="Q11">
        <f t="shared" si="6"/>
        <v>8.32</v>
      </c>
      <c r="R11">
        <f t="shared" si="7"/>
        <v>-7.82</v>
      </c>
      <c r="S11">
        <f t="shared" si="8"/>
        <v>7.61</v>
      </c>
      <c r="T11">
        <f t="shared" si="9"/>
        <v>-2.86</v>
      </c>
      <c r="U11">
        <f t="shared" si="10"/>
        <v>8.32</v>
      </c>
      <c r="V11">
        <f t="shared" si="11"/>
        <v>-7.82</v>
      </c>
      <c r="W11" s="10">
        <v>42406</v>
      </c>
      <c r="X11" s="11">
        <v>0.21111111111111111</v>
      </c>
    </row>
    <row r="12" spans="1:24" x14ac:dyDescent="0.35">
      <c r="A12" s="6">
        <v>42409</v>
      </c>
      <c r="B12" s="7">
        <v>0.33541666666666664</v>
      </c>
      <c r="C12" s="8">
        <v>4</v>
      </c>
      <c r="D12" s="8">
        <v>-6.72</v>
      </c>
      <c r="E12" s="8">
        <v>2.4300000000000002</v>
      </c>
      <c r="F12" s="8">
        <v>-2.0299999999999998</v>
      </c>
      <c r="G12" s="8">
        <v>-3.87</v>
      </c>
      <c r="H12" s="8">
        <v>-3.7</v>
      </c>
      <c r="I12" s="8">
        <v>-7.09</v>
      </c>
      <c r="J12" s="8">
        <v>2.88</v>
      </c>
      <c r="K12" s="8">
        <v>2.58</v>
      </c>
      <c r="L12" s="9">
        <v>-6.66</v>
      </c>
      <c r="M12">
        <f t="shared" si="2"/>
        <v>9</v>
      </c>
      <c r="N12">
        <f t="shared" si="3"/>
        <v>2</v>
      </c>
      <c r="O12">
        <f t="shared" si="4"/>
        <v>2.8</v>
      </c>
      <c r="P12">
        <f t="shared" si="5"/>
        <v>-7.92</v>
      </c>
      <c r="Q12">
        <f t="shared" si="6"/>
        <v>2.88</v>
      </c>
      <c r="R12">
        <f t="shared" si="7"/>
        <v>1.3800000000000001</v>
      </c>
      <c r="S12">
        <f t="shared" si="8"/>
        <v>2.8</v>
      </c>
      <c r="T12">
        <f t="shared" si="9"/>
        <v>-7.92</v>
      </c>
      <c r="U12">
        <f t="shared" si="10"/>
        <v>2.88</v>
      </c>
      <c r="V12">
        <f t="shared" si="11"/>
        <v>1.3800000000000001</v>
      </c>
      <c r="W12" s="6">
        <v>42409</v>
      </c>
      <c r="X12" s="7">
        <v>0.33541666666666664</v>
      </c>
    </row>
    <row r="13" spans="1:24" x14ac:dyDescent="0.35">
      <c r="A13" s="10">
        <v>42410</v>
      </c>
      <c r="B13" s="11">
        <v>0.25486111111111109</v>
      </c>
      <c r="C13" s="12">
        <v>-4.59</v>
      </c>
      <c r="D13" s="12">
        <v>5.74</v>
      </c>
      <c r="E13" s="12">
        <v>-6.21</v>
      </c>
      <c r="F13" s="12">
        <v>-3.63</v>
      </c>
      <c r="G13" s="12">
        <v>7.35</v>
      </c>
      <c r="H13" s="12">
        <v>-7.64</v>
      </c>
      <c r="I13" s="12">
        <v>-5.73</v>
      </c>
      <c r="J13" s="12">
        <v>-6.54</v>
      </c>
      <c r="K13" s="12">
        <v>-2.4300000000000002</v>
      </c>
      <c r="L13" s="13">
        <v>-1.43</v>
      </c>
      <c r="M13">
        <f t="shared" si="2"/>
        <v>10</v>
      </c>
      <c r="N13">
        <f t="shared" si="3"/>
        <v>2</v>
      </c>
      <c r="O13">
        <f t="shared" si="4"/>
        <v>-5.79</v>
      </c>
      <c r="P13">
        <f t="shared" si="5"/>
        <v>4.54</v>
      </c>
      <c r="Q13">
        <f t="shared" si="6"/>
        <v>-6.54</v>
      </c>
      <c r="R13">
        <f t="shared" si="7"/>
        <v>-3.63</v>
      </c>
      <c r="S13">
        <f t="shared" si="8"/>
        <v>-5.79</v>
      </c>
      <c r="T13">
        <f t="shared" si="9"/>
        <v>4.54</v>
      </c>
      <c r="U13">
        <f t="shared" si="10"/>
        <v>-6.54</v>
      </c>
      <c r="V13">
        <f t="shared" si="11"/>
        <v>-3.63</v>
      </c>
      <c r="W13" s="10">
        <v>42410</v>
      </c>
      <c r="X13" s="11">
        <v>0.25486111111111109</v>
      </c>
    </row>
    <row r="14" spans="1:24" x14ac:dyDescent="0.35">
      <c r="A14" s="6">
        <v>42410</v>
      </c>
      <c r="B14" s="7">
        <v>0.33819444444444446</v>
      </c>
      <c r="C14" s="8">
        <v>-5.82</v>
      </c>
      <c r="D14" s="8">
        <v>5.44</v>
      </c>
      <c r="E14" s="8">
        <v>-2.4700000000000002</v>
      </c>
      <c r="F14" s="8">
        <v>-5.69</v>
      </c>
      <c r="G14" s="8">
        <v>8.43</v>
      </c>
      <c r="H14" s="8">
        <v>-6.41</v>
      </c>
      <c r="I14" s="8">
        <v>-7.59</v>
      </c>
      <c r="J14" s="8">
        <v>4.29</v>
      </c>
      <c r="K14" s="8">
        <v>-7.29</v>
      </c>
      <c r="L14" s="9">
        <v>8.5299999999999994</v>
      </c>
      <c r="M14">
        <f t="shared" si="2"/>
        <v>10</v>
      </c>
      <c r="N14">
        <f t="shared" si="3"/>
        <v>2</v>
      </c>
      <c r="O14">
        <f t="shared" si="4"/>
        <v>-7.0200000000000005</v>
      </c>
      <c r="P14">
        <f t="shared" si="5"/>
        <v>4.24</v>
      </c>
      <c r="Q14">
        <f t="shared" si="6"/>
        <v>4.29</v>
      </c>
      <c r="R14">
        <f t="shared" si="7"/>
        <v>-8.49</v>
      </c>
      <c r="S14">
        <f t="shared" si="8"/>
        <v>-7.0200000000000005</v>
      </c>
      <c r="T14">
        <f t="shared" si="9"/>
        <v>4.24</v>
      </c>
      <c r="U14">
        <f t="shared" si="10"/>
        <v>4.29</v>
      </c>
      <c r="V14">
        <f t="shared" si="11"/>
        <v>-8.49</v>
      </c>
      <c r="W14" s="6">
        <v>42410</v>
      </c>
      <c r="X14" s="7">
        <v>0.33819444444444446</v>
      </c>
    </row>
    <row r="15" spans="1:24" x14ac:dyDescent="0.35">
      <c r="A15" s="10">
        <v>42413</v>
      </c>
      <c r="B15" s="11">
        <v>1.3888888888888889E-3</v>
      </c>
      <c r="C15" s="12">
        <v>8.26</v>
      </c>
      <c r="D15" s="12">
        <v>8.5</v>
      </c>
      <c r="E15" s="12">
        <v>-7.75</v>
      </c>
      <c r="F15" s="12">
        <v>-2.67</v>
      </c>
      <c r="G15" s="12">
        <v>6.6</v>
      </c>
      <c r="H15" s="12">
        <v>1.58</v>
      </c>
      <c r="I15" s="12">
        <v>-3.2</v>
      </c>
      <c r="J15" s="12">
        <v>5.46</v>
      </c>
      <c r="K15" s="12">
        <v>-4.66</v>
      </c>
      <c r="L15" s="13">
        <v>0.5</v>
      </c>
      <c r="M15">
        <f t="shared" si="2"/>
        <v>13</v>
      </c>
      <c r="N15">
        <f t="shared" si="3"/>
        <v>2</v>
      </c>
      <c r="O15">
        <f t="shared" si="4"/>
        <v>8.26</v>
      </c>
      <c r="P15">
        <f t="shared" si="5"/>
        <v>8.5</v>
      </c>
      <c r="Q15">
        <f t="shared" si="6"/>
        <v>5.46</v>
      </c>
      <c r="R15">
        <f t="shared" si="7"/>
        <v>-4.66</v>
      </c>
      <c r="S15">
        <f t="shared" si="8"/>
        <v>8.26</v>
      </c>
      <c r="T15">
        <f t="shared" si="9"/>
        <v>8.5</v>
      </c>
      <c r="U15">
        <f t="shared" si="10"/>
        <v>5.46</v>
      </c>
      <c r="V15">
        <f t="shared" si="11"/>
        <v>-4.66</v>
      </c>
      <c r="W15" s="10">
        <v>42413</v>
      </c>
      <c r="X15" s="11">
        <v>1.3888888888888889E-3</v>
      </c>
    </row>
    <row r="16" spans="1:24" x14ac:dyDescent="0.35">
      <c r="A16" s="6">
        <v>42415</v>
      </c>
      <c r="B16" s="7">
        <v>0.17083333333333334</v>
      </c>
      <c r="C16" s="8">
        <v>7.43</v>
      </c>
      <c r="D16" s="8">
        <v>7.88</v>
      </c>
      <c r="E16" s="8">
        <v>-0.11</v>
      </c>
      <c r="F16" s="8">
        <v>-2.4700000000000002</v>
      </c>
      <c r="G16" s="8">
        <v>-7.25</v>
      </c>
      <c r="H16" s="8">
        <v>7.27</v>
      </c>
      <c r="I16" s="8">
        <v>-5.15</v>
      </c>
      <c r="J16" s="8">
        <v>-4.8499999999999996</v>
      </c>
      <c r="K16" s="8">
        <v>-4.21</v>
      </c>
      <c r="L16" s="9">
        <v>-5.55</v>
      </c>
      <c r="M16">
        <f t="shared" si="2"/>
        <v>15</v>
      </c>
      <c r="N16">
        <f t="shared" si="3"/>
        <v>2</v>
      </c>
      <c r="O16">
        <f t="shared" si="4"/>
        <v>7.43</v>
      </c>
      <c r="P16">
        <f t="shared" si="5"/>
        <v>7.88</v>
      </c>
      <c r="Q16">
        <f t="shared" si="6"/>
        <v>-4.8499999999999996</v>
      </c>
      <c r="R16">
        <f t="shared" si="7"/>
        <v>-4.21</v>
      </c>
      <c r="S16">
        <f t="shared" si="8"/>
        <v>7.43</v>
      </c>
      <c r="T16">
        <f t="shared" si="9"/>
        <v>7.88</v>
      </c>
      <c r="U16">
        <f t="shared" si="10"/>
        <v>-4.8499999999999996</v>
      </c>
      <c r="V16">
        <f t="shared" si="11"/>
        <v>-4.21</v>
      </c>
      <c r="W16" s="6">
        <v>42415</v>
      </c>
      <c r="X16" s="7">
        <v>0.17083333333333334</v>
      </c>
    </row>
    <row r="17" spans="1:24" x14ac:dyDescent="0.35">
      <c r="A17" s="10">
        <v>42415</v>
      </c>
      <c r="B17" s="11">
        <v>0.29305555555555557</v>
      </c>
      <c r="C17" s="12">
        <v>-7.37</v>
      </c>
      <c r="D17" s="12">
        <v>2.31</v>
      </c>
      <c r="E17" s="12">
        <v>-0.37</v>
      </c>
      <c r="F17" s="12">
        <v>-4.1900000000000004</v>
      </c>
      <c r="G17" s="12">
        <v>-6.75</v>
      </c>
      <c r="H17" s="12">
        <v>0.15</v>
      </c>
      <c r="I17" s="12">
        <v>0.08</v>
      </c>
      <c r="J17" s="12">
        <v>-4.58</v>
      </c>
      <c r="K17" s="12">
        <v>-6.18</v>
      </c>
      <c r="L17" s="13">
        <v>3.43</v>
      </c>
      <c r="M17">
        <f t="shared" si="2"/>
        <v>15</v>
      </c>
      <c r="N17">
        <f t="shared" si="3"/>
        <v>2</v>
      </c>
      <c r="O17">
        <f t="shared" si="4"/>
        <v>-7.37</v>
      </c>
      <c r="P17">
        <f t="shared" si="5"/>
        <v>2.31</v>
      </c>
      <c r="Q17">
        <f t="shared" si="6"/>
        <v>-4.58</v>
      </c>
      <c r="R17">
        <f t="shared" si="7"/>
        <v>-6.18</v>
      </c>
      <c r="S17">
        <f t="shared" si="8"/>
        <v>-7.37</v>
      </c>
      <c r="T17">
        <f t="shared" si="9"/>
        <v>2.31</v>
      </c>
      <c r="U17">
        <f t="shared" si="10"/>
        <v>-4.58</v>
      </c>
      <c r="V17">
        <f t="shared" si="11"/>
        <v>-6.18</v>
      </c>
      <c r="W17" s="10">
        <v>42415</v>
      </c>
      <c r="X17" s="11">
        <v>0.29305555555555557</v>
      </c>
    </row>
    <row r="18" spans="1:24" x14ac:dyDescent="0.35">
      <c r="A18" s="6">
        <v>42418</v>
      </c>
      <c r="B18" s="7">
        <v>0.17083333333333334</v>
      </c>
      <c r="C18" s="8">
        <v>7.78</v>
      </c>
      <c r="D18" s="8">
        <v>1.59</v>
      </c>
      <c r="E18" s="8">
        <v>-5.23</v>
      </c>
      <c r="F18" s="8">
        <v>-2.54</v>
      </c>
      <c r="G18" s="8">
        <v>3.66</v>
      </c>
      <c r="H18" s="8">
        <v>-0.8</v>
      </c>
      <c r="I18" s="8">
        <v>-2.56</v>
      </c>
      <c r="J18" s="8">
        <v>-6.56</v>
      </c>
      <c r="K18" s="8">
        <v>-6.35</v>
      </c>
      <c r="L18" s="9">
        <v>3.21</v>
      </c>
      <c r="M18">
        <f t="shared" si="2"/>
        <v>18</v>
      </c>
      <c r="N18">
        <f t="shared" si="3"/>
        <v>2</v>
      </c>
      <c r="O18">
        <f t="shared" si="4"/>
        <v>7.78</v>
      </c>
      <c r="P18">
        <f t="shared" si="5"/>
        <v>1.59</v>
      </c>
      <c r="Q18">
        <f t="shared" si="6"/>
        <v>-6.56</v>
      </c>
      <c r="R18">
        <f t="shared" si="7"/>
        <v>-6.35</v>
      </c>
      <c r="S18">
        <f t="shared" si="8"/>
        <v>7.78</v>
      </c>
      <c r="T18">
        <f t="shared" si="9"/>
        <v>1.59</v>
      </c>
      <c r="U18">
        <f t="shared" si="10"/>
        <v>-6.56</v>
      </c>
      <c r="V18">
        <f t="shared" si="11"/>
        <v>-6.35</v>
      </c>
      <c r="W18" s="6">
        <v>42418</v>
      </c>
      <c r="X18" s="7">
        <v>0.17083333333333334</v>
      </c>
    </row>
    <row r="19" spans="1:24" x14ac:dyDescent="0.35">
      <c r="A19" s="10">
        <v>42418</v>
      </c>
      <c r="B19" s="11">
        <v>0.29166666666666669</v>
      </c>
      <c r="C19" s="12">
        <v>-5.59</v>
      </c>
      <c r="D19" s="12">
        <v>1.44</v>
      </c>
      <c r="E19" s="12">
        <v>-6.2</v>
      </c>
      <c r="F19" s="12">
        <v>-5.44</v>
      </c>
      <c r="G19" s="12">
        <v>1.63</v>
      </c>
      <c r="H19" s="12">
        <v>1.55</v>
      </c>
      <c r="I19" s="12">
        <v>8.8000000000000007</v>
      </c>
      <c r="J19" s="12">
        <v>0.74</v>
      </c>
      <c r="K19" s="12">
        <v>1.7</v>
      </c>
      <c r="L19" s="13">
        <v>-3.25</v>
      </c>
      <c r="M19">
        <f t="shared" si="2"/>
        <v>18</v>
      </c>
      <c r="N19">
        <f t="shared" si="3"/>
        <v>2</v>
      </c>
      <c r="O19">
        <f t="shared" si="4"/>
        <v>-5.59</v>
      </c>
      <c r="P19">
        <f t="shared" si="5"/>
        <v>1.44</v>
      </c>
      <c r="Q19">
        <f t="shared" si="6"/>
        <v>0.74</v>
      </c>
      <c r="R19">
        <f t="shared" si="7"/>
        <v>1.7</v>
      </c>
      <c r="S19">
        <f t="shared" si="8"/>
        <v>-5.59</v>
      </c>
      <c r="T19">
        <f t="shared" si="9"/>
        <v>1.44</v>
      </c>
      <c r="U19">
        <f t="shared" si="10"/>
        <v>0.74</v>
      </c>
      <c r="V19">
        <f t="shared" si="11"/>
        <v>1.7</v>
      </c>
      <c r="W19" s="10">
        <v>42418</v>
      </c>
      <c r="X19" s="11">
        <v>0.29166666666666669</v>
      </c>
    </row>
    <row r="20" spans="1:24" x14ac:dyDescent="0.35">
      <c r="A20" s="6">
        <v>42418</v>
      </c>
      <c r="B20" s="7">
        <v>0.46180555555555558</v>
      </c>
      <c r="C20" s="8">
        <v>-5.61</v>
      </c>
      <c r="D20" s="8">
        <v>-2.42</v>
      </c>
      <c r="E20" s="8">
        <v>0.12</v>
      </c>
      <c r="F20" s="8">
        <v>3.36</v>
      </c>
      <c r="G20" s="8">
        <v>5.61</v>
      </c>
      <c r="H20" s="8">
        <v>-1.1399999999999999</v>
      </c>
      <c r="I20" s="8">
        <v>4.45</v>
      </c>
      <c r="J20" s="8">
        <v>2.27</v>
      </c>
      <c r="K20" s="8">
        <v>1.38</v>
      </c>
      <c r="L20" s="9">
        <v>8.69</v>
      </c>
      <c r="M20">
        <f t="shared" si="2"/>
        <v>18</v>
      </c>
      <c r="N20">
        <f t="shared" si="3"/>
        <v>2</v>
      </c>
      <c r="O20">
        <f t="shared" si="4"/>
        <v>-5.61</v>
      </c>
      <c r="P20">
        <f t="shared" si="5"/>
        <v>-2.42</v>
      </c>
      <c r="Q20">
        <f t="shared" si="6"/>
        <v>2.27</v>
      </c>
      <c r="R20">
        <f t="shared" si="7"/>
        <v>1.38</v>
      </c>
      <c r="S20">
        <f t="shared" si="8"/>
        <v>-5.61</v>
      </c>
      <c r="T20">
        <f t="shared" si="9"/>
        <v>-2.42</v>
      </c>
      <c r="U20">
        <f t="shared" si="10"/>
        <v>2.27</v>
      </c>
      <c r="V20">
        <f t="shared" si="11"/>
        <v>1.38</v>
      </c>
      <c r="W20" s="6">
        <v>42418</v>
      </c>
      <c r="X20" s="7">
        <v>0.46180555555555558</v>
      </c>
    </row>
    <row r="21" spans="1:24" x14ac:dyDescent="0.35">
      <c r="A21" s="10">
        <v>42420</v>
      </c>
      <c r="B21" s="11">
        <v>0.21041666666666667</v>
      </c>
      <c r="C21" s="12">
        <v>8.91</v>
      </c>
      <c r="D21" s="12">
        <v>-0.83</v>
      </c>
      <c r="E21" s="12">
        <v>6.24</v>
      </c>
      <c r="F21" s="12">
        <v>4.74</v>
      </c>
      <c r="G21" s="12">
        <v>1.06</v>
      </c>
      <c r="H21" s="12">
        <v>-0.73</v>
      </c>
      <c r="I21" s="12">
        <v>4.0199999999999996</v>
      </c>
      <c r="J21" s="12">
        <v>2.9</v>
      </c>
      <c r="K21" s="12">
        <v>-2.0099999999999998</v>
      </c>
      <c r="L21" s="13">
        <v>-2.02</v>
      </c>
      <c r="M21">
        <f t="shared" si="2"/>
        <v>20</v>
      </c>
      <c r="N21">
        <f t="shared" si="3"/>
        <v>2</v>
      </c>
      <c r="O21">
        <f t="shared" si="4"/>
        <v>8.91</v>
      </c>
      <c r="P21">
        <f t="shared" si="5"/>
        <v>-0.83</v>
      </c>
      <c r="Q21">
        <f t="shared" si="6"/>
        <v>2.9</v>
      </c>
      <c r="R21">
        <f t="shared" si="7"/>
        <v>-2.0099999999999998</v>
      </c>
      <c r="S21">
        <f t="shared" si="8"/>
        <v>8.91</v>
      </c>
      <c r="T21">
        <f t="shared" si="9"/>
        <v>-0.83</v>
      </c>
      <c r="U21">
        <f t="shared" si="10"/>
        <v>2.9</v>
      </c>
      <c r="V21">
        <f t="shared" si="11"/>
        <v>-2.0099999999999998</v>
      </c>
      <c r="W21" s="10">
        <v>42420</v>
      </c>
      <c r="X21" s="11">
        <v>0.21041666666666667</v>
      </c>
    </row>
    <row r="22" spans="1:24" x14ac:dyDescent="0.35">
      <c r="A22" s="6">
        <v>42421</v>
      </c>
      <c r="B22" s="7">
        <v>0.46319444444444446</v>
      </c>
      <c r="C22" s="8">
        <v>6.18</v>
      </c>
      <c r="D22" s="8">
        <v>6.14</v>
      </c>
      <c r="E22" s="8">
        <v>4.24</v>
      </c>
      <c r="F22" s="8">
        <v>-4</v>
      </c>
      <c r="G22" s="8">
        <v>-2.92</v>
      </c>
      <c r="H22" s="8">
        <v>5.0599999999999996</v>
      </c>
      <c r="I22" s="8">
        <v>-1.26</v>
      </c>
      <c r="J22" s="8">
        <v>4.6399999999999997</v>
      </c>
      <c r="K22" s="8">
        <v>-2.96</v>
      </c>
      <c r="L22" s="9">
        <v>2.82</v>
      </c>
      <c r="M22">
        <f t="shared" si="2"/>
        <v>21</v>
      </c>
      <c r="N22">
        <f t="shared" si="3"/>
        <v>2</v>
      </c>
      <c r="O22">
        <f t="shared" si="4"/>
        <v>6.18</v>
      </c>
      <c r="P22">
        <f t="shared" si="5"/>
        <v>6.14</v>
      </c>
      <c r="Q22">
        <f t="shared" si="6"/>
        <v>4.6399999999999997</v>
      </c>
      <c r="R22">
        <f t="shared" si="7"/>
        <v>-2.96</v>
      </c>
      <c r="S22">
        <f t="shared" si="8"/>
        <v>6.18</v>
      </c>
      <c r="T22">
        <f t="shared" si="9"/>
        <v>6.14</v>
      </c>
      <c r="U22">
        <f t="shared" si="10"/>
        <v>4.6399999999999997</v>
      </c>
      <c r="V22">
        <f t="shared" si="11"/>
        <v>-2.96</v>
      </c>
      <c r="W22" s="6">
        <v>42421</v>
      </c>
      <c r="X22" s="7">
        <v>0.46319444444444446</v>
      </c>
    </row>
    <row r="23" spans="1:24" x14ac:dyDescent="0.35">
      <c r="A23" s="10">
        <v>42424</v>
      </c>
      <c r="B23" s="11">
        <v>0.17083333333333334</v>
      </c>
      <c r="C23" s="12">
        <v>-3.2</v>
      </c>
      <c r="D23" s="12">
        <v>-4.18</v>
      </c>
      <c r="E23" s="12">
        <v>2.99</v>
      </c>
      <c r="F23" s="12">
        <v>0.22</v>
      </c>
      <c r="G23" s="12">
        <v>-3.48</v>
      </c>
      <c r="H23" s="12">
        <v>-2.68</v>
      </c>
      <c r="I23" s="12">
        <v>0.11</v>
      </c>
      <c r="J23" s="12">
        <v>-3.65</v>
      </c>
      <c r="K23" s="12">
        <v>-4.0999999999999996</v>
      </c>
      <c r="L23" s="13">
        <v>-3.09</v>
      </c>
      <c r="M23">
        <f t="shared" si="2"/>
        <v>24</v>
      </c>
      <c r="N23">
        <f t="shared" si="3"/>
        <v>2</v>
      </c>
      <c r="O23">
        <f t="shared" si="4"/>
        <v>-3.2</v>
      </c>
      <c r="P23">
        <f t="shared" si="5"/>
        <v>-4.18</v>
      </c>
      <c r="Q23">
        <f t="shared" si="6"/>
        <v>-3.65</v>
      </c>
      <c r="R23">
        <f t="shared" si="7"/>
        <v>-4.0999999999999996</v>
      </c>
      <c r="S23">
        <f t="shared" si="8"/>
        <v>-3.2</v>
      </c>
      <c r="T23">
        <f t="shared" si="9"/>
        <v>-4.18</v>
      </c>
      <c r="U23">
        <f t="shared" si="10"/>
        <v>-3.65</v>
      </c>
      <c r="V23">
        <f t="shared" si="11"/>
        <v>-4.0999999999999996</v>
      </c>
      <c r="W23" s="10">
        <v>42424</v>
      </c>
      <c r="X23" s="11">
        <v>0.17083333333333334</v>
      </c>
    </row>
    <row r="24" spans="1:24" x14ac:dyDescent="0.35">
      <c r="A24" s="6">
        <v>42430</v>
      </c>
      <c r="B24" s="7">
        <v>0</v>
      </c>
      <c r="C24" s="8">
        <v>6.8</v>
      </c>
      <c r="D24" s="8">
        <v>-2.64</v>
      </c>
      <c r="E24" s="8">
        <v>5.9</v>
      </c>
      <c r="F24" s="8">
        <v>-2.1</v>
      </c>
      <c r="G24" s="8">
        <v>1.89</v>
      </c>
      <c r="H24" s="8">
        <v>6.73</v>
      </c>
      <c r="I24" s="8">
        <v>-7.96</v>
      </c>
      <c r="J24" s="8">
        <v>7.18</v>
      </c>
      <c r="K24" s="8">
        <v>7.33</v>
      </c>
      <c r="L24" s="9">
        <v>-6.44</v>
      </c>
      <c r="M24">
        <f t="shared" si="2"/>
        <v>1</v>
      </c>
      <c r="N24">
        <f t="shared" si="3"/>
        <v>3</v>
      </c>
      <c r="O24">
        <f t="shared" si="4"/>
        <v>6.8</v>
      </c>
      <c r="P24">
        <f t="shared" si="5"/>
        <v>-2.64</v>
      </c>
      <c r="Q24">
        <f t="shared" si="6"/>
        <v>7.18</v>
      </c>
      <c r="R24">
        <f t="shared" si="7"/>
        <v>7.33</v>
      </c>
      <c r="S24">
        <f t="shared" si="8"/>
        <v>6.8</v>
      </c>
      <c r="T24">
        <f t="shared" si="9"/>
        <v>-2.64</v>
      </c>
      <c r="U24">
        <f t="shared" si="10"/>
        <v>7.18</v>
      </c>
      <c r="V24">
        <f t="shared" si="11"/>
        <v>7.33</v>
      </c>
      <c r="W24" s="6">
        <v>42430</v>
      </c>
      <c r="X24" s="7">
        <v>0</v>
      </c>
    </row>
    <row r="25" spans="1:24" x14ac:dyDescent="0.35">
      <c r="A25" s="10">
        <v>42431</v>
      </c>
      <c r="B25" s="11">
        <v>0.16875000000000001</v>
      </c>
      <c r="C25" s="12">
        <v>-3.15</v>
      </c>
      <c r="D25" s="12">
        <v>-1.58</v>
      </c>
      <c r="E25" s="12">
        <v>-7.5</v>
      </c>
      <c r="F25" s="12">
        <v>6.68</v>
      </c>
      <c r="G25" s="12">
        <v>-4.1900000000000004</v>
      </c>
      <c r="H25" s="12">
        <v>-7.39</v>
      </c>
      <c r="I25" s="12">
        <v>3.37</v>
      </c>
      <c r="J25" s="12">
        <v>-2.67</v>
      </c>
      <c r="K25" s="12">
        <v>6.36</v>
      </c>
      <c r="L25" s="13">
        <v>-2.61</v>
      </c>
      <c r="M25">
        <f t="shared" si="2"/>
        <v>2</v>
      </c>
      <c r="N25">
        <f t="shared" si="3"/>
        <v>3</v>
      </c>
      <c r="O25">
        <f t="shared" si="4"/>
        <v>-3.15</v>
      </c>
      <c r="P25">
        <f t="shared" si="5"/>
        <v>-1.58</v>
      </c>
      <c r="Q25">
        <f t="shared" si="6"/>
        <v>-2.67</v>
      </c>
      <c r="R25">
        <f t="shared" si="7"/>
        <v>6.36</v>
      </c>
      <c r="S25">
        <f t="shared" si="8"/>
        <v>-3.15</v>
      </c>
      <c r="T25">
        <f t="shared" si="9"/>
        <v>-1.58</v>
      </c>
      <c r="U25">
        <f t="shared" si="10"/>
        <v>-2.67</v>
      </c>
      <c r="V25">
        <f t="shared" si="11"/>
        <v>6.36</v>
      </c>
      <c r="W25" s="10">
        <v>42431</v>
      </c>
      <c r="X25" s="11">
        <v>0.16875000000000001</v>
      </c>
    </row>
    <row r="26" spans="1:24" x14ac:dyDescent="0.35">
      <c r="A26" s="6">
        <v>42433</v>
      </c>
      <c r="B26" s="7">
        <v>0.29166666666666669</v>
      </c>
      <c r="C26" s="8">
        <v>-4.3899999999999997</v>
      </c>
      <c r="D26" s="8">
        <v>-3.86</v>
      </c>
      <c r="E26" s="8">
        <v>-0.97</v>
      </c>
      <c r="F26" s="8">
        <v>-4.82</v>
      </c>
      <c r="G26" s="8">
        <v>-1.0900000000000001</v>
      </c>
      <c r="H26" s="8">
        <v>1.4</v>
      </c>
      <c r="I26" s="8">
        <v>6.56</v>
      </c>
      <c r="J26" s="8">
        <v>-2.7</v>
      </c>
      <c r="K26" s="8">
        <v>5.24</v>
      </c>
      <c r="L26" s="9">
        <v>8.8699999999999992</v>
      </c>
      <c r="M26">
        <f t="shared" si="2"/>
        <v>4</v>
      </c>
      <c r="N26">
        <f t="shared" si="3"/>
        <v>3</v>
      </c>
      <c r="O26">
        <f t="shared" si="4"/>
        <v>-4.3899999999999997</v>
      </c>
      <c r="P26">
        <f t="shared" si="5"/>
        <v>-3.86</v>
      </c>
      <c r="Q26">
        <f t="shared" si="6"/>
        <v>-2.7</v>
      </c>
      <c r="R26">
        <f t="shared" si="7"/>
        <v>5.24</v>
      </c>
      <c r="S26">
        <f t="shared" si="8"/>
        <v>-4.3899999999999997</v>
      </c>
      <c r="T26">
        <f t="shared" si="9"/>
        <v>-3.86</v>
      </c>
      <c r="U26">
        <f t="shared" si="10"/>
        <v>-2.7</v>
      </c>
      <c r="V26">
        <f t="shared" si="11"/>
        <v>5.24</v>
      </c>
      <c r="W26" s="6">
        <v>42433</v>
      </c>
      <c r="X26" s="7">
        <v>0.29166666666666669</v>
      </c>
    </row>
    <row r="27" spans="1:24" x14ac:dyDescent="0.35">
      <c r="A27" s="10">
        <v>42435</v>
      </c>
      <c r="B27" s="11">
        <v>0.33958333333333335</v>
      </c>
      <c r="C27" s="12">
        <v>1.07</v>
      </c>
      <c r="D27" s="12">
        <v>4.49</v>
      </c>
      <c r="E27" s="12">
        <v>4.04</v>
      </c>
      <c r="F27" s="12">
        <v>7.86</v>
      </c>
      <c r="G27" s="12">
        <v>-1.99</v>
      </c>
      <c r="H27" s="12">
        <v>-0.56999999999999995</v>
      </c>
      <c r="I27" s="12">
        <v>8.09</v>
      </c>
      <c r="J27" s="12">
        <v>-0.82</v>
      </c>
      <c r="K27" s="12">
        <v>1.63</v>
      </c>
      <c r="L27" s="13">
        <v>-1.1200000000000001</v>
      </c>
      <c r="M27">
        <f t="shared" si="2"/>
        <v>6</v>
      </c>
      <c r="N27">
        <f t="shared" si="3"/>
        <v>3</v>
      </c>
      <c r="O27">
        <f t="shared" si="4"/>
        <v>-0.12999999999999989</v>
      </c>
      <c r="P27">
        <f t="shared" si="5"/>
        <v>3.29</v>
      </c>
      <c r="Q27">
        <f t="shared" si="6"/>
        <v>-0.82</v>
      </c>
      <c r="R27">
        <f t="shared" si="7"/>
        <v>0.42999999999999994</v>
      </c>
      <c r="S27">
        <f t="shared" si="8"/>
        <v>-0.12999999999999989</v>
      </c>
      <c r="T27">
        <f t="shared" si="9"/>
        <v>3.29</v>
      </c>
      <c r="U27">
        <f t="shared" si="10"/>
        <v>-0.82</v>
      </c>
      <c r="V27">
        <f t="shared" si="11"/>
        <v>0.42999999999999994</v>
      </c>
      <c r="W27" s="10">
        <v>42435</v>
      </c>
      <c r="X27" s="11">
        <v>0.33958333333333335</v>
      </c>
    </row>
    <row r="28" spans="1:24" x14ac:dyDescent="0.35">
      <c r="A28" s="6">
        <v>42436</v>
      </c>
      <c r="B28" s="7">
        <v>0.46041666666666664</v>
      </c>
      <c r="C28" s="8">
        <v>-4.32</v>
      </c>
      <c r="D28" s="8">
        <v>-4.3</v>
      </c>
      <c r="E28" s="8">
        <v>-6.06</v>
      </c>
      <c r="F28" s="8">
        <v>0.23</v>
      </c>
      <c r="G28" s="8">
        <v>-3.83</v>
      </c>
      <c r="H28" s="8">
        <v>-6.11</v>
      </c>
      <c r="I28" s="8">
        <v>-7.52</v>
      </c>
      <c r="J28" s="8">
        <v>1.75</v>
      </c>
      <c r="K28" s="8">
        <v>2.57</v>
      </c>
      <c r="L28" s="9">
        <v>7.82</v>
      </c>
      <c r="M28">
        <f t="shared" si="2"/>
        <v>7</v>
      </c>
      <c r="N28">
        <f t="shared" si="3"/>
        <v>3</v>
      </c>
      <c r="O28">
        <f t="shared" si="4"/>
        <v>-5.5200000000000005</v>
      </c>
      <c r="P28">
        <f t="shared" si="5"/>
        <v>-5.5</v>
      </c>
      <c r="Q28">
        <f t="shared" si="6"/>
        <v>1.75</v>
      </c>
      <c r="R28">
        <f t="shared" si="7"/>
        <v>1.3699999999999999</v>
      </c>
      <c r="S28">
        <f t="shared" si="8"/>
        <v>-5.5200000000000005</v>
      </c>
      <c r="T28">
        <f t="shared" si="9"/>
        <v>-5.5</v>
      </c>
      <c r="U28">
        <f t="shared" si="10"/>
        <v>1.75</v>
      </c>
      <c r="V28">
        <f t="shared" si="11"/>
        <v>1.3699999999999999</v>
      </c>
      <c r="W28" s="6">
        <v>42436</v>
      </c>
      <c r="X28" s="7">
        <v>0.46041666666666664</v>
      </c>
    </row>
    <row r="29" spans="1:24" x14ac:dyDescent="0.35">
      <c r="A29" s="10">
        <v>42439</v>
      </c>
      <c r="B29" s="11">
        <v>0.50277777777777777</v>
      </c>
      <c r="C29" s="12">
        <v>8.94</v>
      </c>
      <c r="D29" s="12">
        <v>-7.98</v>
      </c>
      <c r="E29" s="12">
        <v>7.41</v>
      </c>
      <c r="F29" s="12">
        <v>4.46</v>
      </c>
      <c r="G29" s="12">
        <v>-3.8</v>
      </c>
      <c r="H29" s="12">
        <v>-7.71</v>
      </c>
      <c r="I29" s="12">
        <v>3.58</v>
      </c>
      <c r="J29" s="12">
        <v>-3.33</v>
      </c>
      <c r="K29" s="12">
        <v>3.39</v>
      </c>
      <c r="L29" s="13">
        <v>6.28</v>
      </c>
      <c r="M29">
        <f t="shared" si="2"/>
        <v>10</v>
      </c>
      <c r="N29">
        <f t="shared" si="3"/>
        <v>3</v>
      </c>
      <c r="O29">
        <f t="shared" si="4"/>
        <v>7.7399999999999993</v>
      </c>
      <c r="P29">
        <f t="shared" si="5"/>
        <v>-9.18</v>
      </c>
      <c r="Q29">
        <f t="shared" si="6"/>
        <v>-3.33</v>
      </c>
      <c r="R29">
        <f t="shared" si="7"/>
        <v>2.1900000000000004</v>
      </c>
      <c r="S29">
        <f t="shared" si="8"/>
        <v>7.7399999999999993</v>
      </c>
      <c r="T29">
        <f t="shared" si="9"/>
        <v>-9.18</v>
      </c>
      <c r="U29">
        <f t="shared" si="10"/>
        <v>-3.33</v>
      </c>
      <c r="V29">
        <f t="shared" si="11"/>
        <v>2.1900000000000004</v>
      </c>
      <c r="W29" s="10">
        <v>42439</v>
      </c>
      <c r="X29" s="11">
        <v>0.50277777777777777</v>
      </c>
    </row>
    <row r="30" spans="1:24" x14ac:dyDescent="0.35">
      <c r="A30" s="6">
        <v>42441</v>
      </c>
      <c r="B30" s="7">
        <v>0.21388888888888888</v>
      </c>
      <c r="C30" s="8">
        <v>-2.84</v>
      </c>
      <c r="D30" s="8">
        <v>-3.79</v>
      </c>
      <c r="E30" s="8">
        <v>4.34</v>
      </c>
      <c r="F30" s="8">
        <v>6.3</v>
      </c>
      <c r="G30" s="8">
        <v>-7.58</v>
      </c>
      <c r="H30" s="8">
        <v>8.26</v>
      </c>
      <c r="I30" s="8">
        <v>-6.5</v>
      </c>
      <c r="J30" s="8">
        <v>-5.8</v>
      </c>
      <c r="K30" s="8">
        <v>-7.56</v>
      </c>
      <c r="L30" s="9">
        <v>-2.5099999999999998</v>
      </c>
      <c r="M30">
        <f t="shared" si="2"/>
        <v>12</v>
      </c>
      <c r="N30">
        <f t="shared" si="3"/>
        <v>3</v>
      </c>
      <c r="O30">
        <f t="shared" si="4"/>
        <v>-2.84</v>
      </c>
      <c r="P30">
        <f t="shared" si="5"/>
        <v>-3.79</v>
      </c>
      <c r="Q30">
        <f t="shared" si="6"/>
        <v>-5.8</v>
      </c>
      <c r="R30">
        <f t="shared" si="7"/>
        <v>-7.56</v>
      </c>
      <c r="S30">
        <f t="shared" si="8"/>
        <v>-2.84</v>
      </c>
      <c r="T30">
        <f t="shared" si="9"/>
        <v>-3.79</v>
      </c>
      <c r="U30">
        <f t="shared" si="10"/>
        <v>-5.8</v>
      </c>
      <c r="V30">
        <f t="shared" si="11"/>
        <v>-7.56</v>
      </c>
      <c r="W30" s="6">
        <v>42441</v>
      </c>
      <c r="X30" s="7">
        <v>0.21388888888888888</v>
      </c>
    </row>
    <row r="31" spans="1:24" x14ac:dyDescent="0.35">
      <c r="A31" s="10">
        <v>42444</v>
      </c>
      <c r="B31" s="11">
        <v>0.12638888888888888</v>
      </c>
      <c r="C31" s="12">
        <v>-2.0099999999999998</v>
      </c>
      <c r="D31" s="12">
        <v>0.62</v>
      </c>
      <c r="E31" s="12">
        <v>4.95</v>
      </c>
      <c r="F31" s="12">
        <v>6.62</v>
      </c>
      <c r="G31" s="12">
        <v>-2.5</v>
      </c>
      <c r="H31" s="12">
        <v>7.05</v>
      </c>
      <c r="I31" s="12">
        <v>-7.33</v>
      </c>
      <c r="J31" s="12">
        <v>7.96</v>
      </c>
      <c r="K31" s="12">
        <v>4.51</v>
      </c>
      <c r="L31" s="13">
        <v>8.17</v>
      </c>
      <c r="M31">
        <f t="shared" si="2"/>
        <v>15</v>
      </c>
      <c r="N31">
        <f t="shared" si="3"/>
        <v>3</v>
      </c>
      <c r="O31">
        <f t="shared" si="4"/>
        <v>-2.0099999999999998</v>
      </c>
      <c r="P31">
        <f t="shared" si="5"/>
        <v>0.62</v>
      </c>
      <c r="Q31">
        <f t="shared" si="6"/>
        <v>7.96</v>
      </c>
      <c r="R31">
        <f t="shared" si="7"/>
        <v>4.51</v>
      </c>
      <c r="S31">
        <f t="shared" si="8"/>
        <v>-2.0099999999999998</v>
      </c>
      <c r="T31">
        <f t="shared" si="9"/>
        <v>0.62</v>
      </c>
      <c r="U31">
        <f t="shared" si="10"/>
        <v>7.96</v>
      </c>
      <c r="V31">
        <f t="shared" si="11"/>
        <v>4.51</v>
      </c>
      <c r="W31" s="10">
        <v>42444</v>
      </c>
      <c r="X31" s="11">
        <v>0.12638888888888888</v>
      </c>
    </row>
    <row r="32" spans="1:24" x14ac:dyDescent="0.35">
      <c r="A32" s="6">
        <v>42447</v>
      </c>
      <c r="B32" s="7">
        <v>8.3333333333333332E-3</v>
      </c>
      <c r="C32" s="8">
        <v>1.44</v>
      </c>
      <c r="D32" s="8">
        <v>-7.21</v>
      </c>
      <c r="E32" s="8">
        <v>-6.65</v>
      </c>
      <c r="F32" s="8">
        <v>2.21</v>
      </c>
      <c r="G32" s="8">
        <v>4.62</v>
      </c>
      <c r="H32" s="8">
        <v>1.66</v>
      </c>
      <c r="I32" s="8">
        <v>5.0999999999999996</v>
      </c>
      <c r="J32" s="8">
        <v>-6.89</v>
      </c>
      <c r="K32" s="8">
        <v>-3.19</v>
      </c>
      <c r="L32" s="9">
        <v>-7.39</v>
      </c>
      <c r="M32">
        <f t="shared" si="2"/>
        <v>18</v>
      </c>
      <c r="N32">
        <f t="shared" si="3"/>
        <v>3</v>
      </c>
      <c r="O32">
        <f t="shared" si="4"/>
        <v>1.44</v>
      </c>
      <c r="P32">
        <f t="shared" si="5"/>
        <v>-7.21</v>
      </c>
      <c r="Q32">
        <f t="shared" si="6"/>
        <v>-6.89</v>
      </c>
      <c r="R32">
        <f t="shared" si="7"/>
        <v>-3.19</v>
      </c>
      <c r="S32">
        <f t="shared" si="8"/>
        <v>1.44</v>
      </c>
      <c r="T32">
        <f t="shared" si="9"/>
        <v>-7.21</v>
      </c>
      <c r="U32">
        <f t="shared" si="10"/>
        <v>-6.89</v>
      </c>
      <c r="V32">
        <f t="shared" si="11"/>
        <v>-3.19</v>
      </c>
      <c r="W32" s="6">
        <v>42447</v>
      </c>
      <c r="X32" s="7">
        <v>8.3333333333333332E-3</v>
      </c>
    </row>
    <row r="33" spans="1:24" x14ac:dyDescent="0.35">
      <c r="A33" s="10">
        <v>42450</v>
      </c>
      <c r="B33" s="11">
        <v>0.12569444444444444</v>
      </c>
      <c r="C33" s="12">
        <v>0.98</v>
      </c>
      <c r="D33" s="12">
        <v>7.64</v>
      </c>
      <c r="E33" s="12">
        <v>6.1</v>
      </c>
      <c r="F33" s="12">
        <v>6.46</v>
      </c>
      <c r="G33" s="12">
        <v>-7.0000000000000007E-2</v>
      </c>
      <c r="H33" s="12">
        <v>-2.93</v>
      </c>
      <c r="I33" s="12">
        <v>-5.81</v>
      </c>
      <c r="J33" s="12">
        <v>5.65</v>
      </c>
      <c r="K33" s="12">
        <v>5.0999999999999996</v>
      </c>
      <c r="L33" s="13">
        <v>8.25</v>
      </c>
      <c r="M33">
        <f t="shared" si="2"/>
        <v>21</v>
      </c>
      <c r="N33">
        <f t="shared" si="3"/>
        <v>3</v>
      </c>
      <c r="O33">
        <f t="shared" si="4"/>
        <v>0.98</v>
      </c>
      <c r="P33">
        <f t="shared" si="5"/>
        <v>7.64</v>
      </c>
      <c r="Q33">
        <f t="shared" si="6"/>
        <v>5.65</v>
      </c>
      <c r="R33">
        <f t="shared" si="7"/>
        <v>5.0999999999999996</v>
      </c>
      <c r="S33">
        <f t="shared" si="8"/>
        <v>0.98</v>
      </c>
      <c r="T33">
        <f t="shared" si="9"/>
        <v>7.64</v>
      </c>
      <c r="U33">
        <f t="shared" si="10"/>
        <v>5.65</v>
      </c>
      <c r="V33">
        <f t="shared" si="11"/>
        <v>5.0999999999999996</v>
      </c>
      <c r="W33" s="10">
        <v>42450</v>
      </c>
      <c r="X33" s="11">
        <v>0.12569444444444444</v>
      </c>
    </row>
    <row r="34" spans="1:24" x14ac:dyDescent="0.35">
      <c r="A34" s="6">
        <v>42451</v>
      </c>
      <c r="B34" s="7">
        <v>0.50694444444444442</v>
      </c>
      <c r="C34" s="8">
        <v>5.83</v>
      </c>
      <c r="D34" s="8">
        <v>7.18</v>
      </c>
      <c r="E34" s="8">
        <v>-0.19</v>
      </c>
      <c r="F34" s="8">
        <v>-2.12</v>
      </c>
      <c r="G34" s="8">
        <v>4.26</v>
      </c>
      <c r="H34" s="8">
        <v>-7.55</v>
      </c>
      <c r="I34" s="8">
        <v>-6.66</v>
      </c>
      <c r="J34" s="8">
        <v>-4.8</v>
      </c>
      <c r="K34" s="8">
        <v>2.92</v>
      </c>
      <c r="L34" s="9">
        <v>2.69</v>
      </c>
      <c r="M34">
        <f t="shared" si="2"/>
        <v>22</v>
      </c>
      <c r="N34">
        <f t="shared" si="3"/>
        <v>3</v>
      </c>
      <c r="O34">
        <f t="shared" si="4"/>
        <v>5.83</v>
      </c>
      <c r="P34">
        <f t="shared" si="5"/>
        <v>7.18</v>
      </c>
      <c r="Q34">
        <f t="shared" si="6"/>
        <v>-4.8</v>
      </c>
      <c r="R34">
        <f t="shared" si="7"/>
        <v>2.92</v>
      </c>
      <c r="S34">
        <f t="shared" si="8"/>
        <v>5.83</v>
      </c>
      <c r="T34">
        <f t="shared" si="9"/>
        <v>7.18</v>
      </c>
      <c r="U34">
        <f t="shared" si="10"/>
        <v>-4.8</v>
      </c>
      <c r="V34">
        <f t="shared" si="11"/>
        <v>2.92</v>
      </c>
      <c r="W34" s="6">
        <v>42451</v>
      </c>
      <c r="X34" s="7">
        <v>0.50694444444444442</v>
      </c>
    </row>
    <row r="35" spans="1:24" x14ac:dyDescent="0.35">
      <c r="A35" s="10">
        <v>42452</v>
      </c>
      <c r="B35" s="11">
        <v>0.16875000000000001</v>
      </c>
      <c r="C35" s="12">
        <v>-5.39</v>
      </c>
      <c r="D35" s="12">
        <v>-7.41</v>
      </c>
      <c r="E35" s="12">
        <v>-3.6</v>
      </c>
      <c r="F35" s="12">
        <v>0.98</v>
      </c>
      <c r="G35" s="12">
        <v>-0.56000000000000005</v>
      </c>
      <c r="H35" s="12">
        <v>-2.33</v>
      </c>
      <c r="I35" s="12">
        <v>3.28</v>
      </c>
      <c r="J35" s="12">
        <v>-2.19</v>
      </c>
      <c r="K35" s="12">
        <v>4.6100000000000003</v>
      </c>
      <c r="L35" s="13">
        <v>-5.94</v>
      </c>
      <c r="M35">
        <f t="shared" si="2"/>
        <v>23</v>
      </c>
      <c r="N35">
        <f t="shared" si="3"/>
        <v>3</v>
      </c>
      <c r="O35">
        <f t="shared" si="4"/>
        <v>-5.39</v>
      </c>
      <c r="P35">
        <f t="shared" si="5"/>
        <v>-7.41</v>
      </c>
      <c r="Q35">
        <f t="shared" si="6"/>
        <v>-2.19</v>
      </c>
      <c r="R35">
        <f t="shared" si="7"/>
        <v>4.6100000000000003</v>
      </c>
      <c r="S35">
        <f t="shared" si="8"/>
        <v>-5.39</v>
      </c>
      <c r="T35">
        <f t="shared" si="9"/>
        <v>-7.41</v>
      </c>
      <c r="U35">
        <f t="shared" si="10"/>
        <v>-2.19</v>
      </c>
      <c r="V35">
        <f t="shared" si="11"/>
        <v>4.6100000000000003</v>
      </c>
      <c r="W35" s="10">
        <v>42452</v>
      </c>
      <c r="X35" s="11">
        <v>0.16875000000000001</v>
      </c>
    </row>
    <row r="36" spans="1:24" x14ac:dyDescent="0.35">
      <c r="A36" s="6">
        <v>42452</v>
      </c>
      <c r="B36" s="7">
        <v>0.25138888888888888</v>
      </c>
      <c r="C36" s="8">
        <v>7.98</v>
      </c>
      <c r="D36" s="8">
        <v>4.6100000000000003</v>
      </c>
      <c r="E36" s="8">
        <v>7.87</v>
      </c>
      <c r="F36" s="8">
        <v>-1.44</v>
      </c>
      <c r="G36" s="8">
        <v>4.1500000000000004</v>
      </c>
      <c r="H36" s="8">
        <v>-2.5299999999999998</v>
      </c>
      <c r="I36" s="8">
        <v>-5.96</v>
      </c>
      <c r="J36" s="8">
        <v>3.23</v>
      </c>
      <c r="K36" s="8">
        <v>-7.13</v>
      </c>
      <c r="L36" s="9">
        <v>7.75</v>
      </c>
      <c r="M36">
        <f t="shared" si="2"/>
        <v>23</v>
      </c>
      <c r="N36">
        <f t="shared" si="3"/>
        <v>3</v>
      </c>
      <c r="O36">
        <f t="shared" si="4"/>
        <v>7.98</v>
      </c>
      <c r="P36">
        <f t="shared" si="5"/>
        <v>4.6100000000000003</v>
      </c>
      <c r="Q36">
        <f t="shared" si="6"/>
        <v>3.23</v>
      </c>
      <c r="R36">
        <f t="shared" si="7"/>
        <v>-7.13</v>
      </c>
      <c r="S36">
        <f t="shared" si="8"/>
        <v>7.98</v>
      </c>
      <c r="T36">
        <f t="shared" si="9"/>
        <v>4.6100000000000003</v>
      </c>
      <c r="U36">
        <f t="shared" si="10"/>
        <v>3.23</v>
      </c>
      <c r="V36">
        <f t="shared" si="11"/>
        <v>-7.13</v>
      </c>
      <c r="W36" s="6">
        <v>42452</v>
      </c>
      <c r="X36" s="7">
        <v>0.25138888888888888</v>
      </c>
    </row>
    <row r="37" spans="1:24" x14ac:dyDescent="0.35">
      <c r="A37" s="10">
        <v>42454</v>
      </c>
      <c r="B37" s="11">
        <v>0.12986111111111112</v>
      </c>
      <c r="C37" s="12">
        <v>2.92</v>
      </c>
      <c r="D37" s="12">
        <v>0.43</v>
      </c>
      <c r="E37" s="12">
        <v>-7.83</v>
      </c>
      <c r="F37" s="12">
        <v>-7.67</v>
      </c>
      <c r="G37" s="12">
        <v>1.19</v>
      </c>
      <c r="H37" s="12">
        <v>5.35</v>
      </c>
      <c r="I37" s="12">
        <v>-4.1500000000000004</v>
      </c>
      <c r="J37" s="12">
        <v>6.34</v>
      </c>
      <c r="K37" s="12">
        <v>-5.17</v>
      </c>
      <c r="L37" s="13">
        <v>1.39</v>
      </c>
      <c r="M37">
        <f t="shared" si="2"/>
        <v>25</v>
      </c>
      <c r="N37">
        <f t="shared" si="3"/>
        <v>3</v>
      </c>
      <c r="O37">
        <f t="shared" si="4"/>
        <v>2.92</v>
      </c>
      <c r="P37">
        <f t="shared" si="5"/>
        <v>0.43</v>
      </c>
      <c r="Q37">
        <f t="shared" si="6"/>
        <v>6.34</v>
      </c>
      <c r="R37">
        <f t="shared" si="7"/>
        <v>-5.17</v>
      </c>
      <c r="S37">
        <f t="shared" si="8"/>
        <v>2.92</v>
      </c>
      <c r="T37">
        <f t="shared" si="9"/>
        <v>0.43</v>
      </c>
      <c r="U37">
        <f t="shared" si="10"/>
        <v>6.34</v>
      </c>
      <c r="V37">
        <f t="shared" si="11"/>
        <v>-5.17</v>
      </c>
      <c r="W37" s="10">
        <v>42454</v>
      </c>
      <c r="X37" s="11">
        <v>0.12986111111111112</v>
      </c>
    </row>
    <row r="38" spans="1:24" x14ac:dyDescent="0.35">
      <c r="A38" s="6">
        <v>42455</v>
      </c>
      <c r="B38" s="7">
        <v>0.33888888888888891</v>
      </c>
      <c r="C38" s="8">
        <v>5.68</v>
      </c>
      <c r="D38" s="8">
        <v>-5.18</v>
      </c>
      <c r="E38" s="8">
        <v>8.6199999999999992</v>
      </c>
      <c r="F38" s="8">
        <v>3.66</v>
      </c>
      <c r="G38" s="8">
        <v>7.27</v>
      </c>
      <c r="H38" s="8">
        <v>-0.88</v>
      </c>
      <c r="I38" s="8">
        <v>8.69</v>
      </c>
      <c r="J38" s="8">
        <v>-6.24</v>
      </c>
      <c r="K38" s="8">
        <v>-5.52</v>
      </c>
      <c r="L38" s="9">
        <v>-4.67</v>
      </c>
      <c r="M38">
        <f t="shared" si="2"/>
        <v>26</v>
      </c>
      <c r="N38">
        <f t="shared" si="3"/>
        <v>3</v>
      </c>
      <c r="O38">
        <f t="shared" si="4"/>
        <v>5.68</v>
      </c>
      <c r="P38">
        <f t="shared" si="5"/>
        <v>-5.18</v>
      </c>
      <c r="Q38">
        <f t="shared" si="6"/>
        <v>-6.24</v>
      </c>
      <c r="R38">
        <f t="shared" si="7"/>
        <v>-5.52</v>
      </c>
      <c r="S38">
        <f t="shared" si="8"/>
        <v>5.68</v>
      </c>
      <c r="T38">
        <f t="shared" si="9"/>
        <v>-5.18</v>
      </c>
      <c r="U38">
        <f t="shared" si="10"/>
        <v>-6.24</v>
      </c>
      <c r="V38">
        <f t="shared" si="11"/>
        <v>-5.52</v>
      </c>
      <c r="W38" s="6">
        <v>42455</v>
      </c>
      <c r="X38" s="7">
        <v>0.33888888888888891</v>
      </c>
    </row>
    <row r="39" spans="1:24" x14ac:dyDescent="0.35">
      <c r="A39" s="10">
        <v>42455</v>
      </c>
      <c r="B39" s="11">
        <v>0.37847222222222221</v>
      </c>
      <c r="C39" s="12">
        <v>-3.88</v>
      </c>
      <c r="D39" s="12">
        <v>-5.21</v>
      </c>
      <c r="E39" s="12">
        <v>8.26</v>
      </c>
      <c r="F39" s="12">
        <v>-0.96</v>
      </c>
      <c r="G39" s="12">
        <v>4.05</v>
      </c>
      <c r="H39" s="12">
        <v>-4.3099999999999996</v>
      </c>
      <c r="I39" s="12">
        <v>7.8</v>
      </c>
      <c r="J39" s="12">
        <v>6.75</v>
      </c>
      <c r="K39" s="12">
        <v>-0.73</v>
      </c>
      <c r="L39" s="13">
        <v>7.28</v>
      </c>
      <c r="M39">
        <f t="shared" si="2"/>
        <v>26</v>
      </c>
      <c r="N39">
        <f t="shared" si="3"/>
        <v>3</v>
      </c>
      <c r="O39">
        <f t="shared" si="4"/>
        <v>-3.88</v>
      </c>
      <c r="P39">
        <f t="shared" si="5"/>
        <v>-5.21</v>
      </c>
      <c r="Q39">
        <f t="shared" si="6"/>
        <v>6.75</v>
      </c>
      <c r="R39">
        <f t="shared" si="7"/>
        <v>-0.73</v>
      </c>
      <c r="S39">
        <f t="shared" si="8"/>
        <v>-3.88</v>
      </c>
      <c r="T39">
        <f t="shared" si="9"/>
        <v>-5.21</v>
      </c>
      <c r="U39">
        <f t="shared" si="10"/>
        <v>6.75</v>
      </c>
      <c r="V39">
        <f t="shared" si="11"/>
        <v>-0.73</v>
      </c>
      <c r="W39" s="10">
        <v>42455</v>
      </c>
      <c r="X39" s="11">
        <v>0.37847222222222221</v>
      </c>
    </row>
    <row r="40" spans="1:24" x14ac:dyDescent="0.35">
      <c r="A40" s="6">
        <v>42456</v>
      </c>
      <c r="B40" s="7">
        <v>0.21388888888888888</v>
      </c>
      <c r="C40" s="8">
        <v>-4.4800000000000004</v>
      </c>
      <c r="D40" s="8">
        <v>-2.0499999999999998</v>
      </c>
      <c r="E40" s="8">
        <v>-7.14</v>
      </c>
      <c r="F40" s="8">
        <v>5.1100000000000003</v>
      </c>
      <c r="G40" s="8">
        <v>6.37</v>
      </c>
      <c r="H40" s="8">
        <v>7.34</v>
      </c>
      <c r="I40" s="8">
        <v>-4.9000000000000004</v>
      </c>
      <c r="J40" s="8">
        <v>-2.2599999999999998</v>
      </c>
      <c r="K40" s="8">
        <v>0.23</v>
      </c>
      <c r="L40" s="9">
        <v>7.99</v>
      </c>
      <c r="M40">
        <f t="shared" si="2"/>
        <v>27</v>
      </c>
      <c r="N40">
        <f t="shared" si="3"/>
        <v>3</v>
      </c>
      <c r="O40">
        <f t="shared" si="4"/>
        <v>-4.4800000000000004</v>
      </c>
      <c r="P40">
        <f t="shared" si="5"/>
        <v>-2.0499999999999998</v>
      </c>
      <c r="Q40">
        <f t="shared" si="6"/>
        <v>-2.2599999999999998</v>
      </c>
      <c r="R40">
        <f t="shared" si="7"/>
        <v>0.23</v>
      </c>
      <c r="S40">
        <f t="shared" si="8"/>
        <v>-4.4800000000000004</v>
      </c>
      <c r="T40">
        <f t="shared" si="9"/>
        <v>-2.0499999999999998</v>
      </c>
      <c r="U40">
        <f t="shared" si="10"/>
        <v>-2.2599999999999998</v>
      </c>
      <c r="V40">
        <f t="shared" si="11"/>
        <v>0.23</v>
      </c>
      <c r="W40" s="6">
        <v>42456</v>
      </c>
      <c r="X40" s="7">
        <v>0.21388888888888888</v>
      </c>
    </row>
    <row r="41" spans="1:24" x14ac:dyDescent="0.35">
      <c r="A41" s="10">
        <v>42457</v>
      </c>
      <c r="B41" s="11">
        <v>0.17222222222222222</v>
      </c>
      <c r="C41" s="12">
        <v>-3.04</v>
      </c>
      <c r="D41" s="12">
        <v>-1.24</v>
      </c>
      <c r="E41" s="12">
        <v>2.62</v>
      </c>
      <c r="F41" s="12">
        <v>4.42</v>
      </c>
      <c r="G41" s="12">
        <v>7.46</v>
      </c>
      <c r="H41" s="12">
        <v>0.77</v>
      </c>
      <c r="I41" s="12">
        <v>-0.67</v>
      </c>
      <c r="J41" s="12">
        <v>5.8</v>
      </c>
      <c r="K41" s="12">
        <v>-7.14</v>
      </c>
      <c r="L41" s="13">
        <v>6.48</v>
      </c>
      <c r="M41">
        <f t="shared" si="2"/>
        <v>28</v>
      </c>
      <c r="N41">
        <f t="shared" si="3"/>
        <v>3</v>
      </c>
      <c r="O41">
        <f t="shared" si="4"/>
        <v>-3.04</v>
      </c>
      <c r="P41">
        <f t="shared" si="5"/>
        <v>-1.24</v>
      </c>
      <c r="Q41">
        <f t="shared" si="6"/>
        <v>5.8</v>
      </c>
      <c r="R41">
        <f t="shared" si="7"/>
        <v>-7.14</v>
      </c>
      <c r="S41">
        <f t="shared" si="8"/>
        <v>-3.04</v>
      </c>
      <c r="T41">
        <f t="shared" si="9"/>
        <v>-1.24</v>
      </c>
      <c r="U41">
        <f t="shared" si="10"/>
        <v>5.8</v>
      </c>
      <c r="V41">
        <f t="shared" si="11"/>
        <v>-7.14</v>
      </c>
      <c r="W41" s="10">
        <v>42457</v>
      </c>
      <c r="X41" s="11">
        <v>0.17222222222222222</v>
      </c>
    </row>
    <row r="42" spans="1:24" x14ac:dyDescent="0.35">
      <c r="A42" s="6">
        <v>42458</v>
      </c>
      <c r="B42" s="7">
        <v>0.29791666666666666</v>
      </c>
      <c r="C42" s="8">
        <v>-2.12</v>
      </c>
      <c r="D42" s="8">
        <v>-6.19</v>
      </c>
      <c r="E42" s="8">
        <v>4.76</v>
      </c>
      <c r="F42" s="8">
        <v>4.5599999999999996</v>
      </c>
      <c r="G42" s="8">
        <v>3.19</v>
      </c>
      <c r="H42" s="8">
        <v>-2.29</v>
      </c>
      <c r="I42" s="8">
        <v>5.0999999999999996</v>
      </c>
      <c r="J42" s="8">
        <v>-5.75</v>
      </c>
      <c r="K42" s="8">
        <v>3.63</v>
      </c>
      <c r="L42" s="9">
        <v>1.36</v>
      </c>
      <c r="M42">
        <f t="shared" si="2"/>
        <v>29</v>
      </c>
      <c r="N42">
        <f t="shared" si="3"/>
        <v>3</v>
      </c>
      <c r="O42">
        <f t="shared" si="4"/>
        <v>-2.12</v>
      </c>
      <c r="P42">
        <f t="shared" si="5"/>
        <v>-6.19</v>
      </c>
      <c r="Q42">
        <f t="shared" si="6"/>
        <v>-5.75</v>
      </c>
      <c r="R42">
        <f t="shared" si="7"/>
        <v>3.63</v>
      </c>
      <c r="S42">
        <f t="shared" si="8"/>
        <v>-2.12</v>
      </c>
      <c r="T42">
        <f t="shared" si="9"/>
        <v>-6.19</v>
      </c>
      <c r="U42">
        <f t="shared" si="10"/>
        <v>-5.75</v>
      </c>
      <c r="V42">
        <f t="shared" si="11"/>
        <v>3.63</v>
      </c>
      <c r="W42" s="6">
        <v>42458</v>
      </c>
      <c r="X42" s="7">
        <v>0.29791666666666666</v>
      </c>
    </row>
    <row r="43" spans="1:24" x14ac:dyDescent="0.35">
      <c r="A43" s="10">
        <v>42468</v>
      </c>
      <c r="B43" s="11">
        <v>0.21180555555555555</v>
      </c>
      <c r="C43" s="12">
        <v>10.07</v>
      </c>
      <c r="D43" s="12">
        <v>12.84</v>
      </c>
      <c r="E43" s="12">
        <v>10.24</v>
      </c>
      <c r="F43" s="12">
        <v>13.91</v>
      </c>
      <c r="G43" s="12">
        <v>10.67</v>
      </c>
      <c r="H43" s="12">
        <v>14.11</v>
      </c>
      <c r="I43" s="12">
        <v>15.18</v>
      </c>
      <c r="J43" s="12">
        <v>13.07</v>
      </c>
      <c r="K43" s="12">
        <v>14.39</v>
      </c>
      <c r="L43" s="13">
        <v>13.78</v>
      </c>
      <c r="M43">
        <f t="shared" si="2"/>
        <v>8</v>
      </c>
      <c r="N43">
        <f t="shared" si="3"/>
        <v>4</v>
      </c>
      <c r="O43">
        <f t="shared" si="4"/>
        <v>8.870000000000001</v>
      </c>
      <c r="P43">
        <f t="shared" si="5"/>
        <v>11.64</v>
      </c>
      <c r="Q43">
        <f t="shared" si="6"/>
        <v>13.07</v>
      </c>
      <c r="R43">
        <f t="shared" si="7"/>
        <v>13.190000000000001</v>
      </c>
      <c r="S43">
        <f t="shared" si="8"/>
        <v>8.870000000000001</v>
      </c>
      <c r="T43">
        <f t="shared" si="9"/>
        <v>11.64</v>
      </c>
      <c r="U43">
        <f t="shared" si="10"/>
        <v>13.07</v>
      </c>
      <c r="V43">
        <f t="shared" si="11"/>
        <v>13.190000000000001</v>
      </c>
      <c r="W43" s="10">
        <v>42468</v>
      </c>
      <c r="X43" s="11">
        <v>0.21180555555555555</v>
      </c>
    </row>
    <row r="44" spans="1:24" x14ac:dyDescent="0.35">
      <c r="A44" s="6">
        <v>42470</v>
      </c>
      <c r="B44" s="7">
        <v>0.38055555555555554</v>
      </c>
      <c r="C44" s="8">
        <v>14.14</v>
      </c>
      <c r="D44" s="8">
        <v>15.33</v>
      </c>
      <c r="E44" s="8">
        <v>13.07</v>
      </c>
      <c r="F44" s="8">
        <v>12.04</v>
      </c>
      <c r="G44" s="8">
        <v>13.18</v>
      </c>
      <c r="H44" s="8">
        <v>12.65</v>
      </c>
      <c r="I44" s="8">
        <v>10.72</v>
      </c>
      <c r="J44" s="8">
        <v>11.66</v>
      </c>
      <c r="K44" s="8">
        <v>13</v>
      </c>
      <c r="L44" s="9">
        <v>14.21</v>
      </c>
      <c r="M44">
        <f t="shared" si="2"/>
        <v>10</v>
      </c>
      <c r="N44">
        <f t="shared" si="3"/>
        <v>4</v>
      </c>
      <c r="O44">
        <f t="shared" si="4"/>
        <v>12.940000000000001</v>
      </c>
      <c r="P44">
        <f t="shared" si="5"/>
        <v>14.13</v>
      </c>
      <c r="Q44">
        <f t="shared" si="6"/>
        <v>11.66</v>
      </c>
      <c r="R44">
        <f t="shared" si="7"/>
        <v>11.8</v>
      </c>
      <c r="S44">
        <f t="shared" si="8"/>
        <v>12.940000000000001</v>
      </c>
      <c r="T44">
        <f t="shared" si="9"/>
        <v>14.13</v>
      </c>
      <c r="U44">
        <f t="shared" si="10"/>
        <v>11.66</v>
      </c>
      <c r="V44">
        <f t="shared" si="11"/>
        <v>11.8</v>
      </c>
      <c r="W44" s="6">
        <v>42470</v>
      </c>
      <c r="X44" s="7">
        <v>0.38055555555555554</v>
      </c>
    </row>
    <row r="45" spans="1:24" x14ac:dyDescent="0.35">
      <c r="A45" s="10">
        <v>42472</v>
      </c>
      <c r="B45" s="11">
        <v>4.5138888888888888E-2</v>
      </c>
      <c r="C45" s="12">
        <v>11.6</v>
      </c>
      <c r="D45" s="12">
        <v>13.95</v>
      </c>
      <c r="E45" s="12">
        <v>15.13</v>
      </c>
      <c r="F45" s="12">
        <v>10.73</v>
      </c>
      <c r="G45" s="12">
        <v>15.09</v>
      </c>
      <c r="H45" s="12">
        <v>15.98</v>
      </c>
      <c r="I45" s="12">
        <v>11.74</v>
      </c>
      <c r="J45" s="12">
        <v>15.38</v>
      </c>
      <c r="K45" s="12">
        <v>15.98</v>
      </c>
      <c r="L45" s="13">
        <v>12.9</v>
      </c>
      <c r="M45">
        <f t="shared" si="2"/>
        <v>12</v>
      </c>
      <c r="N45">
        <f t="shared" si="3"/>
        <v>4</v>
      </c>
      <c r="O45">
        <f t="shared" si="4"/>
        <v>11.6</v>
      </c>
      <c r="P45">
        <f t="shared" si="5"/>
        <v>13.95</v>
      </c>
      <c r="Q45">
        <f t="shared" si="6"/>
        <v>15.38</v>
      </c>
      <c r="R45">
        <f t="shared" si="7"/>
        <v>15.98</v>
      </c>
      <c r="S45">
        <f t="shared" si="8"/>
        <v>11.6</v>
      </c>
      <c r="T45">
        <f t="shared" si="9"/>
        <v>13.95</v>
      </c>
      <c r="U45">
        <f t="shared" si="10"/>
        <v>15.38</v>
      </c>
      <c r="V45">
        <f t="shared" si="11"/>
        <v>15.98</v>
      </c>
      <c r="W45" s="10">
        <v>42472</v>
      </c>
      <c r="X45" s="11">
        <v>4.5138888888888888E-2</v>
      </c>
    </row>
    <row r="46" spans="1:24" x14ac:dyDescent="0.35">
      <c r="A46" s="6">
        <v>42475</v>
      </c>
      <c r="B46" s="7">
        <v>0.41944444444444445</v>
      </c>
      <c r="C46" s="8">
        <v>14.13</v>
      </c>
      <c r="D46" s="8">
        <v>13.61</v>
      </c>
      <c r="E46" s="8">
        <v>14.61</v>
      </c>
      <c r="F46" s="8">
        <v>13.88</v>
      </c>
      <c r="G46" s="8">
        <v>15.76</v>
      </c>
      <c r="H46" s="8">
        <v>10.85</v>
      </c>
      <c r="I46" s="8">
        <v>12.11</v>
      </c>
      <c r="J46" s="8">
        <v>12.05</v>
      </c>
      <c r="K46" s="8">
        <v>11.87</v>
      </c>
      <c r="L46" s="9">
        <v>12.1</v>
      </c>
      <c r="M46">
        <f t="shared" si="2"/>
        <v>15</v>
      </c>
      <c r="N46">
        <f t="shared" si="3"/>
        <v>4</v>
      </c>
      <c r="O46">
        <f t="shared" si="4"/>
        <v>14.13</v>
      </c>
      <c r="P46">
        <f t="shared" si="5"/>
        <v>13.61</v>
      </c>
      <c r="Q46">
        <f t="shared" si="6"/>
        <v>12.05</v>
      </c>
      <c r="R46">
        <f t="shared" si="7"/>
        <v>11.87</v>
      </c>
      <c r="S46">
        <f t="shared" si="8"/>
        <v>14.13</v>
      </c>
      <c r="T46">
        <f t="shared" si="9"/>
        <v>13.61</v>
      </c>
      <c r="U46">
        <f t="shared" si="10"/>
        <v>12.05</v>
      </c>
      <c r="V46">
        <f t="shared" si="11"/>
        <v>11.87</v>
      </c>
      <c r="W46" s="6">
        <v>42475</v>
      </c>
      <c r="X46" s="7">
        <v>0.41944444444444445</v>
      </c>
    </row>
    <row r="47" spans="1:24" x14ac:dyDescent="0.35">
      <c r="A47" s="10">
        <v>42478</v>
      </c>
      <c r="B47" s="11">
        <v>0.2951388888888889</v>
      </c>
      <c r="C47" s="12">
        <v>10.88</v>
      </c>
      <c r="D47" s="12">
        <v>12.02</v>
      </c>
      <c r="E47" s="12">
        <v>10.26</v>
      </c>
      <c r="F47" s="12">
        <v>15.41</v>
      </c>
      <c r="G47" s="12">
        <v>15.57</v>
      </c>
      <c r="H47" s="12">
        <v>13.27</v>
      </c>
      <c r="I47" s="12">
        <v>12.18</v>
      </c>
      <c r="J47" s="12">
        <v>13.91</v>
      </c>
      <c r="K47" s="12">
        <v>13.86</v>
      </c>
      <c r="L47" s="13">
        <v>10.08</v>
      </c>
      <c r="M47">
        <f t="shared" si="2"/>
        <v>18</v>
      </c>
      <c r="N47">
        <f t="shared" si="3"/>
        <v>4</v>
      </c>
      <c r="O47">
        <f t="shared" si="4"/>
        <v>10.88</v>
      </c>
      <c r="P47">
        <f t="shared" si="5"/>
        <v>12.02</v>
      </c>
      <c r="Q47">
        <f t="shared" si="6"/>
        <v>13.91</v>
      </c>
      <c r="R47">
        <f t="shared" si="7"/>
        <v>13.86</v>
      </c>
      <c r="S47">
        <f t="shared" si="8"/>
        <v>10.88</v>
      </c>
      <c r="T47">
        <f t="shared" si="9"/>
        <v>12.02</v>
      </c>
      <c r="U47">
        <f t="shared" si="10"/>
        <v>13.91</v>
      </c>
      <c r="V47">
        <f t="shared" si="11"/>
        <v>13.86</v>
      </c>
      <c r="W47" s="10">
        <v>42478</v>
      </c>
      <c r="X47" s="11">
        <v>0.2951388888888889</v>
      </c>
    </row>
    <row r="48" spans="1:24" x14ac:dyDescent="0.35">
      <c r="A48" s="6">
        <v>42479</v>
      </c>
      <c r="B48" s="7">
        <v>2.0833333333333333E-3</v>
      </c>
      <c r="C48" s="8">
        <v>15.28</v>
      </c>
      <c r="D48" s="8">
        <v>13.58</v>
      </c>
      <c r="E48" s="8">
        <v>12.71</v>
      </c>
      <c r="F48" s="8">
        <v>14.72</v>
      </c>
      <c r="G48" s="8">
        <v>12.47</v>
      </c>
      <c r="H48" s="8">
        <v>12.44</v>
      </c>
      <c r="I48" s="8">
        <v>14.64</v>
      </c>
      <c r="J48" s="8">
        <v>14.58</v>
      </c>
      <c r="K48" s="8">
        <v>13.66</v>
      </c>
      <c r="L48" s="9">
        <v>13.6</v>
      </c>
      <c r="M48">
        <f t="shared" si="2"/>
        <v>19</v>
      </c>
      <c r="N48">
        <f t="shared" si="3"/>
        <v>4</v>
      </c>
      <c r="O48">
        <f t="shared" si="4"/>
        <v>15.28</v>
      </c>
      <c r="P48">
        <f t="shared" si="5"/>
        <v>13.58</v>
      </c>
      <c r="Q48">
        <f t="shared" si="6"/>
        <v>14.58</v>
      </c>
      <c r="R48">
        <f t="shared" si="7"/>
        <v>13.66</v>
      </c>
      <c r="S48">
        <f t="shared" si="8"/>
        <v>15.28</v>
      </c>
      <c r="T48">
        <f t="shared" si="9"/>
        <v>13.58</v>
      </c>
      <c r="U48">
        <f t="shared" si="10"/>
        <v>14.58</v>
      </c>
      <c r="V48">
        <f t="shared" si="11"/>
        <v>13.66</v>
      </c>
      <c r="W48" s="6">
        <v>42479</v>
      </c>
      <c r="X48" s="7">
        <v>2.0833333333333333E-3</v>
      </c>
    </row>
    <row r="49" spans="1:24" x14ac:dyDescent="0.35">
      <c r="A49" s="10">
        <v>42480</v>
      </c>
      <c r="B49" s="11">
        <v>0.38124999999999998</v>
      </c>
      <c r="C49" s="12">
        <v>11.09</v>
      </c>
      <c r="D49" s="12">
        <v>15.36</v>
      </c>
      <c r="E49" s="12">
        <v>11.14</v>
      </c>
      <c r="F49" s="12">
        <v>13.51</v>
      </c>
      <c r="G49" s="12">
        <v>10.08</v>
      </c>
      <c r="H49" s="12">
        <v>15.95</v>
      </c>
      <c r="I49" s="12">
        <v>14.45</v>
      </c>
      <c r="J49" s="12">
        <v>13.94</v>
      </c>
      <c r="K49" s="12">
        <v>15.76</v>
      </c>
      <c r="L49" s="13">
        <v>13.03</v>
      </c>
      <c r="M49">
        <f t="shared" si="2"/>
        <v>20</v>
      </c>
      <c r="N49">
        <f t="shared" si="3"/>
        <v>4</v>
      </c>
      <c r="O49">
        <f t="shared" si="4"/>
        <v>11.09</v>
      </c>
      <c r="P49">
        <f t="shared" si="5"/>
        <v>15.36</v>
      </c>
      <c r="Q49">
        <f t="shared" si="6"/>
        <v>13.94</v>
      </c>
      <c r="R49">
        <f t="shared" si="7"/>
        <v>15.76</v>
      </c>
      <c r="S49">
        <f t="shared" si="8"/>
        <v>11.09</v>
      </c>
      <c r="T49">
        <f t="shared" si="9"/>
        <v>15.36</v>
      </c>
      <c r="U49">
        <f t="shared" si="10"/>
        <v>13.94</v>
      </c>
      <c r="V49">
        <f t="shared" si="11"/>
        <v>15.76</v>
      </c>
      <c r="W49" s="10">
        <v>42480</v>
      </c>
      <c r="X49" s="11">
        <v>0.38124999999999998</v>
      </c>
    </row>
    <row r="50" spans="1:24" x14ac:dyDescent="0.35">
      <c r="A50" s="6">
        <v>42480</v>
      </c>
      <c r="B50" s="7">
        <v>0.45902777777777776</v>
      </c>
      <c r="C50" s="8">
        <v>10.38</v>
      </c>
      <c r="D50" s="8">
        <v>13.04</v>
      </c>
      <c r="E50" s="8">
        <v>11.9</v>
      </c>
      <c r="F50" s="8">
        <v>10.14</v>
      </c>
      <c r="G50" s="8">
        <v>12.18</v>
      </c>
      <c r="H50" s="8">
        <v>14.79</v>
      </c>
      <c r="I50" s="8">
        <v>13.13</v>
      </c>
      <c r="J50" s="8">
        <v>13.52</v>
      </c>
      <c r="K50" s="8">
        <v>15.54</v>
      </c>
      <c r="L50" s="9">
        <v>13.14</v>
      </c>
      <c r="M50">
        <f t="shared" si="2"/>
        <v>20</v>
      </c>
      <c r="N50">
        <f t="shared" si="3"/>
        <v>4</v>
      </c>
      <c r="O50">
        <f t="shared" si="4"/>
        <v>10.38</v>
      </c>
      <c r="P50">
        <f t="shared" si="5"/>
        <v>13.04</v>
      </c>
      <c r="Q50">
        <f t="shared" si="6"/>
        <v>13.52</v>
      </c>
      <c r="R50">
        <f t="shared" si="7"/>
        <v>15.54</v>
      </c>
      <c r="S50">
        <f t="shared" si="8"/>
        <v>10.38</v>
      </c>
      <c r="T50">
        <f t="shared" si="9"/>
        <v>13.04</v>
      </c>
      <c r="U50">
        <f t="shared" si="10"/>
        <v>13.52</v>
      </c>
      <c r="V50">
        <f t="shared" si="11"/>
        <v>15.54</v>
      </c>
      <c r="W50" s="6">
        <v>42480</v>
      </c>
      <c r="X50" s="7">
        <v>0.45902777777777776</v>
      </c>
    </row>
    <row r="51" spans="1:24" x14ac:dyDescent="0.35">
      <c r="A51" s="10">
        <v>42484</v>
      </c>
      <c r="B51" s="11">
        <v>0.25416666666666665</v>
      </c>
      <c r="C51" s="12">
        <v>15.66</v>
      </c>
      <c r="D51" s="12">
        <v>10.97</v>
      </c>
      <c r="E51" s="12">
        <v>10.1</v>
      </c>
      <c r="F51" s="12">
        <v>12.99</v>
      </c>
      <c r="G51" s="12">
        <v>11.07</v>
      </c>
      <c r="H51" s="12">
        <v>11.1</v>
      </c>
      <c r="I51" s="12">
        <v>10.64</v>
      </c>
      <c r="J51" s="12">
        <v>12.18</v>
      </c>
      <c r="K51" s="12">
        <v>12.63</v>
      </c>
      <c r="L51" s="13">
        <v>12.33</v>
      </c>
      <c r="M51">
        <f t="shared" si="2"/>
        <v>24</v>
      </c>
      <c r="N51">
        <f t="shared" si="3"/>
        <v>4</v>
      </c>
      <c r="O51">
        <f t="shared" si="4"/>
        <v>15.66</v>
      </c>
      <c r="P51">
        <f t="shared" si="5"/>
        <v>10.97</v>
      </c>
      <c r="Q51">
        <f t="shared" si="6"/>
        <v>12.18</v>
      </c>
      <c r="R51">
        <f t="shared" si="7"/>
        <v>12.63</v>
      </c>
      <c r="S51">
        <f t="shared" si="8"/>
        <v>15.66</v>
      </c>
      <c r="T51">
        <f t="shared" si="9"/>
        <v>10.97</v>
      </c>
      <c r="U51">
        <f t="shared" si="10"/>
        <v>12.18</v>
      </c>
      <c r="V51">
        <f t="shared" si="11"/>
        <v>12.63</v>
      </c>
      <c r="W51" s="10">
        <v>42484</v>
      </c>
      <c r="X51" s="11">
        <v>0.25416666666666665</v>
      </c>
    </row>
    <row r="52" spans="1:24" x14ac:dyDescent="0.35">
      <c r="A52" s="6">
        <v>42485</v>
      </c>
      <c r="B52" s="7">
        <v>8.4027777777777785E-2</v>
      </c>
      <c r="C52" s="8">
        <v>11.94</v>
      </c>
      <c r="D52" s="8">
        <v>13.57</v>
      </c>
      <c r="E52" s="8">
        <v>10.050000000000001</v>
      </c>
      <c r="F52" s="8">
        <v>11.85</v>
      </c>
      <c r="G52" s="8">
        <v>10.59</v>
      </c>
      <c r="H52" s="8">
        <v>14.12</v>
      </c>
      <c r="I52" s="8">
        <v>14.27</v>
      </c>
      <c r="J52" s="8">
        <v>15.81</v>
      </c>
      <c r="K52" s="8">
        <v>14</v>
      </c>
      <c r="L52" s="9">
        <v>14.16</v>
      </c>
      <c r="M52">
        <f t="shared" si="2"/>
        <v>25</v>
      </c>
      <c r="N52">
        <f t="shared" si="3"/>
        <v>4</v>
      </c>
      <c r="O52">
        <f t="shared" si="4"/>
        <v>11.94</v>
      </c>
      <c r="P52">
        <f t="shared" si="5"/>
        <v>13.57</v>
      </c>
      <c r="Q52">
        <f t="shared" si="6"/>
        <v>15.81</v>
      </c>
      <c r="R52">
        <f t="shared" si="7"/>
        <v>14</v>
      </c>
      <c r="S52">
        <f t="shared" si="8"/>
        <v>11.94</v>
      </c>
      <c r="T52">
        <f t="shared" si="9"/>
        <v>13.57</v>
      </c>
      <c r="U52">
        <f t="shared" si="10"/>
        <v>15.81</v>
      </c>
      <c r="V52">
        <f t="shared" si="11"/>
        <v>14</v>
      </c>
      <c r="W52" s="6">
        <v>42485</v>
      </c>
      <c r="X52" s="7">
        <v>8.4027777777777785E-2</v>
      </c>
    </row>
    <row r="53" spans="1:24" x14ac:dyDescent="0.35">
      <c r="A53" s="10">
        <v>42485</v>
      </c>
      <c r="B53" s="11">
        <v>8.4722222222222227E-2</v>
      </c>
      <c r="C53" s="12">
        <v>14.53</v>
      </c>
      <c r="D53" s="12">
        <v>13.21</v>
      </c>
      <c r="E53" s="12">
        <v>10.84</v>
      </c>
      <c r="F53" s="12">
        <v>10.95</v>
      </c>
      <c r="G53" s="12">
        <v>11.65</v>
      </c>
      <c r="H53" s="12">
        <v>11.34</v>
      </c>
      <c r="I53" s="12">
        <v>13.76</v>
      </c>
      <c r="J53" s="12">
        <v>12.75</v>
      </c>
      <c r="K53" s="12">
        <v>10.43</v>
      </c>
      <c r="L53" s="13">
        <v>12.8</v>
      </c>
      <c r="M53">
        <f t="shared" si="2"/>
        <v>25</v>
      </c>
      <c r="N53">
        <f t="shared" si="3"/>
        <v>4</v>
      </c>
      <c r="O53">
        <f t="shared" si="4"/>
        <v>14.53</v>
      </c>
      <c r="P53">
        <f t="shared" si="5"/>
        <v>13.21</v>
      </c>
      <c r="Q53">
        <f t="shared" si="6"/>
        <v>12.75</v>
      </c>
      <c r="R53">
        <f t="shared" si="7"/>
        <v>10.43</v>
      </c>
      <c r="S53">
        <f t="shared" si="8"/>
        <v>14.53</v>
      </c>
      <c r="T53">
        <f t="shared" si="9"/>
        <v>13.21</v>
      </c>
      <c r="U53">
        <f t="shared" si="10"/>
        <v>12.75</v>
      </c>
      <c r="V53">
        <f t="shared" si="11"/>
        <v>10.43</v>
      </c>
      <c r="W53" s="10">
        <v>42485</v>
      </c>
      <c r="X53" s="11">
        <v>8.4722222222222227E-2</v>
      </c>
    </row>
    <row r="54" spans="1:24" x14ac:dyDescent="0.35">
      <c r="A54" s="6">
        <v>42487</v>
      </c>
      <c r="B54" s="7">
        <v>0.42152777777777778</v>
      </c>
      <c r="C54" s="8">
        <v>10.98</v>
      </c>
      <c r="D54" s="8">
        <v>10.53</v>
      </c>
      <c r="E54" s="8">
        <v>14.64</v>
      </c>
      <c r="F54" s="8">
        <v>15.37</v>
      </c>
      <c r="G54" s="8">
        <v>13.4</v>
      </c>
      <c r="H54" s="8">
        <v>14.22</v>
      </c>
      <c r="I54" s="8">
        <v>11.15</v>
      </c>
      <c r="J54" s="8">
        <v>12.45</v>
      </c>
      <c r="K54" s="8">
        <v>12.96</v>
      </c>
      <c r="L54" s="9">
        <v>11.15</v>
      </c>
      <c r="M54">
        <f t="shared" si="2"/>
        <v>27</v>
      </c>
      <c r="N54">
        <f t="shared" si="3"/>
        <v>4</v>
      </c>
      <c r="O54">
        <f t="shared" si="4"/>
        <v>10.98</v>
      </c>
      <c r="P54">
        <f t="shared" si="5"/>
        <v>10.53</v>
      </c>
      <c r="Q54">
        <f t="shared" si="6"/>
        <v>12.45</v>
      </c>
      <c r="R54">
        <f t="shared" si="7"/>
        <v>12.96</v>
      </c>
      <c r="S54">
        <f t="shared" si="8"/>
        <v>10.98</v>
      </c>
      <c r="T54">
        <f t="shared" si="9"/>
        <v>10.53</v>
      </c>
      <c r="U54">
        <f t="shared" si="10"/>
        <v>12.45</v>
      </c>
      <c r="V54">
        <f t="shared" si="11"/>
        <v>12.96</v>
      </c>
      <c r="W54" s="6">
        <v>42487</v>
      </c>
      <c r="X54" s="7">
        <v>0.42152777777777778</v>
      </c>
    </row>
    <row r="55" spans="1:24" x14ac:dyDescent="0.35">
      <c r="A55" s="10">
        <v>42489</v>
      </c>
      <c r="B55" s="11">
        <v>0.33333333333333331</v>
      </c>
      <c r="C55" s="12">
        <v>12.88</v>
      </c>
      <c r="D55" s="12">
        <v>11.25</v>
      </c>
      <c r="E55" s="12">
        <v>12.97</v>
      </c>
      <c r="F55" s="12">
        <v>11.16</v>
      </c>
      <c r="G55" s="12">
        <v>10.89</v>
      </c>
      <c r="H55" s="12">
        <v>10.210000000000001</v>
      </c>
      <c r="I55" s="12">
        <v>11.49</v>
      </c>
      <c r="J55" s="12">
        <v>15.32</v>
      </c>
      <c r="K55" s="12">
        <v>12.4</v>
      </c>
      <c r="L55" s="13">
        <v>13.67</v>
      </c>
      <c r="M55">
        <f t="shared" si="2"/>
        <v>29</v>
      </c>
      <c r="N55">
        <f t="shared" si="3"/>
        <v>4</v>
      </c>
      <c r="O55">
        <f t="shared" si="4"/>
        <v>12.88</v>
      </c>
      <c r="P55">
        <f t="shared" si="5"/>
        <v>11.25</v>
      </c>
      <c r="Q55">
        <f t="shared" si="6"/>
        <v>15.32</v>
      </c>
      <c r="R55">
        <f t="shared" si="7"/>
        <v>12.4</v>
      </c>
      <c r="S55">
        <f t="shared" si="8"/>
        <v>12.88</v>
      </c>
      <c r="T55">
        <f t="shared" si="9"/>
        <v>11.25</v>
      </c>
      <c r="U55">
        <f t="shared" si="10"/>
        <v>15.32</v>
      </c>
      <c r="V55">
        <f t="shared" si="11"/>
        <v>12.4</v>
      </c>
      <c r="W55" s="10">
        <v>42489</v>
      </c>
      <c r="X55" s="11">
        <v>0.33333333333333331</v>
      </c>
    </row>
    <row r="56" spans="1:24" x14ac:dyDescent="0.35">
      <c r="A56" s="6">
        <v>42492</v>
      </c>
      <c r="B56" s="7">
        <v>0.41944444444444445</v>
      </c>
      <c r="C56" s="8">
        <v>11.74</v>
      </c>
      <c r="D56" s="8">
        <v>12.79</v>
      </c>
      <c r="E56" s="8">
        <v>11.07</v>
      </c>
      <c r="F56" s="8">
        <v>15.77</v>
      </c>
      <c r="G56" s="8">
        <v>14.3</v>
      </c>
      <c r="H56" s="8">
        <v>11.61</v>
      </c>
      <c r="I56" s="8">
        <v>12.88</v>
      </c>
      <c r="J56" s="8">
        <v>12.58</v>
      </c>
      <c r="K56" s="8">
        <v>13.63</v>
      </c>
      <c r="L56" s="9">
        <v>15.37</v>
      </c>
      <c r="M56">
        <f t="shared" si="2"/>
        <v>2</v>
      </c>
      <c r="N56">
        <f t="shared" si="3"/>
        <v>5</v>
      </c>
      <c r="O56">
        <f t="shared" si="4"/>
        <v>11.74</v>
      </c>
      <c r="P56">
        <f t="shared" si="5"/>
        <v>12.79</v>
      </c>
      <c r="Q56">
        <f t="shared" si="6"/>
        <v>12.58</v>
      </c>
      <c r="R56">
        <f t="shared" si="7"/>
        <v>13.63</v>
      </c>
      <c r="S56">
        <f t="shared" si="8"/>
        <v>12.64</v>
      </c>
      <c r="T56">
        <f t="shared" si="9"/>
        <v>13.69</v>
      </c>
      <c r="U56">
        <f t="shared" si="10"/>
        <v>13.48</v>
      </c>
      <c r="V56">
        <f t="shared" si="11"/>
        <v>14.530000000000001</v>
      </c>
      <c r="W56" s="6">
        <v>42492</v>
      </c>
      <c r="X56" s="7">
        <v>0.41944444444444445</v>
      </c>
    </row>
    <row r="57" spans="1:24" x14ac:dyDescent="0.35">
      <c r="A57" s="10">
        <v>42493</v>
      </c>
      <c r="B57" s="11">
        <v>0.33541666666666664</v>
      </c>
      <c r="C57" s="12">
        <v>13.25</v>
      </c>
      <c r="D57" s="12">
        <v>14.97</v>
      </c>
      <c r="E57" s="12">
        <v>14.88</v>
      </c>
      <c r="F57" s="12">
        <v>14.41</v>
      </c>
      <c r="G57" s="12">
        <v>10.82</v>
      </c>
      <c r="H57" s="12">
        <v>14.32</v>
      </c>
      <c r="I57" s="12">
        <v>13.72</v>
      </c>
      <c r="J57" s="12">
        <v>10.88</v>
      </c>
      <c r="K57" s="12">
        <v>12.95</v>
      </c>
      <c r="L57" s="13">
        <v>12.52</v>
      </c>
      <c r="M57">
        <f t="shared" si="2"/>
        <v>3</v>
      </c>
      <c r="N57">
        <f t="shared" si="3"/>
        <v>5</v>
      </c>
      <c r="O57">
        <f t="shared" si="4"/>
        <v>13.25</v>
      </c>
      <c r="P57">
        <f t="shared" si="5"/>
        <v>14.97</v>
      </c>
      <c r="Q57">
        <f t="shared" si="6"/>
        <v>10.88</v>
      </c>
      <c r="R57">
        <f t="shared" si="7"/>
        <v>12.95</v>
      </c>
      <c r="S57">
        <f t="shared" si="8"/>
        <v>14.15</v>
      </c>
      <c r="T57">
        <f t="shared" si="9"/>
        <v>15.870000000000001</v>
      </c>
      <c r="U57">
        <f t="shared" si="10"/>
        <v>11.780000000000001</v>
      </c>
      <c r="V57">
        <f t="shared" si="11"/>
        <v>13.85</v>
      </c>
      <c r="W57" s="10">
        <v>42493</v>
      </c>
      <c r="X57" s="11">
        <v>0.33541666666666664</v>
      </c>
    </row>
    <row r="58" spans="1:24" x14ac:dyDescent="0.35">
      <c r="A58" s="6">
        <v>42495</v>
      </c>
      <c r="B58" s="7">
        <v>0.2951388888888889</v>
      </c>
      <c r="C58" s="8">
        <v>10.66</v>
      </c>
      <c r="D58" s="8">
        <v>10.59</v>
      </c>
      <c r="E58" s="8">
        <v>15.14</v>
      </c>
      <c r="F58" s="8">
        <v>12.6</v>
      </c>
      <c r="G58" s="8">
        <v>11.47</v>
      </c>
      <c r="H58" s="8">
        <v>14.91</v>
      </c>
      <c r="I58" s="8">
        <v>14.33</v>
      </c>
      <c r="J58" s="8">
        <v>14.52</v>
      </c>
      <c r="K58" s="8">
        <v>11.65</v>
      </c>
      <c r="L58" s="9">
        <v>15.58</v>
      </c>
      <c r="M58">
        <f t="shared" si="2"/>
        <v>5</v>
      </c>
      <c r="N58">
        <f t="shared" si="3"/>
        <v>5</v>
      </c>
      <c r="O58">
        <f t="shared" si="4"/>
        <v>9.4600000000000009</v>
      </c>
      <c r="P58">
        <f t="shared" si="5"/>
        <v>9.39</v>
      </c>
      <c r="Q58">
        <f t="shared" si="6"/>
        <v>14.52</v>
      </c>
      <c r="R58">
        <f t="shared" si="7"/>
        <v>10.450000000000001</v>
      </c>
      <c r="S58">
        <f t="shared" si="8"/>
        <v>10.360000000000001</v>
      </c>
      <c r="T58">
        <f t="shared" si="9"/>
        <v>10.290000000000001</v>
      </c>
      <c r="U58">
        <f t="shared" si="10"/>
        <v>15.42</v>
      </c>
      <c r="V58">
        <f t="shared" si="11"/>
        <v>11.350000000000001</v>
      </c>
      <c r="W58" s="6">
        <v>42495</v>
      </c>
      <c r="X58" s="7">
        <v>0.2951388888888889</v>
      </c>
    </row>
    <row r="59" spans="1:24" x14ac:dyDescent="0.35">
      <c r="A59" s="10">
        <v>42495</v>
      </c>
      <c r="B59" s="11">
        <v>0.42152777777777778</v>
      </c>
      <c r="C59" s="12">
        <v>12.4</v>
      </c>
      <c r="D59" s="12">
        <v>11.85</v>
      </c>
      <c r="E59" s="12">
        <v>12.06</v>
      </c>
      <c r="F59" s="12">
        <v>14.95</v>
      </c>
      <c r="G59" s="12">
        <v>15.02</v>
      </c>
      <c r="H59" s="12">
        <v>15.09</v>
      </c>
      <c r="I59" s="12">
        <v>12.53</v>
      </c>
      <c r="J59" s="12">
        <v>11.35</v>
      </c>
      <c r="K59" s="12">
        <v>13.64</v>
      </c>
      <c r="L59" s="13">
        <v>10.47</v>
      </c>
      <c r="M59">
        <f t="shared" si="2"/>
        <v>5</v>
      </c>
      <c r="N59">
        <f t="shared" si="3"/>
        <v>5</v>
      </c>
      <c r="O59">
        <f t="shared" si="4"/>
        <v>11.200000000000001</v>
      </c>
      <c r="P59">
        <f t="shared" si="5"/>
        <v>10.65</v>
      </c>
      <c r="Q59">
        <f t="shared" si="6"/>
        <v>11.35</v>
      </c>
      <c r="R59">
        <f t="shared" si="7"/>
        <v>12.440000000000001</v>
      </c>
      <c r="S59">
        <f t="shared" si="8"/>
        <v>12.100000000000001</v>
      </c>
      <c r="T59">
        <f t="shared" si="9"/>
        <v>11.55</v>
      </c>
      <c r="U59">
        <f t="shared" si="10"/>
        <v>12.25</v>
      </c>
      <c r="V59">
        <f t="shared" si="11"/>
        <v>13.340000000000002</v>
      </c>
      <c r="W59" s="10">
        <v>42495</v>
      </c>
      <c r="X59" s="11">
        <v>0.42152777777777778</v>
      </c>
    </row>
    <row r="60" spans="1:24" x14ac:dyDescent="0.35">
      <c r="A60" s="6">
        <v>42495</v>
      </c>
      <c r="B60" s="7">
        <v>0.46527777777777779</v>
      </c>
      <c r="C60" s="8">
        <v>14.22</v>
      </c>
      <c r="D60" s="8">
        <v>11.25</v>
      </c>
      <c r="E60" s="8">
        <v>14.05</v>
      </c>
      <c r="F60" s="8">
        <v>12.08</v>
      </c>
      <c r="G60" s="8">
        <v>10.1</v>
      </c>
      <c r="H60" s="8">
        <v>15.84</v>
      </c>
      <c r="I60" s="8">
        <v>12.87</v>
      </c>
      <c r="J60" s="8">
        <v>15.35</v>
      </c>
      <c r="K60" s="8">
        <v>12.14</v>
      </c>
      <c r="L60" s="9">
        <v>11.93</v>
      </c>
      <c r="M60">
        <f t="shared" si="2"/>
        <v>5</v>
      </c>
      <c r="N60">
        <f t="shared" si="3"/>
        <v>5</v>
      </c>
      <c r="O60">
        <f t="shared" si="4"/>
        <v>13.020000000000001</v>
      </c>
      <c r="P60">
        <f t="shared" si="5"/>
        <v>10.050000000000001</v>
      </c>
      <c r="Q60">
        <f t="shared" si="6"/>
        <v>15.35</v>
      </c>
      <c r="R60">
        <f t="shared" si="7"/>
        <v>10.940000000000001</v>
      </c>
      <c r="S60">
        <f t="shared" si="8"/>
        <v>13.920000000000002</v>
      </c>
      <c r="T60">
        <f t="shared" si="9"/>
        <v>10.950000000000001</v>
      </c>
      <c r="U60">
        <f t="shared" si="10"/>
        <v>16.25</v>
      </c>
      <c r="V60">
        <f t="shared" si="11"/>
        <v>11.840000000000002</v>
      </c>
      <c r="W60" s="6">
        <v>42495</v>
      </c>
      <c r="X60" s="7">
        <v>0.46527777777777779</v>
      </c>
    </row>
    <row r="61" spans="1:24" x14ac:dyDescent="0.35">
      <c r="A61" s="10">
        <v>42496</v>
      </c>
      <c r="B61" s="11">
        <v>0.42083333333333334</v>
      </c>
      <c r="C61" s="12">
        <v>14.83</v>
      </c>
      <c r="D61" s="12">
        <v>10.01</v>
      </c>
      <c r="E61" s="12">
        <v>15.51</v>
      </c>
      <c r="F61" s="12">
        <v>11</v>
      </c>
      <c r="G61" s="12">
        <v>11.29</v>
      </c>
      <c r="H61" s="12">
        <v>13.42</v>
      </c>
      <c r="I61" s="12">
        <v>15.92</v>
      </c>
      <c r="J61" s="12">
        <v>15.81</v>
      </c>
      <c r="K61" s="12">
        <v>11.2</v>
      </c>
      <c r="L61" s="13">
        <v>15.53</v>
      </c>
      <c r="M61">
        <f t="shared" si="2"/>
        <v>6</v>
      </c>
      <c r="N61">
        <f t="shared" si="3"/>
        <v>5</v>
      </c>
      <c r="O61">
        <f t="shared" si="4"/>
        <v>13.63</v>
      </c>
      <c r="P61">
        <f t="shared" si="5"/>
        <v>8.81</v>
      </c>
      <c r="Q61">
        <f t="shared" si="6"/>
        <v>15.81</v>
      </c>
      <c r="R61">
        <f t="shared" si="7"/>
        <v>10</v>
      </c>
      <c r="S61">
        <f t="shared" si="8"/>
        <v>14.530000000000001</v>
      </c>
      <c r="T61">
        <f t="shared" si="9"/>
        <v>9.7100000000000009</v>
      </c>
      <c r="U61">
        <f t="shared" si="10"/>
        <v>16.71</v>
      </c>
      <c r="V61">
        <f t="shared" si="11"/>
        <v>10.9</v>
      </c>
      <c r="W61" s="10">
        <v>42496</v>
      </c>
      <c r="X61" s="11">
        <v>0.42083333333333334</v>
      </c>
    </row>
    <row r="62" spans="1:24" x14ac:dyDescent="0.35">
      <c r="A62" s="6">
        <v>42498</v>
      </c>
      <c r="B62" s="7">
        <v>0.12916666666666668</v>
      </c>
      <c r="C62" s="8">
        <v>13.62</v>
      </c>
      <c r="D62" s="8">
        <v>13.57</v>
      </c>
      <c r="E62" s="8">
        <v>12.68</v>
      </c>
      <c r="F62" s="8">
        <v>15.88</v>
      </c>
      <c r="G62" s="8">
        <v>13.23</v>
      </c>
      <c r="H62" s="8">
        <v>14.1</v>
      </c>
      <c r="I62" s="8">
        <v>15.41</v>
      </c>
      <c r="J62" s="8">
        <v>11.12</v>
      </c>
      <c r="K62" s="8">
        <v>10.81</v>
      </c>
      <c r="L62" s="9">
        <v>13.61</v>
      </c>
      <c r="M62">
        <f t="shared" si="2"/>
        <v>8</v>
      </c>
      <c r="N62">
        <f t="shared" si="3"/>
        <v>5</v>
      </c>
      <c r="O62">
        <f t="shared" si="4"/>
        <v>12.42</v>
      </c>
      <c r="P62">
        <f t="shared" si="5"/>
        <v>12.370000000000001</v>
      </c>
      <c r="Q62">
        <f t="shared" si="6"/>
        <v>11.12</v>
      </c>
      <c r="R62">
        <f t="shared" si="7"/>
        <v>9.6100000000000012</v>
      </c>
      <c r="S62">
        <f t="shared" si="8"/>
        <v>13.32</v>
      </c>
      <c r="T62">
        <f t="shared" si="9"/>
        <v>13.270000000000001</v>
      </c>
      <c r="U62">
        <f t="shared" si="10"/>
        <v>12.02</v>
      </c>
      <c r="V62">
        <f t="shared" si="11"/>
        <v>10.510000000000002</v>
      </c>
      <c r="W62" s="6">
        <v>42498</v>
      </c>
      <c r="X62" s="7">
        <v>0.12916666666666668</v>
      </c>
    </row>
    <row r="63" spans="1:24" x14ac:dyDescent="0.35">
      <c r="A63" s="10">
        <v>42498</v>
      </c>
      <c r="B63" s="11">
        <v>0.21180555555555555</v>
      </c>
      <c r="C63" s="12">
        <v>12.25</v>
      </c>
      <c r="D63" s="12">
        <v>14.89</v>
      </c>
      <c r="E63" s="12">
        <v>13.86</v>
      </c>
      <c r="F63" s="12">
        <v>13.98</v>
      </c>
      <c r="G63" s="12">
        <v>11.99</v>
      </c>
      <c r="H63" s="12">
        <v>15.06</v>
      </c>
      <c r="I63" s="12">
        <v>11.13</v>
      </c>
      <c r="J63" s="12">
        <v>13.91</v>
      </c>
      <c r="K63" s="12">
        <v>15.56</v>
      </c>
      <c r="L63" s="13">
        <v>10.97</v>
      </c>
      <c r="M63">
        <f t="shared" si="2"/>
        <v>8</v>
      </c>
      <c r="N63">
        <f t="shared" si="3"/>
        <v>5</v>
      </c>
      <c r="O63">
        <f t="shared" si="4"/>
        <v>11.05</v>
      </c>
      <c r="P63">
        <f t="shared" si="5"/>
        <v>13.690000000000001</v>
      </c>
      <c r="Q63">
        <f t="shared" si="6"/>
        <v>13.91</v>
      </c>
      <c r="R63">
        <f t="shared" si="7"/>
        <v>14.360000000000001</v>
      </c>
      <c r="S63">
        <f t="shared" si="8"/>
        <v>11.950000000000001</v>
      </c>
      <c r="T63">
        <f t="shared" si="9"/>
        <v>14.590000000000002</v>
      </c>
      <c r="U63">
        <f t="shared" si="10"/>
        <v>14.81</v>
      </c>
      <c r="V63">
        <f t="shared" si="11"/>
        <v>15.260000000000002</v>
      </c>
      <c r="W63" s="10">
        <v>42498</v>
      </c>
      <c r="X63" s="11">
        <v>0.21180555555555555</v>
      </c>
    </row>
    <row r="64" spans="1:24" x14ac:dyDescent="0.35">
      <c r="A64" s="6">
        <v>42499</v>
      </c>
      <c r="B64" s="7">
        <v>0.21180555555555555</v>
      </c>
      <c r="C64" s="8">
        <v>15.82</v>
      </c>
      <c r="D64" s="8">
        <v>14.33</v>
      </c>
      <c r="E64" s="8">
        <v>10.41</v>
      </c>
      <c r="F64" s="8">
        <v>11.75</v>
      </c>
      <c r="G64" s="8">
        <v>15.72</v>
      </c>
      <c r="H64" s="8">
        <v>11.51</v>
      </c>
      <c r="I64" s="8">
        <v>11.37</v>
      </c>
      <c r="J64" s="8">
        <v>15.73</v>
      </c>
      <c r="K64" s="8">
        <v>15.44</v>
      </c>
      <c r="L64" s="9">
        <v>11.55</v>
      </c>
      <c r="M64">
        <f t="shared" si="2"/>
        <v>9</v>
      </c>
      <c r="N64">
        <f t="shared" si="3"/>
        <v>5</v>
      </c>
      <c r="O64">
        <f t="shared" si="4"/>
        <v>14.620000000000001</v>
      </c>
      <c r="P64">
        <f t="shared" si="5"/>
        <v>13.13</v>
      </c>
      <c r="Q64">
        <f t="shared" si="6"/>
        <v>15.73</v>
      </c>
      <c r="R64">
        <f t="shared" si="7"/>
        <v>14.24</v>
      </c>
      <c r="S64">
        <f t="shared" si="8"/>
        <v>15.520000000000001</v>
      </c>
      <c r="T64">
        <f t="shared" si="9"/>
        <v>14.030000000000001</v>
      </c>
      <c r="U64">
        <f t="shared" si="10"/>
        <v>16.63</v>
      </c>
      <c r="V64">
        <f t="shared" si="11"/>
        <v>15.14</v>
      </c>
      <c r="W64" s="6">
        <v>42499</v>
      </c>
      <c r="X64" s="7">
        <v>0.21180555555555555</v>
      </c>
    </row>
    <row r="65" spans="1:24" x14ac:dyDescent="0.35">
      <c r="A65" s="10">
        <v>42500</v>
      </c>
      <c r="B65" s="11">
        <v>0.33611111111111114</v>
      </c>
      <c r="C65" s="12">
        <v>12.47</v>
      </c>
      <c r="D65" s="12">
        <v>14.01</v>
      </c>
      <c r="E65" s="12">
        <v>15.38</v>
      </c>
      <c r="F65" s="12">
        <v>12.72</v>
      </c>
      <c r="G65" s="12">
        <v>12.33</v>
      </c>
      <c r="H65" s="12">
        <v>14.07</v>
      </c>
      <c r="I65" s="12">
        <v>11.91</v>
      </c>
      <c r="J65" s="12">
        <v>14.59</v>
      </c>
      <c r="K65" s="12">
        <v>10.58</v>
      </c>
      <c r="L65" s="13">
        <v>13.95</v>
      </c>
      <c r="M65">
        <f t="shared" si="2"/>
        <v>10</v>
      </c>
      <c r="N65">
        <f t="shared" si="3"/>
        <v>5</v>
      </c>
      <c r="O65">
        <f t="shared" si="4"/>
        <v>11.270000000000001</v>
      </c>
      <c r="P65">
        <f t="shared" si="5"/>
        <v>12.81</v>
      </c>
      <c r="Q65">
        <f t="shared" si="6"/>
        <v>14.59</v>
      </c>
      <c r="R65">
        <f t="shared" si="7"/>
        <v>9.3800000000000008</v>
      </c>
      <c r="S65">
        <f t="shared" si="8"/>
        <v>12.170000000000002</v>
      </c>
      <c r="T65">
        <f t="shared" si="9"/>
        <v>13.71</v>
      </c>
      <c r="U65">
        <f t="shared" si="10"/>
        <v>15.49</v>
      </c>
      <c r="V65">
        <f t="shared" si="11"/>
        <v>10.280000000000001</v>
      </c>
      <c r="W65" s="10">
        <v>42500</v>
      </c>
      <c r="X65" s="11">
        <v>0.33611111111111114</v>
      </c>
    </row>
    <row r="66" spans="1:24" x14ac:dyDescent="0.35">
      <c r="A66" s="6">
        <v>42501</v>
      </c>
      <c r="B66" s="7">
        <v>0.29166666666666669</v>
      </c>
      <c r="C66" s="8">
        <v>15.8</v>
      </c>
      <c r="D66" s="8">
        <v>13.11</v>
      </c>
      <c r="E66" s="8">
        <v>13.43</v>
      </c>
      <c r="F66" s="8">
        <v>10.32</v>
      </c>
      <c r="G66" s="8">
        <v>14.2</v>
      </c>
      <c r="H66" s="8">
        <v>11.41</v>
      </c>
      <c r="I66" s="8">
        <v>10.69</v>
      </c>
      <c r="J66" s="8">
        <v>15.02</v>
      </c>
      <c r="K66" s="8">
        <v>12.21</v>
      </c>
      <c r="L66" s="9">
        <v>10.54</v>
      </c>
      <c r="M66">
        <f t="shared" si="2"/>
        <v>11</v>
      </c>
      <c r="N66">
        <f t="shared" si="3"/>
        <v>5</v>
      </c>
      <c r="O66">
        <f t="shared" si="4"/>
        <v>15.8</v>
      </c>
      <c r="P66">
        <f t="shared" si="5"/>
        <v>13.11</v>
      </c>
      <c r="Q66">
        <f t="shared" si="6"/>
        <v>15.02</v>
      </c>
      <c r="R66">
        <f t="shared" si="7"/>
        <v>12.21</v>
      </c>
      <c r="S66">
        <f t="shared" si="8"/>
        <v>16.7</v>
      </c>
      <c r="T66">
        <f t="shared" si="9"/>
        <v>14.01</v>
      </c>
      <c r="U66">
        <f t="shared" si="10"/>
        <v>15.92</v>
      </c>
      <c r="V66">
        <f t="shared" si="11"/>
        <v>13.110000000000001</v>
      </c>
      <c r="W66" s="6">
        <v>42501</v>
      </c>
      <c r="X66" s="7">
        <v>0.29166666666666669</v>
      </c>
    </row>
    <row r="67" spans="1:24" x14ac:dyDescent="0.35">
      <c r="A67" s="10">
        <v>42502</v>
      </c>
      <c r="B67" s="11">
        <v>0.21249999999999999</v>
      </c>
      <c r="C67" s="12">
        <v>11.1</v>
      </c>
      <c r="D67" s="12">
        <v>10.71</v>
      </c>
      <c r="E67" s="12">
        <v>10.75</v>
      </c>
      <c r="F67" s="12">
        <v>13.22</v>
      </c>
      <c r="G67" s="12">
        <v>14.26</v>
      </c>
      <c r="H67" s="12">
        <v>12.59</v>
      </c>
      <c r="I67" s="12">
        <v>12.93</v>
      </c>
      <c r="J67" s="12">
        <v>15.27</v>
      </c>
      <c r="K67" s="12">
        <v>13</v>
      </c>
      <c r="L67" s="13">
        <v>13.55</v>
      </c>
      <c r="M67">
        <f t="shared" ref="M67:M130" si="12">DAY(A67)</f>
        <v>12</v>
      </c>
      <c r="N67">
        <f t="shared" ref="N67:N130" si="13">MONTH(A67)</f>
        <v>5</v>
      </c>
      <c r="O67">
        <f t="shared" ref="O67:O130" si="14">IF(AND($M67&gt;=5, $M67&lt;=10),C67-1.2,C67)</f>
        <v>11.1</v>
      </c>
      <c r="P67">
        <f t="shared" ref="P67:P130" si="15">IF(AND($M67&gt;=5, $M67&lt;=10),D67-1.2,D67)</f>
        <v>10.71</v>
      </c>
      <c r="Q67">
        <f t="shared" ref="Q67:Q130" si="16">IF(OR(N67 = 7, N67 = 8),ROUNDDOWN(J67 * 1.07,2), J67)</f>
        <v>15.27</v>
      </c>
      <c r="R67">
        <f t="shared" ref="R67:R130" si="17">IF(AND($M67&gt;=5, $M67&lt;=10),K67-1.2,K67)</f>
        <v>13</v>
      </c>
      <c r="S67">
        <f t="shared" ref="S67:S130" si="18">IF($N67=5,O67+0.9,O67)</f>
        <v>12</v>
      </c>
      <c r="T67">
        <f t="shared" ref="T67:T130" si="19">IF($N67=5,P67+0.9,P67)</f>
        <v>11.610000000000001</v>
      </c>
      <c r="U67">
        <f t="shared" ref="U67:U130" si="20">IF($N67=5,Q67+0.9,Q67)</f>
        <v>16.169999999999998</v>
      </c>
      <c r="V67">
        <f t="shared" ref="V67:V130" si="21">IF($N67=5,R67+0.9,R67)</f>
        <v>13.9</v>
      </c>
      <c r="W67" s="10">
        <v>42502</v>
      </c>
      <c r="X67" s="11">
        <v>0.21249999999999999</v>
      </c>
    </row>
    <row r="68" spans="1:24" x14ac:dyDescent="0.35">
      <c r="A68" s="6">
        <v>42504</v>
      </c>
      <c r="B68" s="7">
        <v>0.25277777777777777</v>
      </c>
      <c r="C68" s="8">
        <v>11.68</v>
      </c>
      <c r="D68" s="8">
        <v>11.47</v>
      </c>
      <c r="E68" s="8">
        <v>13.02</v>
      </c>
      <c r="F68" s="8">
        <v>15.91</v>
      </c>
      <c r="G68" s="8">
        <v>15.06</v>
      </c>
      <c r="H68" s="8">
        <v>12.81</v>
      </c>
      <c r="I68" s="8">
        <v>13.48</v>
      </c>
      <c r="J68" s="8">
        <v>15.31</v>
      </c>
      <c r="K68" s="8">
        <v>12.15</v>
      </c>
      <c r="L68" s="9">
        <v>15.42</v>
      </c>
      <c r="M68">
        <f t="shared" si="12"/>
        <v>14</v>
      </c>
      <c r="N68">
        <f t="shared" si="13"/>
        <v>5</v>
      </c>
      <c r="O68">
        <f t="shared" si="14"/>
        <v>11.68</v>
      </c>
      <c r="P68">
        <f t="shared" si="15"/>
        <v>11.47</v>
      </c>
      <c r="Q68">
        <f t="shared" si="16"/>
        <v>15.31</v>
      </c>
      <c r="R68">
        <f t="shared" si="17"/>
        <v>12.15</v>
      </c>
      <c r="S68">
        <f t="shared" si="18"/>
        <v>12.58</v>
      </c>
      <c r="T68">
        <f t="shared" si="19"/>
        <v>12.370000000000001</v>
      </c>
      <c r="U68">
        <f t="shared" si="20"/>
        <v>16.21</v>
      </c>
      <c r="V68">
        <f t="shared" si="21"/>
        <v>13.05</v>
      </c>
      <c r="W68" s="6">
        <v>42504</v>
      </c>
      <c r="X68" s="7">
        <v>0.25277777777777777</v>
      </c>
    </row>
    <row r="69" spans="1:24" x14ac:dyDescent="0.35">
      <c r="A69" s="10">
        <v>42505</v>
      </c>
      <c r="B69" s="11">
        <v>0.21666666666666667</v>
      </c>
      <c r="C69" s="12">
        <v>10.51</v>
      </c>
      <c r="D69" s="12">
        <v>14.98</v>
      </c>
      <c r="E69" s="12">
        <v>11.3</v>
      </c>
      <c r="F69" s="12">
        <v>13.92</v>
      </c>
      <c r="G69" s="12">
        <v>11.65</v>
      </c>
      <c r="H69" s="12">
        <v>11.59</v>
      </c>
      <c r="I69" s="12">
        <v>12.63</v>
      </c>
      <c r="J69" s="12">
        <v>11.94</v>
      </c>
      <c r="K69" s="12">
        <v>15.32</v>
      </c>
      <c r="L69" s="13">
        <v>15.34</v>
      </c>
      <c r="M69">
        <f t="shared" si="12"/>
        <v>15</v>
      </c>
      <c r="N69">
        <f t="shared" si="13"/>
        <v>5</v>
      </c>
      <c r="O69">
        <f t="shared" si="14"/>
        <v>10.51</v>
      </c>
      <c r="P69">
        <f t="shared" si="15"/>
        <v>14.98</v>
      </c>
      <c r="Q69">
        <f t="shared" si="16"/>
        <v>11.94</v>
      </c>
      <c r="R69">
        <f t="shared" si="17"/>
        <v>15.32</v>
      </c>
      <c r="S69">
        <f t="shared" si="18"/>
        <v>11.41</v>
      </c>
      <c r="T69">
        <f t="shared" si="19"/>
        <v>15.88</v>
      </c>
      <c r="U69">
        <f t="shared" si="20"/>
        <v>12.84</v>
      </c>
      <c r="V69">
        <f t="shared" si="21"/>
        <v>16.22</v>
      </c>
      <c r="W69" s="10">
        <v>42505</v>
      </c>
      <c r="X69" s="11">
        <v>0.21666666666666667</v>
      </c>
    </row>
    <row r="70" spans="1:24" x14ac:dyDescent="0.35">
      <c r="A70" s="6">
        <v>42508</v>
      </c>
      <c r="B70" s="7">
        <v>0.42152777777777778</v>
      </c>
      <c r="C70" s="8">
        <v>15.87</v>
      </c>
      <c r="D70" s="8">
        <v>13.65</v>
      </c>
      <c r="E70" s="8">
        <v>11.34</v>
      </c>
      <c r="F70" s="8">
        <v>11.16</v>
      </c>
      <c r="G70" s="8">
        <v>13.12</v>
      </c>
      <c r="H70" s="8">
        <v>15.5</v>
      </c>
      <c r="I70" s="8">
        <v>15.84</v>
      </c>
      <c r="J70" s="8">
        <v>12.26</v>
      </c>
      <c r="K70" s="8">
        <v>10.69</v>
      </c>
      <c r="L70" s="9">
        <v>15.72</v>
      </c>
      <c r="M70">
        <f t="shared" si="12"/>
        <v>18</v>
      </c>
      <c r="N70">
        <f t="shared" si="13"/>
        <v>5</v>
      </c>
      <c r="O70">
        <f t="shared" si="14"/>
        <v>15.87</v>
      </c>
      <c r="P70">
        <f t="shared" si="15"/>
        <v>13.65</v>
      </c>
      <c r="Q70">
        <f t="shared" si="16"/>
        <v>12.26</v>
      </c>
      <c r="R70">
        <f t="shared" si="17"/>
        <v>10.69</v>
      </c>
      <c r="S70">
        <f t="shared" si="18"/>
        <v>16.77</v>
      </c>
      <c r="T70">
        <f t="shared" si="19"/>
        <v>14.55</v>
      </c>
      <c r="U70">
        <f t="shared" si="20"/>
        <v>13.16</v>
      </c>
      <c r="V70">
        <f t="shared" si="21"/>
        <v>11.59</v>
      </c>
      <c r="W70" s="6">
        <v>42508</v>
      </c>
      <c r="X70" s="7">
        <v>0.42152777777777778</v>
      </c>
    </row>
    <row r="71" spans="1:24" x14ac:dyDescent="0.35">
      <c r="A71" s="10">
        <v>42511</v>
      </c>
      <c r="B71" s="11">
        <v>0.1673611111111111</v>
      </c>
      <c r="C71" s="12">
        <v>10.07</v>
      </c>
      <c r="D71" s="12">
        <v>14.53</v>
      </c>
      <c r="E71" s="12">
        <v>10.54</v>
      </c>
      <c r="F71" s="12">
        <v>13.02</v>
      </c>
      <c r="G71" s="12">
        <v>10.56</v>
      </c>
      <c r="H71" s="12">
        <v>15.58</v>
      </c>
      <c r="I71" s="12">
        <v>14.05</v>
      </c>
      <c r="J71" s="12">
        <v>13.12</v>
      </c>
      <c r="K71" s="12">
        <v>14.65</v>
      </c>
      <c r="L71" s="13">
        <v>14.15</v>
      </c>
      <c r="M71">
        <f t="shared" si="12"/>
        <v>21</v>
      </c>
      <c r="N71">
        <f t="shared" si="13"/>
        <v>5</v>
      </c>
      <c r="O71">
        <f t="shared" si="14"/>
        <v>10.07</v>
      </c>
      <c r="P71">
        <f t="shared" si="15"/>
        <v>14.53</v>
      </c>
      <c r="Q71">
        <f t="shared" si="16"/>
        <v>13.12</v>
      </c>
      <c r="R71">
        <f t="shared" si="17"/>
        <v>14.65</v>
      </c>
      <c r="S71">
        <f t="shared" si="18"/>
        <v>10.97</v>
      </c>
      <c r="T71">
        <f t="shared" si="19"/>
        <v>15.43</v>
      </c>
      <c r="U71">
        <f t="shared" si="20"/>
        <v>14.02</v>
      </c>
      <c r="V71">
        <f t="shared" si="21"/>
        <v>15.55</v>
      </c>
      <c r="W71" s="10">
        <v>42511</v>
      </c>
      <c r="X71" s="11">
        <v>0.1673611111111111</v>
      </c>
    </row>
    <row r="72" spans="1:24" x14ac:dyDescent="0.35">
      <c r="A72" s="6">
        <v>42512</v>
      </c>
      <c r="B72" s="7">
        <v>0.29722222222222222</v>
      </c>
      <c r="C72" s="8">
        <v>13.92</v>
      </c>
      <c r="D72" s="8">
        <v>10.86</v>
      </c>
      <c r="E72" s="8">
        <v>11.05</v>
      </c>
      <c r="F72" s="8">
        <v>14.16</v>
      </c>
      <c r="G72" s="8">
        <v>11.48</v>
      </c>
      <c r="H72" s="8">
        <v>10.45</v>
      </c>
      <c r="I72" s="8">
        <v>14.61</v>
      </c>
      <c r="J72" s="8">
        <v>12.83</v>
      </c>
      <c r="K72" s="8">
        <v>12.25</v>
      </c>
      <c r="L72" s="9">
        <v>14.67</v>
      </c>
      <c r="M72">
        <f t="shared" si="12"/>
        <v>22</v>
      </c>
      <c r="N72">
        <f t="shared" si="13"/>
        <v>5</v>
      </c>
      <c r="O72">
        <f t="shared" si="14"/>
        <v>13.92</v>
      </c>
      <c r="P72">
        <f t="shared" si="15"/>
        <v>10.86</v>
      </c>
      <c r="Q72">
        <f t="shared" si="16"/>
        <v>12.83</v>
      </c>
      <c r="R72">
        <f t="shared" si="17"/>
        <v>12.25</v>
      </c>
      <c r="S72">
        <f t="shared" si="18"/>
        <v>14.82</v>
      </c>
      <c r="T72">
        <f t="shared" si="19"/>
        <v>11.76</v>
      </c>
      <c r="U72">
        <f t="shared" si="20"/>
        <v>13.73</v>
      </c>
      <c r="V72">
        <f t="shared" si="21"/>
        <v>13.15</v>
      </c>
      <c r="W72" s="6">
        <v>42512</v>
      </c>
      <c r="X72" s="7">
        <v>0.29722222222222222</v>
      </c>
    </row>
    <row r="73" spans="1:24" x14ac:dyDescent="0.35">
      <c r="A73" s="10">
        <v>42517</v>
      </c>
      <c r="B73" s="11">
        <v>0.38055555555555554</v>
      </c>
      <c r="C73" s="12">
        <v>15.58</v>
      </c>
      <c r="D73" s="12">
        <v>13.33</v>
      </c>
      <c r="E73" s="12">
        <v>15.53</v>
      </c>
      <c r="F73" s="12">
        <v>12.12</v>
      </c>
      <c r="G73" s="12">
        <v>10.78</v>
      </c>
      <c r="H73" s="12">
        <v>15.67</v>
      </c>
      <c r="I73" s="12">
        <v>12.74</v>
      </c>
      <c r="J73" s="12">
        <v>12.88</v>
      </c>
      <c r="K73" s="12">
        <v>11.93</v>
      </c>
      <c r="L73" s="13">
        <v>11.17</v>
      </c>
      <c r="M73">
        <f t="shared" si="12"/>
        <v>27</v>
      </c>
      <c r="N73">
        <f t="shared" si="13"/>
        <v>5</v>
      </c>
      <c r="O73">
        <f t="shared" si="14"/>
        <v>15.58</v>
      </c>
      <c r="P73">
        <f t="shared" si="15"/>
        <v>13.33</v>
      </c>
      <c r="Q73">
        <f t="shared" si="16"/>
        <v>12.88</v>
      </c>
      <c r="R73">
        <f t="shared" si="17"/>
        <v>11.93</v>
      </c>
      <c r="S73">
        <f t="shared" si="18"/>
        <v>16.48</v>
      </c>
      <c r="T73">
        <f t="shared" si="19"/>
        <v>14.23</v>
      </c>
      <c r="U73">
        <f t="shared" si="20"/>
        <v>13.780000000000001</v>
      </c>
      <c r="V73">
        <f t="shared" si="21"/>
        <v>12.83</v>
      </c>
      <c r="W73" s="10">
        <v>42517</v>
      </c>
      <c r="X73" s="11">
        <v>0.38055555555555554</v>
      </c>
    </row>
    <row r="74" spans="1:24" x14ac:dyDescent="0.35">
      <c r="A74" s="6">
        <v>42518</v>
      </c>
      <c r="B74" s="7">
        <v>8.9583333333333334E-2</v>
      </c>
      <c r="C74" s="8">
        <v>14.66</v>
      </c>
      <c r="D74" s="8">
        <v>12.46</v>
      </c>
      <c r="E74" s="8">
        <v>12.31</v>
      </c>
      <c r="F74" s="8">
        <v>10.050000000000001</v>
      </c>
      <c r="G74" s="8">
        <v>15.48</v>
      </c>
      <c r="H74" s="8">
        <v>15.29</v>
      </c>
      <c r="I74" s="8">
        <v>15.23</v>
      </c>
      <c r="J74" s="8">
        <v>15.32</v>
      </c>
      <c r="K74" s="8">
        <v>13.62</v>
      </c>
      <c r="L74" s="9">
        <v>15.68</v>
      </c>
      <c r="M74">
        <f t="shared" si="12"/>
        <v>28</v>
      </c>
      <c r="N74">
        <f t="shared" si="13"/>
        <v>5</v>
      </c>
      <c r="O74">
        <f t="shared" si="14"/>
        <v>14.66</v>
      </c>
      <c r="P74">
        <f t="shared" si="15"/>
        <v>12.46</v>
      </c>
      <c r="Q74">
        <f t="shared" si="16"/>
        <v>15.32</v>
      </c>
      <c r="R74">
        <f t="shared" si="17"/>
        <v>13.62</v>
      </c>
      <c r="S74">
        <f t="shared" si="18"/>
        <v>15.56</v>
      </c>
      <c r="T74">
        <f t="shared" si="19"/>
        <v>13.360000000000001</v>
      </c>
      <c r="U74">
        <f t="shared" si="20"/>
        <v>16.22</v>
      </c>
      <c r="V74">
        <f t="shared" si="21"/>
        <v>14.52</v>
      </c>
      <c r="W74" s="6">
        <v>42518</v>
      </c>
      <c r="X74" s="7">
        <v>8.9583333333333334E-2</v>
      </c>
    </row>
    <row r="75" spans="1:24" x14ac:dyDescent="0.35">
      <c r="A75" s="10">
        <v>42523</v>
      </c>
      <c r="B75" s="11">
        <v>0.4201388888888889</v>
      </c>
      <c r="C75" s="12">
        <v>19.510000000000002</v>
      </c>
      <c r="D75" s="12">
        <v>12.69</v>
      </c>
      <c r="E75" s="12">
        <v>11.38</v>
      </c>
      <c r="F75" s="12">
        <v>15.99</v>
      </c>
      <c r="G75" s="12">
        <v>15.35</v>
      </c>
      <c r="H75" s="12">
        <v>17.239999999999998</v>
      </c>
      <c r="I75" s="12">
        <v>12.54</v>
      </c>
      <c r="J75" s="12">
        <v>12.24</v>
      </c>
      <c r="K75" s="12">
        <v>13.03</v>
      </c>
      <c r="L75" s="13">
        <v>19.329999999999998</v>
      </c>
      <c r="M75">
        <f t="shared" si="12"/>
        <v>2</v>
      </c>
      <c r="N75">
        <f t="shared" si="13"/>
        <v>6</v>
      </c>
      <c r="O75">
        <f t="shared" si="14"/>
        <v>19.510000000000002</v>
      </c>
      <c r="P75">
        <f t="shared" si="15"/>
        <v>12.69</v>
      </c>
      <c r="Q75">
        <f t="shared" si="16"/>
        <v>12.24</v>
      </c>
      <c r="R75">
        <f t="shared" si="17"/>
        <v>13.03</v>
      </c>
      <c r="S75">
        <f t="shared" si="18"/>
        <v>19.510000000000002</v>
      </c>
      <c r="T75">
        <f t="shared" si="19"/>
        <v>12.69</v>
      </c>
      <c r="U75">
        <f t="shared" si="20"/>
        <v>12.24</v>
      </c>
      <c r="V75">
        <f t="shared" si="21"/>
        <v>13.03</v>
      </c>
      <c r="W75" s="10">
        <v>42523</v>
      </c>
      <c r="X75" s="11">
        <v>0.4201388888888889</v>
      </c>
    </row>
    <row r="76" spans="1:24" x14ac:dyDescent="0.35">
      <c r="A76" s="6">
        <v>42526</v>
      </c>
      <c r="B76" s="7">
        <v>8.5416666666666669E-2</v>
      </c>
      <c r="C76" s="8">
        <v>10.039999999999999</v>
      </c>
      <c r="D76" s="8">
        <v>10.19</v>
      </c>
      <c r="E76" s="8">
        <v>19.75</v>
      </c>
      <c r="F76" s="8">
        <v>15.2</v>
      </c>
      <c r="G76" s="8">
        <v>18.100000000000001</v>
      </c>
      <c r="H76" s="8">
        <v>14.37</v>
      </c>
      <c r="I76" s="8">
        <v>15.28</v>
      </c>
      <c r="J76" s="8">
        <v>11.85</v>
      </c>
      <c r="K76" s="8">
        <v>12.32</v>
      </c>
      <c r="L76" s="9">
        <v>12.94</v>
      </c>
      <c r="M76">
        <f t="shared" si="12"/>
        <v>5</v>
      </c>
      <c r="N76">
        <f t="shared" si="13"/>
        <v>6</v>
      </c>
      <c r="O76">
        <f t="shared" si="14"/>
        <v>8.84</v>
      </c>
      <c r="P76">
        <f t="shared" si="15"/>
        <v>8.99</v>
      </c>
      <c r="Q76">
        <f t="shared" si="16"/>
        <v>11.85</v>
      </c>
      <c r="R76">
        <f t="shared" si="17"/>
        <v>11.120000000000001</v>
      </c>
      <c r="S76">
        <f t="shared" si="18"/>
        <v>8.84</v>
      </c>
      <c r="T76">
        <f t="shared" si="19"/>
        <v>8.99</v>
      </c>
      <c r="U76">
        <f t="shared" si="20"/>
        <v>11.85</v>
      </c>
      <c r="V76">
        <f t="shared" si="21"/>
        <v>11.120000000000001</v>
      </c>
      <c r="W76" s="6">
        <v>42526</v>
      </c>
      <c r="X76" s="7">
        <v>8.5416666666666669E-2</v>
      </c>
    </row>
    <row r="77" spans="1:24" x14ac:dyDescent="0.35">
      <c r="A77" s="10">
        <v>42529</v>
      </c>
      <c r="B77" s="11">
        <v>0.12638888888888888</v>
      </c>
      <c r="C77" s="12">
        <v>11.12</v>
      </c>
      <c r="D77" s="12">
        <v>15.77</v>
      </c>
      <c r="E77" s="12">
        <v>19.170000000000002</v>
      </c>
      <c r="F77" s="12">
        <v>10.32</v>
      </c>
      <c r="G77" s="12">
        <v>10.9</v>
      </c>
      <c r="H77" s="12">
        <v>10.58</v>
      </c>
      <c r="I77" s="12">
        <v>16.86</v>
      </c>
      <c r="J77" s="12">
        <v>17.149999999999999</v>
      </c>
      <c r="K77" s="12">
        <v>19.41</v>
      </c>
      <c r="L77" s="13">
        <v>12.24</v>
      </c>
      <c r="M77">
        <f t="shared" si="12"/>
        <v>8</v>
      </c>
      <c r="N77">
        <f t="shared" si="13"/>
        <v>6</v>
      </c>
      <c r="O77">
        <f t="shared" si="14"/>
        <v>9.92</v>
      </c>
      <c r="P77">
        <f t="shared" si="15"/>
        <v>14.57</v>
      </c>
      <c r="Q77">
        <f t="shared" si="16"/>
        <v>17.149999999999999</v>
      </c>
      <c r="R77">
        <f t="shared" si="17"/>
        <v>18.21</v>
      </c>
      <c r="S77">
        <f t="shared" si="18"/>
        <v>9.92</v>
      </c>
      <c r="T77">
        <f t="shared" si="19"/>
        <v>14.57</v>
      </c>
      <c r="U77">
        <f t="shared" si="20"/>
        <v>17.149999999999999</v>
      </c>
      <c r="V77">
        <f t="shared" si="21"/>
        <v>18.21</v>
      </c>
      <c r="W77" s="10">
        <v>42529</v>
      </c>
      <c r="X77" s="11">
        <v>0.12638888888888888</v>
      </c>
    </row>
    <row r="78" spans="1:24" x14ac:dyDescent="0.35">
      <c r="A78" s="6">
        <v>42530</v>
      </c>
      <c r="B78" s="7">
        <v>4.5138888888888888E-2</v>
      </c>
      <c r="C78" s="8">
        <v>14.55</v>
      </c>
      <c r="D78" s="8">
        <v>15.16</v>
      </c>
      <c r="E78" s="8">
        <v>11.74</v>
      </c>
      <c r="F78" s="8">
        <v>18.350000000000001</v>
      </c>
      <c r="G78" s="8">
        <v>10.87</v>
      </c>
      <c r="H78" s="8">
        <v>14.03</v>
      </c>
      <c r="I78" s="8">
        <v>14.75</v>
      </c>
      <c r="J78" s="8">
        <v>18.78</v>
      </c>
      <c r="K78" s="8">
        <v>15.52</v>
      </c>
      <c r="L78" s="9">
        <v>18.690000000000001</v>
      </c>
      <c r="M78">
        <f t="shared" si="12"/>
        <v>9</v>
      </c>
      <c r="N78">
        <f t="shared" si="13"/>
        <v>6</v>
      </c>
      <c r="O78">
        <f t="shared" si="14"/>
        <v>13.350000000000001</v>
      </c>
      <c r="P78">
        <f t="shared" si="15"/>
        <v>13.96</v>
      </c>
      <c r="Q78">
        <f t="shared" si="16"/>
        <v>18.78</v>
      </c>
      <c r="R78">
        <f t="shared" si="17"/>
        <v>14.32</v>
      </c>
      <c r="S78">
        <f t="shared" si="18"/>
        <v>13.350000000000001</v>
      </c>
      <c r="T78">
        <f t="shared" si="19"/>
        <v>13.96</v>
      </c>
      <c r="U78">
        <f t="shared" si="20"/>
        <v>18.78</v>
      </c>
      <c r="V78">
        <f t="shared" si="21"/>
        <v>14.32</v>
      </c>
      <c r="W78" s="6">
        <v>42530</v>
      </c>
      <c r="X78" s="7">
        <v>4.5138888888888888E-2</v>
      </c>
    </row>
    <row r="79" spans="1:24" x14ac:dyDescent="0.35">
      <c r="A79" s="10">
        <v>42532</v>
      </c>
      <c r="B79" s="11">
        <v>0.17222222222222222</v>
      </c>
      <c r="C79" s="12">
        <v>17.7</v>
      </c>
      <c r="D79" s="12">
        <v>15.76</v>
      </c>
      <c r="E79" s="12">
        <v>11.34</v>
      </c>
      <c r="F79" s="12">
        <v>15.04</v>
      </c>
      <c r="G79" s="12">
        <v>16.18</v>
      </c>
      <c r="H79" s="12">
        <v>12.14</v>
      </c>
      <c r="I79" s="12">
        <v>13.44</v>
      </c>
      <c r="J79" s="12">
        <v>14.12</v>
      </c>
      <c r="K79" s="12">
        <v>15.27</v>
      </c>
      <c r="L79" s="13">
        <v>13.19</v>
      </c>
      <c r="M79">
        <f t="shared" si="12"/>
        <v>11</v>
      </c>
      <c r="N79">
        <f t="shared" si="13"/>
        <v>6</v>
      </c>
      <c r="O79">
        <f t="shared" si="14"/>
        <v>17.7</v>
      </c>
      <c r="P79">
        <f t="shared" si="15"/>
        <v>15.76</v>
      </c>
      <c r="Q79">
        <f t="shared" si="16"/>
        <v>14.12</v>
      </c>
      <c r="R79">
        <f t="shared" si="17"/>
        <v>15.27</v>
      </c>
      <c r="S79">
        <f t="shared" si="18"/>
        <v>17.7</v>
      </c>
      <c r="T79">
        <f t="shared" si="19"/>
        <v>15.76</v>
      </c>
      <c r="U79">
        <f t="shared" si="20"/>
        <v>14.12</v>
      </c>
      <c r="V79">
        <f t="shared" si="21"/>
        <v>15.27</v>
      </c>
      <c r="W79" s="10">
        <v>42532</v>
      </c>
      <c r="X79" s="11">
        <v>0.17222222222222222</v>
      </c>
    </row>
    <row r="80" spans="1:24" x14ac:dyDescent="0.35">
      <c r="A80" s="6">
        <v>42532</v>
      </c>
      <c r="B80" s="7">
        <v>0.41875000000000001</v>
      </c>
      <c r="C80" s="8">
        <v>13.13</v>
      </c>
      <c r="D80" s="8">
        <v>12.12</v>
      </c>
      <c r="E80" s="8">
        <v>11.6</v>
      </c>
      <c r="F80" s="8">
        <v>11.76</v>
      </c>
      <c r="G80" s="8">
        <v>16.309999999999999</v>
      </c>
      <c r="H80" s="8">
        <v>19.27</v>
      </c>
      <c r="I80" s="8">
        <v>17.64</v>
      </c>
      <c r="J80" s="8">
        <v>14.87</v>
      </c>
      <c r="K80" s="8">
        <v>11.94</v>
      </c>
      <c r="L80" s="9">
        <v>15.91</v>
      </c>
      <c r="M80">
        <f t="shared" si="12"/>
        <v>11</v>
      </c>
      <c r="N80">
        <f t="shared" si="13"/>
        <v>6</v>
      </c>
      <c r="O80">
        <f t="shared" si="14"/>
        <v>13.13</v>
      </c>
      <c r="P80">
        <f t="shared" si="15"/>
        <v>12.12</v>
      </c>
      <c r="Q80">
        <f t="shared" si="16"/>
        <v>14.87</v>
      </c>
      <c r="R80">
        <f t="shared" si="17"/>
        <v>11.94</v>
      </c>
      <c r="S80">
        <f t="shared" si="18"/>
        <v>13.13</v>
      </c>
      <c r="T80">
        <f t="shared" si="19"/>
        <v>12.12</v>
      </c>
      <c r="U80">
        <f t="shared" si="20"/>
        <v>14.87</v>
      </c>
      <c r="V80">
        <f t="shared" si="21"/>
        <v>11.94</v>
      </c>
      <c r="W80" s="6">
        <v>42532</v>
      </c>
      <c r="X80" s="7">
        <v>0.41875000000000001</v>
      </c>
    </row>
    <row r="81" spans="1:24" x14ac:dyDescent="0.35">
      <c r="A81" s="10">
        <v>42534</v>
      </c>
      <c r="B81" s="11">
        <v>0.17291666666666666</v>
      </c>
      <c r="C81" s="12">
        <v>10.39</v>
      </c>
      <c r="D81" s="12">
        <v>13.61</v>
      </c>
      <c r="E81" s="12">
        <v>11.2</v>
      </c>
      <c r="F81" s="12">
        <v>14.79</v>
      </c>
      <c r="G81" s="12">
        <v>12.21</v>
      </c>
      <c r="H81" s="12">
        <v>16.760000000000002</v>
      </c>
      <c r="I81" s="12">
        <v>13.09</v>
      </c>
      <c r="J81" s="12">
        <v>14.26</v>
      </c>
      <c r="K81" s="12">
        <v>10.45</v>
      </c>
      <c r="L81" s="13">
        <v>11.46</v>
      </c>
      <c r="M81">
        <f t="shared" si="12"/>
        <v>13</v>
      </c>
      <c r="N81">
        <f t="shared" si="13"/>
        <v>6</v>
      </c>
      <c r="O81">
        <f t="shared" si="14"/>
        <v>10.39</v>
      </c>
      <c r="P81">
        <f t="shared" si="15"/>
        <v>13.61</v>
      </c>
      <c r="Q81">
        <f t="shared" si="16"/>
        <v>14.26</v>
      </c>
      <c r="R81">
        <f t="shared" si="17"/>
        <v>10.45</v>
      </c>
      <c r="S81">
        <f t="shared" si="18"/>
        <v>10.39</v>
      </c>
      <c r="T81">
        <f t="shared" si="19"/>
        <v>13.61</v>
      </c>
      <c r="U81">
        <f t="shared" si="20"/>
        <v>14.26</v>
      </c>
      <c r="V81">
        <f t="shared" si="21"/>
        <v>10.45</v>
      </c>
      <c r="W81" s="10">
        <v>42534</v>
      </c>
      <c r="X81" s="11">
        <v>0.17291666666666666</v>
      </c>
    </row>
    <row r="82" spans="1:24" x14ac:dyDescent="0.35">
      <c r="A82" s="6">
        <v>42534</v>
      </c>
      <c r="B82" s="7">
        <v>0.45833333333333331</v>
      </c>
      <c r="C82" s="8">
        <v>13.07</v>
      </c>
      <c r="D82" s="8">
        <v>17.61</v>
      </c>
      <c r="E82" s="8">
        <v>13.36</v>
      </c>
      <c r="F82" s="8">
        <v>19.489999999999998</v>
      </c>
      <c r="G82" s="8">
        <v>17.190000000000001</v>
      </c>
      <c r="H82" s="8">
        <v>12.99</v>
      </c>
      <c r="I82" s="8">
        <v>17.79</v>
      </c>
      <c r="J82" s="8">
        <v>18.54</v>
      </c>
      <c r="K82" s="8">
        <v>11.92</v>
      </c>
      <c r="L82" s="9">
        <v>16.47</v>
      </c>
      <c r="M82">
        <f t="shared" si="12"/>
        <v>13</v>
      </c>
      <c r="N82">
        <f t="shared" si="13"/>
        <v>6</v>
      </c>
      <c r="O82">
        <f t="shared" si="14"/>
        <v>13.07</v>
      </c>
      <c r="P82">
        <f t="shared" si="15"/>
        <v>17.61</v>
      </c>
      <c r="Q82">
        <f t="shared" si="16"/>
        <v>18.54</v>
      </c>
      <c r="R82">
        <f t="shared" si="17"/>
        <v>11.92</v>
      </c>
      <c r="S82">
        <f t="shared" si="18"/>
        <v>13.07</v>
      </c>
      <c r="T82">
        <f t="shared" si="19"/>
        <v>17.61</v>
      </c>
      <c r="U82">
        <f t="shared" si="20"/>
        <v>18.54</v>
      </c>
      <c r="V82">
        <f t="shared" si="21"/>
        <v>11.92</v>
      </c>
      <c r="W82" s="6">
        <v>42534</v>
      </c>
      <c r="X82" s="7">
        <v>0.45833333333333331</v>
      </c>
    </row>
    <row r="83" spans="1:24" x14ac:dyDescent="0.35">
      <c r="A83" s="10">
        <v>42536</v>
      </c>
      <c r="B83" s="11">
        <v>0.25624999999999998</v>
      </c>
      <c r="C83" s="12">
        <v>17.18</v>
      </c>
      <c r="D83" s="12">
        <v>18.510000000000002</v>
      </c>
      <c r="E83" s="12">
        <v>18.23</v>
      </c>
      <c r="F83" s="12">
        <v>18.190000000000001</v>
      </c>
      <c r="G83" s="12">
        <v>17.61</v>
      </c>
      <c r="H83" s="12">
        <v>16.04</v>
      </c>
      <c r="I83" s="12">
        <v>14.39</v>
      </c>
      <c r="J83" s="12">
        <v>18.010000000000002</v>
      </c>
      <c r="K83" s="12">
        <v>14.9</v>
      </c>
      <c r="L83" s="13">
        <v>10.26</v>
      </c>
      <c r="M83">
        <f t="shared" si="12"/>
        <v>15</v>
      </c>
      <c r="N83">
        <f t="shared" si="13"/>
        <v>6</v>
      </c>
      <c r="O83">
        <f t="shared" si="14"/>
        <v>17.18</v>
      </c>
      <c r="P83">
        <f t="shared" si="15"/>
        <v>18.510000000000002</v>
      </c>
      <c r="Q83">
        <f t="shared" si="16"/>
        <v>18.010000000000002</v>
      </c>
      <c r="R83">
        <f t="shared" si="17"/>
        <v>14.9</v>
      </c>
      <c r="S83">
        <f t="shared" si="18"/>
        <v>17.18</v>
      </c>
      <c r="T83">
        <f t="shared" si="19"/>
        <v>18.510000000000002</v>
      </c>
      <c r="U83">
        <f t="shared" si="20"/>
        <v>18.010000000000002</v>
      </c>
      <c r="V83">
        <f t="shared" si="21"/>
        <v>14.9</v>
      </c>
      <c r="W83" s="10">
        <v>42536</v>
      </c>
      <c r="X83" s="11">
        <v>0.25624999999999998</v>
      </c>
    </row>
    <row r="84" spans="1:24" x14ac:dyDescent="0.35">
      <c r="A84" s="6">
        <v>42536</v>
      </c>
      <c r="B84" s="7">
        <v>0.46111111111111114</v>
      </c>
      <c r="C84" s="8">
        <v>11.02</v>
      </c>
      <c r="D84" s="8">
        <v>16.95</v>
      </c>
      <c r="E84" s="8">
        <v>12.02</v>
      </c>
      <c r="F84" s="8">
        <v>10.31</v>
      </c>
      <c r="G84" s="8">
        <v>17.45</v>
      </c>
      <c r="H84" s="8">
        <v>18</v>
      </c>
      <c r="I84" s="8">
        <v>10.19</v>
      </c>
      <c r="J84" s="8">
        <v>13.26</v>
      </c>
      <c r="K84" s="8">
        <v>12.17</v>
      </c>
      <c r="L84" s="9">
        <v>14.58</v>
      </c>
      <c r="M84">
        <f t="shared" si="12"/>
        <v>15</v>
      </c>
      <c r="N84">
        <f t="shared" si="13"/>
        <v>6</v>
      </c>
      <c r="O84">
        <f t="shared" si="14"/>
        <v>11.02</v>
      </c>
      <c r="P84">
        <f t="shared" si="15"/>
        <v>16.95</v>
      </c>
      <c r="Q84">
        <f t="shared" si="16"/>
        <v>13.26</v>
      </c>
      <c r="R84">
        <f t="shared" si="17"/>
        <v>12.17</v>
      </c>
      <c r="S84">
        <f t="shared" si="18"/>
        <v>11.02</v>
      </c>
      <c r="T84">
        <f t="shared" si="19"/>
        <v>16.95</v>
      </c>
      <c r="U84">
        <f t="shared" si="20"/>
        <v>13.26</v>
      </c>
      <c r="V84">
        <f t="shared" si="21"/>
        <v>12.17</v>
      </c>
      <c r="W84" s="6">
        <v>42536</v>
      </c>
      <c r="X84" s="7">
        <v>0.46111111111111114</v>
      </c>
    </row>
    <row r="85" spans="1:24" x14ac:dyDescent="0.35">
      <c r="A85" s="10">
        <v>42537</v>
      </c>
      <c r="B85" s="11">
        <v>8.9583333333333334E-2</v>
      </c>
      <c r="C85" s="12">
        <v>12.05</v>
      </c>
      <c r="D85" s="12">
        <v>13.7</v>
      </c>
      <c r="E85" s="12">
        <v>12.71</v>
      </c>
      <c r="F85" s="12">
        <v>15.73</v>
      </c>
      <c r="G85" s="12">
        <v>19.93</v>
      </c>
      <c r="H85" s="12">
        <v>19.27</v>
      </c>
      <c r="I85" s="12">
        <v>11.13</v>
      </c>
      <c r="J85" s="12">
        <v>14.74</v>
      </c>
      <c r="K85" s="12">
        <v>15.42</v>
      </c>
      <c r="L85" s="13">
        <v>12.66</v>
      </c>
      <c r="M85">
        <f t="shared" si="12"/>
        <v>16</v>
      </c>
      <c r="N85">
        <f t="shared" si="13"/>
        <v>6</v>
      </c>
      <c r="O85">
        <f t="shared" si="14"/>
        <v>12.05</v>
      </c>
      <c r="P85">
        <f t="shared" si="15"/>
        <v>13.7</v>
      </c>
      <c r="Q85">
        <f t="shared" si="16"/>
        <v>14.74</v>
      </c>
      <c r="R85">
        <f t="shared" si="17"/>
        <v>15.42</v>
      </c>
      <c r="S85">
        <f t="shared" si="18"/>
        <v>12.05</v>
      </c>
      <c r="T85">
        <f t="shared" si="19"/>
        <v>13.7</v>
      </c>
      <c r="U85">
        <f t="shared" si="20"/>
        <v>14.74</v>
      </c>
      <c r="V85">
        <f t="shared" si="21"/>
        <v>15.42</v>
      </c>
      <c r="W85" s="10">
        <v>42537</v>
      </c>
      <c r="X85" s="11">
        <v>8.9583333333333334E-2</v>
      </c>
    </row>
    <row r="86" spans="1:24" x14ac:dyDescent="0.35">
      <c r="A86" s="6">
        <v>42540</v>
      </c>
      <c r="B86" s="7">
        <v>0.37708333333333333</v>
      </c>
      <c r="C86" s="8">
        <v>13.82</v>
      </c>
      <c r="D86" s="8">
        <v>17.8</v>
      </c>
      <c r="E86" s="8">
        <v>19.18</v>
      </c>
      <c r="F86" s="8">
        <v>10.64</v>
      </c>
      <c r="G86" s="8">
        <v>11.3</v>
      </c>
      <c r="H86" s="8">
        <v>11.15</v>
      </c>
      <c r="I86" s="8">
        <v>14.03</v>
      </c>
      <c r="J86" s="8">
        <v>17.32</v>
      </c>
      <c r="K86" s="8">
        <v>18.63</v>
      </c>
      <c r="L86" s="9">
        <v>15.76</v>
      </c>
      <c r="M86">
        <f t="shared" si="12"/>
        <v>19</v>
      </c>
      <c r="N86">
        <f t="shared" si="13"/>
        <v>6</v>
      </c>
      <c r="O86">
        <f t="shared" si="14"/>
        <v>13.82</v>
      </c>
      <c r="P86">
        <f t="shared" si="15"/>
        <v>17.8</v>
      </c>
      <c r="Q86">
        <f t="shared" si="16"/>
        <v>17.32</v>
      </c>
      <c r="R86">
        <f t="shared" si="17"/>
        <v>18.63</v>
      </c>
      <c r="S86">
        <f t="shared" si="18"/>
        <v>13.82</v>
      </c>
      <c r="T86">
        <f t="shared" si="19"/>
        <v>17.8</v>
      </c>
      <c r="U86">
        <f t="shared" si="20"/>
        <v>17.32</v>
      </c>
      <c r="V86">
        <f t="shared" si="21"/>
        <v>18.63</v>
      </c>
      <c r="W86" s="6">
        <v>42540</v>
      </c>
      <c r="X86" s="7">
        <v>0.37708333333333333</v>
      </c>
    </row>
    <row r="87" spans="1:24" x14ac:dyDescent="0.35">
      <c r="A87" s="10">
        <v>42540</v>
      </c>
      <c r="B87" s="11">
        <v>0.46527777777777779</v>
      </c>
      <c r="C87" s="12">
        <v>19.010000000000002</v>
      </c>
      <c r="D87" s="12">
        <v>13.1</v>
      </c>
      <c r="E87" s="12">
        <v>14.77</v>
      </c>
      <c r="F87" s="12">
        <v>11</v>
      </c>
      <c r="G87" s="12">
        <v>19.510000000000002</v>
      </c>
      <c r="H87" s="12">
        <v>15.48</v>
      </c>
      <c r="I87" s="12">
        <v>11.75</v>
      </c>
      <c r="J87" s="12">
        <v>17.54</v>
      </c>
      <c r="K87" s="12">
        <v>11.08</v>
      </c>
      <c r="L87" s="13">
        <v>14.23</v>
      </c>
      <c r="M87">
        <f t="shared" si="12"/>
        <v>19</v>
      </c>
      <c r="N87">
        <f t="shared" si="13"/>
        <v>6</v>
      </c>
      <c r="O87">
        <f t="shared" si="14"/>
        <v>19.010000000000002</v>
      </c>
      <c r="P87">
        <f t="shared" si="15"/>
        <v>13.1</v>
      </c>
      <c r="Q87">
        <f t="shared" si="16"/>
        <v>17.54</v>
      </c>
      <c r="R87">
        <f t="shared" si="17"/>
        <v>11.08</v>
      </c>
      <c r="S87">
        <f t="shared" si="18"/>
        <v>19.010000000000002</v>
      </c>
      <c r="T87">
        <f t="shared" si="19"/>
        <v>13.1</v>
      </c>
      <c r="U87">
        <f t="shared" si="20"/>
        <v>17.54</v>
      </c>
      <c r="V87">
        <f t="shared" si="21"/>
        <v>11.08</v>
      </c>
      <c r="W87" s="10">
        <v>42540</v>
      </c>
      <c r="X87" s="11">
        <v>0.46527777777777779</v>
      </c>
    </row>
    <row r="88" spans="1:24" x14ac:dyDescent="0.35">
      <c r="A88" s="6">
        <v>42541</v>
      </c>
      <c r="B88" s="7">
        <v>2.0833333333333333E-3</v>
      </c>
      <c r="C88" s="8">
        <v>17.27</v>
      </c>
      <c r="D88" s="8">
        <v>13.06</v>
      </c>
      <c r="E88" s="8">
        <v>16.12</v>
      </c>
      <c r="F88" s="8">
        <v>19.010000000000002</v>
      </c>
      <c r="G88" s="8">
        <v>13.96</v>
      </c>
      <c r="H88" s="8">
        <v>10.029999999999999</v>
      </c>
      <c r="I88" s="8">
        <v>14.22</v>
      </c>
      <c r="J88" s="8">
        <v>14.88</v>
      </c>
      <c r="K88" s="8">
        <v>15.12</v>
      </c>
      <c r="L88" s="9">
        <v>19.73</v>
      </c>
      <c r="M88">
        <f t="shared" si="12"/>
        <v>20</v>
      </c>
      <c r="N88">
        <f t="shared" si="13"/>
        <v>6</v>
      </c>
      <c r="O88">
        <f t="shared" si="14"/>
        <v>17.27</v>
      </c>
      <c r="P88">
        <f t="shared" si="15"/>
        <v>13.06</v>
      </c>
      <c r="Q88">
        <f t="shared" si="16"/>
        <v>14.88</v>
      </c>
      <c r="R88">
        <f t="shared" si="17"/>
        <v>15.12</v>
      </c>
      <c r="S88">
        <f t="shared" si="18"/>
        <v>17.27</v>
      </c>
      <c r="T88">
        <f t="shared" si="19"/>
        <v>13.06</v>
      </c>
      <c r="U88">
        <f t="shared" si="20"/>
        <v>14.88</v>
      </c>
      <c r="V88">
        <f t="shared" si="21"/>
        <v>15.12</v>
      </c>
      <c r="W88" s="6">
        <v>42541</v>
      </c>
      <c r="X88" s="7">
        <v>2.0833333333333333E-3</v>
      </c>
    </row>
    <row r="89" spans="1:24" x14ac:dyDescent="0.35">
      <c r="A89" s="10">
        <v>42542</v>
      </c>
      <c r="B89" s="11">
        <v>0.1701388888888889</v>
      </c>
      <c r="C89" s="12">
        <v>14.93</v>
      </c>
      <c r="D89" s="12">
        <v>18.36</v>
      </c>
      <c r="E89" s="12">
        <v>18.34</v>
      </c>
      <c r="F89" s="12">
        <v>10.06</v>
      </c>
      <c r="G89" s="12">
        <v>16.440000000000001</v>
      </c>
      <c r="H89" s="12">
        <v>16.829999999999998</v>
      </c>
      <c r="I89" s="12">
        <v>18.079999999999998</v>
      </c>
      <c r="J89" s="12">
        <v>11.2</v>
      </c>
      <c r="K89" s="12">
        <v>10.56</v>
      </c>
      <c r="L89" s="13">
        <v>17.22</v>
      </c>
      <c r="M89">
        <f t="shared" si="12"/>
        <v>21</v>
      </c>
      <c r="N89">
        <f t="shared" si="13"/>
        <v>6</v>
      </c>
      <c r="O89">
        <f t="shared" si="14"/>
        <v>14.93</v>
      </c>
      <c r="P89">
        <f t="shared" si="15"/>
        <v>18.36</v>
      </c>
      <c r="Q89">
        <f t="shared" si="16"/>
        <v>11.2</v>
      </c>
      <c r="R89">
        <f t="shared" si="17"/>
        <v>10.56</v>
      </c>
      <c r="S89">
        <f t="shared" si="18"/>
        <v>14.93</v>
      </c>
      <c r="T89">
        <f t="shared" si="19"/>
        <v>18.36</v>
      </c>
      <c r="U89">
        <f t="shared" si="20"/>
        <v>11.2</v>
      </c>
      <c r="V89">
        <f t="shared" si="21"/>
        <v>10.56</v>
      </c>
      <c r="W89" s="10">
        <v>42542</v>
      </c>
      <c r="X89" s="11">
        <v>0.1701388888888889</v>
      </c>
    </row>
    <row r="90" spans="1:24" x14ac:dyDescent="0.35">
      <c r="A90" s="6">
        <v>42545</v>
      </c>
      <c r="B90" s="7">
        <v>0.2986111111111111</v>
      </c>
      <c r="C90" s="8">
        <v>15.51</v>
      </c>
      <c r="D90" s="8">
        <v>16.440000000000001</v>
      </c>
      <c r="E90" s="8">
        <v>10.02</v>
      </c>
      <c r="F90" s="8">
        <v>13.71</v>
      </c>
      <c r="G90" s="8">
        <v>10.98</v>
      </c>
      <c r="H90" s="8">
        <v>17.39</v>
      </c>
      <c r="I90" s="8">
        <v>13.73</v>
      </c>
      <c r="J90" s="8">
        <v>17.8</v>
      </c>
      <c r="K90" s="8">
        <v>14.59</v>
      </c>
      <c r="L90" s="9">
        <v>12.5</v>
      </c>
      <c r="M90">
        <f t="shared" si="12"/>
        <v>24</v>
      </c>
      <c r="N90">
        <f t="shared" si="13"/>
        <v>6</v>
      </c>
      <c r="O90">
        <f t="shared" si="14"/>
        <v>15.51</v>
      </c>
      <c r="P90">
        <f t="shared" si="15"/>
        <v>16.440000000000001</v>
      </c>
      <c r="Q90">
        <f t="shared" si="16"/>
        <v>17.8</v>
      </c>
      <c r="R90">
        <f t="shared" si="17"/>
        <v>14.59</v>
      </c>
      <c r="S90">
        <f t="shared" si="18"/>
        <v>15.51</v>
      </c>
      <c r="T90">
        <f t="shared" si="19"/>
        <v>16.440000000000001</v>
      </c>
      <c r="U90">
        <f t="shared" si="20"/>
        <v>17.8</v>
      </c>
      <c r="V90">
        <f t="shared" si="21"/>
        <v>14.59</v>
      </c>
      <c r="W90" s="6">
        <v>42545</v>
      </c>
      <c r="X90" s="7">
        <v>0.2986111111111111</v>
      </c>
    </row>
    <row r="91" spans="1:24" x14ac:dyDescent="0.35">
      <c r="A91" s="10">
        <v>42545</v>
      </c>
      <c r="B91" s="11">
        <v>0.37777777777777777</v>
      </c>
      <c r="C91" s="12">
        <v>12.83</v>
      </c>
      <c r="D91" s="12">
        <v>14.61</v>
      </c>
      <c r="E91" s="12">
        <v>19.86</v>
      </c>
      <c r="F91" s="12">
        <v>19.43</v>
      </c>
      <c r="G91" s="12">
        <v>12.83</v>
      </c>
      <c r="H91" s="12">
        <v>14</v>
      </c>
      <c r="I91" s="12">
        <v>17.329999999999998</v>
      </c>
      <c r="J91" s="12">
        <v>12.58</v>
      </c>
      <c r="K91" s="12">
        <v>12.47</v>
      </c>
      <c r="L91" s="13">
        <v>12.04</v>
      </c>
      <c r="M91">
        <f t="shared" si="12"/>
        <v>24</v>
      </c>
      <c r="N91">
        <f t="shared" si="13"/>
        <v>6</v>
      </c>
      <c r="O91">
        <f t="shared" si="14"/>
        <v>12.83</v>
      </c>
      <c r="P91">
        <f t="shared" si="15"/>
        <v>14.61</v>
      </c>
      <c r="Q91">
        <f t="shared" si="16"/>
        <v>12.58</v>
      </c>
      <c r="R91">
        <f t="shared" si="17"/>
        <v>12.47</v>
      </c>
      <c r="S91">
        <f t="shared" si="18"/>
        <v>12.83</v>
      </c>
      <c r="T91">
        <f t="shared" si="19"/>
        <v>14.61</v>
      </c>
      <c r="U91">
        <f t="shared" si="20"/>
        <v>12.58</v>
      </c>
      <c r="V91">
        <f t="shared" si="21"/>
        <v>12.47</v>
      </c>
      <c r="W91" s="10">
        <v>42545</v>
      </c>
      <c r="X91" s="11">
        <v>0.37777777777777777</v>
      </c>
    </row>
    <row r="92" spans="1:24" x14ac:dyDescent="0.35">
      <c r="A92" s="6">
        <v>42546</v>
      </c>
      <c r="B92" s="7">
        <v>0.25347222222222221</v>
      </c>
      <c r="C92" s="8">
        <v>16.3</v>
      </c>
      <c r="D92" s="8">
        <v>10.32</v>
      </c>
      <c r="E92" s="8">
        <v>17.690000000000001</v>
      </c>
      <c r="F92" s="8">
        <v>19</v>
      </c>
      <c r="G92" s="8">
        <v>17.54</v>
      </c>
      <c r="H92" s="8">
        <v>16.2</v>
      </c>
      <c r="I92" s="8">
        <v>15.17</v>
      </c>
      <c r="J92" s="8">
        <v>10.66</v>
      </c>
      <c r="K92" s="8">
        <v>10.1</v>
      </c>
      <c r="L92" s="9">
        <v>12.04</v>
      </c>
      <c r="M92">
        <f t="shared" si="12"/>
        <v>25</v>
      </c>
      <c r="N92">
        <f t="shared" si="13"/>
        <v>6</v>
      </c>
      <c r="O92">
        <f t="shared" si="14"/>
        <v>16.3</v>
      </c>
      <c r="P92">
        <f t="shared" si="15"/>
        <v>10.32</v>
      </c>
      <c r="Q92">
        <f t="shared" si="16"/>
        <v>10.66</v>
      </c>
      <c r="R92">
        <f t="shared" si="17"/>
        <v>10.1</v>
      </c>
      <c r="S92">
        <f t="shared" si="18"/>
        <v>16.3</v>
      </c>
      <c r="T92">
        <f t="shared" si="19"/>
        <v>10.32</v>
      </c>
      <c r="U92">
        <f t="shared" si="20"/>
        <v>10.66</v>
      </c>
      <c r="V92">
        <f t="shared" si="21"/>
        <v>10.1</v>
      </c>
      <c r="W92" s="6">
        <v>42546</v>
      </c>
      <c r="X92" s="7">
        <v>0.25347222222222221</v>
      </c>
    </row>
    <row r="93" spans="1:24" x14ac:dyDescent="0.35">
      <c r="A93" s="10">
        <v>42547</v>
      </c>
      <c r="B93" s="11">
        <v>8.4722222222222227E-2</v>
      </c>
      <c r="C93" s="12">
        <v>16.03</v>
      </c>
      <c r="D93" s="12">
        <v>12.49</v>
      </c>
      <c r="E93" s="12">
        <v>18.23</v>
      </c>
      <c r="F93" s="12">
        <v>11.56</v>
      </c>
      <c r="G93" s="12">
        <v>15.34</v>
      </c>
      <c r="H93" s="12">
        <v>18.190000000000001</v>
      </c>
      <c r="I93" s="12">
        <v>12.2</v>
      </c>
      <c r="J93" s="12">
        <v>18.04</v>
      </c>
      <c r="K93" s="12">
        <v>14.52</v>
      </c>
      <c r="L93" s="13">
        <v>15.9</v>
      </c>
      <c r="M93">
        <f t="shared" si="12"/>
        <v>26</v>
      </c>
      <c r="N93">
        <f t="shared" si="13"/>
        <v>6</v>
      </c>
      <c r="O93">
        <f t="shared" si="14"/>
        <v>16.03</v>
      </c>
      <c r="P93">
        <f t="shared" si="15"/>
        <v>12.49</v>
      </c>
      <c r="Q93">
        <f t="shared" si="16"/>
        <v>18.04</v>
      </c>
      <c r="R93">
        <f t="shared" si="17"/>
        <v>14.52</v>
      </c>
      <c r="S93">
        <f t="shared" si="18"/>
        <v>16.03</v>
      </c>
      <c r="T93">
        <f t="shared" si="19"/>
        <v>12.49</v>
      </c>
      <c r="U93">
        <f t="shared" si="20"/>
        <v>18.04</v>
      </c>
      <c r="V93">
        <f t="shared" si="21"/>
        <v>14.52</v>
      </c>
      <c r="W93" s="10">
        <v>42547</v>
      </c>
      <c r="X93" s="11">
        <v>8.4722222222222227E-2</v>
      </c>
    </row>
    <row r="94" spans="1:24" x14ac:dyDescent="0.35">
      <c r="A94" s="6">
        <v>42547</v>
      </c>
      <c r="B94" s="7">
        <v>0.16875000000000001</v>
      </c>
      <c r="C94" s="8">
        <v>19.47</v>
      </c>
      <c r="D94" s="8">
        <v>19.760000000000002</v>
      </c>
      <c r="E94" s="8">
        <v>11.95</v>
      </c>
      <c r="F94" s="8">
        <v>16.28</v>
      </c>
      <c r="G94" s="8">
        <v>13.33</v>
      </c>
      <c r="H94" s="8">
        <v>19.91</v>
      </c>
      <c r="I94" s="8">
        <v>19.73</v>
      </c>
      <c r="J94" s="8">
        <v>15.06</v>
      </c>
      <c r="K94" s="8">
        <v>15.39</v>
      </c>
      <c r="L94" s="9">
        <v>13.54</v>
      </c>
      <c r="M94">
        <f t="shared" si="12"/>
        <v>26</v>
      </c>
      <c r="N94">
        <f t="shared" si="13"/>
        <v>6</v>
      </c>
      <c r="O94">
        <f t="shared" si="14"/>
        <v>19.47</v>
      </c>
      <c r="P94">
        <f t="shared" si="15"/>
        <v>19.760000000000002</v>
      </c>
      <c r="Q94">
        <f t="shared" si="16"/>
        <v>15.06</v>
      </c>
      <c r="R94">
        <f t="shared" si="17"/>
        <v>15.39</v>
      </c>
      <c r="S94">
        <f t="shared" si="18"/>
        <v>19.47</v>
      </c>
      <c r="T94">
        <f t="shared" si="19"/>
        <v>19.760000000000002</v>
      </c>
      <c r="U94">
        <f t="shared" si="20"/>
        <v>15.06</v>
      </c>
      <c r="V94">
        <f t="shared" si="21"/>
        <v>15.39</v>
      </c>
      <c r="W94" s="6">
        <v>42547</v>
      </c>
      <c r="X94" s="7">
        <v>0.16875000000000001</v>
      </c>
    </row>
    <row r="95" spans="1:24" x14ac:dyDescent="0.35">
      <c r="A95" s="10">
        <v>42547</v>
      </c>
      <c r="B95" s="11">
        <v>0.34166666666666667</v>
      </c>
      <c r="C95" s="12">
        <v>14.55</v>
      </c>
      <c r="D95" s="12">
        <v>11.62</v>
      </c>
      <c r="E95" s="12">
        <v>12.91</v>
      </c>
      <c r="F95" s="12">
        <v>18.72</v>
      </c>
      <c r="G95" s="12">
        <v>18.2</v>
      </c>
      <c r="H95" s="12">
        <v>12.03</v>
      </c>
      <c r="I95" s="12">
        <v>16.760000000000002</v>
      </c>
      <c r="J95" s="12">
        <v>10.38</v>
      </c>
      <c r="K95" s="12">
        <v>18.149999999999999</v>
      </c>
      <c r="L95" s="13">
        <v>14.5</v>
      </c>
      <c r="M95">
        <f t="shared" si="12"/>
        <v>26</v>
      </c>
      <c r="N95">
        <f t="shared" si="13"/>
        <v>6</v>
      </c>
      <c r="O95">
        <f t="shared" si="14"/>
        <v>14.55</v>
      </c>
      <c r="P95">
        <f t="shared" si="15"/>
        <v>11.62</v>
      </c>
      <c r="Q95">
        <f t="shared" si="16"/>
        <v>10.38</v>
      </c>
      <c r="R95">
        <f t="shared" si="17"/>
        <v>18.149999999999999</v>
      </c>
      <c r="S95">
        <f t="shared" si="18"/>
        <v>14.55</v>
      </c>
      <c r="T95">
        <f t="shared" si="19"/>
        <v>11.62</v>
      </c>
      <c r="U95">
        <f t="shared" si="20"/>
        <v>10.38</v>
      </c>
      <c r="V95">
        <f t="shared" si="21"/>
        <v>18.149999999999999</v>
      </c>
      <c r="W95" s="10">
        <v>42547</v>
      </c>
      <c r="X95" s="11">
        <v>0.34166666666666667</v>
      </c>
    </row>
    <row r="96" spans="1:24" x14ac:dyDescent="0.35">
      <c r="A96" s="6">
        <v>42548</v>
      </c>
      <c r="B96" s="7">
        <v>0.33541666666666664</v>
      </c>
      <c r="C96" s="8">
        <v>11.26</v>
      </c>
      <c r="D96" s="8">
        <v>11.81</v>
      </c>
      <c r="E96" s="8">
        <v>12.66</v>
      </c>
      <c r="F96" s="8">
        <v>16</v>
      </c>
      <c r="G96" s="8">
        <v>11.63</v>
      </c>
      <c r="H96" s="8">
        <v>19.61</v>
      </c>
      <c r="I96" s="8">
        <v>12.55</v>
      </c>
      <c r="J96" s="8">
        <v>11.68</v>
      </c>
      <c r="K96" s="8">
        <v>14.08</v>
      </c>
      <c r="L96" s="9">
        <v>13.96</v>
      </c>
      <c r="M96">
        <f t="shared" si="12"/>
        <v>27</v>
      </c>
      <c r="N96">
        <f t="shared" si="13"/>
        <v>6</v>
      </c>
      <c r="O96">
        <f t="shared" si="14"/>
        <v>11.26</v>
      </c>
      <c r="P96">
        <f t="shared" si="15"/>
        <v>11.81</v>
      </c>
      <c r="Q96">
        <f t="shared" si="16"/>
        <v>11.68</v>
      </c>
      <c r="R96">
        <f t="shared" si="17"/>
        <v>14.08</v>
      </c>
      <c r="S96">
        <f t="shared" si="18"/>
        <v>11.26</v>
      </c>
      <c r="T96">
        <f t="shared" si="19"/>
        <v>11.81</v>
      </c>
      <c r="U96">
        <f t="shared" si="20"/>
        <v>11.68</v>
      </c>
      <c r="V96">
        <f t="shared" si="21"/>
        <v>14.08</v>
      </c>
      <c r="W96" s="6">
        <v>42548</v>
      </c>
      <c r="X96" s="7">
        <v>0.33541666666666664</v>
      </c>
    </row>
    <row r="97" spans="1:24" x14ac:dyDescent="0.35">
      <c r="A97" s="10">
        <v>42549</v>
      </c>
      <c r="B97" s="11">
        <v>0.50624999999999998</v>
      </c>
      <c r="C97" s="12">
        <v>10.77</v>
      </c>
      <c r="D97" s="12">
        <v>10.91</v>
      </c>
      <c r="E97" s="12">
        <v>17.600000000000001</v>
      </c>
      <c r="F97" s="12">
        <v>13.5</v>
      </c>
      <c r="G97" s="12">
        <v>16.27</v>
      </c>
      <c r="H97" s="12">
        <v>12.44</v>
      </c>
      <c r="I97" s="12">
        <v>11.01</v>
      </c>
      <c r="J97" s="12">
        <v>16.079999999999998</v>
      </c>
      <c r="K97" s="12">
        <v>12.3</v>
      </c>
      <c r="L97" s="13">
        <v>11.35</v>
      </c>
      <c r="M97">
        <f t="shared" si="12"/>
        <v>28</v>
      </c>
      <c r="N97">
        <f t="shared" si="13"/>
        <v>6</v>
      </c>
      <c r="O97">
        <f t="shared" si="14"/>
        <v>10.77</v>
      </c>
      <c r="P97">
        <f t="shared" si="15"/>
        <v>10.91</v>
      </c>
      <c r="Q97">
        <f t="shared" si="16"/>
        <v>16.079999999999998</v>
      </c>
      <c r="R97">
        <f t="shared" si="17"/>
        <v>12.3</v>
      </c>
      <c r="S97">
        <f t="shared" si="18"/>
        <v>10.77</v>
      </c>
      <c r="T97">
        <f t="shared" si="19"/>
        <v>10.91</v>
      </c>
      <c r="U97">
        <f t="shared" si="20"/>
        <v>16.079999999999998</v>
      </c>
      <c r="V97">
        <f t="shared" si="21"/>
        <v>12.3</v>
      </c>
      <c r="W97" s="10">
        <v>42549</v>
      </c>
      <c r="X97" s="11">
        <v>0.50624999999999998</v>
      </c>
    </row>
    <row r="98" spans="1:24" x14ac:dyDescent="0.35">
      <c r="A98" s="6">
        <v>42551</v>
      </c>
      <c r="B98" s="7">
        <v>4.583333333333333E-2</v>
      </c>
      <c r="C98" s="8">
        <v>15.43</v>
      </c>
      <c r="D98" s="8">
        <v>17.52</v>
      </c>
      <c r="E98" s="8">
        <v>12.01</v>
      </c>
      <c r="F98" s="8">
        <v>10.31</v>
      </c>
      <c r="G98" s="8">
        <v>13.52</v>
      </c>
      <c r="H98" s="8">
        <v>13.39</v>
      </c>
      <c r="I98" s="8">
        <v>11.34</v>
      </c>
      <c r="J98" s="8">
        <v>10.31</v>
      </c>
      <c r="K98" s="8">
        <v>11.07</v>
      </c>
      <c r="L98" s="9">
        <v>18.52</v>
      </c>
      <c r="M98">
        <f t="shared" si="12"/>
        <v>30</v>
      </c>
      <c r="N98">
        <f t="shared" si="13"/>
        <v>6</v>
      </c>
      <c r="O98">
        <f t="shared" si="14"/>
        <v>15.43</v>
      </c>
      <c r="P98">
        <f t="shared" si="15"/>
        <v>17.52</v>
      </c>
      <c r="Q98">
        <f t="shared" si="16"/>
        <v>10.31</v>
      </c>
      <c r="R98">
        <f t="shared" si="17"/>
        <v>11.07</v>
      </c>
      <c r="S98">
        <f t="shared" si="18"/>
        <v>15.43</v>
      </c>
      <c r="T98">
        <f t="shared" si="19"/>
        <v>17.52</v>
      </c>
      <c r="U98">
        <f t="shared" si="20"/>
        <v>10.31</v>
      </c>
      <c r="V98">
        <f t="shared" si="21"/>
        <v>11.07</v>
      </c>
      <c r="W98" s="6">
        <v>42551</v>
      </c>
      <c r="X98" s="7">
        <v>4.583333333333333E-2</v>
      </c>
    </row>
    <row r="99" spans="1:24" x14ac:dyDescent="0.35">
      <c r="A99" s="10">
        <v>42553</v>
      </c>
      <c r="B99" s="11">
        <v>0.21597222222222223</v>
      </c>
      <c r="C99" s="12">
        <v>22.57</v>
      </c>
      <c r="D99" s="12">
        <v>24.93</v>
      </c>
      <c r="E99" s="12">
        <v>23.16</v>
      </c>
      <c r="F99" s="12">
        <v>21.19</v>
      </c>
      <c r="G99" s="12">
        <v>22.95</v>
      </c>
      <c r="H99" s="12">
        <v>20.79</v>
      </c>
      <c r="I99" s="12">
        <v>23.65</v>
      </c>
      <c r="J99" s="12">
        <v>24.3</v>
      </c>
      <c r="K99" s="12">
        <v>22.91</v>
      </c>
      <c r="L99" s="13">
        <v>21.31</v>
      </c>
      <c r="M99">
        <f t="shared" si="12"/>
        <v>2</v>
      </c>
      <c r="N99">
        <f t="shared" si="13"/>
        <v>7</v>
      </c>
      <c r="O99">
        <f t="shared" si="14"/>
        <v>22.57</v>
      </c>
      <c r="P99">
        <f t="shared" si="15"/>
        <v>24.93</v>
      </c>
      <c r="Q99">
        <f t="shared" si="16"/>
        <v>26</v>
      </c>
      <c r="R99">
        <f t="shared" si="17"/>
        <v>22.91</v>
      </c>
      <c r="S99">
        <f t="shared" si="18"/>
        <v>22.57</v>
      </c>
      <c r="T99">
        <f t="shared" si="19"/>
        <v>24.93</v>
      </c>
      <c r="U99">
        <f t="shared" si="20"/>
        <v>26</v>
      </c>
      <c r="V99">
        <f t="shared" si="21"/>
        <v>22.91</v>
      </c>
      <c r="W99" s="10">
        <v>42553</v>
      </c>
      <c r="X99" s="11">
        <v>0.21597222222222223</v>
      </c>
    </row>
    <row r="100" spans="1:24" x14ac:dyDescent="0.35">
      <c r="A100" s="6">
        <v>42554</v>
      </c>
      <c r="B100" s="7">
        <v>4.1666666666666666E-3</v>
      </c>
      <c r="C100" s="8">
        <v>21.12</v>
      </c>
      <c r="D100" s="8">
        <v>24.03</v>
      </c>
      <c r="E100" s="8">
        <v>20.46</v>
      </c>
      <c r="F100" s="8">
        <v>20.329999999999998</v>
      </c>
      <c r="G100" s="8">
        <v>24.18</v>
      </c>
      <c r="H100" s="8">
        <v>23.01</v>
      </c>
      <c r="I100" s="8">
        <v>24.57</v>
      </c>
      <c r="J100" s="8">
        <v>22.83</v>
      </c>
      <c r="K100" s="8">
        <v>21.55</v>
      </c>
      <c r="L100" s="9">
        <v>23.87</v>
      </c>
      <c r="M100">
        <f t="shared" si="12"/>
        <v>3</v>
      </c>
      <c r="N100">
        <f t="shared" si="13"/>
        <v>7</v>
      </c>
      <c r="O100">
        <f t="shared" si="14"/>
        <v>21.12</v>
      </c>
      <c r="P100">
        <f t="shared" si="15"/>
        <v>24.03</v>
      </c>
      <c r="Q100">
        <f t="shared" si="16"/>
        <v>24.42</v>
      </c>
      <c r="R100">
        <f t="shared" si="17"/>
        <v>21.55</v>
      </c>
      <c r="S100">
        <f t="shared" si="18"/>
        <v>21.12</v>
      </c>
      <c r="T100">
        <f t="shared" si="19"/>
        <v>24.03</v>
      </c>
      <c r="U100">
        <f t="shared" si="20"/>
        <v>24.42</v>
      </c>
      <c r="V100">
        <f t="shared" si="21"/>
        <v>21.55</v>
      </c>
      <c r="W100" s="6">
        <v>42554</v>
      </c>
      <c r="X100" s="7">
        <v>4.1666666666666666E-3</v>
      </c>
    </row>
    <row r="101" spans="1:24" x14ac:dyDescent="0.35">
      <c r="A101" s="10">
        <v>42556</v>
      </c>
      <c r="B101" s="11">
        <v>8.6805555555555552E-2</v>
      </c>
      <c r="C101" s="12">
        <v>22.29</v>
      </c>
      <c r="D101" s="12">
        <v>22.16</v>
      </c>
      <c r="E101" s="12">
        <v>22.9</v>
      </c>
      <c r="F101" s="12">
        <v>20.04</v>
      </c>
      <c r="G101" s="12">
        <v>21.27</v>
      </c>
      <c r="H101" s="12">
        <v>21.55</v>
      </c>
      <c r="I101" s="12">
        <v>21.51</v>
      </c>
      <c r="J101" s="12">
        <v>23.98</v>
      </c>
      <c r="K101" s="12">
        <v>24.01</v>
      </c>
      <c r="L101" s="13">
        <v>23.77</v>
      </c>
      <c r="M101">
        <f t="shared" si="12"/>
        <v>5</v>
      </c>
      <c r="N101">
        <f t="shared" si="13"/>
        <v>7</v>
      </c>
      <c r="O101">
        <f t="shared" si="14"/>
        <v>21.09</v>
      </c>
      <c r="P101">
        <f t="shared" si="15"/>
        <v>20.96</v>
      </c>
      <c r="Q101">
        <f t="shared" si="16"/>
        <v>25.65</v>
      </c>
      <c r="R101">
        <f t="shared" si="17"/>
        <v>22.810000000000002</v>
      </c>
      <c r="S101">
        <f t="shared" si="18"/>
        <v>21.09</v>
      </c>
      <c r="T101">
        <f t="shared" si="19"/>
        <v>20.96</v>
      </c>
      <c r="U101">
        <f t="shared" si="20"/>
        <v>25.65</v>
      </c>
      <c r="V101">
        <f t="shared" si="21"/>
        <v>22.810000000000002</v>
      </c>
      <c r="W101" s="10">
        <v>42556</v>
      </c>
      <c r="X101" s="11">
        <v>8.6805555555555552E-2</v>
      </c>
    </row>
    <row r="102" spans="1:24" x14ac:dyDescent="0.35">
      <c r="A102" s="6">
        <v>42557</v>
      </c>
      <c r="B102" s="7">
        <v>4.7222222222222221E-2</v>
      </c>
      <c r="C102" s="8">
        <v>20.5</v>
      </c>
      <c r="D102" s="8">
        <v>21.83</v>
      </c>
      <c r="E102" s="8">
        <v>21.96</v>
      </c>
      <c r="F102" s="8">
        <v>20.58</v>
      </c>
      <c r="G102" s="8">
        <v>23.33</v>
      </c>
      <c r="H102" s="8">
        <v>23.73</v>
      </c>
      <c r="I102" s="8">
        <v>23.65</v>
      </c>
      <c r="J102" s="8">
        <v>20.9</v>
      </c>
      <c r="K102" s="8">
        <v>24.06</v>
      </c>
      <c r="L102" s="9">
        <v>21.13</v>
      </c>
      <c r="M102">
        <f t="shared" si="12"/>
        <v>6</v>
      </c>
      <c r="N102">
        <f t="shared" si="13"/>
        <v>7</v>
      </c>
      <c r="O102">
        <f t="shared" si="14"/>
        <v>19.3</v>
      </c>
      <c r="P102">
        <f t="shared" si="15"/>
        <v>20.63</v>
      </c>
      <c r="Q102">
        <f t="shared" si="16"/>
        <v>22.36</v>
      </c>
      <c r="R102">
        <f t="shared" si="17"/>
        <v>22.86</v>
      </c>
      <c r="S102">
        <f t="shared" si="18"/>
        <v>19.3</v>
      </c>
      <c r="T102">
        <f t="shared" si="19"/>
        <v>20.63</v>
      </c>
      <c r="U102">
        <f t="shared" si="20"/>
        <v>22.36</v>
      </c>
      <c r="V102">
        <f t="shared" si="21"/>
        <v>22.86</v>
      </c>
      <c r="W102" s="6">
        <v>42557</v>
      </c>
      <c r="X102" s="7">
        <v>4.7222222222222221E-2</v>
      </c>
    </row>
    <row r="103" spans="1:24" x14ac:dyDescent="0.35">
      <c r="A103" s="10">
        <v>42557</v>
      </c>
      <c r="B103" s="11">
        <v>0.46041666666666664</v>
      </c>
      <c r="C103" s="12">
        <v>20.62</v>
      </c>
      <c r="D103" s="12">
        <v>20.23</v>
      </c>
      <c r="E103" s="12">
        <v>22.96</v>
      </c>
      <c r="F103" s="12">
        <v>22.48</v>
      </c>
      <c r="G103" s="12">
        <v>23.59</v>
      </c>
      <c r="H103" s="12">
        <v>24.99</v>
      </c>
      <c r="I103" s="12">
        <v>21.26</v>
      </c>
      <c r="J103" s="12">
        <v>20.149999999999999</v>
      </c>
      <c r="K103" s="12">
        <v>23.52</v>
      </c>
      <c r="L103" s="13">
        <v>20.04</v>
      </c>
      <c r="M103">
        <f t="shared" si="12"/>
        <v>6</v>
      </c>
      <c r="N103">
        <f t="shared" si="13"/>
        <v>7</v>
      </c>
      <c r="O103">
        <f t="shared" si="14"/>
        <v>19.420000000000002</v>
      </c>
      <c r="P103">
        <f t="shared" si="15"/>
        <v>19.03</v>
      </c>
      <c r="Q103">
        <f t="shared" si="16"/>
        <v>21.56</v>
      </c>
      <c r="R103">
        <f t="shared" si="17"/>
        <v>22.32</v>
      </c>
      <c r="S103">
        <f t="shared" si="18"/>
        <v>19.420000000000002</v>
      </c>
      <c r="T103">
        <f t="shared" si="19"/>
        <v>19.03</v>
      </c>
      <c r="U103">
        <f t="shared" si="20"/>
        <v>21.56</v>
      </c>
      <c r="V103">
        <f t="shared" si="21"/>
        <v>22.32</v>
      </c>
      <c r="W103" s="10">
        <v>42557</v>
      </c>
      <c r="X103" s="11">
        <v>0.46041666666666664</v>
      </c>
    </row>
    <row r="104" spans="1:24" x14ac:dyDescent="0.35">
      <c r="A104" s="6">
        <v>42558</v>
      </c>
      <c r="B104" s="7">
        <v>2.7777777777777779E-3</v>
      </c>
      <c r="C104" s="8">
        <v>24.62</v>
      </c>
      <c r="D104" s="8">
        <v>20.59</v>
      </c>
      <c r="E104" s="8">
        <v>23.7</v>
      </c>
      <c r="F104" s="8">
        <v>21.55</v>
      </c>
      <c r="G104" s="8">
        <v>21.85</v>
      </c>
      <c r="H104" s="8">
        <v>21.12</v>
      </c>
      <c r="I104" s="8">
        <v>21.24</v>
      </c>
      <c r="J104" s="8">
        <v>24.93</v>
      </c>
      <c r="K104" s="8">
        <v>21.9</v>
      </c>
      <c r="L104" s="9">
        <v>20.5</v>
      </c>
      <c r="M104">
        <f t="shared" si="12"/>
        <v>7</v>
      </c>
      <c r="N104">
        <f t="shared" si="13"/>
        <v>7</v>
      </c>
      <c r="O104">
        <f t="shared" si="14"/>
        <v>23.42</v>
      </c>
      <c r="P104">
        <f t="shared" si="15"/>
        <v>19.39</v>
      </c>
      <c r="Q104">
        <f t="shared" si="16"/>
        <v>26.67</v>
      </c>
      <c r="R104">
        <f t="shared" si="17"/>
        <v>20.7</v>
      </c>
      <c r="S104">
        <f t="shared" si="18"/>
        <v>23.42</v>
      </c>
      <c r="T104">
        <f t="shared" si="19"/>
        <v>19.39</v>
      </c>
      <c r="U104">
        <f t="shared" si="20"/>
        <v>26.67</v>
      </c>
      <c r="V104">
        <f t="shared" si="21"/>
        <v>20.7</v>
      </c>
      <c r="W104" s="6">
        <v>42558</v>
      </c>
      <c r="X104" s="7">
        <v>2.7777777777777779E-3</v>
      </c>
    </row>
    <row r="105" spans="1:24" x14ac:dyDescent="0.35">
      <c r="A105" s="10">
        <v>42558</v>
      </c>
      <c r="B105" s="11">
        <v>5.5555555555555558E-3</v>
      </c>
      <c r="C105" s="12">
        <v>23.53</v>
      </c>
      <c r="D105" s="12">
        <v>22.47</v>
      </c>
      <c r="E105" s="12">
        <v>24.91</v>
      </c>
      <c r="F105" s="12">
        <v>22.53</v>
      </c>
      <c r="G105" s="12">
        <v>20.56</v>
      </c>
      <c r="H105" s="12">
        <v>23.64</v>
      </c>
      <c r="I105" s="12">
        <v>21</v>
      </c>
      <c r="J105" s="12">
        <v>20.55</v>
      </c>
      <c r="K105" s="12">
        <v>24.08</v>
      </c>
      <c r="L105" s="13">
        <v>20.49</v>
      </c>
      <c r="M105">
        <f t="shared" si="12"/>
        <v>7</v>
      </c>
      <c r="N105">
        <f t="shared" si="13"/>
        <v>7</v>
      </c>
      <c r="O105">
        <f t="shared" si="14"/>
        <v>22.330000000000002</v>
      </c>
      <c r="P105">
        <f t="shared" si="15"/>
        <v>21.27</v>
      </c>
      <c r="Q105">
        <f t="shared" si="16"/>
        <v>21.98</v>
      </c>
      <c r="R105">
        <f t="shared" si="17"/>
        <v>22.88</v>
      </c>
      <c r="S105">
        <f t="shared" si="18"/>
        <v>22.330000000000002</v>
      </c>
      <c r="T105">
        <f t="shared" si="19"/>
        <v>21.27</v>
      </c>
      <c r="U105">
        <f t="shared" si="20"/>
        <v>21.98</v>
      </c>
      <c r="V105">
        <f t="shared" si="21"/>
        <v>22.88</v>
      </c>
      <c r="W105" s="10">
        <v>42558</v>
      </c>
      <c r="X105" s="11">
        <v>5.5555555555555558E-3</v>
      </c>
    </row>
    <row r="106" spans="1:24" x14ac:dyDescent="0.35">
      <c r="A106" s="6">
        <v>42558</v>
      </c>
      <c r="B106" s="7">
        <v>4.5138888888888888E-2</v>
      </c>
      <c r="C106" s="8">
        <v>23.8</v>
      </c>
      <c r="D106" s="8">
        <v>20.78</v>
      </c>
      <c r="E106" s="8">
        <v>20.56</v>
      </c>
      <c r="F106" s="8">
        <v>20.5</v>
      </c>
      <c r="G106" s="8">
        <v>20.16</v>
      </c>
      <c r="H106" s="8">
        <v>21.68</v>
      </c>
      <c r="I106" s="8">
        <v>23.86</v>
      </c>
      <c r="J106" s="8">
        <v>21.14</v>
      </c>
      <c r="K106" s="8">
        <v>23.1</v>
      </c>
      <c r="L106" s="9">
        <v>22.53</v>
      </c>
      <c r="M106">
        <f t="shared" si="12"/>
        <v>7</v>
      </c>
      <c r="N106">
        <f t="shared" si="13"/>
        <v>7</v>
      </c>
      <c r="O106">
        <f t="shared" si="14"/>
        <v>22.6</v>
      </c>
      <c r="P106">
        <f t="shared" si="15"/>
        <v>19.580000000000002</v>
      </c>
      <c r="Q106">
        <f t="shared" si="16"/>
        <v>22.61</v>
      </c>
      <c r="R106">
        <f t="shared" si="17"/>
        <v>21.900000000000002</v>
      </c>
      <c r="S106">
        <f t="shared" si="18"/>
        <v>22.6</v>
      </c>
      <c r="T106">
        <f t="shared" si="19"/>
        <v>19.580000000000002</v>
      </c>
      <c r="U106">
        <f t="shared" si="20"/>
        <v>22.61</v>
      </c>
      <c r="V106">
        <f t="shared" si="21"/>
        <v>21.900000000000002</v>
      </c>
      <c r="W106" s="6">
        <v>42558</v>
      </c>
      <c r="X106" s="7">
        <v>4.5138888888888888E-2</v>
      </c>
    </row>
    <row r="107" spans="1:24" x14ac:dyDescent="0.35">
      <c r="A107" s="10">
        <v>42558</v>
      </c>
      <c r="B107" s="11">
        <v>0.46597222222222223</v>
      </c>
      <c r="C107" s="12">
        <v>21.04</v>
      </c>
      <c r="D107" s="12">
        <v>22.45</v>
      </c>
      <c r="E107" s="12">
        <v>21.06</v>
      </c>
      <c r="F107" s="12">
        <v>20.149999999999999</v>
      </c>
      <c r="G107" s="12">
        <v>24.31</v>
      </c>
      <c r="H107" s="12">
        <v>22.72</v>
      </c>
      <c r="I107" s="12">
        <v>24.67</v>
      </c>
      <c r="J107" s="12">
        <v>21.12</v>
      </c>
      <c r="K107" s="12">
        <v>23.35</v>
      </c>
      <c r="L107" s="13">
        <v>22.54</v>
      </c>
      <c r="M107">
        <f t="shared" si="12"/>
        <v>7</v>
      </c>
      <c r="N107">
        <f t="shared" si="13"/>
        <v>7</v>
      </c>
      <c r="O107">
        <f t="shared" si="14"/>
        <v>19.84</v>
      </c>
      <c r="P107">
        <f t="shared" si="15"/>
        <v>21.25</v>
      </c>
      <c r="Q107">
        <f t="shared" si="16"/>
        <v>22.59</v>
      </c>
      <c r="R107">
        <f t="shared" si="17"/>
        <v>22.150000000000002</v>
      </c>
      <c r="S107">
        <f t="shared" si="18"/>
        <v>19.84</v>
      </c>
      <c r="T107">
        <f t="shared" si="19"/>
        <v>21.25</v>
      </c>
      <c r="U107">
        <f t="shared" si="20"/>
        <v>22.59</v>
      </c>
      <c r="V107">
        <f t="shared" si="21"/>
        <v>22.150000000000002</v>
      </c>
      <c r="W107" s="10">
        <v>42558</v>
      </c>
      <c r="X107" s="11">
        <v>0.46597222222222223</v>
      </c>
    </row>
    <row r="108" spans="1:24" x14ac:dyDescent="0.35">
      <c r="A108" s="6">
        <v>42561</v>
      </c>
      <c r="B108" s="7">
        <v>0.42152777777777778</v>
      </c>
      <c r="C108" s="8">
        <v>23.49</v>
      </c>
      <c r="D108" s="8">
        <v>22.55</v>
      </c>
      <c r="E108" s="8">
        <v>24.66</v>
      </c>
      <c r="F108" s="8">
        <v>23.56</v>
      </c>
      <c r="G108" s="8">
        <v>20.260000000000002</v>
      </c>
      <c r="H108" s="8">
        <v>22.27</v>
      </c>
      <c r="I108" s="8">
        <v>20.440000000000001</v>
      </c>
      <c r="J108" s="8">
        <v>22.27</v>
      </c>
      <c r="K108" s="8">
        <v>24.47</v>
      </c>
      <c r="L108" s="9">
        <v>23.03</v>
      </c>
      <c r="M108">
        <f t="shared" si="12"/>
        <v>10</v>
      </c>
      <c r="N108">
        <f t="shared" si="13"/>
        <v>7</v>
      </c>
      <c r="O108">
        <f t="shared" si="14"/>
        <v>22.29</v>
      </c>
      <c r="P108">
        <f t="shared" si="15"/>
        <v>21.35</v>
      </c>
      <c r="Q108">
        <f t="shared" si="16"/>
        <v>23.82</v>
      </c>
      <c r="R108">
        <f t="shared" si="17"/>
        <v>23.27</v>
      </c>
      <c r="S108">
        <f t="shared" si="18"/>
        <v>22.29</v>
      </c>
      <c r="T108">
        <f t="shared" si="19"/>
        <v>21.35</v>
      </c>
      <c r="U108">
        <f t="shared" si="20"/>
        <v>23.82</v>
      </c>
      <c r="V108">
        <f t="shared" si="21"/>
        <v>23.27</v>
      </c>
      <c r="W108" s="6">
        <v>42561</v>
      </c>
      <c r="X108" s="7">
        <v>0.42152777777777778</v>
      </c>
    </row>
    <row r="109" spans="1:24" x14ac:dyDescent="0.35">
      <c r="A109" s="10">
        <v>42565</v>
      </c>
      <c r="B109" s="11">
        <v>4.1666666666666664E-2</v>
      </c>
      <c r="C109" s="12">
        <v>20.99</v>
      </c>
      <c r="D109" s="12">
        <v>21.37</v>
      </c>
      <c r="E109" s="12">
        <v>22.15</v>
      </c>
      <c r="F109" s="12">
        <v>22.76</v>
      </c>
      <c r="G109" s="12">
        <v>20.25</v>
      </c>
      <c r="H109" s="12">
        <v>23.8</v>
      </c>
      <c r="I109" s="12">
        <v>23.38</v>
      </c>
      <c r="J109" s="12">
        <v>20.5</v>
      </c>
      <c r="K109" s="12">
        <v>21.65</v>
      </c>
      <c r="L109" s="13">
        <v>24.8</v>
      </c>
      <c r="M109">
        <f t="shared" si="12"/>
        <v>14</v>
      </c>
      <c r="N109">
        <f t="shared" si="13"/>
        <v>7</v>
      </c>
      <c r="O109">
        <f t="shared" si="14"/>
        <v>20.99</v>
      </c>
      <c r="P109">
        <f t="shared" si="15"/>
        <v>21.37</v>
      </c>
      <c r="Q109">
        <f t="shared" si="16"/>
        <v>21.93</v>
      </c>
      <c r="R109">
        <f t="shared" si="17"/>
        <v>21.65</v>
      </c>
      <c r="S109">
        <f t="shared" si="18"/>
        <v>20.99</v>
      </c>
      <c r="T109">
        <f t="shared" si="19"/>
        <v>21.37</v>
      </c>
      <c r="U109">
        <f t="shared" si="20"/>
        <v>21.93</v>
      </c>
      <c r="V109">
        <f t="shared" si="21"/>
        <v>21.65</v>
      </c>
      <c r="W109" s="10">
        <v>42565</v>
      </c>
      <c r="X109" s="11">
        <v>4.1666666666666664E-2</v>
      </c>
    </row>
    <row r="110" spans="1:24" x14ac:dyDescent="0.35">
      <c r="A110" s="6">
        <v>42567</v>
      </c>
      <c r="B110" s="7">
        <v>0.38055555555555554</v>
      </c>
      <c r="C110" s="8">
        <v>20.18</v>
      </c>
      <c r="D110" s="8">
        <v>24.07</v>
      </c>
      <c r="E110" s="8">
        <v>24.25</v>
      </c>
      <c r="F110" s="8">
        <v>20.170000000000002</v>
      </c>
      <c r="G110" s="8">
        <v>21.08</v>
      </c>
      <c r="H110" s="8">
        <v>22.83</v>
      </c>
      <c r="I110" s="8">
        <v>23.53</v>
      </c>
      <c r="J110" s="8">
        <v>23.6</v>
      </c>
      <c r="K110" s="8">
        <v>23.16</v>
      </c>
      <c r="L110" s="9">
        <v>21.42</v>
      </c>
      <c r="M110">
        <f t="shared" si="12"/>
        <v>16</v>
      </c>
      <c r="N110">
        <f t="shared" si="13"/>
        <v>7</v>
      </c>
      <c r="O110">
        <f t="shared" si="14"/>
        <v>20.18</v>
      </c>
      <c r="P110">
        <f t="shared" si="15"/>
        <v>24.07</v>
      </c>
      <c r="Q110">
        <f t="shared" si="16"/>
        <v>25.25</v>
      </c>
      <c r="R110">
        <f t="shared" si="17"/>
        <v>23.16</v>
      </c>
      <c r="S110">
        <f t="shared" si="18"/>
        <v>20.18</v>
      </c>
      <c r="T110">
        <f t="shared" si="19"/>
        <v>24.07</v>
      </c>
      <c r="U110">
        <f t="shared" si="20"/>
        <v>25.25</v>
      </c>
      <c r="V110">
        <f t="shared" si="21"/>
        <v>23.16</v>
      </c>
      <c r="W110" s="6">
        <v>42567</v>
      </c>
      <c r="X110" s="7">
        <v>0.38055555555555554</v>
      </c>
    </row>
    <row r="111" spans="1:24" x14ac:dyDescent="0.35">
      <c r="A111" s="10">
        <v>42568</v>
      </c>
      <c r="B111" s="11">
        <v>4.6527777777777779E-2</v>
      </c>
      <c r="C111" s="12">
        <v>24.46</v>
      </c>
      <c r="D111" s="12">
        <v>23.9</v>
      </c>
      <c r="E111" s="12">
        <v>24.19</v>
      </c>
      <c r="F111" s="12">
        <v>20.14</v>
      </c>
      <c r="G111" s="12">
        <v>23.6</v>
      </c>
      <c r="H111" s="12">
        <v>23.67</v>
      </c>
      <c r="I111" s="12">
        <v>24.85</v>
      </c>
      <c r="J111" s="12">
        <v>24.77</v>
      </c>
      <c r="K111" s="12">
        <v>24.75</v>
      </c>
      <c r="L111" s="13">
        <v>22.32</v>
      </c>
      <c r="M111">
        <f t="shared" si="12"/>
        <v>17</v>
      </c>
      <c r="N111">
        <f t="shared" si="13"/>
        <v>7</v>
      </c>
      <c r="O111">
        <f t="shared" si="14"/>
        <v>24.46</v>
      </c>
      <c r="P111">
        <f t="shared" si="15"/>
        <v>23.9</v>
      </c>
      <c r="Q111">
        <f t="shared" si="16"/>
        <v>26.5</v>
      </c>
      <c r="R111">
        <f t="shared" si="17"/>
        <v>24.75</v>
      </c>
      <c r="S111">
        <f t="shared" si="18"/>
        <v>24.46</v>
      </c>
      <c r="T111">
        <f t="shared" si="19"/>
        <v>23.9</v>
      </c>
      <c r="U111">
        <f t="shared" si="20"/>
        <v>26.5</v>
      </c>
      <c r="V111">
        <f t="shared" si="21"/>
        <v>24.75</v>
      </c>
      <c r="W111" s="10">
        <v>42568</v>
      </c>
      <c r="X111" s="11">
        <v>4.6527777777777779E-2</v>
      </c>
    </row>
    <row r="112" spans="1:24" x14ac:dyDescent="0.35">
      <c r="A112" s="6">
        <v>42571</v>
      </c>
      <c r="B112" s="7">
        <v>4.5138888888888888E-2</v>
      </c>
      <c r="C112" s="8">
        <v>20.62</v>
      </c>
      <c r="D112" s="8">
        <v>21.57</v>
      </c>
      <c r="E112" s="8">
        <v>22.99</v>
      </c>
      <c r="F112" s="8">
        <v>23.14</v>
      </c>
      <c r="G112" s="8">
        <v>22.4</v>
      </c>
      <c r="H112" s="8">
        <v>23.83</v>
      </c>
      <c r="I112" s="8">
        <v>21.63</v>
      </c>
      <c r="J112" s="8">
        <v>21.9</v>
      </c>
      <c r="K112" s="8">
        <v>22.89</v>
      </c>
      <c r="L112" s="9">
        <v>22.3</v>
      </c>
      <c r="M112">
        <f t="shared" si="12"/>
        <v>20</v>
      </c>
      <c r="N112">
        <f t="shared" si="13"/>
        <v>7</v>
      </c>
      <c r="O112">
        <f t="shared" si="14"/>
        <v>20.62</v>
      </c>
      <c r="P112">
        <f t="shared" si="15"/>
        <v>21.57</v>
      </c>
      <c r="Q112">
        <f t="shared" si="16"/>
        <v>23.43</v>
      </c>
      <c r="R112">
        <f t="shared" si="17"/>
        <v>22.89</v>
      </c>
      <c r="S112">
        <f t="shared" si="18"/>
        <v>20.62</v>
      </c>
      <c r="T112">
        <f t="shared" si="19"/>
        <v>21.57</v>
      </c>
      <c r="U112">
        <f t="shared" si="20"/>
        <v>23.43</v>
      </c>
      <c r="V112">
        <f t="shared" si="21"/>
        <v>22.89</v>
      </c>
      <c r="W112" s="6">
        <v>42571</v>
      </c>
      <c r="X112" s="7">
        <v>4.5138888888888888E-2</v>
      </c>
    </row>
    <row r="113" spans="1:24" x14ac:dyDescent="0.35">
      <c r="A113" s="10">
        <v>42571</v>
      </c>
      <c r="B113" s="11">
        <v>4.6527777777777779E-2</v>
      </c>
      <c r="C113" s="12">
        <v>24.97</v>
      </c>
      <c r="D113" s="12">
        <v>23.55</v>
      </c>
      <c r="E113" s="12">
        <v>24.91</v>
      </c>
      <c r="F113" s="12">
        <v>21.77</v>
      </c>
      <c r="G113" s="12">
        <v>23.58</v>
      </c>
      <c r="H113" s="12">
        <v>23.03</v>
      </c>
      <c r="I113" s="12">
        <v>22.25</v>
      </c>
      <c r="J113" s="12">
        <v>22.37</v>
      </c>
      <c r="K113" s="12">
        <v>22.57</v>
      </c>
      <c r="L113" s="13">
        <v>22.02</v>
      </c>
      <c r="M113">
        <f t="shared" si="12"/>
        <v>20</v>
      </c>
      <c r="N113">
        <f t="shared" si="13"/>
        <v>7</v>
      </c>
      <c r="O113">
        <f t="shared" si="14"/>
        <v>24.97</v>
      </c>
      <c r="P113">
        <f t="shared" si="15"/>
        <v>23.55</v>
      </c>
      <c r="Q113">
        <f t="shared" si="16"/>
        <v>23.93</v>
      </c>
      <c r="R113">
        <f t="shared" si="17"/>
        <v>22.57</v>
      </c>
      <c r="S113">
        <f t="shared" si="18"/>
        <v>24.97</v>
      </c>
      <c r="T113">
        <f t="shared" si="19"/>
        <v>23.55</v>
      </c>
      <c r="U113">
        <f t="shared" si="20"/>
        <v>23.93</v>
      </c>
      <c r="V113">
        <f t="shared" si="21"/>
        <v>22.57</v>
      </c>
      <c r="W113" s="10">
        <v>42571</v>
      </c>
      <c r="X113" s="11">
        <v>4.6527777777777779E-2</v>
      </c>
    </row>
    <row r="114" spans="1:24" x14ac:dyDescent="0.35">
      <c r="A114" s="6">
        <v>42572</v>
      </c>
      <c r="B114" s="7">
        <v>0.16805555555555557</v>
      </c>
      <c r="C114" s="8">
        <v>24.04</v>
      </c>
      <c r="D114" s="8">
        <v>21.89</v>
      </c>
      <c r="E114" s="8">
        <v>23.85</v>
      </c>
      <c r="F114" s="8">
        <v>22.87</v>
      </c>
      <c r="G114" s="8">
        <v>24.33</v>
      </c>
      <c r="H114" s="8">
        <v>24.38</v>
      </c>
      <c r="I114" s="8">
        <v>21.95</v>
      </c>
      <c r="J114" s="8">
        <v>21.37</v>
      </c>
      <c r="K114" s="8">
        <v>20.45</v>
      </c>
      <c r="L114" s="9">
        <v>24.51</v>
      </c>
      <c r="M114">
        <f t="shared" si="12"/>
        <v>21</v>
      </c>
      <c r="N114">
        <f t="shared" si="13"/>
        <v>7</v>
      </c>
      <c r="O114">
        <f t="shared" si="14"/>
        <v>24.04</v>
      </c>
      <c r="P114">
        <f t="shared" si="15"/>
        <v>21.89</v>
      </c>
      <c r="Q114">
        <f t="shared" si="16"/>
        <v>22.86</v>
      </c>
      <c r="R114">
        <f t="shared" si="17"/>
        <v>20.45</v>
      </c>
      <c r="S114">
        <f t="shared" si="18"/>
        <v>24.04</v>
      </c>
      <c r="T114">
        <f t="shared" si="19"/>
        <v>21.89</v>
      </c>
      <c r="U114">
        <f t="shared" si="20"/>
        <v>22.86</v>
      </c>
      <c r="V114">
        <f t="shared" si="21"/>
        <v>20.45</v>
      </c>
      <c r="W114" s="6">
        <v>42572</v>
      </c>
      <c r="X114" s="7">
        <v>0.16805555555555557</v>
      </c>
    </row>
    <row r="115" spans="1:24" x14ac:dyDescent="0.35">
      <c r="A115" s="10">
        <v>42573</v>
      </c>
      <c r="B115" s="11">
        <v>0.25138888888888888</v>
      </c>
      <c r="C115" s="12">
        <v>20.96</v>
      </c>
      <c r="D115" s="12">
        <v>22.03</v>
      </c>
      <c r="E115" s="12">
        <v>20.89</v>
      </c>
      <c r="F115" s="12">
        <v>24.62</v>
      </c>
      <c r="G115" s="12">
        <v>22.22</v>
      </c>
      <c r="H115" s="12">
        <v>24.32</v>
      </c>
      <c r="I115" s="12">
        <v>22.24</v>
      </c>
      <c r="J115" s="12">
        <v>20.079999999999998</v>
      </c>
      <c r="K115" s="12">
        <v>20.18</v>
      </c>
      <c r="L115" s="13">
        <v>21.9</v>
      </c>
      <c r="M115">
        <f t="shared" si="12"/>
        <v>22</v>
      </c>
      <c r="N115">
        <f t="shared" si="13"/>
        <v>7</v>
      </c>
      <c r="O115">
        <f t="shared" si="14"/>
        <v>20.96</v>
      </c>
      <c r="P115">
        <f t="shared" si="15"/>
        <v>22.03</v>
      </c>
      <c r="Q115">
        <f t="shared" si="16"/>
        <v>21.48</v>
      </c>
      <c r="R115">
        <f t="shared" si="17"/>
        <v>20.18</v>
      </c>
      <c r="S115">
        <f t="shared" si="18"/>
        <v>20.96</v>
      </c>
      <c r="T115">
        <f t="shared" si="19"/>
        <v>22.03</v>
      </c>
      <c r="U115">
        <f t="shared" si="20"/>
        <v>21.48</v>
      </c>
      <c r="V115">
        <f t="shared" si="21"/>
        <v>20.18</v>
      </c>
      <c r="W115" s="10">
        <v>42573</v>
      </c>
      <c r="X115" s="11">
        <v>0.25138888888888888</v>
      </c>
    </row>
    <row r="116" spans="1:24" x14ac:dyDescent="0.35">
      <c r="A116" s="6">
        <v>42576</v>
      </c>
      <c r="B116" s="7">
        <v>0.17430555555555555</v>
      </c>
      <c r="C116" s="8">
        <v>23.01</v>
      </c>
      <c r="D116" s="8">
        <v>24.6</v>
      </c>
      <c r="E116" s="8">
        <v>24.7</v>
      </c>
      <c r="F116" s="8">
        <v>23.45</v>
      </c>
      <c r="G116" s="8">
        <v>24.59</v>
      </c>
      <c r="H116" s="8">
        <v>23.65</v>
      </c>
      <c r="I116" s="8">
        <v>23.52</v>
      </c>
      <c r="J116" s="8">
        <v>21.6</v>
      </c>
      <c r="K116" s="8">
        <v>21.42</v>
      </c>
      <c r="L116" s="9">
        <v>22.09</v>
      </c>
      <c r="M116">
        <f t="shared" si="12"/>
        <v>25</v>
      </c>
      <c r="N116">
        <f t="shared" si="13"/>
        <v>7</v>
      </c>
      <c r="O116">
        <f t="shared" si="14"/>
        <v>23.01</v>
      </c>
      <c r="P116">
        <f t="shared" si="15"/>
        <v>24.6</v>
      </c>
      <c r="Q116">
        <f t="shared" si="16"/>
        <v>23.11</v>
      </c>
      <c r="R116">
        <f t="shared" si="17"/>
        <v>21.42</v>
      </c>
      <c r="S116">
        <f t="shared" si="18"/>
        <v>23.01</v>
      </c>
      <c r="T116">
        <f t="shared" si="19"/>
        <v>24.6</v>
      </c>
      <c r="U116">
        <f t="shared" si="20"/>
        <v>23.11</v>
      </c>
      <c r="V116">
        <f t="shared" si="21"/>
        <v>21.42</v>
      </c>
      <c r="W116" s="6">
        <v>42576</v>
      </c>
      <c r="X116" s="7">
        <v>0.17430555555555555</v>
      </c>
    </row>
    <row r="117" spans="1:24" x14ac:dyDescent="0.35">
      <c r="A117" s="10">
        <v>42581</v>
      </c>
      <c r="B117" s="11">
        <v>2.0833333333333333E-3</v>
      </c>
      <c r="C117" s="12">
        <v>22.46</v>
      </c>
      <c r="D117" s="12">
        <v>24.11</v>
      </c>
      <c r="E117" s="12">
        <v>22.12</v>
      </c>
      <c r="F117" s="12">
        <v>24.08</v>
      </c>
      <c r="G117" s="12">
        <v>23.14</v>
      </c>
      <c r="H117" s="12">
        <v>24.56</v>
      </c>
      <c r="I117" s="12">
        <v>22.95</v>
      </c>
      <c r="J117" s="12">
        <v>21.53</v>
      </c>
      <c r="K117" s="12">
        <v>21.19</v>
      </c>
      <c r="L117" s="13">
        <v>21.66</v>
      </c>
      <c r="M117">
        <f t="shared" si="12"/>
        <v>30</v>
      </c>
      <c r="N117">
        <f t="shared" si="13"/>
        <v>7</v>
      </c>
      <c r="O117">
        <f t="shared" si="14"/>
        <v>22.46</v>
      </c>
      <c r="P117">
        <f t="shared" si="15"/>
        <v>24.11</v>
      </c>
      <c r="Q117">
        <f t="shared" si="16"/>
        <v>23.03</v>
      </c>
      <c r="R117">
        <f t="shared" si="17"/>
        <v>21.19</v>
      </c>
      <c r="S117">
        <f t="shared" si="18"/>
        <v>22.46</v>
      </c>
      <c r="T117">
        <f t="shared" si="19"/>
        <v>24.11</v>
      </c>
      <c r="U117">
        <f t="shared" si="20"/>
        <v>23.03</v>
      </c>
      <c r="V117">
        <f t="shared" si="21"/>
        <v>21.19</v>
      </c>
      <c r="W117" s="10">
        <v>42581</v>
      </c>
      <c r="X117" s="11">
        <v>2.0833333333333333E-3</v>
      </c>
    </row>
    <row r="118" spans="1:24" x14ac:dyDescent="0.35">
      <c r="A118" s="6">
        <v>42583</v>
      </c>
      <c r="B118" s="7">
        <v>9.166666666666666E-2</v>
      </c>
      <c r="C118" s="8">
        <v>21.46</v>
      </c>
      <c r="D118" s="8">
        <v>20.81</v>
      </c>
      <c r="E118" s="8">
        <v>22.16</v>
      </c>
      <c r="F118" s="8">
        <v>23.39</v>
      </c>
      <c r="G118" s="8">
        <v>21.06</v>
      </c>
      <c r="H118" s="8">
        <v>23.13</v>
      </c>
      <c r="I118" s="8">
        <v>24.81</v>
      </c>
      <c r="J118" s="8">
        <v>21.89</v>
      </c>
      <c r="K118" s="8">
        <v>21.04</v>
      </c>
      <c r="L118" s="9">
        <v>20.73</v>
      </c>
      <c r="M118">
        <f t="shared" si="12"/>
        <v>1</v>
      </c>
      <c r="N118">
        <f t="shared" si="13"/>
        <v>8</v>
      </c>
      <c r="O118">
        <f t="shared" si="14"/>
        <v>21.46</v>
      </c>
      <c r="P118">
        <f t="shared" si="15"/>
        <v>20.81</v>
      </c>
      <c r="Q118">
        <f t="shared" si="16"/>
        <v>23.42</v>
      </c>
      <c r="R118">
        <f t="shared" si="17"/>
        <v>21.04</v>
      </c>
      <c r="S118">
        <f t="shared" si="18"/>
        <v>21.46</v>
      </c>
      <c r="T118">
        <f t="shared" si="19"/>
        <v>20.81</v>
      </c>
      <c r="U118">
        <f t="shared" si="20"/>
        <v>23.42</v>
      </c>
      <c r="V118">
        <f t="shared" si="21"/>
        <v>21.04</v>
      </c>
      <c r="W118" s="6">
        <v>42583</v>
      </c>
      <c r="X118" s="7">
        <v>9.166666666666666E-2</v>
      </c>
    </row>
    <row r="119" spans="1:24" x14ac:dyDescent="0.35">
      <c r="A119" s="10">
        <v>42585</v>
      </c>
      <c r="B119" s="11">
        <v>0.17083333333333334</v>
      </c>
      <c r="C119" s="12">
        <v>24.3</v>
      </c>
      <c r="D119" s="12">
        <v>21.17</v>
      </c>
      <c r="E119" s="12">
        <v>20.45</v>
      </c>
      <c r="F119" s="12">
        <v>21.07</v>
      </c>
      <c r="G119" s="12">
        <v>23.27</v>
      </c>
      <c r="H119" s="12">
        <v>21.82</v>
      </c>
      <c r="I119" s="12">
        <v>21.32</v>
      </c>
      <c r="J119" s="12">
        <v>21.89</v>
      </c>
      <c r="K119" s="12">
        <v>23.96</v>
      </c>
      <c r="L119" s="13">
        <v>21.93</v>
      </c>
      <c r="M119">
        <f t="shared" si="12"/>
        <v>3</v>
      </c>
      <c r="N119">
        <f t="shared" si="13"/>
        <v>8</v>
      </c>
      <c r="O119">
        <f t="shared" si="14"/>
        <v>24.3</v>
      </c>
      <c r="P119">
        <f t="shared" si="15"/>
        <v>21.17</v>
      </c>
      <c r="Q119">
        <f t="shared" si="16"/>
        <v>23.42</v>
      </c>
      <c r="R119">
        <f t="shared" si="17"/>
        <v>23.96</v>
      </c>
      <c r="S119">
        <f t="shared" si="18"/>
        <v>24.3</v>
      </c>
      <c r="T119">
        <f t="shared" si="19"/>
        <v>21.17</v>
      </c>
      <c r="U119">
        <f t="shared" si="20"/>
        <v>23.42</v>
      </c>
      <c r="V119">
        <f t="shared" si="21"/>
        <v>23.96</v>
      </c>
      <c r="W119" s="10">
        <v>42585</v>
      </c>
      <c r="X119" s="11">
        <v>0.17083333333333334</v>
      </c>
    </row>
    <row r="120" spans="1:24" x14ac:dyDescent="0.35">
      <c r="A120" s="6">
        <v>42587</v>
      </c>
      <c r="B120" s="7">
        <v>0.42083333333333334</v>
      </c>
      <c r="C120" s="8">
        <v>20.79</v>
      </c>
      <c r="D120" s="8">
        <v>20.149999999999999</v>
      </c>
      <c r="E120" s="8">
        <v>24.61</v>
      </c>
      <c r="F120" s="8">
        <v>21.03</v>
      </c>
      <c r="G120" s="8">
        <v>20.75</v>
      </c>
      <c r="H120" s="8">
        <v>23.58</v>
      </c>
      <c r="I120" s="8">
        <v>24.1</v>
      </c>
      <c r="J120" s="8">
        <v>20.18</v>
      </c>
      <c r="K120" s="8">
        <v>20.25</v>
      </c>
      <c r="L120" s="9">
        <v>23.53</v>
      </c>
      <c r="M120">
        <f t="shared" si="12"/>
        <v>5</v>
      </c>
      <c r="N120">
        <f t="shared" si="13"/>
        <v>8</v>
      </c>
      <c r="O120">
        <f t="shared" si="14"/>
        <v>19.59</v>
      </c>
      <c r="P120">
        <f t="shared" si="15"/>
        <v>18.95</v>
      </c>
      <c r="Q120">
        <f t="shared" si="16"/>
        <v>21.59</v>
      </c>
      <c r="R120">
        <f t="shared" si="17"/>
        <v>19.05</v>
      </c>
      <c r="S120">
        <f t="shared" si="18"/>
        <v>19.59</v>
      </c>
      <c r="T120">
        <f t="shared" si="19"/>
        <v>18.95</v>
      </c>
      <c r="U120">
        <f t="shared" si="20"/>
        <v>21.59</v>
      </c>
      <c r="V120">
        <f t="shared" si="21"/>
        <v>19.05</v>
      </c>
      <c r="W120" s="6">
        <v>42587</v>
      </c>
      <c r="X120" s="7">
        <v>0.42083333333333334</v>
      </c>
    </row>
    <row r="121" spans="1:24" x14ac:dyDescent="0.35">
      <c r="A121" s="10">
        <v>42588</v>
      </c>
      <c r="B121" s="11">
        <v>0.38263888888888886</v>
      </c>
      <c r="C121" s="12">
        <v>24.53</v>
      </c>
      <c r="D121" s="12">
        <v>20.23</v>
      </c>
      <c r="E121" s="12">
        <v>23.44</v>
      </c>
      <c r="F121" s="12">
        <v>21.79</v>
      </c>
      <c r="G121" s="12">
        <v>22.16</v>
      </c>
      <c r="H121" s="12">
        <v>23.23</v>
      </c>
      <c r="I121" s="12">
        <v>24.25</v>
      </c>
      <c r="J121" s="12">
        <v>22.23</v>
      </c>
      <c r="K121" s="12">
        <v>23.64</v>
      </c>
      <c r="L121" s="13">
        <v>23.21</v>
      </c>
      <c r="M121">
        <f t="shared" si="12"/>
        <v>6</v>
      </c>
      <c r="N121">
        <f t="shared" si="13"/>
        <v>8</v>
      </c>
      <c r="O121">
        <f t="shared" si="14"/>
        <v>23.330000000000002</v>
      </c>
      <c r="P121">
        <f t="shared" si="15"/>
        <v>19.03</v>
      </c>
      <c r="Q121">
        <f t="shared" si="16"/>
        <v>23.78</v>
      </c>
      <c r="R121">
        <f t="shared" si="17"/>
        <v>22.44</v>
      </c>
      <c r="S121">
        <f t="shared" si="18"/>
        <v>23.330000000000002</v>
      </c>
      <c r="T121">
        <f t="shared" si="19"/>
        <v>19.03</v>
      </c>
      <c r="U121">
        <f t="shared" si="20"/>
        <v>23.78</v>
      </c>
      <c r="V121">
        <f t="shared" si="21"/>
        <v>22.44</v>
      </c>
      <c r="W121" s="10">
        <v>42588</v>
      </c>
      <c r="X121" s="11">
        <v>0.38263888888888886</v>
      </c>
    </row>
    <row r="122" spans="1:24" x14ac:dyDescent="0.35">
      <c r="A122" s="6">
        <v>42590</v>
      </c>
      <c r="B122" s="7">
        <v>8.8888888888888892E-2</v>
      </c>
      <c r="C122" s="8">
        <v>22.93</v>
      </c>
      <c r="D122" s="8">
        <v>21.83</v>
      </c>
      <c r="E122" s="8">
        <v>22.2</v>
      </c>
      <c r="F122" s="8">
        <v>20.66</v>
      </c>
      <c r="G122" s="8">
        <v>21.05</v>
      </c>
      <c r="H122" s="8">
        <v>22.52</v>
      </c>
      <c r="I122" s="8">
        <v>24.58</v>
      </c>
      <c r="J122" s="8">
        <v>24.21</v>
      </c>
      <c r="K122" s="8">
        <v>24.25</v>
      </c>
      <c r="L122" s="9">
        <v>20.98</v>
      </c>
      <c r="M122">
        <f t="shared" si="12"/>
        <v>8</v>
      </c>
      <c r="N122">
        <f t="shared" si="13"/>
        <v>8</v>
      </c>
      <c r="O122">
        <f t="shared" si="14"/>
        <v>21.73</v>
      </c>
      <c r="P122">
        <f t="shared" si="15"/>
        <v>20.63</v>
      </c>
      <c r="Q122">
        <f t="shared" si="16"/>
        <v>25.9</v>
      </c>
      <c r="R122">
        <f t="shared" si="17"/>
        <v>23.05</v>
      </c>
      <c r="S122">
        <f t="shared" si="18"/>
        <v>21.73</v>
      </c>
      <c r="T122">
        <f t="shared" si="19"/>
        <v>20.63</v>
      </c>
      <c r="U122">
        <f t="shared" si="20"/>
        <v>25.9</v>
      </c>
      <c r="V122">
        <f t="shared" si="21"/>
        <v>23.05</v>
      </c>
      <c r="W122" s="6">
        <v>42590</v>
      </c>
      <c r="X122" s="7">
        <v>8.8888888888888892E-2</v>
      </c>
    </row>
    <row r="123" spans="1:24" x14ac:dyDescent="0.35">
      <c r="A123" s="10">
        <v>42591</v>
      </c>
      <c r="B123" s="11">
        <v>0.42222222222222222</v>
      </c>
      <c r="C123" s="12">
        <v>23.61</v>
      </c>
      <c r="D123" s="12">
        <v>22.31</v>
      </c>
      <c r="E123" s="12">
        <v>22.54</v>
      </c>
      <c r="F123" s="12">
        <v>23.68</v>
      </c>
      <c r="G123" s="12">
        <v>24.34</v>
      </c>
      <c r="H123" s="12">
        <v>23.6</v>
      </c>
      <c r="I123" s="12">
        <v>20.260000000000002</v>
      </c>
      <c r="J123" s="12">
        <v>20.29</v>
      </c>
      <c r="K123" s="12">
        <v>24.84</v>
      </c>
      <c r="L123" s="13">
        <v>24.53</v>
      </c>
      <c r="M123">
        <f t="shared" si="12"/>
        <v>9</v>
      </c>
      <c r="N123">
        <f t="shared" si="13"/>
        <v>8</v>
      </c>
      <c r="O123">
        <f t="shared" si="14"/>
        <v>22.41</v>
      </c>
      <c r="P123">
        <f t="shared" si="15"/>
        <v>21.11</v>
      </c>
      <c r="Q123">
        <f t="shared" si="16"/>
        <v>21.71</v>
      </c>
      <c r="R123">
        <f t="shared" si="17"/>
        <v>23.64</v>
      </c>
      <c r="S123">
        <f t="shared" si="18"/>
        <v>22.41</v>
      </c>
      <c r="T123">
        <f t="shared" si="19"/>
        <v>21.11</v>
      </c>
      <c r="U123">
        <f t="shared" si="20"/>
        <v>21.71</v>
      </c>
      <c r="V123">
        <f t="shared" si="21"/>
        <v>23.64</v>
      </c>
      <c r="W123" s="10">
        <v>42591</v>
      </c>
      <c r="X123" s="11">
        <v>0.42222222222222222</v>
      </c>
    </row>
    <row r="124" spans="1:24" x14ac:dyDescent="0.35">
      <c r="A124" s="6">
        <v>42594</v>
      </c>
      <c r="B124" s="7">
        <v>8.611111111111111E-2</v>
      </c>
      <c r="C124" s="8">
        <v>21.99</v>
      </c>
      <c r="D124" s="8">
        <v>21.03</v>
      </c>
      <c r="E124" s="8">
        <v>21.98</v>
      </c>
      <c r="F124" s="8">
        <v>24.71</v>
      </c>
      <c r="G124" s="8">
        <v>22.25</v>
      </c>
      <c r="H124" s="8">
        <v>21.03</v>
      </c>
      <c r="I124" s="8">
        <v>20.059999999999999</v>
      </c>
      <c r="J124" s="8">
        <v>23.44</v>
      </c>
      <c r="K124" s="8">
        <v>23.35</v>
      </c>
      <c r="L124" s="9">
        <v>24.22</v>
      </c>
      <c r="M124">
        <f t="shared" si="12"/>
        <v>12</v>
      </c>
      <c r="N124">
        <f t="shared" si="13"/>
        <v>8</v>
      </c>
      <c r="O124">
        <f t="shared" si="14"/>
        <v>21.99</v>
      </c>
      <c r="P124">
        <f t="shared" si="15"/>
        <v>21.03</v>
      </c>
      <c r="Q124">
        <f t="shared" si="16"/>
        <v>25.08</v>
      </c>
      <c r="R124">
        <f t="shared" si="17"/>
        <v>23.35</v>
      </c>
      <c r="S124">
        <f t="shared" si="18"/>
        <v>21.99</v>
      </c>
      <c r="T124">
        <f t="shared" si="19"/>
        <v>21.03</v>
      </c>
      <c r="U124">
        <f t="shared" si="20"/>
        <v>25.08</v>
      </c>
      <c r="V124">
        <f t="shared" si="21"/>
        <v>23.35</v>
      </c>
      <c r="W124" s="6">
        <v>42594</v>
      </c>
      <c r="X124" s="7">
        <v>8.611111111111111E-2</v>
      </c>
    </row>
    <row r="125" spans="1:24" x14ac:dyDescent="0.35">
      <c r="A125" s="10">
        <v>42594</v>
      </c>
      <c r="B125" s="11">
        <v>0.12708333333333333</v>
      </c>
      <c r="C125" s="12">
        <v>21.25</v>
      </c>
      <c r="D125" s="12">
        <v>22.63</v>
      </c>
      <c r="E125" s="12">
        <v>22.5</v>
      </c>
      <c r="F125" s="12">
        <v>22.53</v>
      </c>
      <c r="G125" s="12">
        <v>22.55</v>
      </c>
      <c r="H125" s="12">
        <v>23.75</v>
      </c>
      <c r="I125" s="12">
        <v>22.37</v>
      </c>
      <c r="J125" s="12">
        <v>20.83</v>
      </c>
      <c r="K125" s="12">
        <v>22.24</v>
      </c>
      <c r="L125" s="13">
        <v>22.78</v>
      </c>
      <c r="M125">
        <f t="shared" si="12"/>
        <v>12</v>
      </c>
      <c r="N125">
        <f t="shared" si="13"/>
        <v>8</v>
      </c>
      <c r="O125">
        <f t="shared" si="14"/>
        <v>21.25</v>
      </c>
      <c r="P125">
        <f t="shared" si="15"/>
        <v>22.63</v>
      </c>
      <c r="Q125">
        <f t="shared" si="16"/>
        <v>22.28</v>
      </c>
      <c r="R125">
        <f t="shared" si="17"/>
        <v>22.24</v>
      </c>
      <c r="S125">
        <f t="shared" si="18"/>
        <v>21.25</v>
      </c>
      <c r="T125">
        <f t="shared" si="19"/>
        <v>22.63</v>
      </c>
      <c r="U125">
        <f t="shared" si="20"/>
        <v>22.28</v>
      </c>
      <c r="V125">
        <f t="shared" si="21"/>
        <v>22.24</v>
      </c>
      <c r="W125" s="10">
        <v>42594</v>
      </c>
      <c r="X125" s="11">
        <v>0.12708333333333333</v>
      </c>
    </row>
    <row r="126" spans="1:24" x14ac:dyDescent="0.35">
      <c r="A126" s="6">
        <v>42596</v>
      </c>
      <c r="B126" s="7">
        <v>4.3749999999999997E-2</v>
      </c>
      <c r="C126" s="8">
        <v>22.19</v>
      </c>
      <c r="D126" s="8">
        <v>23.63</v>
      </c>
      <c r="E126" s="8">
        <v>20.6</v>
      </c>
      <c r="F126" s="8">
        <v>22.57</v>
      </c>
      <c r="G126" s="8">
        <v>24.22</v>
      </c>
      <c r="H126" s="8">
        <v>22.01</v>
      </c>
      <c r="I126" s="8">
        <v>21.12</v>
      </c>
      <c r="J126" s="8">
        <v>24.52</v>
      </c>
      <c r="K126" s="8">
        <v>21.28</v>
      </c>
      <c r="L126" s="9">
        <v>20.05</v>
      </c>
      <c r="M126">
        <f t="shared" si="12"/>
        <v>14</v>
      </c>
      <c r="N126">
        <f t="shared" si="13"/>
        <v>8</v>
      </c>
      <c r="O126">
        <f t="shared" si="14"/>
        <v>22.19</v>
      </c>
      <c r="P126">
        <f t="shared" si="15"/>
        <v>23.63</v>
      </c>
      <c r="Q126">
        <f t="shared" si="16"/>
        <v>26.23</v>
      </c>
      <c r="R126">
        <f t="shared" si="17"/>
        <v>21.28</v>
      </c>
      <c r="S126">
        <f t="shared" si="18"/>
        <v>22.19</v>
      </c>
      <c r="T126">
        <f t="shared" si="19"/>
        <v>23.63</v>
      </c>
      <c r="U126">
        <f t="shared" si="20"/>
        <v>26.23</v>
      </c>
      <c r="V126">
        <f t="shared" si="21"/>
        <v>21.28</v>
      </c>
      <c r="W126" s="6">
        <v>42596</v>
      </c>
      <c r="X126" s="7">
        <v>4.3749999999999997E-2</v>
      </c>
    </row>
    <row r="127" spans="1:24" x14ac:dyDescent="0.35">
      <c r="A127" s="10">
        <v>42599</v>
      </c>
      <c r="B127" s="11">
        <v>0.41736111111111113</v>
      </c>
      <c r="C127" s="12">
        <v>22.74</v>
      </c>
      <c r="D127" s="12">
        <v>20.72</v>
      </c>
      <c r="E127" s="12">
        <v>24.74</v>
      </c>
      <c r="F127" s="12">
        <v>23.94</v>
      </c>
      <c r="G127" s="12">
        <v>22.07</v>
      </c>
      <c r="H127" s="12">
        <v>24.33</v>
      </c>
      <c r="I127" s="12">
        <v>20.62</v>
      </c>
      <c r="J127" s="12">
        <v>24.62</v>
      </c>
      <c r="K127" s="12">
        <v>20.96</v>
      </c>
      <c r="L127" s="13">
        <v>24.76</v>
      </c>
      <c r="M127">
        <f t="shared" si="12"/>
        <v>17</v>
      </c>
      <c r="N127">
        <f t="shared" si="13"/>
        <v>8</v>
      </c>
      <c r="O127">
        <f t="shared" si="14"/>
        <v>22.74</v>
      </c>
      <c r="P127">
        <f t="shared" si="15"/>
        <v>20.72</v>
      </c>
      <c r="Q127">
        <f t="shared" si="16"/>
        <v>26.34</v>
      </c>
      <c r="R127">
        <f t="shared" si="17"/>
        <v>20.96</v>
      </c>
      <c r="S127">
        <f t="shared" si="18"/>
        <v>22.74</v>
      </c>
      <c r="T127">
        <f t="shared" si="19"/>
        <v>20.72</v>
      </c>
      <c r="U127">
        <f t="shared" si="20"/>
        <v>26.34</v>
      </c>
      <c r="V127">
        <f t="shared" si="21"/>
        <v>20.96</v>
      </c>
      <c r="W127" s="10">
        <v>42599</v>
      </c>
      <c r="X127" s="11">
        <v>0.41736111111111113</v>
      </c>
    </row>
    <row r="128" spans="1:24" x14ac:dyDescent="0.35">
      <c r="A128" s="6">
        <v>42601</v>
      </c>
      <c r="B128" s="7">
        <v>0.21388888888888888</v>
      </c>
      <c r="C128" s="8">
        <v>24.25</v>
      </c>
      <c r="D128" s="8">
        <v>21.83</v>
      </c>
      <c r="E128" s="8">
        <v>23.97</v>
      </c>
      <c r="F128" s="8">
        <v>22.48</v>
      </c>
      <c r="G128" s="8">
        <v>21.36</v>
      </c>
      <c r="H128" s="8">
        <v>20.2</v>
      </c>
      <c r="I128" s="8">
        <v>23.33</v>
      </c>
      <c r="J128" s="8">
        <v>22.17</v>
      </c>
      <c r="K128" s="8">
        <v>22.32</v>
      </c>
      <c r="L128" s="9">
        <v>22.84</v>
      </c>
      <c r="M128">
        <f t="shared" si="12"/>
        <v>19</v>
      </c>
      <c r="N128">
        <f t="shared" si="13"/>
        <v>8</v>
      </c>
      <c r="O128">
        <f t="shared" si="14"/>
        <v>24.25</v>
      </c>
      <c r="P128">
        <f t="shared" si="15"/>
        <v>21.83</v>
      </c>
      <c r="Q128">
        <f t="shared" si="16"/>
        <v>23.72</v>
      </c>
      <c r="R128">
        <f t="shared" si="17"/>
        <v>22.32</v>
      </c>
      <c r="S128">
        <f t="shared" si="18"/>
        <v>24.25</v>
      </c>
      <c r="T128">
        <f t="shared" si="19"/>
        <v>21.83</v>
      </c>
      <c r="U128">
        <f t="shared" si="20"/>
        <v>23.72</v>
      </c>
      <c r="V128">
        <f t="shared" si="21"/>
        <v>22.32</v>
      </c>
      <c r="W128" s="6">
        <v>42601</v>
      </c>
      <c r="X128" s="7">
        <v>0.21388888888888888</v>
      </c>
    </row>
    <row r="129" spans="1:24" x14ac:dyDescent="0.35">
      <c r="A129" s="10">
        <v>42601</v>
      </c>
      <c r="B129" s="11">
        <v>0.29791666666666666</v>
      </c>
      <c r="C129" s="12">
        <v>22.33</v>
      </c>
      <c r="D129" s="12">
        <v>20</v>
      </c>
      <c r="E129" s="12">
        <v>24.04</v>
      </c>
      <c r="F129" s="12">
        <v>24.76</v>
      </c>
      <c r="G129" s="12">
        <v>23.02</v>
      </c>
      <c r="H129" s="12">
        <v>23.75</v>
      </c>
      <c r="I129" s="12">
        <v>20.46</v>
      </c>
      <c r="J129" s="12">
        <v>22.05</v>
      </c>
      <c r="K129" s="12">
        <v>21.31</v>
      </c>
      <c r="L129" s="13">
        <v>23.02</v>
      </c>
      <c r="M129">
        <f t="shared" si="12"/>
        <v>19</v>
      </c>
      <c r="N129">
        <f t="shared" si="13"/>
        <v>8</v>
      </c>
      <c r="O129">
        <f t="shared" si="14"/>
        <v>22.33</v>
      </c>
      <c r="P129">
        <f t="shared" si="15"/>
        <v>20</v>
      </c>
      <c r="Q129">
        <f t="shared" si="16"/>
        <v>23.59</v>
      </c>
      <c r="R129">
        <f t="shared" si="17"/>
        <v>21.31</v>
      </c>
      <c r="S129">
        <f t="shared" si="18"/>
        <v>22.33</v>
      </c>
      <c r="T129">
        <f t="shared" si="19"/>
        <v>20</v>
      </c>
      <c r="U129">
        <f t="shared" si="20"/>
        <v>23.59</v>
      </c>
      <c r="V129">
        <f t="shared" si="21"/>
        <v>21.31</v>
      </c>
      <c r="W129" s="10">
        <v>42601</v>
      </c>
      <c r="X129" s="11">
        <v>0.29791666666666666</v>
      </c>
    </row>
    <row r="130" spans="1:24" x14ac:dyDescent="0.35">
      <c r="A130" s="6">
        <v>42601</v>
      </c>
      <c r="B130" s="7">
        <v>0.42291666666666666</v>
      </c>
      <c r="C130" s="8">
        <v>20.89</v>
      </c>
      <c r="D130" s="8">
        <v>20.28</v>
      </c>
      <c r="E130" s="8">
        <v>23.53</v>
      </c>
      <c r="F130" s="8">
        <v>22.74</v>
      </c>
      <c r="G130" s="8">
        <v>20.13</v>
      </c>
      <c r="H130" s="8">
        <v>22.16</v>
      </c>
      <c r="I130" s="8">
        <v>22.63</v>
      </c>
      <c r="J130" s="8">
        <v>21.6</v>
      </c>
      <c r="K130" s="8">
        <v>23</v>
      </c>
      <c r="L130" s="9">
        <v>20.5</v>
      </c>
      <c r="M130">
        <f t="shared" si="12"/>
        <v>19</v>
      </c>
      <c r="N130">
        <f t="shared" si="13"/>
        <v>8</v>
      </c>
      <c r="O130">
        <f t="shared" si="14"/>
        <v>20.89</v>
      </c>
      <c r="P130">
        <f t="shared" si="15"/>
        <v>20.28</v>
      </c>
      <c r="Q130">
        <f t="shared" si="16"/>
        <v>23.11</v>
      </c>
      <c r="R130">
        <f t="shared" si="17"/>
        <v>23</v>
      </c>
      <c r="S130">
        <f t="shared" si="18"/>
        <v>20.89</v>
      </c>
      <c r="T130">
        <f t="shared" si="19"/>
        <v>20.28</v>
      </c>
      <c r="U130">
        <f t="shared" si="20"/>
        <v>23.11</v>
      </c>
      <c r="V130">
        <f t="shared" si="21"/>
        <v>23</v>
      </c>
      <c r="W130" s="6">
        <v>42601</v>
      </c>
      <c r="X130" s="7">
        <v>0.42291666666666666</v>
      </c>
    </row>
    <row r="131" spans="1:24" x14ac:dyDescent="0.35">
      <c r="A131" s="10">
        <v>42603</v>
      </c>
      <c r="B131" s="11">
        <v>3.472222222222222E-3</v>
      </c>
      <c r="C131" s="12">
        <v>21.25</v>
      </c>
      <c r="D131" s="12">
        <v>22.01</v>
      </c>
      <c r="E131" s="12">
        <v>20.190000000000001</v>
      </c>
      <c r="F131" s="12">
        <v>24.36</v>
      </c>
      <c r="G131" s="12">
        <v>24.61</v>
      </c>
      <c r="H131" s="12">
        <v>24.99</v>
      </c>
      <c r="I131" s="12">
        <v>22.55</v>
      </c>
      <c r="J131" s="12">
        <v>24.32</v>
      </c>
      <c r="K131" s="12">
        <v>20.89</v>
      </c>
      <c r="L131" s="13">
        <v>20.36</v>
      </c>
      <c r="M131">
        <f t="shared" ref="M131:M194" si="22">DAY(A131)</f>
        <v>21</v>
      </c>
      <c r="N131">
        <f t="shared" ref="N131:N194" si="23">MONTH(A131)</f>
        <v>8</v>
      </c>
      <c r="O131">
        <f t="shared" ref="O131:O194" si="24">IF(AND($M131&gt;=5, $M131&lt;=10),C131-1.2,C131)</f>
        <v>21.25</v>
      </c>
      <c r="P131">
        <f t="shared" ref="P131:P194" si="25">IF(AND($M131&gt;=5, $M131&lt;=10),D131-1.2,D131)</f>
        <v>22.01</v>
      </c>
      <c r="Q131">
        <f t="shared" ref="Q131:Q194" si="26">IF(OR(N131 = 7, N131 = 8),ROUNDDOWN(J131 * 1.07,2), J131)</f>
        <v>26.02</v>
      </c>
      <c r="R131">
        <f t="shared" ref="R131:R194" si="27">IF(AND($M131&gt;=5, $M131&lt;=10),K131-1.2,K131)</f>
        <v>20.89</v>
      </c>
      <c r="S131">
        <f t="shared" ref="S131:S194" si="28">IF($N131=5,O131+0.9,O131)</f>
        <v>21.25</v>
      </c>
      <c r="T131">
        <f t="shared" ref="T131:T194" si="29">IF($N131=5,P131+0.9,P131)</f>
        <v>22.01</v>
      </c>
      <c r="U131">
        <f t="shared" ref="U131:U194" si="30">IF($N131=5,Q131+0.9,Q131)</f>
        <v>26.02</v>
      </c>
      <c r="V131">
        <f t="shared" ref="V131:V194" si="31">IF($N131=5,R131+0.9,R131)</f>
        <v>20.89</v>
      </c>
      <c r="W131" s="10">
        <v>42603</v>
      </c>
      <c r="X131" s="11">
        <v>3.472222222222222E-3</v>
      </c>
    </row>
    <row r="132" spans="1:24" x14ac:dyDescent="0.35">
      <c r="A132" s="6">
        <v>42603</v>
      </c>
      <c r="B132" s="7">
        <v>0.12847222222222221</v>
      </c>
      <c r="C132" s="8">
        <v>23.52</v>
      </c>
      <c r="D132" s="8">
        <v>21.62</v>
      </c>
      <c r="E132" s="8">
        <v>22.59</v>
      </c>
      <c r="F132" s="8">
        <v>22.21</v>
      </c>
      <c r="G132" s="8">
        <v>21.78</v>
      </c>
      <c r="H132" s="8">
        <v>24.26</v>
      </c>
      <c r="I132" s="8">
        <v>24.31</v>
      </c>
      <c r="J132" s="8">
        <v>20.53</v>
      </c>
      <c r="K132" s="8">
        <v>23.51</v>
      </c>
      <c r="L132" s="9">
        <v>23.09</v>
      </c>
      <c r="M132">
        <f t="shared" si="22"/>
        <v>21</v>
      </c>
      <c r="N132">
        <f t="shared" si="23"/>
        <v>8</v>
      </c>
      <c r="O132">
        <f t="shared" si="24"/>
        <v>23.52</v>
      </c>
      <c r="P132">
        <f t="shared" si="25"/>
        <v>21.62</v>
      </c>
      <c r="Q132">
        <f t="shared" si="26"/>
        <v>21.96</v>
      </c>
      <c r="R132">
        <f t="shared" si="27"/>
        <v>23.51</v>
      </c>
      <c r="S132">
        <f t="shared" si="28"/>
        <v>23.52</v>
      </c>
      <c r="T132">
        <f t="shared" si="29"/>
        <v>21.62</v>
      </c>
      <c r="U132">
        <f t="shared" si="30"/>
        <v>21.96</v>
      </c>
      <c r="V132">
        <f t="shared" si="31"/>
        <v>23.51</v>
      </c>
      <c r="W132" s="6">
        <v>42603</v>
      </c>
      <c r="X132" s="7">
        <v>0.12847222222222221</v>
      </c>
    </row>
    <row r="133" spans="1:24" x14ac:dyDescent="0.35">
      <c r="A133" s="10">
        <v>42605</v>
      </c>
      <c r="B133" s="11">
        <v>0.46597222222222223</v>
      </c>
      <c r="C133" s="12">
        <v>20.11</v>
      </c>
      <c r="D133" s="12">
        <v>23.11</v>
      </c>
      <c r="E133" s="12">
        <v>24.5</v>
      </c>
      <c r="F133" s="12">
        <v>20.38</v>
      </c>
      <c r="G133" s="12">
        <v>22.23</v>
      </c>
      <c r="H133" s="12">
        <v>23.96</v>
      </c>
      <c r="I133" s="12">
        <v>21.22</v>
      </c>
      <c r="J133" s="12">
        <v>24.89</v>
      </c>
      <c r="K133" s="12">
        <v>20.12</v>
      </c>
      <c r="L133" s="13">
        <v>24.1</v>
      </c>
      <c r="M133">
        <f t="shared" si="22"/>
        <v>23</v>
      </c>
      <c r="N133">
        <f t="shared" si="23"/>
        <v>8</v>
      </c>
      <c r="O133">
        <f t="shared" si="24"/>
        <v>20.11</v>
      </c>
      <c r="P133">
        <f t="shared" si="25"/>
        <v>23.11</v>
      </c>
      <c r="Q133">
        <f t="shared" si="26"/>
        <v>26.63</v>
      </c>
      <c r="R133">
        <f t="shared" si="27"/>
        <v>20.12</v>
      </c>
      <c r="S133">
        <f t="shared" si="28"/>
        <v>20.11</v>
      </c>
      <c r="T133">
        <f t="shared" si="29"/>
        <v>23.11</v>
      </c>
      <c r="U133">
        <f t="shared" si="30"/>
        <v>26.63</v>
      </c>
      <c r="V133">
        <f t="shared" si="31"/>
        <v>20.12</v>
      </c>
      <c r="W133" s="10">
        <v>42605</v>
      </c>
      <c r="X133" s="11">
        <v>0.46597222222222223</v>
      </c>
    </row>
    <row r="134" spans="1:24" x14ac:dyDescent="0.35">
      <c r="A134" s="6">
        <v>42606</v>
      </c>
      <c r="B134" s="7">
        <v>4.7222222222222221E-2</v>
      </c>
      <c r="C134" s="8">
        <v>22.99</v>
      </c>
      <c r="D134" s="8">
        <v>21.77</v>
      </c>
      <c r="E134" s="8">
        <v>20.63</v>
      </c>
      <c r="F134" s="8">
        <v>20.59</v>
      </c>
      <c r="G134" s="8">
        <v>21.52</v>
      </c>
      <c r="H134" s="8">
        <v>23.7</v>
      </c>
      <c r="I134" s="8">
        <v>22.05</v>
      </c>
      <c r="J134" s="8">
        <v>23.02</v>
      </c>
      <c r="K134" s="8">
        <v>24.59</v>
      </c>
      <c r="L134" s="9">
        <v>20.99</v>
      </c>
      <c r="M134">
        <f t="shared" si="22"/>
        <v>24</v>
      </c>
      <c r="N134">
        <f t="shared" si="23"/>
        <v>8</v>
      </c>
      <c r="O134">
        <f t="shared" si="24"/>
        <v>22.99</v>
      </c>
      <c r="P134">
        <f t="shared" si="25"/>
        <v>21.77</v>
      </c>
      <c r="Q134">
        <f t="shared" si="26"/>
        <v>24.63</v>
      </c>
      <c r="R134">
        <f t="shared" si="27"/>
        <v>24.59</v>
      </c>
      <c r="S134">
        <f t="shared" si="28"/>
        <v>22.99</v>
      </c>
      <c r="T134">
        <f t="shared" si="29"/>
        <v>21.77</v>
      </c>
      <c r="U134">
        <f t="shared" si="30"/>
        <v>24.63</v>
      </c>
      <c r="V134">
        <f t="shared" si="31"/>
        <v>24.59</v>
      </c>
      <c r="W134" s="6">
        <v>42606</v>
      </c>
      <c r="X134" s="7">
        <v>4.7222222222222221E-2</v>
      </c>
    </row>
    <row r="135" spans="1:24" x14ac:dyDescent="0.35">
      <c r="A135" s="10">
        <v>42606</v>
      </c>
      <c r="B135" s="11">
        <v>0.25208333333333333</v>
      </c>
      <c r="C135" s="12">
        <v>22.09</v>
      </c>
      <c r="D135" s="12">
        <v>22.11</v>
      </c>
      <c r="E135" s="12">
        <v>23.82</v>
      </c>
      <c r="F135" s="12">
        <v>21.8</v>
      </c>
      <c r="G135" s="12">
        <v>23.42</v>
      </c>
      <c r="H135" s="12">
        <v>23.48</v>
      </c>
      <c r="I135" s="12">
        <v>23.86</v>
      </c>
      <c r="J135" s="12">
        <v>21.65</v>
      </c>
      <c r="K135" s="12">
        <v>24.9</v>
      </c>
      <c r="L135" s="13">
        <v>20.260000000000002</v>
      </c>
      <c r="M135">
        <f t="shared" si="22"/>
        <v>24</v>
      </c>
      <c r="N135">
        <f t="shared" si="23"/>
        <v>8</v>
      </c>
      <c r="O135">
        <f t="shared" si="24"/>
        <v>22.09</v>
      </c>
      <c r="P135">
        <f t="shared" si="25"/>
        <v>22.11</v>
      </c>
      <c r="Q135">
        <f t="shared" si="26"/>
        <v>23.16</v>
      </c>
      <c r="R135">
        <f t="shared" si="27"/>
        <v>24.9</v>
      </c>
      <c r="S135">
        <f t="shared" si="28"/>
        <v>22.09</v>
      </c>
      <c r="T135">
        <f t="shared" si="29"/>
        <v>22.11</v>
      </c>
      <c r="U135">
        <f t="shared" si="30"/>
        <v>23.16</v>
      </c>
      <c r="V135">
        <f t="shared" si="31"/>
        <v>24.9</v>
      </c>
      <c r="W135" s="10">
        <v>42606</v>
      </c>
      <c r="X135" s="11">
        <v>0.25208333333333333</v>
      </c>
    </row>
    <row r="136" spans="1:24" x14ac:dyDescent="0.35">
      <c r="A136" s="6">
        <v>42607</v>
      </c>
      <c r="B136" s="7">
        <v>0.46250000000000002</v>
      </c>
      <c r="C136" s="8">
        <v>22.15</v>
      </c>
      <c r="D136" s="8">
        <v>20.68</v>
      </c>
      <c r="E136" s="8">
        <v>22.12</v>
      </c>
      <c r="F136" s="8">
        <v>21.59</v>
      </c>
      <c r="G136" s="8">
        <v>22.45</v>
      </c>
      <c r="H136" s="8">
        <v>22.03</v>
      </c>
      <c r="I136" s="8">
        <v>20.58</v>
      </c>
      <c r="J136" s="8">
        <v>21.08</v>
      </c>
      <c r="K136" s="8">
        <v>22.52</v>
      </c>
      <c r="L136" s="9">
        <v>20.71</v>
      </c>
      <c r="M136">
        <f t="shared" si="22"/>
        <v>25</v>
      </c>
      <c r="N136">
        <f t="shared" si="23"/>
        <v>8</v>
      </c>
      <c r="O136">
        <f t="shared" si="24"/>
        <v>22.15</v>
      </c>
      <c r="P136">
        <f t="shared" si="25"/>
        <v>20.68</v>
      </c>
      <c r="Q136">
        <f t="shared" si="26"/>
        <v>22.55</v>
      </c>
      <c r="R136">
        <f t="shared" si="27"/>
        <v>22.52</v>
      </c>
      <c r="S136">
        <f t="shared" si="28"/>
        <v>22.15</v>
      </c>
      <c r="T136">
        <f t="shared" si="29"/>
        <v>20.68</v>
      </c>
      <c r="U136">
        <f t="shared" si="30"/>
        <v>22.55</v>
      </c>
      <c r="V136">
        <f t="shared" si="31"/>
        <v>22.52</v>
      </c>
      <c r="W136" s="6">
        <v>42607</v>
      </c>
      <c r="X136" s="7">
        <v>0.46250000000000002</v>
      </c>
    </row>
    <row r="137" spans="1:24" x14ac:dyDescent="0.35">
      <c r="A137" s="10">
        <v>42609</v>
      </c>
      <c r="B137" s="11">
        <v>6.2500000000000003E-3</v>
      </c>
      <c r="C137" s="12">
        <v>20.149999999999999</v>
      </c>
      <c r="D137" s="12">
        <v>21.69</v>
      </c>
      <c r="E137" s="12">
        <v>22.88</v>
      </c>
      <c r="F137" s="12">
        <v>23.7</v>
      </c>
      <c r="G137" s="12">
        <v>22.32</v>
      </c>
      <c r="H137" s="12">
        <v>20.55</v>
      </c>
      <c r="I137" s="12">
        <v>24.02</v>
      </c>
      <c r="J137" s="12">
        <v>23.15</v>
      </c>
      <c r="K137" s="12">
        <v>21.8</v>
      </c>
      <c r="L137" s="13">
        <v>23.78</v>
      </c>
      <c r="M137">
        <f t="shared" si="22"/>
        <v>27</v>
      </c>
      <c r="N137">
        <f t="shared" si="23"/>
        <v>8</v>
      </c>
      <c r="O137">
        <f t="shared" si="24"/>
        <v>20.149999999999999</v>
      </c>
      <c r="P137">
        <f t="shared" si="25"/>
        <v>21.69</v>
      </c>
      <c r="Q137">
        <f t="shared" si="26"/>
        <v>24.77</v>
      </c>
      <c r="R137">
        <f t="shared" si="27"/>
        <v>21.8</v>
      </c>
      <c r="S137">
        <f t="shared" si="28"/>
        <v>20.149999999999999</v>
      </c>
      <c r="T137">
        <f t="shared" si="29"/>
        <v>21.69</v>
      </c>
      <c r="U137">
        <f t="shared" si="30"/>
        <v>24.77</v>
      </c>
      <c r="V137">
        <f t="shared" si="31"/>
        <v>21.8</v>
      </c>
      <c r="W137" s="10">
        <v>42609</v>
      </c>
      <c r="X137" s="11">
        <v>6.2500000000000003E-3</v>
      </c>
    </row>
    <row r="138" spans="1:24" x14ac:dyDescent="0.35">
      <c r="A138" s="6">
        <v>42609</v>
      </c>
      <c r="B138" s="7">
        <v>0.1673611111111111</v>
      </c>
      <c r="C138" s="8">
        <v>21.66</v>
      </c>
      <c r="D138" s="8">
        <v>23.29</v>
      </c>
      <c r="E138" s="8">
        <v>23.15</v>
      </c>
      <c r="F138" s="8">
        <v>21.38</v>
      </c>
      <c r="G138" s="8">
        <v>22.83</v>
      </c>
      <c r="H138" s="8">
        <v>23.77</v>
      </c>
      <c r="I138" s="8">
        <v>23.64</v>
      </c>
      <c r="J138" s="8">
        <v>23.45</v>
      </c>
      <c r="K138" s="8">
        <v>23.36</v>
      </c>
      <c r="L138" s="9">
        <v>22.48</v>
      </c>
      <c r="M138">
        <f t="shared" si="22"/>
        <v>27</v>
      </c>
      <c r="N138">
        <f t="shared" si="23"/>
        <v>8</v>
      </c>
      <c r="O138">
        <f t="shared" si="24"/>
        <v>21.66</v>
      </c>
      <c r="P138">
        <f t="shared" si="25"/>
        <v>23.29</v>
      </c>
      <c r="Q138">
        <f t="shared" si="26"/>
        <v>25.09</v>
      </c>
      <c r="R138">
        <f t="shared" si="27"/>
        <v>23.36</v>
      </c>
      <c r="S138">
        <f t="shared" si="28"/>
        <v>21.66</v>
      </c>
      <c r="T138">
        <f t="shared" si="29"/>
        <v>23.29</v>
      </c>
      <c r="U138">
        <f t="shared" si="30"/>
        <v>25.09</v>
      </c>
      <c r="V138">
        <f t="shared" si="31"/>
        <v>23.36</v>
      </c>
      <c r="W138" s="6">
        <v>42609</v>
      </c>
      <c r="X138" s="7">
        <v>0.1673611111111111</v>
      </c>
    </row>
    <row r="139" spans="1:24" x14ac:dyDescent="0.35">
      <c r="A139" s="10">
        <v>42610</v>
      </c>
      <c r="B139" s="11">
        <v>0.42291666666666666</v>
      </c>
      <c r="C139" s="12">
        <v>20.57</v>
      </c>
      <c r="D139" s="12">
        <v>21.99</v>
      </c>
      <c r="E139" s="12">
        <v>23.24</v>
      </c>
      <c r="F139" s="12">
        <v>20.5</v>
      </c>
      <c r="G139" s="12">
        <v>23.35</v>
      </c>
      <c r="H139" s="12">
        <v>21.21</v>
      </c>
      <c r="I139" s="12">
        <v>24.55</v>
      </c>
      <c r="J139" s="12">
        <v>20.53</v>
      </c>
      <c r="K139" s="12">
        <v>22.69</v>
      </c>
      <c r="L139" s="13">
        <v>21.43</v>
      </c>
      <c r="M139">
        <f t="shared" si="22"/>
        <v>28</v>
      </c>
      <c r="N139">
        <f t="shared" si="23"/>
        <v>8</v>
      </c>
      <c r="O139">
        <f t="shared" si="24"/>
        <v>20.57</v>
      </c>
      <c r="P139">
        <f t="shared" si="25"/>
        <v>21.99</v>
      </c>
      <c r="Q139">
        <f t="shared" si="26"/>
        <v>21.96</v>
      </c>
      <c r="R139">
        <f t="shared" si="27"/>
        <v>22.69</v>
      </c>
      <c r="S139">
        <f t="shared" si="28"/>
        <v>20.57</v>
      </c>
      <c r="T139">
        <f t="shared" si="29"/>
        <v>21.99</v>
      </c>
      <c r="U139">
        <f t="shared" si="30"/>
        <v>21.96</v>
      </c>
      <c r="V139">
        <f t="shared" si="31"/>
        <v>22.69</v>
      </c>
      <c r="W139" s="10">
        <v>42610</v>
      </c>
      <c r="X139" s="11">
        <v>0.42291666666666666</v>
      </c>
    </row>
    <row r="140" spans="1:24" x14ac:dyDescent="0.35">
      <c r="A140" s="6">
        <v>42611</v>
      </c>
      <c r="B140" s="7">
        <v>7.6388888888888886E-3</v>
      </c>
      <c r="C140" s="8">
        <v>21.59</v>
      </c>
      <c r="D140" s="8">
        <v>23.58</v>
      </c>
      <c r="E140" s="8">
        <v>20.88</v>
      </c>
      <c r="F140" s="8">
        <v>23.01</v>
      </c>
      <c r="G140" s="8">
        <v>23</v>
      </c>
      <c r="H140" s="8">
        <v>24.37</v>
      </c>
      <c r="I140" s="8">
        <v>23.73</v>
      </c>
      <c r="J140" s="8">
        <v>20.41</v>
      </c>
      <c r="K140" s="8">
        <v>20.39</v>
      </c>
      <c r="L140" s="9">
        <v>20.8</v>
      </c>
      <c r="M140">
        <f t="shared" si="22"/>
        <v>29</v>
      </c>
      <c r="N140">
        <f t="shared" si="23"/>
        <v>8</v>
      </c>
      <c r="O140">
        <f t="shared" si="24"/>
        <v>21.59</v>
      </c>
      <c r="P140">
        <f t="shared" si="25"/>
        <v>23.58</v>
      </c>
      <c r="Q140">
        <f t="shared" si="26"/>
        <v>21.83</v>
      </c>
      <c r="R140">
        <f t="shared" si="27"/>
        <v>20.39</v>
      </c>
      <c r="S140">
        <f t="shared" si="28"/>
        <v>21.59</v>
      </c>
      <c r="T140">
        <f t="shared" si="29"/>
        <v>23.58</v>
      </c>
      <c r="U140">
        <f t="shared" si="30"/>
        <v>21.83</v>
      </c>
      <c r="V140">
        <f t="shared" si="31"/>
        <v>20.39</v>
      </c>
      <c r="W140" s="6">
        <v>42611</v>
      </c>
      <c r="X140" s="7">
        <v>7.6388888888888886E-3</v>
      </c>
    </row>
    <row r="141" spans="1:24" x14ac:dyDescent="0.35">
      <c r="A141" s="10">
        <v>42611</v>
      </c>
      <c r="B141" s="11">
        <v>0.21527777777777779</v>
      </c>
      <c r="C141" s="12">
        <v>20.93</v>
      </c>
      <c r="D141" s="12">
        <v>20.239999999999998</v>
      </c>
      <c r="E141" s="12">
        <v>22.85</v>
      </c>
      <c r="F141" s="12">
        <v>21.54</v>
      </c>
      <c r="G141" s="12">
        <v>23.07</v>
      </c>
      <c r="H141" s="12">
        <v>20.65</v>
      </c>
      <c r="I141" s="12">
        <v>24.44</v>
      </c>
      <c r="J141" s="12">
        <v>20.95</v>
      </c>
      <c r="K141" s="12">
        <v>21.69</v>
      </c>
      <c r="L141" s="13">
        <v>22.41</v>
      </c>
      <c r="M141">
        <f t="shared" si="22"/>
        <v>29</v>
      </c>
      <c r="N141">
        <f t="shared" si="23"/>
        <v>8</v>
      </c>
      <c r="O141">
        <f t="shared" si="24"/>
        <v>20.93</v>
      </c>
      <c r="P141">
        <f t="shared" si="25"/>
        <v>20.239999999999998</v>
      </c>
      <c r="Q141">
        <f t="shared" si="26"/>
        <v>22.41</v>
      </c>
      <c r="R141">
        <f t="shared" si="27"/>
        <v>21.69</v>
      </c>
      <c r="S141">
        <f t="shared" si="28"/>
        <v>20.93</v>
      </c>
      <c r="T141">
        <f t="shared" si="29"/>
        <v>20.239999999999998</v>
      </c>
      <c r="U141">
        <f t="shared" si="30"/>
        <v>22.41</v>
      </c>
      <c r="V141">
        <f t="shared" si="31"/>
        <v>21.69</v>
      </c>
      <c r="W141" s="10">
        <v>42611</v>
      </c>
      <c r="X141" s="11">
        <v>0.21527777777777779</v>
      </c>
    </row>
    <row r="142" spans="1:24" x14ac:dyDescent="0.35">
      <c r="A142" s="6">
        <v>42616</v>
      </c>
      <c r="B142" s="7">
        <v>0.33611111111111114</v>
      </c>
      <c r="C142" s="8">
        <v>16.41</v>
      </c>
      <c r="D142" s="8">
        <v>15.29</v>
      </c>
      <c r="E142" s="8">
        <v>10.48</v>
      </c>
      <c r="F142" s="8">
        <v>14.09</v>
      </c>
      <c r="G142" s="8">
        <v>19.38</v>
      </c>
      <c r="H142" s="8">
        <v>10.14</v>
      </c>
      <c r="I142" s="8">
        <v>10.74</v>
      </c>
      <c r="J142" s="8">
        <v>15.18</v>
      </c>
      <c r="K142" s="8">
        <v>12.67</v>
      </c>
      <c r="L142" s="9">
        <v>14.37</v>
      </c>
      <c r="M142">
        <f t="shared" si="22"/>
        <v>3</v>
      </c>
      <c r="N142">
        <f t="shared" si="23"/>
        <v>9</v>
      </c>
      <c r="O142">
        <f t="shared" si="24"/>
        <v>16.41</v>
      </c>
      <c r="P142">
        <f t="shared" si="25"/>
        <v>15.29</v>
      </c>
      <c r="Q142">
        <f t="shared" si="26"/>
        <v>15.18</v>
      </c>
      <c r="R142">
        <f t="shared" si="27"/>
        <v>12.67</v>
      </c>
      <c r="S142">
        <f t="shared" si="28"/>
        <v>16.41</v>
      </c>
      <c r="T142">
        <f t="shared" si="29"/>
        <v>15.29</v>
      </c>
      <c r="U142">
        <f t="shared" si="30"/>
        <v>15.18</v>
      </c>
      <c r="V142">
        <f t="shared" si="31"/>
        <v>12.67</v>
      </c>
      <c r="W142" s="6">
        <v>42616</v>
      </c>
      <c r="X142" s="7">
        <v>0.33611111111111114</v>
      </c>
    </row>
    <row r="143" spans="1:24" x14ac:dyDescent="0.35">
      <c r="A143" s="10">
        <v>42616</v>
      </c>
      <c r="B143" s="11">
        <v>0.34027777777777779</v>
      </c>
      <c r="C143" s="12">
        <v>16.52</v>
      </c>
      <c r="D143" s="12">
        <v>12.24</v>
      </c>
      <c r="E143" s="12">
        <v>15.91</v>
      </c>
      <c r="F143" s="12">
        <v>15.35</v>
      </c>
      <c r="G143" s="12">
        <v>17</v>
      </c>
      <c r="H143" s="12">
        <v>16.29</v>
      </c>
      <c r="I143" s="12">
        <v>10.94</v>
      </c>
      <c r="J143" s="12">
        <v>17.579999999999998</v>
      </c>
      <c r="K143" s="12">
        <v>14.73</v>
      </c>
      <c r="L143" s="13">
        <v>15.82</v>
      </c>
      <c r="M143">
        <f t="shared" si="22"/>
        <v>3</v>
      </c>
      <c r="N143">
        <f t="shared" si="23"/>
        <v>9</v>
      </c>
      <c r="O143">
        <f t="shared" si="24"/>
        <v>16.52</v>
      </c>
      <c r="P143">
        <f t="shared" si="25"/>
        <v>12.24</v>
      </c>
      <c r="Q143">
        <f t="shared" si="26"/>
        <v>17.579999999999998</v>
      </c>
      <c r="R143">
        <f t="shared" si="27"/>
        <v>14.73</v>
      </c>
      <c r="S143">
        <f t="shared" si="28"/>
        <v>16.52</v>
      </c>
      <c r="T143">
        <f t="shared" si="29"/>
        <v>12.24</v>
      </c>
      <c r="U143">
        <f t="shared" si="30"/>
        <v>17.579999999999998</v>
      </c>
      <c r="V143">
        <f t="shared" si="31"/>
        <v>14.73</v>
      </c>
      <c r="W143" s="10">
        <v>42616</v>
      </c>
      <c r="X143" s="11">
        <v>0.34027777777777779</v>
      </c>
    </row>
    <row r="144" spans="1:24" x14ac:dyDescent="0.35">
      <c r="A144" s="6">
        <v>42617</v>
      </c>
      <c r="B144" s="7">
        <v>0.46458333333333335</v>
      </c>
      <c r="C144" s="8">
        <v>13.93</v>
      </c>
      <c r="D144" s="8">
        <v>15.26</v>
      </c>
      <c r="E144" s="8">
        <v>13.17</v>
      </c>
      <c r="F144" s="8">
        <v>15.12</v>
      </c>
      <c r="G144" s="8">
        <v>16.059999999999999</v>
      </c>
      <c r="H144" s="8">
        <v>14.37</v>
      </c>
      <c r="I144" s="8">
        <v>20</v>
      </c>
      <c r="J144" s="8">
        <v>14.27</v>
      </c>
      <c r="K144" s="8">
        <v>12.07</v>
      </c>
      <c r="L144" s="9">
        <v>11.12</v>
      </c>
      <c r="M144">
        <f t="shared" si="22"/>
        <v>4</v>
      </c>
      <c r="N144">
        <f t="shared" si="23"/>
        <v>9</v>
      </c>
      <c r="O144">
        <f t="shared" si="24"/>
        <v>13.93</v>
      </c>
      <c r="P144">
        <f t="shared" si="25"/>
        <v>15.26</v>
      </c>
      <c r="Q144">
        <f t="shared" si="26"/>
        <v>14.27</v>
      </c>
      <c r="R144">
        <f t="shared" si="27"/>
        <v>12.07</v>
      </c>
      <c r="S144">
        <f t="shared" si="28"/>
        <v>13.93</v>
      </c>
      <c r="T144">
        <f t="shared" si="29"/>
        <v>15.26</v>
      </c>
      <c r="U144">
        <f t="shared" si="30"/>
        <v>14.27</v>
      </c>
      <c r="V144">
        <f t="shared" si="31"/>
        <v>12.07</v>
      </c>
      <c r="W144" s="6">
        <v>42617</v>
      </c>
      <c r="X144" s="7">
        <v>0.46458333333333335</v>
      </c>
    </row>
    <row r="145" spans="1:24" x14ac:dyDescent="0.35">
      <c r="A145" s="10">
        <v>42619</v>
      </c>
      <c r="B145" s="11">
        <v>0.3347222222222222</v>
      </c>
      <c r="C145" s="12">
        <v>10.24</v>
      </c>
      <c r="D145" s="12">
        <v>18.010000000000002</v>
      </c>
      <c r="E145" s="12">
        <v>15.2</v>
      </c>
      <c r="F145" s="12">
        <v>14.43</v>
      </c>
      <c r="G145" s="12">
        <v>10.85</v>
      </c>
      <c r="H145" s="12">
        <v>16.73</v>
      </c>
      <c r="I145" s="12">
        <v>19.93</v>
      </c>
      <c r="J145" s="12">
        <v>17.36</v>
      </c>
      <c r="K145" s="12">
        <v>16.77</v>
      </c>
      <c r="L145" s="13">
        <v>17.64</v>
      </c>
      <c r="M145">
        <f t="shared" si="22"/>
        <v>6</v>
      </c>
      <c r="N145">
        <f t="shared" si="23"/>
        <v>9</v>
      </c>
      <c r="O145">
        <f t="shared" si="24"/>
        <v>9.0400000000000009</v>
      </c>
      <c r="P145">
        <f t="shared" si="25"/>
        <v>16.810000000000002</v>
      </c>
      <c r="Q145">
        <f t="shared" si="26"/>
        <v>17.36</v>
      </c>
      <c r="R145">
        <f t="shared" si="27"/>
        <v>15.57</v>
      </c>
      <c r="S145">
        <f t="shared" si="28"/>
        <v>9.0400000000000009</v>
      </c>
      <c r="T145">
        <f t="shared" si="29"/>
        <v>16.810000000000002</v>
      </c>
      <c r="U145">
        <f t="shared" si="30"/>
        <v>17.36</v>
      </c>
      <c r="V145">
        <f t="shared" si="31"/>
        <v>15.57</v>
      </c>
      <c r="W145" s="10">
        <v>42619</v>
      </c>
      <c r="X145" s="11">
        <v>0.3347222222222222</v>
      </c>
    </row>
    <row r="146" spans="1:24" x14ac:dyDescent="0.35">
      <c r="A146" s="6">
        <v>42619</v>
      </c>
      <c r="B146" s="7">
        <v>0.42222222222222222</v>
      </c>
      <c r="C146" s="8">
        <v>17.559999999999999</v>
      </c>
      <c r="D146" s="8">
        <v>14.82</v>
      </c>
      <c r="E146" s="8">
        <v>12.26</v>
      </c>
      <c r="F146" s="8">
        <v>17.920000000000002</v>
      </c>
      <c r="G146" s="8">
        <v>14.86</v>
      </c>
      <c r="H146" s="8">
        <v>11.11</v>
      </c>
      <c r="I146" s="8">
        <v>16.11</v>
      </c>
      <c r="J146" s="8">
        <v>18.66</v>
      </c>
      <c r="K146" s="8">
        <v>14.11</v>
      </c>
      <c r="L146" s="9">
        <v>19.510000000000002</v>
      </c>
      <c r="M146">
        <f t="shared" si="22"/>
        <v>6</v>
      </c>
      <c r="N146">
        <f t="shared" si="23"/>
        <v>9</v>
      </c>
      <c r="O146">
        <f t="shared" si="24"/>
        <v>16.36</v>
      </c>
      <c r="P146">
        <f t="shared" si="25"/>
        <v>13.620000000000001</v>
      </c>
      <c r="Q146">
        <f t="shared" si="26"/>
        <v>18.66</v>
      </c>
      <c r="R146">
        <f t="shared" si="27"/>
        <v>12.91</v>
      </c>
      <c r="S146">
        <f t="shared" si="28"/>
        <v>16.36</v>
      </c>
      <c r="T146">
        <f t="shared" si="29"/>
        <v>13.620000000000001</v>
      </c>
      <c r="U146">
        <f t="shared" si="30"/>
        <v>18.66</v>
      </c>
      <c r="V146">
        <f t="shared" si="31"/>
        <v>12.91</v>
      </c>
      <c r="W146" s="6">
        <v>42619</v>
      </c>
      <c r="X146" s="7">
        <v>0.42222222222222222</v>
      </c>
    </row>
    <row r="147" spans="1:24" x14ac:dyDescent="0.35">
      <c r="A147" s="10">
        <v>42626</v>
      </c>
      <c r="B147" s="11">
        <v>0.42291666666666666</v>
      </c>
      <c r="C147" s="12">
        <v>13.59</v>
      </c>
      <c r="D147" s="12">
        <v>11.82</v>
      </c>
      <c r="E147" s="12">
        <v>11.56</v>
      </c>
      <c r="F147" s="12">
        <v>19.809999999999999</v>
      </c>
      <c r="G147" s="12">
        <v>16.45</v>
      </c>
      <c r="H147" s="12">
        <v>13.39</v>
      </c>
      <c r="I147" s="12">
        <v>17.64</v>
      </c>
      <c r="J147" s="12">
        <v>13.05</v>
      </c>
      <c r="K147" s="12">
        <v>13.95</v>
      </c>
      <c r="L147" s="13">
        <v>16.04</v>
      </c>
      <c r="M147">
        <f t="shared" si="22"/>
        <v>13</v>
      </c>
      <c r="N147">
        <f t="shared" si="23"/>
        <v>9</v>
      </c>
      <c r="O147">
        <f t="shared" si="24"/>
        <v>13.59</v>
      </c>
      <c r="P147">
        <f t="shared" si="25"/>
        <v>11.82</v>
      </c>
      <c r="Q147">
        <f t="shared" si="26"/>
        <v>13.05</v>
      </c>
      <c r="R147">
        <f t="shared" si="27"/>
        <v>13.95</v>
      </c>
      <c r="S147">
        <f t="shared" si="28"/>
        <v>13.59</v>
      </c>
      <c r="T147">
        <f t="shared" si="29"/>
        <v>11.82</v>
      </c>
      <c r="U147">
        <f t="shared" si="30"/>
        <v>13.05</v>
      </c>
      <c r="V147">
        <f t="shared" si="31"/>
        <v>13.95</v>
      </c>
      <c r="W147" s="10">
        <v>42626</v>
      </c>
      <c r="X147" s="11">
        <v>0.42291666666666666</v>
      </c>
    </row>
    <row r="148" spans="1:24" x14ac:dyDescent="0.35">
      <c r="A148" s="6">
        <v>42627</v>
      </c>
      <c r="B148" s="7">
        <v>0.1673611111111111</v>
      </c>
      <c r="C148" s="8">
        <v>12.35</v>
      </c>
      <c r="D148" s="8">
        <v>18.39</v>
      </c>
      <c r="E148" s="8">
        <v>19.010000000000002</v>
      </c>
      <c r="F148" s="8">
        <v>18.13</v>
      </c>
      <c r="G148" s="8">
        <v>18.46</v>
      </c>
      <c r="H148" s="8">
        <v>19.600000000000001</v>
      </c>
      <c r="I148" s="8">
        <v>12.16</v>
      </c>
      <c r="J148" s="8">
        <v>19.899999999999999</v>
      </c>
      <c r="K148" s="8">
        <v>10.16</v>
      </c>
      <c r="L148" s="9">
        <v>19.96</v>
      </c>
      <c r="M148">
        <f t="shared" si="22"/>
        <v>14</v>
      </c>
      <c r="N148">
        <f t="shared" si="23"/>
        <v>9</v>
      </c>
      <c r="O148">
        <f t="shared" si="24"/>
        <v>12.35</v>
      </c>
      <c r="P148">
        <f t="shared" si="25"/>
        <v>18.39</v>
      </c>
      <c r="Q148">
        <f t="shared" si="26"/>
        <v>19.899999999999999</v>
      </c>
      <c r="R148">
        <f t="shared" si="27"/>
        <v>10.16</v>
      </c>
      <c r="S148">
        <f t="shared" si="28"/>
        <v>12.35</v>
      </c>
      <c r="T148">
        <f t="shared" si="29"/>
        <v>18.39</v>
      </c>
      <c r="U148">
        <f t="shared" si="30"/>
        <v>19.899999999999999</v>
      </c>
      <c r="V148">
        <f t="shared" si="31"/>
        <v>10.16</v>
      </c>
      <c r="W148" s="6">
        <v>42627</v>
      </c>
      <c r="X148" s="7">
        <v>0.1673611111111111</v>
      </c>
    </row>
    <row r="149" spans="1:24" x14ac:dyDescent="0.35">
      <c r="A149" s="10">
        <v>42628</v>
      </c>
      <c r="B149" s="11">
        <v>0.25486111111111109</v>
      </c>
      <c r="C149" s="12">
        <v>14.18</v>
      </c>
      <c r="D149" s="12">
        <v>18.43</v>
      </c>
      <c r="E149" s="12">
        <v>14.71</v>
      </c>
      <c r="F149" s="12">
        <v>13.45</v>
      </c>
      <c r="G149" s="12">
        <v>11.14</v>
      </c>
      <c r="H149" s="12">
        <v>17.7</v>
      </c>
      <c r="I149" s="12">
        <v>16.39</v>
      </c>
      <c r="J149" s="12">
        <v>13.4</v>
      </c>
      <c r="K149" s="12">
        <v>15.05</v>
      </c>
      <c r="L149" s="13">
        <v>10.44</v>
      </c>
      <c r="M149">
        <f t="shared" si="22"/>
        <v>15</v>
      </c>
      <c r="N149">
        <f t="shared" si="23"/>
        <v>9</v>
      </c>
      <c r="O149">
        <f t="shared" si="24"/>
        <v>14.18</v>
      </c>
      <c r="P149">
        <f t="shared" si="25"/>
        <v>18.43</v>
      </c>
      <c r="Q149">
        <f t="shared" si="26"/>
        <v>13.4</v>
      </c>
      <c r="R149">
        <f t="shared" si="27"/>
        <v>15.05</v>
      </c>
      <c r="S149">
        <f t="shared" si="28"/>
        <v>14.18</v>
      </c>
      <c r="T149">
        <f t="shared" si="29"/>
        <v>18.43</v>
      </c>
      <c r="U149">
        <f t="shared" si="30"/>
        <v>13.4</v>
      </c>
      <c r="V149">
        <f t="shared" si="31"/>
        <v>15.05</v>
      </c>
      <c r="W149" s="10">
        <v>42628</v>
      </c>
      <c r="X149" s="11">
        <v>0.25486111111111109</v>
      </c>
    </row>
    <row r="150" spans="1:24" x14ac:dyDescent="0.35">
      <c r="A150" s="6">
        <v>42631</v>
      </c>
      <c r="B150" s="7">
        <v>0.29791666666666666</v>
      </c>
      <c r="C150" s="8">
        <v>14.63</v>
      </c>
      <c r="D150" s="8">
        <v>10.26</v>
      </c>
      <c r="E150" s="8">
        <v>19.79</v>
      </c>
      <c r="F150" s="8">
        <v>10.91</v>
      </c>
      <c r="G150" s="8">
        <v>12.37</v>
      </c>
      <c r="H150" s="8">
        <v>11.52</v>
      </c>
      <c r="I150" s="8">
        <v>16.690000000000001</v>
      </c>
      <c r="J150" s="8">
        <v>15.2</v>
      </c>
      <c r="K150" s="8">
        <v>16.13</v>
      </c>
      <c r="L150" s="9">
        <v>17.690000000000001</v>
      </c>
      <c r="M150">
        <f t="shared" si="22"/>
        <v>18</v>
      </c>
      <c r="N150">
        <f t="shared" si="23"/>
        <v>9</v>
      </c>
      <c r="O150">
        <f t="shared" si="24"/>
        <v>14.63</v>
      </c>
      <c r="P150">
        <f t="shared" si="25"/>
        <v>10.26</v>
      </c>
      <c r="Q150">
        <f t="shared" si="26"/>
        <v>15.2</v>
      </c>
      <c r="R150">
        <f t="shared" si="27"/>
        <v>16.13</v>
      </c>
      <c r="S150">
        <f t="shared" si="28"/>
        <v>14.63</v>
      </c>
      <c r="T150">
        <f t="shared" si="29"/>
        <v>10.26</v>
      </c>
      <c r="U150">
        <f t="shared" si="30"/>
        <v>15.2</v>
      </c>
      <c r="V150">
        <f t="shared" si="31"/>
        <v>16.13</v>
      </c>
      <c r="W150" s="6">
        <v>42631</v>
      </c>
      <c r="X150" s="7">
        <v>0.29791666666666666</v>
      </c>
    </row>
    <row r="151" spans="1:24" x14ac:dyDescent="0.35">
      <c r="A151" s="10">
        <v>42634</v>
      </c>
      <c r="B151" s="11">
        <v>0.12916666666666668</v>
      </c>
      <c r="C151" s="12">
        <v>19.21</v>
      </c>
      <c r="D151" s="12">
        <v>19.71</v>
      </c>
      <c r="E151" s="12">
        <v>17.29</v>
      </c>
      <c r="F151" s="12">
        <v>12.07</v>
      </c>
      <c r="G151" s="12">
        <v>18.739999999999998</v>
      </c>
      <c r="H151" s="12">
        <v>18.8</v>
      </c>
      <c r="I151" s="12">
        <v>17.55</v>
      </c>
      <c r="J151" s="12">
        <v>13.23</v>
      </c>
      <c r="K151" s="12">
        <v>16.34</v>
      </c>
      <c r="L151" s="13">
        <v>16.95</v>
      </c>
      <c r="M151">
        <f t="shared" si="22"/>
        <v>21</v>
      </c>
      <c r="N151">
        <f t="shared" si="23"/>
        <v>9</v>
      </c>
      <c r="O151">
        <f t="shared" si="24"/>
        <v>19.21</v>
      </c>
      <c r="P151">
        <f t="shared" si="25"/>
        <v>19.71</v>
      </c>
      <c r="Q151">
        <f t="shared" si="26"/>
        <v>13.23</v>
      </c>
      <c r="R151">
        <f t="shared" si="27"/>
        <v>16.34</v>
      </c>
      <c r="S151">
        <f t="shared" si="28"/>
        <v>19.21</v>
      </c>
      <c r="T151">
        <f t="shared" si="29"/>
        <v>19.71</v>
      </c>
      <c r="U151">
        <f t="shared" si="30"/>
        <v>13.23</v>
      </c>
      <c r="V151">
        <f t="shared" si="31"/>
        <v>16.34</v>
      </c>
      <c r="W151" s="10">
        <v>42634</v>
      </c>
      <c r="X151" s="11">
        <v>0.12916666666666668</v>
      </c>
    </row>
    <row r="152" spans="1:24" x14ac:dyDescent="0.35">
      <c r="A152" s="6">
        <v>42635</v>
      </c>
      <c r="B152" s="7">
        <v>0.33750000000000002</v>
      </c>
      <c r="C152" s="8">
        <v>15.89</v>
      </c>
      <c r="D152" s="8">
        <v>17.95</v>
      </c>
      <c r="E152" s="8">
        <v>12.8</v>
      </c>
      <c r="F152" s="8">
        <v>15</v>
      </c>
      <c r="G152" s="8">
        <v>12.22</v>
      </c>
      <c r="H152" s="8">
        <v>18.25</v>
      </c>
      <c r="I152" s="8">
        <v>10.6</v>
      </c>
      <c r="J152" s="8">
        <v>19.399999999999999</v>
      </c>
      <c r="K152" s="8">
        <v>12.84</v>
      </c>
      <c r="L152" s="9">
        <v>16.170000000000002</v>
      </c>
      <c r="M152">
        <f t="shared" si="22"/>
        <v>22</v>
      </c>
      <c r="N152">
        <f t="shared" si="23"/>
        <v>9</v>
      </c>
      <c r="O152">
        <f t="shared" si="24"/>
        <v>15.89</v>
      </c>
      <c r="P152">
        <f t="shared" si="25"/>
        <v>17.95</v>
      </c>
      <c r="Q152">
        <f t="shared" si="26"/>
        <v>19.399999999999999</v>
      </c>
      <c r="R152">
        <f t="shared" si="27"/>
        <v>12.84</v>
      </c>
      <c r="S152">
        <f t="shared" si="28"/>
        <v>15.89</v>
      </c>
      <c r="T152">
        <f t="shared" si="29"/>
        <v>17.95</v>
      </c>
      <c r="U152">
        <f t="shared" si="30"/>
        <v>19.399999999999999</v>
      </c>
      <c r="V152">
        <f t="shared" si="31"/>
        <v>12.84</v>
      </c>
      <c r="W152" s="6">
        <v>42635</v>
      </c>
      <c r="X152" s="7">
        <v>0.33750000000000002</v>
      </c>
    </row>
    <row r="153" spans="1:24" x14ac:dyDescent="0.35">
      <c r="A153" s="10">
        <v>42635</v>
      </c>
      <c r="B153" s="11">
        <v>0.42083333333333334</v>
      </c>
      <c r="C153" s="12">
        <v>18.32</v>
      </c>
      <c r="D153" s="12">
        <v>19.73</v>
      </c>
      <c r="E153" s="12">
        <v>15.21</v>
      </c>
      <c r="F153" s="12">
        <v>17.899999999999999</v>
      </c>
      <c r="G153" s="12">
        <v>18.29</v>
      </c>
      <c r="H153" s="12">
        <v>14.78</v>
      </c>
      <c r="I153" s="12">
        <v>16.59</v>
      </c>
      <c r="J153" s="12">
        <v>18.350000000000001</v>
      </c>
      <c r="K153" s="12">
        <v>12.69</v>
      </c>
      <c r="L153" s="13">
        <v>18.489999999999998</v>
      </c>
      <c r="M153">
        <f t="shared" si="22"/>
        <v>22</v>
      </c>
      <c r="N153">
        <f t="shared" si="23"/>
        <v>9</v>
      </c>
      <c r="O153">
        <f t="shared" si="24"/>
        <v>18.32</v>
      </c>
      <c r="P153">
        <f t="shared" si="25"/>
        <v>19.73</v>
      </c>
      <c r="Q153">
        <f t="shared" si="26"/>
        <v>18.350000000000001</v>
      </c>
      <c r="R153">
        <f t="shared" si="27"/>
        <v>12.69</v>
      </c>
      <c r="S153">
        <f t="shared" si="28"/>
        <v>18.32</v>
      </c>
      <c r="T153">
        <f t="shared" si="29"/>
        <v>19.73</v>
      </c>
      <c r="U153">
        <f t="shared" si="30"/>
        <v>18.350000000000001</v>
      </c>
      <c r="V153">
        <f t="shared" si="31"/>
        <v>12.69</v>
      </c>
      <c r="W153" s="10">
        <v>42635</v>
      </c>
      <c r="X153" s="11">
        <v>0.42083333333333334</v>
      </c>
    </row>
    <row r="154" spans="1:24" x14ac:dyDescent="0.35">
      <c r="A154" s="6">
        <v>42636</v>
      </c>
      <c r="B154" s="7">
        <v>0.4236111111111111</v>
      </c>
      <c r="C154" s="8">
        <v>13.6</v>
      </c>
      <c r="D154" s="8">
        <v>12.67</v>
      </c>
      <c r="E154" s="8">
        <v>15.96</v>
      </c>
      <c r="F154" s="8">
        <v>19.79</v>
      </c>
      <c r="G154" s="8">
        <v>15</v>
      </c>
      <c r="H154" s="8">
        <v>17.829999999999998</v>
      </c>
      <c r="I154" s="8">
        <v>11.56</v>
      </c>
      <c r="J154" s="8">
        <v>19.489999999999998</v>
      </c>
      <c r="K154" s="8">
        <v>13.76</v>
      </c>
      <c r="L154" s="9">
        <v>15.46</v>
      </c>
      <c r="M154">
        <f t="shared" si="22"/>
        <v>23</v>
      </c>
      <c r="N154">
        <f t="shared" si="23"/>
        <v>9</v>
      </c>
      <c r="O154">
        <f t="shared" si="24"/>
        <v>13.6</v>
      </c>
      <c r="P154">
        <f t="shared" si="25"/>
        <v>12.67</v>
      </c>
      <c r="Q154">
        <f t="shared" si="26"/>
        <v>19.489999999999998</v>
      </c>
      <c r="R154">
        <f t="shared" si="27"/>
        <v>13.76</v>
      </c>
      <c r="S154">
        <f t="shared" si="28"/>
        <v>13.6</v>
      </c>
      <c r="T154">
        <f t="shared" si="29"/>
        <v>12.67</v>
      </c>
      <c r="U154">
        <f t="shared" si="30"/>
        <v>19.489999999999998</v>
      </c>
      <c r="V154">
        <f t="shared" si="31"/>
        <v>13.76</v>
      </c>
      <c r="W154" s="6">
        <v>42636</v>
      </c>
      <c r="X154" s="7">
        <v>0.4236111111111111</v>
      </c>
    </row>
    <row r="155" spans="1:24" x14ac:dyDescent="0.35">
      <c r="A155" s="10">
        <v>42639</v>
      </c>
      <c r="B155" s="11">
        <v>4.583333333333333E-2</v>
      </c>
      <c r="C155" s="12">
        <v>10.199999999999999</v>
      </c>
      <c r="D155" s="12">
        <v>14.87</v>
      </c>
      <c r="E155" s="12">
        <v>17.510000000000002</v>
      </c>
      <c r="F155" s="12">
        <v>17.190000000000001</v>
      </c>
      <c r="G155" s="12">
        <v>12.5</v>
      </c>
      <c r="H155" s="12">
        <v>15.71</v>
      </c>
      <c r="I155" s="12">
        <v>12.15</v>
      </c>
      <c r="J155" s="12">
        <v>13.01</v>
      </c>
      <c r="K155" s="12">
        <v>17.21</v>
      </c>
      <c r="L155" s="13">
        <v>15.46</v>
      </c>
      <c r="M155">
        <f t="shared" si="22"/>
        <v>26</v>
      </c>
      <c r="N155">
        <f t="shared" si="23"/>
        <v>9</v>
      </c>
      <c r="O155">
        <f t="shared" si="24"/>
        <v>10.199999999999999</v>
      </c>
      <c r="P155">
        <f t="shared" si="25"/>
        <v>14.87</v>
      </c>
      <c r="Q155">
        <f t="shared" si="26"/>
        <v>13.01</v>
      </c>
      <c r="R155">
        <f t="shared" si="27"/>
        <v>17.21</v>
      </c>
      <c r="S155">
        <f t="shared" si="28"/>
        <v>10.199999999999999</v>
      </c>
      <c r="T155">
        <f t="shared" si="29"/>
        <v>14.87</v>
      </c>
      <c r="U155">
        <f t="shared" si="30"/>
        <v>13.01</v>
      </c>
      <c r="V155">
        <f t="shared" si="31"/>
        <v>17.21</v>
      </c>
      <c r="W155" s="10">
        <v>42639</v>
      </c>
      <c r="X155" s="11">
        <v>4.583333333333333E-2</v>
      </c>
    </row>
    <row r="156" spans="1:24" x14ac:dyDescent="0.35">
      <c r="A156" s="6">
        <v>42641</v>
      </c>
      <c r="B156" s="7">
        <v>0.37708333333333333</v>
      </c>
      <c r="C156" s="8">
        <v>18.23</v>
      </c>
      <c r="D156" s="8">
        <v>10.62</v>
      </c>
      <c r="E156" s="8">
        <v>14.89</v>
      </c>
      <c r="F156" s="8">
        <v>13.97</v>
      </c>
      <c r="G156" s="8">
        <v>14.88</v>
      </c>
      <c r="H156" s="8">
        <v>18.62</v>
      </c>
      <c r="I156" s="8">
        <v>12.9</v>
      </c>
      <c r="J156" s="8">
        <v>17.5</v>
      </c>
      <c r="K156" s="8">
        <v>12.26</v>
      </c>
      <c r="L156" s="9">
        <v>15.26</v>
      </c>
      <c r="M156">
        <f t="shared" si="22"/>
        <v>28</v>
      </c>
      <c r="N156">
        <f t="shared" si="23"/>
        <v>9</v>
      </c>
      <c r="O156">
        <f t="shared" si="24"/>
        <v>18.23</v>
      </c>
      <c r="P156">
        <f t="shared" si="25"/>
        <v>10.62</v>
      </c>
      <c r="Q156">
        <f t="shared" si="26"/>
        <v>17.5</v>
      </c>
      <c r="R156">
        <f t="shared" si="27"/>
        <v>12.26</v>
      </c>
      <c r="S156">
        <f t="shared" si="28"/>
        <v>18.23</v>
      </c>
      <c r="T156">
        <f t="shared" si="29"/>
        <v>10.62</v>
      </c>
      <c r="U156">
        <f t="shared" si="30"/>
        <v>17.5</v>
      </c>
      <c r="V156">
        <f t="shared" si="31"/>
        <v>12.26</v>
      </c>
      <c r="W156" s="6">
        <v>42641</v>
      </c>
      <c r="X156" s="7">
        <v>0.37708333333333333</v>
      </c>
    </row>
    <row r="157" spans="1:24" x14ac:dyDescent="0.35">
      <c r="A157" s="10">
        <v>42645</v>
      </c>
      <c r="B157" s="11">
        <v>0.33888888888888891</v>
      </c>
      <c r="C157" s="12">
        <v>10.99</v>
      </c>
      <c r="D157" s="12">
        <v>19.11</v>
      </c>
      <c r="E157" s="12">
        <v>18.8</v>
      </c>
      <c r="F157" s="12">
        <v>12.14</v>
      </c>
      <c r="G157" s="12">
        <v>11.19</v>
      </c>
      <c r="H157" s="12">
        <v>11.97</v>
      </c>
      <c r="I157" s="12">
        <v>19.8</v>
      </c>
      <c r="J157" s="12">
        <v>19.72</v>
      </c>
      <c r="K157" s="12">
        <v>15.04</v>
      </c>
      <c r="L157" s="13">
        <v>12.42</v>
      </c>
      <c r="M157">
        <f t="shared" si="22"/>
        <v>2</v>
      </c>
      <c r="N157">
        <f t="shared" si="23"/>
        <v>10</v>
      </c>
      <c r="O157">
        <f t="shared" si="24"/>
        <v>10.99</v>
      </c>
      <c r="P157">
        <f t="shared" si="25"/>
        <v>19.11</v>
      </c>
      <c r="Q157">
        <f t="shared" si="26"/>
        <v>19.72</v>
      </c>
      <c r="R157">
        <f t="shared" si="27"/>
        <v>15.04</v>
      </c>
      <c r="S157">
        <f t="shared" si="28"/>
        <v>10.99</v>
      </c>
      <c r="T157">
        <f t="shared" si="29"/>
        <v>19.11</v>
      </c>
      <c r="U157">
        <f t="shared" si="30"/>
        <v>19.72</v>
      </c>
      <c r="V157">
        <f t="shared" si="31"/>
        <v>15.04</v>
      </c>
      <c r="W157" s="10">
        <v>42645</v>
      </c>
      <c r="X157" s="11">
        <v>0.33888888888888891</v>
      </c>
    </row>
    <row r="158" spans="1:24" x14ac:dyDescent="0.35">
      <c r="A158" s="6">
        <v>42647</v>
      </c>
      <c r="B158" s="7">
        <v>8.4722222222222227E-2</v>
      </c>
      <c r="C158" s="8">
        <v>16.5</v>
      </c>
      <c r="D158" s="8">
        <v>18.18</v>
      </c>
      <c r="E158" s="8">
        <v>15.63</v>
      </c>
      <c r="F158" s="8">
        <v>11.46</v>
      </c>
      <c r="G158" s="8">
        <v>17.399999999999999</v>
      </c>
      <c r="H158" s="8">
        <v>16.75</v>
      </c>
      <c r="I158" s="8">
        <v>11.85</v>
      </c>
      <c r="J158" s="8">
        <v>13.64</v>
      </c>
      <c r="K158" s="8">
        <v>10.43</v>
      </c>
      <c r="L158" s="9">
        <v>19.149999999999999</v>
      </c>
      <c r="M158">
        <f t="shared" si="22"/>
        <v>4</v>
      </c>
      <c r="N158">
        <f t="shared" si="23"/>
        <v>10</v>
      </c>
      <c r="O158">
        <f t="shared" si="24"/>
        <v>16.5</v>
      </c>
      <c r="P158">
        <f t="shared" si="25"/>
        <v>18.18</v>
      </c>
      <c r="Q158">
        <f t="shared" si="26"/>
        <v>13.64</v>
      </c>
      <c r="R158">
        <f t="shared" si="27"/>
        <v>10.43</v>
      </c>
      <c r="S158">
        <f t="shared" si="28"/>
        <v>16.5</v>
      </c>
      <c r="T158">
        <f t="shared" si="29"/>
        <v>18.18</v>
      </c>
      <c r="U158">
        <f t="shared" si="30"/>
        <v>13.64</v>
      </c>
      <c r="V158">
        <f t="shared" si="31"/>
        <v>10.43</v>
      </c>
      <c r="W158" s="6">
        <v>42647</v>
      </c>
      <c r="X158" s="7">
        <v>8.4722222222222227E-2</v>
      </c>
    </row>
    <row r="159" spans="1:24" x14ac:dyDescent="0.35">
      <c r="A159" s="10">
        <v>42647</v>
      </c>
      <c r="B159" s="11">
        <v>0.4201388888888889</v>
      </c>
      <c r="C159" s="12">
        <v>14.76</v>
      </c>
      <c r="D159" s="12">
        <v>10.74</v>
      </c>
      <c r="E159" s="12">
        <v>16.3</v>
      </c>
      <c r="F159" s="12">
        <v>10.39</v>
      </c>
      <c r="G159" s="12">
        <v>11.24</v>
      </c>
      <c r="H159" s="12">
        <v>18.98</v>
      </c>
      <c r="I159" s="12">
        <v>15.79</v>
      </c>
      <c r="J159" s="12">
        <v>12.57</v>
      </c>
      <c r="K159" s="12">
        <v>19.2</v>
      </c>
      <c r="L159" s="13">
        <v>10.17</v>
      </c>
      <c r="M159">
        <f t="shared" si="22"/>
        <v>4</v>
      </c>
      <c r="N159">
        <f t="shared" si="23"/>
        <v>10</v>
      </c>
      <c r="O159">
        <f t="shared" si="24"/>
        <v>14.76</v>
      </c>
      <c r="P159">
        <f t="shared" si="25"/>
        <v>10.74</v>
      </c>
      <c r="Q159">
        <f t="shared" si="26"/>
        <v>12.57</v>
      </c>
      <c r="R159">
        <f t="shared" si="27"/>
        <v>19.2</v>
      </c>
      <c r="S159">
        <f t="shared" si="28"/>
        <v>14.76</v>
      </c>
      <c r="T159">
        <f t="shared" si="29"/>
        <v>10.74</v>
      </c>
      <c r="U159">
        <f t="shared" si="30"/>
        <v>12.57</v>
      </c>
      <c r="V159">
        <f t="shared" si="31"/>
        <v>19.2</v>
      </c>
      <c r="W159" s="10">
        <v>42647</v>
      </c>
      <c r="X159" s="11">
        <v>0.4201388888888889</v>
      </c>
    </row>
    <row r="160" spans="1:24" x14ac:dyDescent="0.35">
      <c r="A160" s="6">
        <v>42650</v>
      </c>
      <c r="B160" s="7">
        <v>0.1701388888888889</v>
      </c>
      <c r="C160" s="8">
        <v>19.149999999999999</v>
      </c>
      <c r="D160" s="8">
        <v>15.35</v>
      </c>
      <c r="E160" s="8">
        <v>10.71</v>
      </c>
      <c r="F160" s="8">
        <v>14.76</v>
      </c>
      <c r="G160" s="8">
        <v>17.57</v>
      </c>
      <c r="H160" s="8">
        <v>16.05</v>
      </c>
      <c r="I160" s="8">
        <v>19.690000000000001</v>
      </c>
      <c r="J160" s="8">
        <v>15.96</v>
      </c>
      <c r="K160" s="8">
        <v>11.27</v>
      </c>
      <c r="L160" s="9">
        <v>11.72</v>
      </c>
      <c r="M160">
        <f t="shared" si="22"/>
        <v>7</v>
      </c>
      <c r="N160">
        <f t="shared" si="23"/>
        <v>10</v>
      </c>
      <c r="O160">
        <f t="shared" si="24"/>
        <v>17.95</v>
      </c>
      <c r="P160">
        <f t="shared" si="25"/>
        <v>14.15</v>
      </c>
      <c r="Q160">
        <f t="shared" si="26"/>
        <v>15.96</v>
      </c>
      <c r="R160">
        <f t="shared" si="27"/>
        <v>10.07</v>
      </c>
      <c r="S160">
        <f t="shared" si="28"/>
        <v>17.95</v>
      </c>
      <c r="T160">
        <f t="shared" si="29"/>
        <v>14.15</v>
      </c>
      <c r="U160">
        <f t="shared" si="30"/>
        <v>15.96</v>
      </c>
      <c r="V160">
        <f t="shared" si="31"/>
        <v>10.07</v>
      </c>
      <c r="W160" s="6">
        <v>42650</v>
      </c>
      <c r="X160" s="7">
        <v>0.1701388888888889</v>
      </c>
    </row>
    <row r="161" spans="1:24" x14ac:dyDescent="0.35">
      <c r="A161" s="10">
        <v>42653</v>
      </c>
      <c r="B161" s="11">
        <v>0.29236111111111113</v>
      </c>
      <c r="C161" s="12">
        <v>14.52</v>
      </c>
      <c r="D161" s="12">
        <v>15.36</v>
      </c>
      <c r="E161" s="12">
        <v>10.01</v>
      </c>
      <c r="F161" s="12">
        <v>19.440000000000001</v>
      </c>
      <c r="G161" s="12">
        <v>11.62</v>
      </c>
      <c r="H161" s="12">
        <v>17.75</v>
      </c>
      <c r="I161" s="12">
        <v>14.63</v>
      </c>
      <c r="J161" s="12">
        <v>11.83</v>
      </c>
      <c r="K161" s="12">
        <v>15.26</v>
      </c>
      <c r="L161" s="13">
        <v>11.75</v>
      </c>
      <c r="M161">
        <f t="shared" si="22"/>
        <v>10</v>
      </c>
      <c r="N161">
        <f t="shared" si="23"/>
        <v>10</v>
      </c>
      <c r="O161">
        <f t="shared" si="24"/>
        <v>13.32</v>
      </c>
      <c r="P161">
        <f t="shared" si="25"/>
        <v>14.16</v>
      </c>
      <c r="Q161">
        <f t="shared" si="26"/>
        <v>11.83</v>
      </c>
      <c r="R161">
        <f t="shared" si="27"/>
        <v>14.06</v>
      </c>
      <c r="S161">
        <f t="shared" si="28"/>
        <v>13.32</v>
      </c>
      <c r="T161">
        <f t="shared" si="29"/>
        <v>14.16</v>
      </c>
      <c r="U161">
        <f t="shared" si="30"/>
        <v>11.83</v>
      </c>
      <c r="V161">
        <f t="shared" si="31"/>
        <v>14.06</v>
      </c>
      <c r="W161" s="10">
        <v>42653</v>
      </c>
      <c r="X161" s="11">
        <v>0.29236111111111113</v>
      </c>
    </row>
    <row r="162" spans="1:24" x14ac:dyDescent="0.35">
      <c r="A162" s="6">
        <v>42654</v>
      </c>
      <c r="B162" s="7">
        <v>4.9305555555555554E-2</v>
      </c>
      <c r="C162" s="8">
        <v>14.04</v>
      </c>
      <c r="D162" s="8">
        <v>12.39</v>
      </c>
      <c r="E162" s="8">
        <v>16.54</v>
      </c>
      <c r="F162" s="8">
        <v>16.02</v>
      </c>
      <c r="G162" s="8">
        <v>10.46</v>
      </c>
      <c r="H162" s="8">
        <v>10.8</v>
      </c>
      <c r="I162" s="8">
        <v>13.25</v>
      </c>
      <c r="J162" s="8">
        <v>19.96</v>
      </c>
      <c r="K162" s="8">
        <v>19.989999999999998</v>
      </c>
      <c r="L162" s="9">
        <v>15.91</v>
      </c>
      <c r="M162">
        <f t="shared" si="22"/>
        <v>11</v>
      </c>
      <c r="N162">
        <f t="shared" si="23"/>
        <v>10</v>
      </c>
      <c r="O162">
        <f t="shared" si="24"/>
        <v>14.04</v>
      </c>
      <c r="P162">
        <f t="shared" si="25"/>
        <v>12.39</v>
      </c>
      <c r="Q162">
        <f t="shared" si="26"/>
        <v>19.96</v>
      </c>
      <c r="R162">
        <f t="shared" si="27"/>
        <v>19.989999999999998</v>
      </c>
      <c r="S162">
        <f t="shared" si="28"/>
        <v>14.04</v>
      </c>
      <c r="T162">
        <f t="shared" si="29"/>
        <v>12.39</v>
      </c>
      <c r="U162">
        <f t="shared" si="30"/>
        <v>19.96</v>
      </c>
      <c r="V162">
        <f t="shared" si="31"/>
        <v>19.989999999999998</v>
      </c>
      <c r="W162" s="6">
        <v>42654</v>
      </c>
      <c r="X162" s="7">
        <v>4.9305555555555554E-2</v>
      </c>
    </row>
    <row r="163" spans="1:24" x14ac:dyDescent="0.35">
      <c r="A163" s="10">
        <v>42654</v>
      </c>
      <c r="B163" s="11">
        <v>8.4722222222222227E-2</v>
      </c>
      <c r="C163" s="12">
        <v>15.75</v>
      </c>
      <c r="D163" s="12">
        <v>18.39</v>
      </c>
      <c r="E163" s="12">
        <v>13.61</v>
      </c>
      <c r="F163" s="12">
        <v>10.15</v>
      </c>
      <c r="G163" s="12">
        <v>19.989999999999998</v>
      </c>
      <c r="H163" s="12">
        <v>14.87</v>
      </c>
      <c r="I163" s="12">
        <v>14.72</v>
      </c>
      <c r="J163" s="12">
        <v>14.66</v>
      </c>
      <c r="K163" s="12">
        <v>19.100000000000001</v>
      </c>
      <c r="L163" s="13">
        <v>17.760000000000002</v>
      </c>
      <c r="M163">
        <f t="shared" si="22"/>
        <v>11</v>
      </c>
      <c r="N163">
        <f t="shared" si="23"/>
        <v>10</v>
      </c>
      <c r="O163">
        <f t="shared" si="24"/>
        <v>15.75</v>
      </c>
      <c r="P163">
        <f t="shared" si="25"/>
        <v>18.39</v>
      </c>
      <c r="Q163">
        <f t="shared" si="26"/>
        <v>14.66</v>
      </c>
      <c r="R163">
        <f t="shared" si="27"/>
        <v>19.100000000000001</v>
      </c>
      <c r="S163">
        <f t="shared" si="28"/>
        <v>15.75</v>
      </c>
      <c r="T163">
        <f t="shared" si="29"/>
        <v>18.39</v>
      </c>
      <c r="U163">
        <f t="shared" si="30"/>
        <v>14.66</v>
      </c>
      <c r="V163">
        <f t="shared" si="31"/>
        <v>19.100000000000001</v>
      </c>
      <c r="W163" s="10">
        <v>42654</v>
      </c>
      <c r="X163" s="11">
        <v>8.4722222222222227E-2</v>
      </c>
    </row>
    <row r="164" spans="1:24" x14ac:dyDescent="0.35">
      <c r="A164" s="6">
        <v>42654</v>
      </c>
      <c r="B164" s="7">
        <v>0.25624999999999998</v>
      </c>
      <c r="C164" s="8">
        <v>14.16</v>
      </c>
      <c r="D164" s="8">
        <v>19.989999999999998</v>
      </c>
      <c r="E164" s="8">
        <v>15.52</v>
      </c>
      <c r="F164" s="8">
        <v>11.59</v>
      </c>
      <c r="G164" s="8">
        <v>13.63</v>
      </c>
      <c r="H164" s="8">
        <v>12.92</v>
      </c>
      <c r="I164" s="8">
        <v>13.18</v>
      </c>
      <c r="J164" s="8">
        <v>18.84</v>
      </c>
      <c r="K164" s="8">
        <v>10.7</v>
      </c>
      <c r="L164" s="9">
        <v>13.87</v>
      </c>
      <c r="M164">
        <f t="shared" si="22"/>
        <v>11</v>
      </c>
      <c r="N164">
        <f t="shared" si="23"/>
        <v>10</v>
      </c>
      <c r="O164">
        <f t="shared" si="24"/>
        <v>14.16</v>
      </c>
      <c r="P164">
        <f t="shared" si="25"/>
        <v>19.989999999999998</v>
      </c>
      <c r="Q164">
        <f t="shared" si="26"/>
        <v>18.84</v>
      </c>
      <c r="R164">
        <f t="shared" si="27"/>
        <v>10.7</v>
      </c>
      <c r="S164">
        <f t="shared" si="28"/>
        <v>14.16</v>
      </c>
      <c r="T164">
        <f t="shared" si="29"/>
        <v>19.989999999999998</v>
      </c>
      <c r="U164">
        <f t="shared" si="30"/>
        <v>18.84</v>
      </c>
      <c r="V164">
        <f t="shared" si="31"/>
        <v>10.7</v>
      </c>
      <c r="W164" s="6">
        <v>42654</v>
      </c>
      <c r="X164" s="7">
        <v>0.25624999999999998</v>
      </c>
    </row>
    <row r="165" spans="1:24" x14ac:dyDescent="0.35">
      <c r="A165" s="10">
        <v>42655</v>
      </c>
      <c r="B165" s="11">
        <v>0.1673611111111111</v>
      </c>
      <c r="C165" s="12">
        <v>17.32</v>
      </c>
      <c r="D165" s="12">
        <v>10.029999999999999</v>
      </c>
      <c r="E165" s="12">
        <v>15.19</v>
      </c>
      <c r="F165" s="12">
        <v>17.38</v>
      </c>
      <c r="G165" s="12">
        <v>12.08</v>
      </c>
      <c r="H165" s="12">
        <v>19.09</v>
      </c>
      <c r="I165" s="12">
        <v>12.83</v>
      </c>
      <c r="J165" s="12">
        <v>18.420000000000002</v>
      </c>
      <c r="K165" s="12">
        <v>14.05</v>
      </c>
      <c r="L165" s="13">
        <v>13.27</v>
      </c>
      <c r="M165">
        <f t="shared" si="22"/>
        <v>12</v>
      </c>
      <c r="N165">
        <f t="shared" si="23"/>
        <v>10</v>
      </c>
      <c r="O165">
        <f t="shared" si="24"/>
        <v>17.32</v>
      </c>
      <c r="P165">
        <f t="shared" si="25"/>
        <v>10.029999999999999</v>
      </c>
      <c r="Q165">
        <f t="shared" si="26"/>
        <v>18.420000000000002</v>
      </c>
      <c r="R165">
        <f t="shared" si="27"/>
        <v>14.05</v>
      </c>
      <c r="S165">
        <f t="shared" si="28"/>
        <v>17.32</v>
      </c>
      <c r="T165">
        <f t="shared" si="29"/>
        <v>10.029999999999999</v>
      </c>
      <c r="U165">
        <f t="shared" si="30"/>
        <v>18.420000000000002</v>
      </c>
      <c r="V165">
        <f t="shared" si="31"/>
        <v>14.05</v>
      </c>
      <c r="W165" s="10">
        <v>42655</v>
      </c>
      <c r="X165" s="11">
        <v>0.1673611111111111</v>
      </c>
    </row>
    <row r="166" spans="1:24" x14ac:dyDescent="0.35">
      <c r="A166" s="6">
        <v>42657</v>
      </c>
      <c r="B166" s="7">
        <v>3.472222222222222E-3</v>
      </c>
      <c r="C166" s="8">
        <v>17.7</v>
      </c>
      <c r="D166" s="8">
        <v>12.05</v>
      </c>
      <c r="E166" s="8">
        <v>19.64</v>
      </c>
      <c r="F166" s="8">
        <v>15.73</v>
      </c>
      <c r="G166" s="8">
        <v>19.87</v>
      </c>
      <c r="H166" s="8">
        <v>16.72</v>
      </c>
      <c r="I166" s="8">
        <v>11.73</v>
      </c>
      <c r="J166" s="8">
        <v>16.41</v>
      </c>
      <c r="K166" s="8">
        <v>18.29</v>
      </c>
      <c r="L166" s="9">
        <v>18.22</v>
      </c>
      <c r="M166">
        <f t="shared" si="22"/>
        <v>14</v>
      </c>
      <c r="N166">
        <f t="shared" si="23"/>
        <v>10</v>
      </c>
      <c r="O166">
        <f t="shared" si="24"/>
        <v>17.7</v>
      </c>
      <c r="P166">
        <f t="shared" si="25"/>
        <v>12.05</v>
      </c>
      <c r="Q166">
        <f t="shared" si="26"/>
        <v>16.41</v>
      </c>
      <c r="R166">
        <f t="shared" si="27"/>
        <v>18.29</v>
      </c>
      <c r="S166">
        <f t="shared" si="28"/>
        <v>17.7</v>
      </c>
      <c r="T166">
        <f t="shared" si="29"/>
        <v>12.05</v>
      </c>
      <c r="U166">
        <f t="shared" si="30"/>
        <v>16.41</v>
      </c>
      <c r="V166">
        <f t="shared" si="31"/>
        <v>18.29</v>
      </c>
      <c r="W166" s="6">
        <v>42657</v>
      </c>
      <c r="X166" s="7">
        <v>3.472222222222222E-3</v>
      </c>
    </row>
    <row r="167" spans="1:24" x14ac:dyDescent="0.35">
      <c r="A167" s="10">
        <v>42660</v>
      </c>
      <c r="B167" s="11">
        <v>0.21249999999999999</v>
      </c>
      <c r="C167" s="12">
        <v>11.01</v>
      </c>
      <c r="D167" s="12">
        <v>14.84</v>
      </c>
      <c r="E167" s="12">
        <v>11.29</v>
      </c>
      <c r="F167" s="12">
        <v>17.72</v>
      </c>
      <c r="G167" s="12">
        <v>12.61</v>
      </c>
      <c r="H167" s="12">
        <v>16.55</v>
      </c>
      <c r="I167" s="12">
        <v>11.63</v>
      </c>
      <c r="J167" s="12">
        <v>12.88</v>
      </c>
      <c r="K167" s="12">
        <v>14.01</v>
      </c>
      <c r="L167" s="13">
        <v>12.67</v>
      </c>
      <c r="M167">
        <f t="shared" si="22"/>
        <v>17</v>
      </c>
      <c r="N167">
        <f t="shared" si="23"/>
        <v>10</v>
      </c>
      <c r="O167">
        <f t="shared" si="24"/>
        <v>11.01</v>
      </c>
      <c r="P167">
        <f t="shared" si="25"/>
        <v>14.84</v>
      </c>
      <c r="Q167">
        <f t="shared" si="26"/>
        <v>12.88</v>
      </c>
      <c r="R167">
        <f t="shared" si="27"/>
        <v>14.01</v>
      </c>
      <c r="S167">
        <f t="shared" si="28"/>
        <v>11.01</v>
      </c>
      <c r="T167">
        <f t="shared" si="29"/>
        <v>14.84</v>
      </c>
      <c r="U167">
        <f t="shared" si="30"/>
        <v>12.88</v>
      </c>
      <c r="V167">
        <f t="shared" si="31"/>
        <v>14.01</v>
      </c>
      <c r="W167" s="10">
        <v>42660</v>
      </c>
      <c r="X167" s="11">
        <v>0.21249999999999999</v>
      </c>
    </row>
    <row r="168" spans="1:24" x14ac:dyDescent="0.35">
      <c r="A168" s="6">
        <v>42664</v>
      </c>
      <c r="B168" s="7">
        <v>0.21388888888888888</v>
      </c>
      <c r="C168" s="8">
        <v>11.11</v>
      </c>
      <c r="D168" s="8">
        <v>16.350000000000001</v>
      </c>
      <c r="E168" s="8">
        <v>13.97</v>
      </c>
      <c r="F168" s="8">
        <v>11.7</v>
      </c>
      <c r="G168" s="8">
        <v>18.649999999999999</v>
      </c>
      <c r="H168" s="8">
        <v>14.28</v>
      </c>
      <c r="I168" s="8">
        <v>17.690000000000001</v>
      </c>
      <c r="J168" s="8">
        <v>13.25</v>
      </c>
      <c r="K168" s="8">
        <v>10.69</v>
      </c>
      <c r="L168" s="9">
        <v>17.690000000000001</v>
      </c>
      <c r="M168">
        <f t="shared" si="22"/>
        <v>21</v>
      </c>
      <c r="N168">
        <f t="shared" si="23"/>
        <v>10</v>
      </c>
      <c r="O168">
        <f t="shared" si="24"/>
        <v>11.11</v>
      </c>
      <c r="P168">
        <f t="shared" si="25"/>
        <v>16.350000000000001</v>
      </c>
      <c r="Q168">
        <f t="shared" si="26"/>
        <v>13.25</v>
      </c>
      <c r="R168">
        <f t="shared" si="27"/>
        <v>10.69</v>
      </c>
      <c r="S168">
        <f t="shared" si="28"/>
        <v>11.11</v>
      </c>
      <c r="T168">
        <f t="shared" si="29"/>
        <v>16.350000000000001</v>
      </c>
      <c r="U168">
        <f t="shared" si="30"/>
        <v>13.25</v>
      </c>
      <c r="V168">
        <f t="shared" si="31"/>
        <v>10.69</v>
      </c>
      <c r="W168" s="6">
        <v>42664</v>
      </c>
      <c r="X168" s="7">
        <v>0.21388888888888888</v>
      </c>
    </row>
    <row r="169" spans="1:24" x14ac:dyDescent="0.35">
      <c r="A169" s="10">
        <v>42666</v>
      </c>
      <c r="B169" s="11">
        <v>0.1701388888888889</v>
      </c>
      <c r="C169" s="12">
        <v>13.09</v>
      </c>
      <c r="D169" s="12">
        <v>15.83</v>
      </c>
      <c r="E169" s="12">
        <v>18.55</v>
      </c>
      <c r="F169" s="12">
        <v>17.37</v>
      </c>
      <c r="G169" s="12">
        <v>18.489999999999998</v>
      </c>
      <c r="H169" s="12">
        <v>14.59</v>
      </c>
      <c r="I169" s="12">
        <v>19.329999999999998</v>
      </c>
      <c r="J169" s="12">
        <v>13.54</v>
      </c>
      <c r="K169" s="12">
        <v>11.35</v>
      </c>
      <c r="L169" s="13">
        <v>18.43</v>
      </c>
      <c r="M169">
        <f t="shared" si="22"/>
        <v>23</v>
      </c>
      <c r="N169">
        <f t="shared" si="23"/>
        <v>10</v>
      </c>
      <c r="O169">
        <f t="shared" si="24"/>
        <v>13.09</v>
      </c>
      <c r="P169">
        <f t="shared" si="25"/>
        <v>15.83</v>
      </c>
      <c r="Q169">
        <f t="shared" si="26"/>
        <v>13.54</v>
      </c>
      <c r="R169">
        <f t="shared" si="27"/>
        <v>11.35</v>
      </c>
      <c r="S169">
        <f t="shared" si="28"/>
        <v>13.09</v>
      </c>
      <c r="T169">
        <f t="shared" si="29"/>
        <v>15.83</v>
      </c>
      <c r="U169">
        <f t="shared" si="30"/>
        <v>13.54</v>
      </c>
      <c r="V169">
        <f t="shared" si="31"/>
        <v>11.35</v>
      </c>
      <c r="W169" s="10">
        <v>42666</v>
      </c>
      <c r="X169" s="11">
        <v>0.1701388888888889</v>
      </c>
    </row>
    <row r="170" spans="1:24" x14ac:dyDescent="0.35">
      <c r="A170" s="6">
        <v>42666</v>
      </c>
      <c r="B170" s="7">
        <v>0.29791666666666666</v>
      </c>
      <c r="C170" s="8">
        <v>13.13</v>
      </c>
      <c r="D170" s="8">
        <v>12.77</v>
      </c>
      <c r="E170" s="8">
        <v>19</v>
      </c>
      <c r="F170" s="8">
        <v>10.71</v>
      </c>
      <c r="G170" s="8">
        <v>17.16</v>
      </c>
      <c r="H170" s="8">
        <v>16.100000000000001</v>
      </c>
      <c r="I170" s="8">
        <v>11.78</v>
      </c>
      <c r="J170" s="8">
        <v>18.670000000000002</v>
      </c>
      <c r="K170" s="8">
        <v>14.56</v>
      </c>
      <c r="L170" s="9">
        <v>19.170000000000002</v>
      </c>
      <c r="M170">
        <f t="shared" si="22"/>
        <v>23</v>
      </c>
      <c r="N170">
        <f t="shared" si="23"/>
        <v>10</v>
      </c>
      <c r="O170">
        <f t="shared" si="24"/>
        <v>13.13</v>
      </c>
      <c r="P170">
        <f t="shared" si="25"/>
        <v>12.77</v>
      </c>
      <c r="Q170">
        <f t="shared" si="26"/>
        <v>18.670000000000002</v>
      </c>
      <c r="R170">
        <f t="shared" si="27"/>
        <v>14.56</v>
      </c>
      <c r="S170">
        <f t="shared" si="28"/>
        <v>13.13</v>
      </c>
      <c r="T170">
        <f t="shared" si="29"/>
        <v>12.77</v>
      </c>
      <c r="U170">
        <f t="shared" si="30"/>
        <v>18.670000000000002</v>
      </c>
      <c r="V170">
        <f t="shared" si="31"/>
        <v>14.56</v>
      </c>
      <c r="W170" s="6">
        <v>42666</v>
      </c>
      <c r="X170" s="7">
        <v>0.29791666666666666</v>
      </c>
    </row>
    <row r="171" spans="1:24" x14ac:dyDescent="0.35">
      <c r="A171" s="10">
        <v>42667</v>
      </c>
      <c r="B171" s="11">
        <v>0.21319444444444444</v>
      </c>
      <c r="C171" s="12">
        <v>12.13</v>
      </c>
      <c r="D171" s="12">
        <v>13.07</v>
      </c>
      <c r="E171" s="12">
        <v>15.72</v>
      </c>
      <c r="F171" s="12">
        <v>12.27</v>
      </c>
      <c r="G171" s="12">
        <v>13.41</v>
      </c>
      <c r="H171" s="12">
        <v>13.75</v>
      </c>
      <c r="I171" s="12">
        <v>12.79</v>
      </c>
      <c r="J171" s="12">
        <v>17.98</v>
      </c>
      <c r="K171" s="12">
        <v>18.2</v>
      </c>
      <c r="L171" s="13">
        <v>13.87</v>
      </c>
      <c r="M171">
        <f t="shared" si="22"/>
        <v>24</v>
      </c>
      <c r="N171">
        <f t="shared" si="23"/>
        <v>10</v>
      </c>
      <c r="O171">
        <f t="shared" si="24"/>
        <v>12.13</v>
      </c>
      <c r="P171">
        <f t="shared" si="25"/>
        <v>13.07</v>
      </c>
      <c r="Q171">
        <f t="shared" si="26"/>
        <v>17.98</v>
      </c>
      <c r="R171">
        <f t="shared" si="27"/>
        <v>18.2</v>
      </c>
      <c r="S171">
        <f t="shared" si="28"/>
        <v>12.13</v>
      </c>
      <c r="T171">
        <f t="shared" si="29"/>
        <v>13.07</v>
      </c>
      <c r="U171">
        <f t="shared" si="30"/>
        <v>17.98</v>
      </c>
      <c r="V171">
        <f t="shared" si="31"/>
        <v>18.2</v>
      </c>
      <c r="W171" s="10">
        <v>42667</v>
      </c>
      <c r="X171" s="11">
        <v>0.21319444444444444</v>
      </c>
    </row>
    <row r="172" spans="1:24" x14ac:dyDescent="0.35">
      <c r="A172" s="6">
        <v>42668</v>
      </c>
      <c r="B172" s="7">
        <v>8.5416666666666669E-2</v>
      </c>
      <c r="C172" s="8">
        <v>10.53</v>
      </c>
      <c r="D172" s="8">
        <v>15.53</v>
      </c>
      <c r="E172" s="8">
        <v>17.63</v>
      </c>
      <c r="F172" s="8">
        <v>19.84</v>
      </c>
      <c r="G172" s="8">
        <v>10.76</v>
      </c>
      <c r="H172" s="8">
        <v>14.15</v>
      </c>
      <c r="I172" s="8">
        <v>13.54</v>
      </c>
      <c r="J172" s="8">
        <v>11.75</v>
      </c>
      <c r="K172" s="8">
        <v>12.65</v>
      </c>
      <c r="L172" s="9">
        <v>13.57</v>
      </c>
      <c r="M172">
        <f t="shared" si="22"/>
        <v>25</v>
      </c>
      <c r="N172">
        <f t="shared" si="23"/>
        <v>10</v>
      </c>
      <c r="O172">
        <f t="shared" si="24"/>
        <v>10.53</v>
      </c>
      <c r="P172">
        <f t="shared" si="25"/>
        <v>15.53</v>
      </c>
      <c r="Q172">
        <f t="shared" si="26"/>
        <v>11.75</v>
      </c>
      <c r="R172">
        <f t="shared" si="27"/>
        <v>12.65</v>
      </c>
      <c r="S172">
        <f t="shared" si="28"/>
        <v>10.53</v>
      </c>
      <c r="T172">
        <f t="shared" si="29"/>
        <v>15.53</v>
      </c>
      <c r="U172">
        <f t="shared" si="30"/>
        <v>11.75</v>
      </c>
      <c r="V172">
        <f t="shared" si="31"/>
        <v>12.65</v>
      </c>
      <c r="W172" s="6">
        <v>42668</v>
      </c>
      <c r="X172" s="7">
        <v>8.5416666666666669E-2</v>
      </c>
    </row>
    <row r="173" spans="1:24" x14ac:dyDescent="0.35">
      <c r="A173" s="10">
        <v>42668</v>
      </c>
      <c r="B173" s="11">
        <v>0.25069444444444444</v>
      </c>
      <c r="C173" s="12">
        <v>11.99</v>
      </c>
      <c r="D173" s="12">
        <v>13.44</v>
      </c>
      <c r="E173" s="12">
        <v>19.18</v>
      </c>
      <c r="F173" s="12">
        <v>11.19</v>
      </c>
      <c r="G173" s="12">
        <v>19.05</v>
      </c>
      <c r="H173" s="12">
        <v>15.07</v>
      </c>
      <c r="I173" s="12">
        <v>17.510000000000002</v>
      </c>
      <c r="J173" s="12">
        <v>18.72</v>
      </c>
      <c r="K173" s="12">
        <v>11.62</v>
      </c>
      <c r="L173" s="13">
        <v>11.08</v>
      </c>
      <c r="M173">
        <f t="shared" si="22"/>
        <v>25</v>
      </c>
      <c r="N173">
        <f t="shared" si="23"/>
        <v>10</v>
      </c>
      <c r="O173">
        <f t="shared" si="24"/>
        <v>11.99</v>
      </c>
      <c r="P173">
        <f t="shared" si="25"/>
        <v>13.44</v>
      </c>
      <c r="Q173">
        <f t="shared" si="26"/>
        <v>18.72</v>
      </c>
      <c r="R173">
        <f t="shared" si="27"/>
        <v>11.62</v>
      </c>
      <c r="S173">
        <f t="shared" si="28"/>
        <v>11.99</v>
      </c>
      <c r="T173">
        <f t="shared" si="29"/>
        <v>13.44</v>
      </c>
      <c r="U173">
        <f t="shared" si="30"/>
        <v>18.72</v>
      </c>
      <c r="V173">
        <f t="shared" si="31"/>
        <v>11.62</v>
      </c>
      <c r="W173" s="10">
        <v>42668</v>
      </c>
      <c r="X173" s="11">
        <v>0.25069444444444444</v>
      </c>
    </row>
    <row r="174" spans="1:24" x14ac:dyDescent="0.35">
      <c r="A174" s="6">
        <v>42669</v>
      </c>
      <c r="B174" s="7">
        <v>4.791666666666667E-2</v>
      </c>
      <c r="C174" s="8">
        <v>11.42</v>
      </c>
      <c r="D174" s="8">
        <v>18.52</v>
      </c>
      <c r="E174" s="8">
        <v>13.52</v>
      </c>
      <c r="F174" s="8">
        <v>18.75</v>
      </c>
      <c r="G174" s="8">
        <v>11.07</v>
      </c>
      <c r="H174" s="8">
        <v>13.24</v>
      </c>
      <c r="I174" s="8">
        <v>16.14</v>
      </c>
      <c r="J174" s="8">
        <v>10.94</v>
      </c>
      <c r="K174" s="8">
        <v>13.13</v>
      </c>
      <c r="L174" s="9">
        <v>16.52</v>
      </c>
      <c r="M174">
        <f t="shared" si="22"/>
        <v>26</v>
      </c>
      <c r="N174">
        <f t="shared" si="23"/>
        <v>10</v>
      </c>
      <c r="O174">
        <f t="shared" si="24"/>
        <v>11.42</v>
      </c>
      <c r="P174">
        <f t="shared" si="25"/>
        <v>18.52</v>
      </c>
      <c r="Q174">
        <f t="shared" si="26"/>
        <v>10.94</v>
      </c>
      <c r="R174">
        <f t="shared" si="27"/>
        <v>13.13</v>
      </c>
      <c r="S174">
        <f t="shared" si="28"/>
        <v>11.42</v>
      </c>
      <c r="T174">
        <f t="shared" si="29"/>
        <v>18.52</v>
      </c>
      <c r="U174">
        <f t="shared" si="30"/>
        <v>10.94</v>
      </c>
      <c r="V174">
        <f t="shared" si="31"/>
        <v>13.13</v>
      </c>
      <c r="W174" s="6">
        <v>42669</v>
      </c>
      <c r="X174" s="7">
        <v>4.791666666666667E-2</v>
      </c>
    </row>
    <row r="175" spans="1:24" x14ac:dyDescent="0.35">
      <c r="A175" s="10">
        <v>42669</v>
      </c>
      <c r="B175" s="11">
        <v>0.375</v>
      </c>
      <c r="C175" s="12">
        <v>13.11</v>
      </c>
      <c r="D175" s="12">
        <v>11.09</v>
      </c>
      <c r="E175" s="12">
        <v>13.22</v>
      </c>
      <c r="F175" s="12">
        <v>17.07</v>
      </c>
      <c r="G175" s="12">
        <v>16.09</v>
      </c>
      <c r="H175" s="12">
        <v>18.420000000000002</v>
      </c>
      <c r="I175" s="12">
        <v>12.03</v>
      </c>
      <c r="J175" s="12">
        <v>19.899999999999999</v>
      </c>
      <c r="K175" s="12">
        <v>13.54</v>
      </c>
      <c r="L175" s="13">
        <v>18.37</v>
      </c>
      <c r="M175">
        <f t="shared" si="22"/>
        <v>26</v>
      </c>
      <c r="N175">
        <f t="shared" si="23"/>
        <v>10</v>
      </c>
      <c r="O175">
        <f t="shared" si="24"/>
        <v>13.11</v>
      </c>
      <c r="P175">
        <f t="shared" si="25"/>
        <v>11.09</v>
      </c>
      <c r="Q175">
        <f t="shared" si="26"/>
        <v>19.899999999999999</v>
      </c>
      <c r="R175">
        <f t="shared" si="27"/>
        <v>13.54</v>
      </c>
      <c r="S175">
        <f t="shared" si="28"/>
        <v>13.11</v>
      </c>
      <c r="T175">
        <f t="shared" si="29"/>
        <v>11.09</v>
      </c>
      <c r="U175">
        <f t="shared" si="30"/>
        <v>19.899999999999999</v>
      </c>
      <c r="V175">
        <f t="shared" si="31"/>
        <v>13.54</v>
      </c>
      <c r="W175" s="10">
        <v>42669</v>
      </c>
      <c r="X175" s="11">
        <v>0.375</v>
      </c>
    </row>
    <row r="176" spans="1:24" x14ac:dyDescent="0.35">
      <c r="A176" s="6">
        <v>42675</v>
      </c>
      <c r="B176" s="7">
        <v>0.33541666666666664</v>
      </c>
      <c r="C176" s="8">
        <v>12.14</v>
      </c>
      <c r="D176" s="8">
        <v>12.99</v>
      </c>
      <c r="E176" s="8">
        <v>16.260000000000002</v>
      </c>
      <c r="F176" s="8">
        <v>17.68</v>
      </c>
      <c r="G176" s="8">
        <v>13.47</v>
      </c>
      <c r="H176" s="8">
        <v>18.79</v>
      </c>
      <c r="I176" s="8">
        <v>13.56</v>
      </c>
      <c r="J176" s="8">
        <v>12.8</v>
      </c>
      <c r="K176" s="8">
        <v>15.11</v>
      </c>
      <c r="L176" s="9">
        <v>19.760000000000002</v>
      </c>
      <c r="M176">
        <f t="shared" si="22"/>
        <v>1</v>
      </c>
      <c r="N176">
        <f t="shared" si="23"/>
        <v>11</v>
      </c>
      <c r="O176">
        <f t="shared" si="24"/>
        <v>12.14</v>
      </c>
      <c r="P176">
        <f t="shared" si="25"/>
        <v>12.99</v>
      </c>
      <c r="Q176">
        <f t="shared" si="26"/>
        <v>12.8</v>
      </c>
      <c r="R176">
        <f t="shared" si="27"/>
        <v>15.11</v>
      </c>
      <c r="S176">
        <f t="shared" si="28"/>
        <v>12.14</v>
      </c>
      <c r="T176">
        <f t="shared" si="29"/>
        <v>12.99</v>
      </c>
      <c r="U176">
        <f t="shared" si="30"/>
        <v>12.8</v>
      </c>
      <c r="V176">
        <f t="shared" si="31"/>
        <v>15.11</v>
      </c>
      <c r="W176" s="6">
        <v>42675</v>
      </c>
      <c r="X176" s="7">
        <v>0.33541666666666664</v>
      </c>
    </row>
    <row r="177" spans="1:24" x14ac:dyDescent="0.35">
      <c r="A177" s="10">
        <v>42675</v>
      </c>
      <c r="B177" s="11">
        <v>0.34166666666666667</v>
      </c>
      <c r="C177" s="12">
        <v>16.190000000000001</v>
      </c>
      <c r="D177" s="12">
        <v>12.36</v>
      </c>
      <c r="E177" s="12">
        <v>10</v>
      </c>
      <c r="F177" s="12">
        <v>12.27</v>
      </c>
      <c r="G177" s="12">
        <v>18.2</v>
      </c>
      <c r="H177" s="12">
        <v>13.68</v>
      </c>
      <c r="I177" s="12">
        <v>19.16</v>
      </c>
      <c r="J177" s="12">
        <v>19.39</v>
      </c>
      <c r="K177" s="12">
        <v>11.01</v>
      </c>
      <c r="L177" s="13">
        <v>13.18</v>
      </c>
      <c r="M177">
        <f t="shared" si="22"/>
        <v>1</v>
      </c>
      <c r="N177">
        <f t="shared" si="23"/>
        <v>11</v>
      </c>
      <c r="O177">
        <f t="shared" si="24"/>
        <v>16.190000000000001</v>
      </c>
      <c r="P177">
        <f t="shared" si="25"/>
        <v>12.36</v>
      </c>
      <c r="Q177">
        <f t="shared" si="26"/>
        <v>19.39</v>
      </c>
      <c r="R177">
        <f t="shared" si="27"/>
        <v>11.01</v>
      </c>
      <c r="S177">
        <f t="shared" si="28"/>
        <v>16.190000000000001</v>
      </c>
      <c r="T177">
        <f t="shared" si="29"/>
        <v>12.36</v>
      </c>
      <c r="U177">
        <f t="shared" si="30"/>
        <v>19.39</v>
      </c>
      <c r="V177">
        <f t="shared" si="31"/>
        <v>11.01</v>
      </c>
      <c r="W177" s="10">
        <v>42675</v>
      </c>
      <c r="X177" s="11">
        <v>0.34166666666666667</v>
      </c>
    </row>
    <row r="178" spans="1:24" x14ac:dyDescent="0.35">
      <c r="A178" s="6">
        <v>42676</v>
      </c>
      <c r="B178" s="7">
        <v>0.29791666666666666</v>
      </c>
      <c r="C178" s="8">
        <v>17.34</v>
      </c>
      <c r="D178" s="8">
        <v>12.39</v>
      </c>
      <c r="E178" s="8">
        <v>10.89</v>
      </c>
      <c r="F178" s="8">
        <v>11.43</v>
      </c>
      <c r="G178" s="8">
        <v>16.13</v>
      </c>
      <c r="H178" s="8">
        <v>11.48</v>
      </c>
      <c r="I178" s="8">
        <v>10.43</v>
      </c>
      <c r="J178" s="8">
        <v>16.149999999999999</v>
      </c>
      <c r="K178" s="8">
        <v>15.62</v>
      </c>
      <c r="L178" s="9">
        <v>17.09</v>
      </c>
      <c r="M178">
        <f t="shared" si="22"/>
        <v>2</v>
      </c>
      <c r="N178">
        <f t="shared" si="23"/>
        <v>11</v>
      </c>
      <c r="O178">
        <f t="shared" si="24"/>
        <v>17.34</v>
      </c>
      <c r="P178">
        <f t="shared" si="25"/>
        <v>12.39</v>
      </c>
      <c r="Q178">
        <f t="shared" si="26"/>
        <v>16.149999999999999</v>
      </c>
      <c r="R178">
        <f t="shared" si="27"/>
        <v>15.62</v>
      </c>
      <c r="S178">
        <f t="shared" si="28"/>
        <v>17.34</v>
      </c>
      <c r="T178">
        <f t="shared" si="29"/>
        <v>12.39</v>
      </c>
      <c r="U178">
        <f t="shared" si="30"/>
        <v>16.149999999999999</v>
      </c>
      <c r="V178">
        <f t="shared" si="31"/>
        <v>15.62</v>
      </c>
      <c r="W178" s="6">
        <v>42676</v>
      </c>
      <c r="X178" s="7">
        <v>0.29791666666666666</v>
      </c>
    </row>
    <row r="179" spans="1:24" x14ac:dyDescent="0.35">
      <c r="A179" s="10">
        <v>42679</v>
      </c>
      <c r="B179" s="11">
        <v>0.33819444444444446</v>
      </c>
      <c r="C179" s="12">
        <v>19.46</v>
      </c>
      <c r="D179" s="12">
        <v>14.85</v>
      </c>
      <c r="E179" s="12">
        <v>15.99</v>
      </c>
      <c r="F179" s="12">
        <v>18.440000000000001</v>
      </c>
      <c r="G179" s="12">
        <v>10.42</v>
      </c>
      <c r="H179" s="12">
        <v>18.78</v>
      </c>
      <c r="I179" s="12">
        <v>11.05</v>
      </c>
      <c r="J179" s="12">
        <v>18.7</v>
      </c>
      <c r="K179" s="12">
        <v>10.35</v>
      </c>
      <c r="L179" s="13">
        <v>14.51</v>
      </c>
      <c r="M179">
        <f t="shared" si="22"/>
        <v>5</v>
      </c>
      <c r="N179">
        <f t="shared" si="23"/>
        <v>11</v>
      </c>
      <c r="O179">
        <f t="shared" si="24"/>
        <v>18.260000000000002</v>
      </c>
      <c r="P179">
        <f t="shared" si="25"/>
        <v>13.65</v>
      </c>
      <c r="Q179">
        <f t="shared" si="26"/>
        <v>18.7</v>
      </c>
      <c r="R179">
        <f t="shared" si="27"/>
        <v>9.15</v>
      </c>
      <c r="S179">
        <f t="shared" si="28"/>
        <v>18.260000000000002</v>
      </c>
      <c r="T179">
        <f t="shared" si="29"/>
        <v>13.65</v>
      </c>
      <c r="U179">
        <f t="shared" si="30"/>
        <v>18.7</v>
      </c>
      <c r="V179">
        <f t="shared" si="31"/>
        <v>9.15</v>
      </c>
      <c r="W179" s="10">
        <v>42679</v>
      </c>
      <c r="X179" s="11">
        <v>0.33819444444444446</v>
      </c>
    </row>
    <row r="180" spans="1:24" x14ac:dyDescent="0.35">
      <c r="A180" s="6">
        <v>42682</v>
      </c>
      <c r="B180" s="7">
        <v>8.4722222222222227E-2</v>
      </c>
      <c r="C180" s="8">
        <v>14.42</v>
      </c>
      <c r="D180" s="8">
        <v>19.23</v>
      </c>
      <c r="E180" s="8">
        <v>19.98</v>
      </c>
      <c r="F180" s="8">
        <v>11.87</v>
      </c>
      <c r="G180" s="8">
        <v>11.95</v>
      </c>
      <c r="H180" s="8">
        <v>10.7</v>
      </c>
      <c r="I180" s="8">
        <v>13.96</v>
      </c>
      <c r="J180" s="8">
        <v>11.65</v>
      </c>
      <c r="K180" s="8">
        <v>10.73</v>
      </c>
      <c r="L180" s="9">
        <v>19.25</v>
      </c>
      <c r="M180">
        <f t="shared" si="22"/>
        <v>8</v>
      </c>
      <c r="N180">
        <f t="shared" si="23"/>
        <v>11</v>
      </c>
      <c r="O180">
        <f t="shared" si="24"/>
        <v>13.22</v>
      </c>
      <c r="P180">
        <f t="shared" si="25"/>
        <v>18.03</v>
      </c>
      <c r="Q180">
        <f t="shared" si="26"/>
        <v>11.65</v>
      </c>
      <c r="R180">
        <f t="shared" si="27"/>
        <v>9.5300000000000011</v>
      </c>
      <c r="S180">
        <f t="shared" si="28"/>
        <v>13.22</v>
      </c>
      <c r="T180">
        <f t="shared" si="29"/>
        <v>18.03</v>
      </c>
      <c r="U180">
        <f t="shared" si="30"/>
        <v>11.65</v>
      </c>
      <c r="V180">
        <f t="shared" si="31"/>
        <v>9.5300000000000011</v>
      </c>
      <c r="W180" s="6">
        <v>42682</v>
      </c>
      <c r="X180" s="7">
        <v>8.4722222222222227E-2</v>
      </c>
    </row>
    <row r="181" spans="1:24" x14ac:dyDescent="0.35">
      <c r="A181" s="10">
        <v>42685</v>
      </c>
      <c r="B181" s="11">
        <v>0.21597222222222223</v>
      </c>
      <c r="C181" s="12">
        <v>12.2</v>
      </c>
      <c r="D181" s="12">
        <v>14.35</v>
      </c>
      <c r="E181" s="12">
        <v>11.37</v>
      </c>
      <c r="F181" s="12">
        <v>12.07</v>
      </c>
      <c r="G181" s="12">
        <v>14.32</v>
      </c>
      <c r="H181" s="12">
        <v>13.34</v>
      </c>
      <c r="I181" s="12">
        <v>18.739999999999998</v>
      </c>
      <c r="J181" s="12">
        <v>15.82</v>
      </c>
      <c r="K181" s="12">
        <v>13.79</v>
      </c>
      <c r="L181" s="13">
        <v>19.36</v>
      </c>
      <c r="M181">
        <f t="shared" si="22"/>
        <v>11</v>
      </c>
      <c r="N181">
        <f t="shared" si="23"/>
        <v>11</v>
      </c>
      <c r="O181">
        <f t="shared" si="24"/>
        <v>12.2</v>
      </c>
      <c r="P181">
        <f t="shared" si="25"/>
        <v>14.35</v>
      </c>
      <c r="Q181">
        <f t="shared" si="26"/>
        <v>15.82</v>
      </c>
      <c r="R181">
        <f t="shared" si="27"/>
        <v>13.79</v>
      </c>
      <c r="S181">
        <f t="shared" si="28"/>
        <v>12.2</v>
      </c>
      <c r="T181">
        <f t="shared" si="29"/>
        <v>14.35</v>
      </c>
      <c r="U181">
        <f t="shared" si="30"/>
        <v>15.82</v>
      </c>
      <c r="V181">
        <f t="shared" si="31"/>
        <v>13.79</v>
      </c>
      <c r="W181" s="10">
        <v>42685</v>
      </c>
      <c r="X181" s="11">
        <v>0.21597222222222223</v>
      </c>
    </row>
    <row r="182" spans="1:24" x14ac:dyDescent="0.35">
      <c r="A182" s="6">
        <v>42686</v>
      </c>
      <c r="B182" s="7">
        <v>4.7222222222222221E-2</v>
      </c>
      <c r="C182" s="8">
        <v>10.3</v>
      </c>
      <c r="D182" s="8">
        <v>14.81</v>
      </c>
      <c r="E182" s="8">
        <v>12.96</v>
      </c>
      <c r="F182" s="8">
        <v>12.99</v>
      </c>
      <c r="G182" s="8">
        <v>19</v>
      </c>
      <c r="H182" s="8">
        <v>17.73</v>
      </c>
      <c r="I182" s="8">
        <v>12.97</v>
      </c>
      <c r="J182" s="8">
        <v>17.96</v>
      </c>
      <c r="K182" s="8">
        <v>19.07</v>
      </c>
      <c r="L182" s="9">
        <v>17.12</v>
      </c>
      <c r="M182">
        <f t="shared" si="22"/>
        <v>12</v>
      </c>
      <c r="N182">
        <f t="shared" si="23"/>
        <v>11</v>
      </c>
      <c r="O182">
        <f t="shared" si="24"/>
        <v>10.3</v>
      </c>
      <c r="P182">
        <f t="shared" si="25"/>
        <v>14.81</v>
      </c>
      <c r="Q182">
        <f t="shared" si="26"/>
        <v>17.96</v>
      </c>
      <c r="R182">
        <f t="shared" si="27"/>
        <v>19.07</v>
      </c>
      <c r="S182">
        <f t="shared" si="28"/>
        <v>10.3</v>
      </c>
      <c r="T182">
        <f t="shared" si="29"/>
        <v>14.81</v>
      </c>
      <c r="U182">
        <f t="shared" si="30"/>
        <v>17.96</v>
      </c>
      <c r="V182">
        <f t="shared" si="31"/>
        <v>19.07</v>
      </c>
      <c r="W182" s="6">
        <v>42686</v>
      </c>
      <c r="X182" s="7">
        <v>4.7222222222222221E-2</v>
      </c>
    </row>
    <row r="183" spans="1:24" x14ac:dyDescent="0.35">
      <c r="A183" s="10">
        <v>42687</v>
      </c>
      <c r="B183" s="11">
        <v>0.13194444444444445</v>
      </c>
      <c r="C183" s="12">
        <v>10.029999999999999</v>
      </c>
      <c r="D183" s="12">
        <v>14.28</v>
      </c>
      <c r="E183" s="12">
        <v>11.97</v>
      </c>
      <c r="F183" s="12">
        <v>17.7</v>
      </c>
      <c r="G183" s="12">
        <v>18.2</v>
      </c>
      <c r="H183" s="12">
        <v>19.2</v>
      </c>
      <c r="I183" s="12">
        <v>17.43</v>
      </c>
      <c r="J183" s="12">
        <v>14.46</v>
      </c>
      <c r="K183" s="12">
        <v>16.48</v>
      </c>
      <c r="L183" s="13">
        <v>15.66</v>
      </c>
      <c r="M183">
        <f t="shared" si="22"/>
        <v>13</v>
      </c>
      <c r="N183">
        <f t="shared" si="23"/>
        <v>11</v>
      </c>
      <c r="O183">
        <f t="shared" si="24"/>
        <v>10.029999999999999</v>
      </c>
      <c r="P183">
        <f t="shared" si="25"/>
        <v>14.28</v>
      </c>
      <c r="Q183">
        <f t="shared" si="26"/>
        <v>14.46</v>
      </c>
      <c r="R183">
        <f t="shared" si="27"/>
        <v>16.48</v>
      </c>
      <c r="S183">
        <f t="shared" si="28"/>
        <v>10.029999999999999</v>
      </c>
      <c r="T183">
        <f t="shared" si="29"/>
        <v>14.28</v>
      </c>
      <c r="U183">
        <f t="shared" si="30"/>
        <v>14.46</v>
      </c>
      <c r="V183">
        <f t="shared" si="31"/>
        <v>16.48</v>
      </c>
      <c r="W183" s="10">
        <v>42687</v>
      </c>
      <c r="X183" s="11">
        <v>0.13194444444444445</v>
      </c>
    </row>
    <row r="184" spans="1:24" x14ac:dyDescent="0.35">
      <c r="A184" s="6">
        <v>42687</v>
      </c>
      <c r="B184" s="7">
        <v>0.34166666666666667</v>
      </c>
      <c r="C184" s="8">
        <v>14</v>
      </c>
      <c r="D184" s="8">
        <v>12.83</v>
      </c>
      <c r="E184" s="8">
        <v>18.72</v>
      </c>
      <c r="F184" s="8">
        <v>11.22</v>
      </c>
      <c r="G184" s="8">
        <v>13.79</v>
      </c>
      <c r="H184" s="8">
        <v>18.559999999999999</v>
      </c>
      <c r="I184" s="8">
        <v>11.19</v>
      </c>
      <c r="J184" s="8">
        <v>12.81</v>
      </c>
      <c r="K184" s="8">
        <v>14.5</v>
      </c>
      <c r="L184" s="9">
        <v>12.78</v>
      </c>
      <c r="M184">
        <f t="shared" si="22"/>
        <v>13</v>
      </c>
      <c r="N184">
        <f t="shared" si="23"/>
        <v>11</v>
      </c>
      <c r="O184">
        <f t="shared" si="24"/>
        <v>14</v>
      </c>
      <c r="P184">
        <f t="shared" si="25"/>
        <v>12.83</v>
      </c>
      <c r="Q184">
        <f t="shared" si="26"/>
        <v>12.81</v>
      </c>
      <c r="R184">
        <f t="shared" si="27"/>
        <v>14.5</v>
      </c>
      <c r="S184">
        <f t="shared" si="28"/>
        <v>14</v>
      </c>
      <c r="T184">
        <f t="shared" si="29"/>
        <v>12.83</v>
      </c>
      <c r="U184">
        <f t="shared" si="30"/>
        <v>12.81</v>
      </c>
      <c r="V184">
        <f t="shared" si="31"/>
        <v>14.5</v>
      </c>
      <c r="W184" s="6">
        <v>42687</v>
      </c>
      <c r="X184" s="7">
        <v>0.34166666666666667</v>
      </c>
    </row>
    <row r="185" spans="1:24" x14ac:dyDescent="0.35">
      <c r="A185" s="10">
        <v>42691</v>
      </c>
      <c r="B185" s="11">
        <v>0.29583333333333334</v>
      </c>
      <c r="C185" s="12">
        <v>15.42</v>
      </c>
      <c r="D185" s="12">
        <v>10.37</v>
      </c>
      <c r="E185" s="12">
        <v>18.739999999999998</v>
      </c>
      <c r="F185" s="12">
        <v>18.670000000000002</v>
      </c>
      <c r="G185" s="12">
        <v>15.22</v>
      </c>
      <c r="H185" s="12">
        <v>12.83</v>
      </c>
      <c r="I185" s="12">
        <v>13.11</v>
      </c>
      <c r="J185" s="12">
        <v>11.77</v>
      </c>
      <c r="K185" s="12">
        <v>18.57</v>
      </c>
      <c r="L185" s="13">
        <v>10.33</v>
      </c>
      <c r="M185">
        <f t="shared" si="22"/>
        <v>17</v>
      </c>
      <c r="N185">
        <f t="shared" si="23"/>
        <v>11</v>
      </c>
      <c r="O185">
        <f t="shared" si="24"/>
        <v>15.42</v>
      </c>
      <c r="P185">
        <f t="shared" si="25"/>
        <v>10.37</v>
      </c>
      <c r="Q185">
        <f t="shared" si="26"/>
        <v>11.77</v>
      </c>
      <c r="R185">
        <f t="shared" si="27"/>
        <v>18.57</v>
      </c>
      <c r="S185">
        <f t="shared" si="28"/>
        <v>15.42</v>
      </c>
      <c r="T185">
        <f t="shared" si="29"/>
        <v>10.37</v>
      </c>
      <c r="U185">
        <f t="shared" si="30"/>
        <v>11.77</v>
      </c>
      <c r="V185">
        <f t="shared" si="31"/>
        <v>18.57</v>
      </c>
      <c r="W185" s="10">
        <v>42691</v>
      </c>
      <c r="X185" s="11">
        <v>0.29583333333333334</v>
      </c>
    </row>
    <row r="186" spans="1:24" x14ac:dyDescent="0.35">
      <c r="A186" s="6">
        <v>42693</v>
      </c>
      <c r="B186" s="7">
        <v>0.46319444444444446</v>
      </c>
      <c r="C186" s="8">
        <v>15.98</v>
      </c>
      <c r="D186" s="8">
        <v>13.48</v>
      </c>
      <c r="E186" s="8">
        <v>10.69</v>
      </c>
      <c r="F186" s="8">
        <v>15.11</v>
      </c>
      <c r="G186" s="8">
        <v>14.51</v>
      </c>
      <c r="H186" s="8">
        <v>17.100000000000001</v>
      </c>
      <c r="I186" s="8">
        <v>15.65</v>
      </c>
      <c r="J186" s="8">
        <v>10.44</v>
      </c>
      <c r="K186" s="8">
        <v>13.73</v>
      </c>
      <c r="L186" s="9">
        <v>19.66</v>
      </c>
      <c r="M186">
        <f t="shared" si="22"/>
        <v>19</v>
      </c>
      <c r="N186">
        <f t="shared" si="23"/>
        <v>11</v>
      </c>
      <c r="O186">
        <f t="shared" si="24"/>
        <v>15.98</v>
      </c>
      <c r="P186">
        <f t="shared" si="25"/>
        <v>13.48</v>
      </c>
      <c r="Q186">
        <f t="shared" si="26"/>
        <v>10.44</v>
      </c>
      <c r="R186">
        <f t="shared" si="27"/>
        <v>13.73</v>
      </c>
      <c r="S186">
        <f t="shared" si="28"/>
        <v>15.98</v>
      </c>
      <c r="T186">
        <f t="shared" si="29"/>
        <v>13.48</v>
      </c>
      <c r="U186">
        <f t="shared" si="30"/>
        <v>10.44</v>
      </c>
      <c r="V186">
        <f t="shared" si="31"/>
        <v>13.73</v>
      </c>
      <c r="W186" s="6">
        <v>42693</v>
      </c>
      <c r="X186" s="7">
        <v>0.46319444444444446</v>
      </c>
    </row>
    <row r="187" spans="1:24" x14ac:dyDescent="0.35">
      <c r="A187" s="10">
        <v>42695</v>
      </c>
      <c r="B187" s="11">
        <v>0.21388888888888888</v>
      </c>
      <c r="C187" s="12">
        <v>10.8</v>
      </c>
      <c r="D187" s="12">
        <v>16.079999999999998</v>
      </c>
      <c r="E187" s="12">
        <v>16.47</v>
      </c>
      <c r="F187" s="12">
        <v>12.88</v>
      </c>
      <c r="G187" s="12">
        <v>18.579999999999998</v>
      </c>
      <c r="H187" s="12">
        <v>13.96</v>
      </c>
      <c r="I187" s="12">
        <v>12.92</v>
      </c>
      <c r="J187" s="12">
        <v>10.74</v>
      </c>
      <c r="K187" s="12">
        <v>10.5</v>
      </c>
      <c r="L187" s="13">
        <v>10.62</v>
      </c>
      <c r="M187">
        <f t="shared" si="22"/>
        <v>21</v>
      </c>
      <c r="N187">
        <f t="shared" si="23"/>
        <v>11</v>
      </c>
      <c r="O187">
        <f t="shared" si="24"/>
        <v>10.8</v>
      </c>
      <c r="P187">
        <f t="shared" si="25"/>
        <v>16.079999999999998</v>
      </c>
      <c r="Q187">
        <f t="shared" si="26"/>
        <v>10.74</v>
      </c>
      <c r="R187">
        <f t="shared" si="27"/>
        <v>10.5</v>
      </c>
      <c r="S187">
        <f t="shared" si="28"/>
        <v>10.8</v>
      </c>
      <c r="T187">
        <f t="shared" si="29"/>
        <v>16.079999999999998</v>
      </c>
      <c r="U187">
        <f t="shared" si="30"/>
        <v>10.74</v>
      </c>
      <c r="V187">
        <f t="shared" si="31"/>
        <v>10.5</v>
      </c>
      <c r="W187" s="10">
        <v>42695</v>
      </c>
      <c r="X187" s="11">
        <v>0.21388888888888888</v>
      </c>
    </row>
    <row r="188" spans="1:24" x14ac:dyDescent="0.35">
      <c r="A188" s="6">
        <v>42696</v>
      </c>
      <c r="B188" s="7">
        <v>0.4597222222222222</v>
      </c>
      <c r="C188" s="8">
        <v>10.61</v>
      </c>
      <c r="D188" s="8">
        <v>15.59</v>
      </c>
      <c r="E188" s="8">
        <v>10.52</v>
      </c>
      <c r="F188" s="8">
        <v>18.55</v>
      </c>
      <c r="G188" s="8">
        <v>11.33</v>
      </c>
      <c r="H188" s="8">
        <v>11.82</v>
      </c>
      <c r="I188" s="8">
        <v>18.579999999999998</v>
      </c>
      <c r="J188" s="8">
        <v>18.72</v>
      </c>
      <c r="K188" s="8">
        <v>11.95</v>
      </c>
      <c r="L188" s="9">
        <v>11.84</v>
      </c>
      <c r="M188">
        <f t="shared" si="22"/>
        <v>22</v>
      </c>
      <c r="N188">
        <f t="shared" si="23"/>
        <v>11</v>
      </c>
      <c r="O188">
        <f t="shared" si="24"/>
        <v>10.61</v>
      </c>
      <c r="P188">
        <f t="shared" si="25"/>
        <v>15.59</v>
      </c>
      <c r="Q188">
        <f t="shared" si="26"/>
        <v>18.72</v>
      </c>
      <c r="R188">
        <f t="shared" si="27"/>
        <v>11.95</v>
      </c>
      <c r="S188">
        <f t="shared" si="28"/>
        <v>10.61</v>
      </c>
      <c r="T188">
        <f t="shared" si="29"/>
        <v>15.59</v>
      </c>
      <c r="U188">
        <f t="shared" si="30"/>
        <v>18.72</v>
      </c>
      <c r="V188">
        <f t="shared" si="31"/>
        <v>11.95</v>
      </c>
      <c r="W188" s="6">
        <v>42696</v>
      </c>
      <c r="X188" s="7">
        <v>0.4597222222222222</v>
      </c>
    </row>
    <row r="189" spans="1:24" x14ac:dyDescent="0.35">
      <c r="A189" s="10">
        <v>42698</v>
      </c>
      <c r="B189" s="11">
        <v>4.3055555555555555E-2</v>
      </c>
      <c r="C189" s="12">
        <v>17.66</v>
      </c>
      <c r="D189" s="12">
        <v>15.83</v>
      </c>
      <c r="E189" s="12">
        <v>16.350000000000001</v>
      </c>
      <c r="F189" s="12">
        <v>13.72</v>
      </c>
      <c r="G189" s="12">
        <v>19.440000000000001</v>
      </c>
      <c r="H189" s="12">
        <v>18.989999999999998</v>
      </c>
      <c r="I189" s="12">
        <v>10.94</v>
      </c>
      <c r="J189" s="12">
        <v>10.47</v>
      </c>
      <c r="K189" s="12">
        <v>17.46</v>
      </c>
      <c r="L189" s="13">
        <v>17.690000000000001</v>
      </c>
      <c r="M189">
        <f t="shared" si="22"/>
        <v>24</v>
      </c>
      <c r="N189">
        <f t="shared" si="23"/>
        <v>11</v>
      </c>
      <c r="O189">
        <f t="shared" si="24"/>
        <v>17.66</v>
      </c>
      <c r="P189">
        <f t="shared" si="25"/>
        <v>15.83</v>
      </c>
      <c r="Q189">
        <f t="shared" si="26"/>
        <v>10.47</v>
      </c>
      <c r="R189">
        <f t="shared" si="27"/>
        <v>17.46</v>
      </c>
      <c r="S189">
        <f t="shared" si="28"/>
        <v>17.66</v>
      </c>
      <c r="T189">
        <f t="shared" si="29"/>
        <v>15.83</v>
      </c>
      <c r="U189">
        <f t="shared" si="30"/>
        <v>10.47</v>
      </c>
      <c r="V189">
        <f t="shared" si="31"/>
        <v>17.46</v>
      </c>
      <c r="W189" s="10">
        <v>42698</v>
      </c>
      <c r="X189" s="11">
        <v>4.3055555555555555E-2</v>
      </c>
    </row>
    <row r="190" spans="1:24" x14ac:dyDescent="0.35">
      <c r="A190" s="6">
        <v>42702</v>
      </c>
      <c r="B190" s="7">
        <v>0.37638888888888888</v>
      </c>
      <c r="C190" s="8">
        <v>15.3</v>
      </c>
      <c r="D190" s="8">
        <v>13.83</v>
      </c>
      <c r="E190" s="8">
        <v>11.97</v>
      </c>
      <c r="F190" s="8">
        <v>15.5</v>
      </c>
      <c r="G190" s="8">
        <v>11.06</v>
      </c>
      <c r="H190" s="8">
        <v>14.22</v>
      </c>
      <c r="I190" s="8">
        <v>18.66</v>
      </c>
      <c r="J190" s="8">
        <v>18.95</v>
      </c>
      <c r="K190" s="8">
        <v>11.79</v>
      </c>
      <c r="L190" s="9">
        <v>16.760000000000002</v>
      </c>
      <c r="M190">
        <f t="shared" si="22"/>
        <v>28</v>
      </c>
      <c r="N190">
        <f t="shared" si="23"/>
        <v>11</v>
      </c>
      <c r="O190">
        <f t="shared" si="24"/>
        <v>15.3</v>
      </c>
      <c r="P190">
        <f t="shared" si="25"/>
        <v>13.83</v>
      </c>
      <c r="Q190">
        <f t="shared" si="26"/>
        <v>18.95</v>
      </c>
      <c r="R190">
        <f t="shared" si="27"/>
        <v>11.79</v>
      </c>
      <c r="S190">
        <f t="shared" si="28"/>
        <v>15.3</v>
      </c>
      <c r="T190">
        <f t="shared" si="29"/>
        <v>13.83</v>
      </c>
      <c r="U190">
        <f t="shared" si="30"/>
        <v>18.95</v>
      </c>
      <c r="V190">
        <f t="shared" si="31"/>
        <v>11.79</v>
      </c>
      <c r="W190" s="6">
        <v>42702</v>
      </c>
      <c r="X190" s="7">
        <v>0.37638888888888888</v>
      </c>
    </row>
    <row r="191" spans="1:24" x14ac:dyDescent="0.35">
      <c r="A191" s="10">
        <v>42703</v>
      </c>
      <c r="B191" s="11">
        <v>0.50277777777777777</v>
      </c>
      <c r="C191" s="12">
        <v>10.77</v>
      </c>
      <c r="D191" s="12">
        <v>18.07</v>
      </c>
      <c r="E191" s="12">
        <v>17.87</v>
      </c>
      <c r="F191" s="12">
        <v>16.760000000000002</v>
      </c>
      <c r="G191" s="12">
        <v>19.04</v>
      </c>
      <c r="H191" s="12">
        <v>18.55</v>
      </c>
      <c r="I191" s="12">
        <v>15</v>
      </c>
      <c r="J191" s="12">
        <v>16.649999999999999</v>
      </c>
      <c r="K191" s="12">
        <v>11.24</v>
      </c>
      <c r="L191" s="13">
        <v>10.19</v>
      </c>
      <c r="M191">
        <f t="shared" si="22"/>
        <v>29</v>
      </c>
      <c r="N191">
        <f t="shared" si="23"/>
        <v>11</v>
      </c>
      <c r="O191">
        <f t="shared" si="24"/>
        <v>10.77</v>
      </c>
      <c r="P191">
        <f t="shared" si="25"/>
        <v>18.07</v>
      </c>
      <c r="Q191">
        <f t="shared" si="26"/>
        <v>16.649999999999999</v>
      </c>
      <c r="R191">
        <f t="shared" si="27"/>
        <v>11.24</v>
      </c>
      <c r="S191">
        <f t="shared" si="28"/>
        <v>10.77</v>
      </c>
      <c r="T191">
        <f t="shared" si="29"/>
        <v>18.07</v>
      </c>
      <c r="U191">
        <f t="shared" si="30"/>
        <v>16.649999999999999</v>
      </c>
      <c r="V191">
        <f t="shared" si="31"/>
        <v>11.24</v>
      </c>
      <c r="W191" s="10">
        <v>42703</v>
      </c>
      <c r="X191" s="11">
        <v>0.50277777777777777</v>
      </c>
    </row>
    <row r="192" spans="1:24" x14ac:dyDescent="0.35">
      <c r="A192" s="6">
        <v>42704</v>
      </c>
      <c r="B192" s="7">
        <v>0.12638888888888888</v>
      </c>
      <c r="C192" s="8">
        <v>15.81</v>
      </c>
      <c r="D192" s="8">
        <v>14.72</v>
      </c>
      <c r="E192" s="8">
        <v>18.12</v>
      </c>
      <c r="F192" s="8">
        <v>18.82</v>
      </c>
      <c r="G192" s="8">
        <v>15.14</v>
      </c>
      <c r="H192" s="8">
        <v>18.850000000000001</v>
      </c>
      <c r="I192" s="8">
        <v>17.940000000000001</v>
      </c>
      <c r="J192" s="8">
        <v>12.26</v>
      </c>
      <c r="K192" s="8">
        <v>19.34</v>
      </c>
      <c r="L192" s="9">
        <v>18.3</v>
      </c>
      <c r="M192">
        <f t="shared" si="22"/>
        <v>30</v>
      </c>
      <c r="N192">
        <f t="shared" si="23"/>
        <v>11</v>
      </c>
      <c r="O192">
        <f t="shared" si="24"/>
        <v>15.81</v>
      </c>
      <c r="P192">
        <f t="shared" si="25"/>
        <v>14.72</v>
      </c>
      <c r="Q192">
        <f t="shared" si="26"/>
        <v>12.26</v>
      </c>
      <c r="R192">
        <f t="shared" si="27"/>
        <v>19.34</v>
      </c>
      <c r="S192">
        <f t="shared" si="28"/>
        <v>15.81</v>
      </c>
      <c r="T192">
        <f t="shared" si="29"/>
        <v>14.72</v>
      </c>
      <c r="U192">
        <f t="shared" si="30"/>
        <v>12.26</v>
      </c>
      <c r="V192">
        <f t="shared" si="31"/>
        <v>19.34</v>
      </c>
      <c r="W192" s="6">
        <v>42704</v>
      </c>
      <c r="X192" s="7">
        <v>0.12638888888888888</v>
      </c>
    </row>
    <row r="193" spans="1:24" x14ac:dyDescent="0.35">
      <c r="A193" s="10">
        <v>42713</v>
      </c>
      <c r="B193" s="11">
        <v>0.12638888888888888</v>
      </c>
      <c r="C193" s="12">
        <v>-1.03</v>
      </c>
      <c r="D193" s="12">
        <v>8.4</v>
      </c>
      <c r="E193" s="12">
        <v>7.65</v>
      </c>
      <c r="F193" s="12">
        <v>-1.5</v>
      </c>
      <c r="G193" s="12">
        <v>-1.63</v>
      </c>
      <c r="H193" s="12">
        <v>8.16</v>
      </c>
      <c r="I193" s="12">
        <v>-4.8899999999999997</v>
      </c>
      <c r="J193" s="12">
        <v>-2.09</v>
      </c>
      <c r="K193" s="12">
        <v>-2.0299999999999998</v>
      </c>
      <c r="L193" s="13">
        <v>-0.74</v>
      </c>
      <c r="M193">
        <f t="shared" si="22"/>
        <v>9</v>
      </c>
      <c r="N193">
        <f t="shared" si="23"/>
        <v>12</v>
      </c>
      <c r="O193">
        <f t="shared" si="24"/>
        <v>-2.23</v>
      </c>
      <c r="P193">
        <f t="shared" si="25"/>
        <v>7.2</v>
      </c>
      <c r="Q193">
        <f t="shared" si="26"/>
        <v>-2.09</v>
      </c>
      <c r="R193">
        <f t="shared" si="27"/>
        <v>-3.2299999999999995</v>
      </c>
      <c r="S193">
        <f t="shared" si="28"/>
        <v>-2.23</v>
      </c>
      <c r="T193">
        <f t="shared" si="29"/>
        <v>7.2</v>
      </c>
      <c r="U193">
        <f t="shared" si="30"/>
        <v>-2.09</v>
      </c>
      <c r="V193">
        <f t="shared" si="31"/>
        <v>-3.2299999999999995</v>
      </c>
      <c r="W193" s="10">
        <v>42713</v>
      </c>
      <c r="X193" s="11">
        <v>0.12638888888888888</v>
      </c>
    </row>
    <row r="194" spans="1:24" x14ac:dyDescent="0.35">
      <c r="A194" s="6">
        <v>42715</v>
      </c>
      <c r="B194" s="7">
        <v>8.3333333333333332E-3</v>
      </c>
      <c r="C194" s="8">
        <v>-0.64</v>
      </c>
      <c r="D194" s="8">
        <v>-3.46</v>
      </c>
      <c r="E194" s="8">
        <v>-4.01</v>
      </c>
      <c r="F194" s="8">
        <v>8.49</v>
      </c>
      <c r="G194" s="8">
        <v>-1.87</v>
      </c>
      <c r="H194" s="8">
        <v>-5.51</v>
      </c>
      <c r="I194" s="8">
        <v>6.22</v>
      </c>
      <c r="J194" s="8">
        <v>-5.76</v>
      </c>
      <c r="K194" s="8">
        <v>-2.0499999999999998</v>
      </c>
      <c r="L194" s="9">
        <v>-4.6100000000000003</v>
      </c>
      <c r="M194">
        <f t="shared" si="22"/>
        <v>11</v>
      </c>
      <c r="N194">
        <f t="shared" si="23"/>
        <v>12</v>
      </c>
      <c r="O194">
        <f t="shared" si="24"/>
        <v>-0.64</v>
      </c>
      <c r="P194">
        <f t="shared" si="25"/>
        <v>-3.46</v>
      </c>
      <c r="Q194">
        <f t="shared" si="26"/>
        <v>-5.76</v>
      </c>
      <c r="R194">
        <f t="shared" si="27"/>
        <v>-2.0499999999999998</v>
      </c>
      <c r="S194">
        <f t="shared" si="28"/>
        <v>-0.64</v>
      </c>
      <c r="T194">
        <f t="shared" si="29"/>
        <v>-3.46</v>
      </c>
      <c r="U194">
        <f t="shared" si="30"/>
        <v>-5.76</v>
      </c>
      <c r="V194">
        <f t="shared" si="31"/>
        <v>-2.0499999999999998</v>
      </c>
      <c r="W194" s="6">
        <v>42715</v>
      </c>
      <c r="X194" s="7">
        <v>8.3333333333333332E-3</v>
      </c>
    </row>
    <row r="195" spans="1:24" x14ac:dyDescent="0.35">
      <c r="A195" s="10">
        <v>42716</v>
      </c>
      <c r="B195" s="11">
        <v>0.29930555555555555</v>
      </c>
      <c r="C195" s="12">
        <v>-4.66</v>
      </c>
      <c r="D195" s="12">
        <v>7.8</v>
      </c>
      <c r="E195" s="12">
        <v>-5.83</v>
      </c>
      <c r="F195" s="12">
        <v>8.77</v>
      </c>
      <c r="G195" s="12">
        <v>-1.64</v>
      </c>
      <c r="H195" s="12">
        <v>2.81</v>
      </c>
      <c r="I195" s="12">
        <v>5.64</v>
      </c>
      <c r="J195" s="12">
        <v>7.27</v>
      </c>
      <c r="K195" s="12">
        <v>0</v>
      </c>
      <c r="L195" s="13">
        <v>-1.52</v>
      </c>
      <c r="M195">
        <f t="shared" ref="M195:M201" si="32">DAY(A195)</f>
        <v>12</v>
      </c>
      <c r="N195">
        <f t="shared" ref="N195:N201" si="33">MONTH(A195)</f>
        <v>12</v>
      </c>
      <c r="O195">
        <f t="shared" ref="O195:O201" si="34">IF(AND($M195&gt;=5, $M195&lt;=10),C195-1.2,C195)</f>
        <v>-4.66</v>
      </c>
      <c r="P195">
        <f t="shared" ref="P195:P201" si="35">IF(AND($M195&gt;=5, $M195&lt;=10),D195-1.2,D195)</f>
        <v>7.8</v>
      </c>
      <c r="Q195">
        <f t="shared" ref="Q195:Q201" si="36">IF(OR(N195 = 7, N195 = 8),ROUNDDOWN(J195 * 1.07,2), J195)</f>
        <v>7.27</v>
      </c>
      <c r="R195">
        <f t="shared" ref="R195:R201" si="37">IF(AND($M195&gt;=5, $M195&lt;=10),K195-1.2,K195)</f>
        <v>0</v>
      </c>
      <c r="S195">
        <f t="shared" ref="S195:S201" si="38">IF($N195=5,O195+0.9,O195)</f>
        <v>-4.66</v>
      </c>
      <c r="T195">
        <f t="shared" ref="T195:T201" si="39">IF($N195=5,P195+0.9,P195)</f>
        <v>7.8</v>
      </c>
      <c r="U195">
        <f t="shared" ref="U195:U201" si="40">IF($N195=5,Q195+0.9,Q195)</f>
        <v>7.27</v>
      </c>
      <c r="V195">
        <f t="shared" ref="V195:V201" si="41">IF($N195=5,R195+0.9,R195)</f>
        <v>0</v>
      </c>
      <c r="W195" s="10">
        <v>42716</v>
      </c>
      <c r="X195" s="11">
        <v>0.29930555555555555</v>
      </c>
    </row>
    <row r="196" spans="1:24" x14ac:dyDescent="0.35">
      <c r="A196" s="6">
        <v>42720</v>
      </c>
      <c r="B196" s="7">
        <v>4.1666666666666664E-2</v>
      </c>
      <c r="C196" s="8">
        <v>5.58</v>
      </c>
      <c r="D196" s="8">
        <v>-4.47</v>
      </c>
      <c r="E196" s="8">
        <v>-4.4000000000000004</v>
      </c>
      <c r="F196" s="8">
        <v>-0.05</v>
      </c>
      <c r="G196" s="8">
        <v>6.51</v>
      </c>
      <c r="H196" s="8">
        <v>4.99</v>
      </c>
      <c r="I196" s="8">
        <v>-6.3</v>
      </c>
      <c r="J196" s="8">
        <v>0.7</v>
      </c>
      <c r="K196" s="8">
        <v>-6.74</v>
      </c>
      <c r="L196" s="9">
        <v>4.71</v>
      </c>
      <c r="M196">
        <f t="shared" si="32"/>
        <v>16</v>
      </c>
      <c r="N196">
        <f t="shared" si="33"/>
        <v>12</v>
      </c>
      <c r="O196">
        <f t="shared" si="34"/>
        <v>5.58</v>
      </c>
      <c r="P196">
        <f t="shared" si="35"/>
        <v>-4.47</v>
      </c>
      <c r="Q196">
        <f t="shared" si="36"/>
        <v>0.7</v>
      </c>
      <c r="R196">
        <f t="shared" si="37"/>
        <v>-6.74</v>
      </c>
      <c r="S196">
        <f t="shared" si="38"/>
        <v>5.58</v>
      </c>
      <c r="T196">
        <f t="shared" si="39"/>
        <v>-4.47</v>
      </c>
      <c r="U196">
        <f t="shared" si="40"/>
        <v>0.7</v>
      </c>
      <c r="V196">
        <f t="shared" si="41"/>
        <v>-6.74</v>
      </c>
      <c r="W196" s="6">
        <v>42720</v>
      </c>
      <c r="X196" s="7">
        <v>4.1666666666666664E-2</v>
      </c>
    </row>
    <row r="197" spans="1:24" x14ac:dyDescent="0.35">
      <c r="A197" s="10">
        <v>42722</v>
      </c>
      <c r="B197" s="11">
        <v>0.37638888888888888</v>
      </c>
      <c r="C197" s="12">
        <v>3.23</v>
      </c>
      <c r="D197" s="12">
        <v>3.29</v>
      </c>
      <c r="E197" s="12">
        <v>-2.15</v>
      </c>
      <c r="F197" s="12">
        <v>-5.53</v>
      </c>
      <c r="G197" s="12">
        <v>-0.68</v>
      </c>
      <c r="H197" s="12">
        <v>-6.8</v>
      </c>
      <c r="I197" s="12">
        <v>6.96</v>
      </c>
      <c r="J197" s="12">
        <v>-3.33</v>
      </c>
      <c r="K197" s="12">
        <v>-7.14</v>
      </c>
      <c r="L197" s="13">
        <v>-5.82</v>
      </c>
      <c r="M197">
        <f t="shared" si="32"/>
        <v>18</v>
      </c>
      <c r="N197">
        <f t="shared" si="33"/>
        <v>12</v>
      </c>
      <c r="O197">
        <f t="shared" si="34"/>
        <v>3.23</v>
      </c>
      <c r="P197">
        <f t="shared" si="35"/>
        <v>3.29</v>
      </c>
      <c r="Q197">
        <f t="shared" si="36"/>
        <v>-3.33</v>
      </c>
      <c r="R197">
        <f t="shared" si="37"/>
        <v>-7.14</v>
      </c>
      <c r="S197">
        <f t="shared" si="38"/>
        <v>3.23</v>
      </c>
      <c r="T197">
        <f t="shared" si="39"/>
        <v>3.29</v>
      </c>
      <c r="U197">
        <f t="shared" si="40"/>
        <v>-3.33</v>
      </c>
      <c r="V197">
        <f t="shared" si="41"/>
        <v>-7.14</v>
      </c>
      <c r="W197" s="10">
        <v>42722</v>
      </c>
      <c r="X197" s="11">
        <v>0.37638888888888888</v>
      </c>
    </row>
    <row r="198" spans="1:24" x14ac:dyDescent="0.35">
      <c r="A198" s="6">
        <v>42727</v>
      </c>
      <c r="B198" s="7">
        <v>0.16944444444444445</v>
      </c>
      <c r="C198" s="8">
        <v>-1.46</v>
      </c>
      <c r="D198" s="8">
        <v>-7.76</v>
      </c>
      <c r="E198" s="8">
        <v>3.7</v>
      </c>
      <c r="F198" s="8">
        <v>4.9800000000000004</v>
      </c>
      <c r="G198" s="8">
        <v>-6.83</v>
      </c>
      <c r="H198" s="8">
        <v>7.9</v>
      </c>
      <c r="I198" s="8">
        <v>8.35</v>
      </c>
      <c r="J198" s="8">
        <v>0.16</v>
      </c>
      <c r="K198" s="8">
        <v>3.83</v>
      </c>
      <c r="L198" s="9">
        <v>0.14000000000000001</v>
      </c>
      <c r="M198">
        <f t="shared" si="32"/>
        <v>23</v>
      </c>
      <c r="N198">
        <f t="shared" si="33"/>
        <v>12</v>
      </c>
      <c r="O198">
        <f t="shared" si="34"/>
        <v>-1.46</v>
      </c>
      <c r="P198">
        <f t="shared" si="35"/>
        <v>-7.76</v>
      </c>
      <c r="Q198">
        <f t="shared" si="36"/>
        <v>0.16</v>
      </c>
      <c r="R198">
        <f t="shared" si="37"/>
        <v>3.83</v>
      </c>
      <c r="S198">
        <f t="shared" si="38"/>
        <v>-1.46</v>
      </c>
      <c r="T198">
        <f t="shared" si="39"/>
        <v>-7.76</v>
      </c>
      <c r="U198">
        <f t="shared" si="40"/>
        <v>0.16</v>
      </c>
      <c r="V198">
        <f t="shared" si="41"/>
        <v>3.83</v>
      </c>
      <c r="W198" s="6">
        <v>42727</v>
      </c>
      <c r="X198" s="7">
        <v>0.16944444444444445</v>
      </c>
    </row>
    <row r="199" spans="1:24" x14ac:dyDescent="0.35">
      <c r="A199" s="10">
        <v>42728</v>
      </c>
      <c r="B199" s="11">
        <v>0.29583333333333334</v>
      </c>
      <c r="C199" s="12">
        <v>-7.3</v>
      </c>
      <c r="D199" s="12">
        <v>-4.8600000000000003</v>
      </c>
      <c r="E199" s="12">
        <v>6.95</v>
      </c>
      <c r="F199" s="12">
        <v>-0.6</v>
      </c>
      <c r="G199" s="12">
        <v>-3.3</v>
      </c>
      <c r="H199" s="12">
        <v>-2.1</v>
      </c>
      <c r="I199" s="12">
        <v>3.44</v>
      </c>
      <c r="J199" s="12">
        <v>-6.38</v>
      </c>
      <c r="K199" s="12">
        <v>8.1</v>
      </c>
      <c r="L199" s="13">
        <v>8.58</v>
      </c>
      <c r="M199">
        <f t="shared" si="32"/>
        <v>24</v>
      </c>
      <c r="N199">
        <f t="shared" si="33"/>
        <v>12</v>
      </c>
      <c r="O199">
        <f t="shared" si="34"/>
        <v>-7.3</v>
      </c>
      <c r="P199">
        <f t="shared" si="35"/>
        <v>-4.8600000000000003</v>
      </c>
      <c r="Q199">
        <f t="shared" si="36"/>
        <v>-6.38</v>
      </c>
      <c r="R199">
        <f t="shared" si="37"/>
        <v>8.1</v>
      </c>
      <c r="S199">
        <f t="shared" si="38"/>
        <v>-7.3</v>
      </c>
      <c r="T199">
        <f t="shared" si="39"/>
        <v>-4.8600000000000003</v>
      </c>
      <c r="U199">
        <f t="shared" si="40"/>
        <v>-6.38</v>
      </c>
      <c r="V199">
        <f t="shared" si="41"/>
        <v>8.1</v>
      </c>
      <c r="W199" s="10">
        <v>42728</v>
      </c>
      <c r="X199" s="11">
        <v>0.29583333333333334</v>
      </c>
    </row>
    <row r="200" spans="1:24" x14ac:dyDescent="0.35">
      <c r="A200" s="6">
        <v>42731</v>
      </c>
      <c r="B200" s="7">
        <v>4.4444444444444446E-2</v>
      </c>
      <c r="C200" s="8">
        <v>-2.37</v>
      </c>
      <c r="D200" s="8">
        <v>4.95</v>
      </c>
      <c r="E200" s="8">
        <v>2.2200000000000002</v>
      </c>
      <c r="F200" s="8">
        <v>-5.27</v>
      </c>
      <c r="G200" s="8">
        <v>1.52</v>
      </c>
      <c r="H200" s="8">
        <v>-3.35</v>
      </c>
      <c r="I200" s="8">
        <v>3.59</v>
      </c>
      <c r="J200" s="8">
        <v>-7.17</v>
      </c>
      <c r="K200" s="8">
        <v>2.2599999999999998</v>
      </c>
      <c r="L200" s="9">
        <v>-0.95</v>
      </c>
      <c r="M200">
        <f t="shared" si="32"/>
        <v>27</v>
      </c>
      <c r="N200">
        <f t="shared" si="33"/>
        <v>12</v>
      </c>
      <c r="O200">
        <f t="shared" si="34"/>
        <v>-2.37</v>
      </c>
      <c r="P200">
        <f t="shared" si="35"/>
        <v>4.95</v>
      </c>
      <c r="Q200">
        <f t="shared" si="36"/>
        <v>-7.17</v>
      </c>
      <c r="R200">
        <f t="shared" si="37"/>
        <v>2.2599999999999998</v>
      </c>
      <c r="S200">
        <f t="shared" si="38"/>
        <v>-2.37</v>
      </c>
      <c r="T200">
        <f t="shared" si="39"/>
        <v>4.95</v>
      </c>
      <c r="U200">
        <f t="shared" si="40"/>
        <v>-7.17</v>
      </c>
      <c r="V200">
        <f t="shared" si="41"/>
        <v>2.2599999999999998</v>
      </c>
      <c r="W200" s="6">
        <v>42731</v>
      </c>
      <c r="X200" s="7">
        <v>4.4444444444444446E-2</v>
      </c>
    </row>
    <row r="201" spans="1:24" x14ac:dyDescent="0.35">
      <c r="A201" s="14">
        <v>42732</v>
      </c>
      <c r="B201" s="15">
        <v>4.3749999999999997E-2</v>
      </c>
      <c r="C201" s="1">
        <v>-6.44</v>
      </c>
      <c r="D201" s="1">
        <v>6.45</v>
      </c>
      <c r="E201" s="1">
        <v>-6.08</v>
      </c>
      <c r="F201" s="1">
        <v>5.6</v>
      </c>
      <c r="G201" s="1">
        <v>-3.18</v>
      </c>
      <c r="H201" s="1">
        <v>-4.45</v>
      </c>
      <c r="I201" s="1">
        <v>-0.27</v>
      </c>
      <c r="J201" s="1">
        <v>3.14</v>
      </c>
      <c r="K201" s="1">
        <v>-6.82</v>
      </c>
      <c r="L201" s="2">
        <v>6.04</v>
      </c>
      <c r="M201">
        <f t="shared" si="32"/>
        <v>28</v>
      </c>
      <c r="N201">
        <f t="shared" si="33"/>
        <v>12</v>
      </c>
      <c r="O201">
        <f t="shared" si="34"/>
        <v>-6.44</v>
      </c>
      <c r="P201">
        <f t="shared" si="35"/>
        <v>6.45</v>
      </c>
      <c r="Q201">
        <f t="shared" si="36"/>
        <v>3.14</v>
      </c>
      <c r="R201">
        <f t="shared" si="37"/>
        <v>-6.82</v>
      </c>
      <c r="S201">
        <f t="shared" si="38"/>
        <v>-6.44</v>
      </c>
      <c r="T201">
        <f t="shared" si="39"/>
        <v>6.45</v>
      </c>
      <c r="U201">
        <f t="shared" si="40"/>
        <v>3.14</v>
      </c>
      <c r="V201">
        <f t="shared" si="41"/>
        <v>-6.82</v>
      </c>
      <c r="W201" s="14">
        <v>42732</v>
      </c>
      <c r="X201" s="15">
        <v>4.3749999999999997E-2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6FEAB-C25E-4275-97A9-DD33379E0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2024-05-16T20:24:33Z</dcterms:modified>
</cp:coreProperties>
</file>