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cke\zbior zadan\excel\89\"/>
    </mc:Choice>
  </mc:AlternateContent>
  <xr:revisionPtr revIDLastSave="0" documentId="13_ncr:1_{7803D106-DF38-4DA1-9681-AE30EC725FA3}" xr6:coauthVersionLast="47" xr6:coauthVersionMax="47" xr10:uidLastSave="{00000000-0000-0000-0000-000000000000}"/>
  <bookViews>
    <workbookView xWindow="-110" yWindow="-110" windowWidth="19420" windowHeight="10300" activeTab="5" xr2:uid="{00000000-000D-0000-FFFF-FFFF00000000}"/>
  </bookViews>
  <sheets>
    <sheet name="dane" sheetId="2" r:id="rId1"/>
    <sheet name="1" sheetId="3" r:id="rId2"/>
    <sheet name="2" sheetId="4" r:id="rId3"/>
    <sheet name="3" sheetId="5" r:id="rId4"/>
    <sheet name="4" sheetId="6" r:id="rId5"/>
    <sheet name="5" sheetId="8" r:id="rId6"/>
  </sheets>
  <definedNames>
    <definedName name="_xlnm._FilterDatabase" localSheetId="1" hidden="1">'1'!$A$1:$N$515</definedName>
    <definedName name="_xlnm._FilterDatabase" localSheetId="2" hidden="1">'2'!$A$1:$U$515</definedName>
    <definedName name="_xlnm._FilterDatabase" localSheetId="3" hidden="1">'3'!$A$1:$S$515</definedName>
    <definedName name="_xlnm._FilterDatabase" localSheetId="5" hidden="1">'5'!$A$1:$U$515</definedName>
  </definedNames>
  <calcPr calcId="191029"/>
  <pivotCaches>
    <pivotCache cacheId="1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8" l="1"/>
  <c r="V3" i="8"/>
  <c r="V4" i="8"/>
  <c r="V5" i="8"/>
  <c r="V6" i="8"/>
  <c r="V7" i="8"/>
  <c r="V8" i="8"/>
  <c r="V9" i="8"/>
  <c r="V10" i="8"/>
  <c r="V11" i="8"/>
  <c r="V12" i="8"/>
  <c r="V13" i="8"/>
  <c r="V14" i="8"/>
  <c r="V15" i="8"/>
  <c r="V16" i="8"/>
  <c r="V17" i="8"/>
  <c r="V18" i="8"/>
  <c r="V19" i="8"/>
  <c r="V20" i="8"/>
  <c r="V21" i="8"/>
  <c r="V22" i="8"/>
  <c r="V23" i="8"/>
  <c r="V24" i="8"/>
  <c r="V25" i="8"/>
  <c r="V26" i="8"/>
  <c r="V27" i="8"/>
  <c r="V28" i="8"/>
  <c r="V29" i="8"/>
  <c r="V30" i="8"/>
  <c r="V31" i="8"/>
  <c r="V32" i="8"/>
  <c r="V33" i="8"/>
  <c r="V34" i="8"/>
  <c r="V35" i="8"/>
  <c r="V36" i="8"/>
  <c r="V37" i="8"/>
  <c r="V38" i="8"/>
  <c r="V39" i="8"/>
  <c r="V40" i="8"/>
  <c r="V41" i="8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403" i="8"/>
  <c r="V404" i="8"/>
  <c r="V405" i="8"/>
  <c r="V406" i="8"/>
  <c r="V407" i="8"/>
  <c r="V408" i="8"/>
  <c r="V409" i="8"/>
  <c r="V410" i="8"/>
  <c r="V411" i="8"/>
  <c r="V412" i="8"/>
  <c r="V413" i="8"/>
  <c r="V414" i="8"/>
  <c r="V415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V476" i="8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U3" i="8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35" i="8"/>
  <c r="U36" i="8"/>
  <c r="U37" i="8"/>
  <c r="U38" i="8"/>
  <c r="U39" i="8"/>
  <c r="U40" i="8"/>
  <c r="U41" i="8"/>
  <c r="U42" i="8"/>
  <c r="U43" i="8"/>
  <c r="U44" i="8"/>
  <c r="U45" i="8"/>
  <c r="U46" i="8"/>
  <c r="U47" i="8"/>
  <c r="U48" i="8"/>
  <c r="U49" i="8"/>
  <c r="U50" i="8"/>
  <c r="U51" i="8"/>
  <c r="U52" i="8"/>
  <c r="U53" i="8"/>
  <c r="U54" i="8"/>
  <c r="U55" i="8"/>
  <c r="U56" i="8"/>
  <c r="U57" i="8"/>
  <c r="U58" i="8"/>
  <c r="U59" i="8"/>
  <c r="U60" i="8"/>
  <c r="U61" i="8"/>
  <c r="U62" i="8"/>
  <c r="U63" i="8"/>
  <c r="U64" i="8"/>
  <c r="U65" i="8"/>
  <c r="U66" i="8"/>
  <c r="U67" i="8"/>
  <c r="U68" i="8"/>
  <c r="U69" i="8"/>
  <c r="U70" i="8"/>
  <c r="U71" i="8"/>
  <c r="U72" i="8"/>
  <c r="U73" i="8"/>
  <c r="U74" i="8"/>
  <c r="U75" i="8"/>
  <c r="U76" i="8"/>
  <c r="U77" i="8"/>
  <c r="U78" i="8"/>
  <c r="U79" i="8"/>
  <c r="U80" i="8"/>
  <c r="U81" i="8"/>
  <c r="U82" i="8"/>
  <c r="U83" i="8"/>
  <c r="U84" i="8"/>
  <c r="U85" i="8"/>
  <c r="U86" i="8"/>
  <c r="U87" i="8"/>
  <c r="U88" i="8"/>
  <c r="U89" i="8"/>
  <c r="U90" i="8"/>
  <c r="U91" i="8"/>
  <c r="U92" i="8"/>
  <c r="U93" i="8"/>
  <c r="U94" i="8"/>
  <c r="U95" i="8"/>
  <c r="U96" i="8"/>
  <c r="U97" i="8"/>
  <c r="U98" i="8"/>
  <c r="U99" i="8"/>
  <c r="U100" i="8"/>
  <c r="U101" i="8"/>
  <c r="U102" i="8"/>
  <c r="U103" i="8"/>
  <c r="U104" i="8"/>
  <c r="U105" i="8"/>
  <c r="U106" i="8"/>
  <c r="U107" i="8"/>
  <c r="U108" i="8"/>
  <c r="U109" i="8"/>
  <c r="U110" i="8"/>
  <c r="U111" i="8"/>
  <c r="U112" i="8"/>
  <c r="U113" i="8"/>
  <c r="U114" i="8"/>
  <c r="U115" i="8"/>
  <c r="U116" i="8"/>
  <c r="U117" i="8"/>
  <c r="U118" i="8"/>
  <c r="U119" i="8"/>
  <c r="U120" i="8"/>
  <c r="U121" i="8"/>
  <c r="U122" i="8"/>
  <c r="U123" i="8"/>
  <c r="U124" i="8"/>
  <c r="U125" i="8"/>
  <c r="U126" i="8"/>
  <c r="U127" i="8"/>
  <c r="U128" i="8"/>
  <c r="U129" i="8"/>
  <c r="U130" i="8"/>
  <c r="U131" i="8"/>
  <c r="U132" i="8"/>
  <c r="U133" i="8"/>
  <c r="U134" i="8"/>
  <c r="U135" i="8"/>
  <c r="U136" i="8"/>
  <c r="U137" i="8"/>
  <c r="U138" i="8"/>
  <c r="U139" i="8"/>
  <c r="U140" i="8"/>
  <c r="U141" i="8"/>
  <c r="U142" i="8"/>
  <c r="U143" i="8"/>
  <c r="U144" i="8"/>
  <c r="U145" i="8"/>
  <c r="U146" i="8"/>
  <c r="U147" i="8"/>
  <c r="U148" i="8"/>
  <c r="U149" i="8"/>
  <c r="U150" i="8"/>
  <c r="U151" i="8"/>
  <c r="U152" i="8"/>
  <c r="U153" i="8"/>
  <c r="U154" i="8"/>
  <c r="U155" i="8"/>
  <c r="U156" i="8"/>
  <c r="U157" i="8"/>
  <c r="U158" i="8"/>
  <c r="U159" i="8"/>
  <c r="U160" i="8"/>
  <c r="U161" i="8"/>
  <c r="U162" i="8"/>
  <c r="U163" i="8"/>
  <c r="U164" i="8"/>
  <c r="U165" i="8"/>
  <c r="U166" i="8"/>
  <c r="U167" i="8"/>
  <c r="U168" i="8"/>
  <c r="U169" i="8"/>
  <c r="U170" i="8"/>
  <c r="U171" i="8"/>
  <c r="U172" i="8"/>
  <c r="U173" i="8"/>
  <c r="U174" i="8"/>
  <c r="U175" i="8"/>
  <c r="U176" i="8"/>
  <c r="U177" i="8"/>
  <c r="U178" i="8"/>
  <c r="U179" i="8"/>
  <c r="U180" i="8"/>
  <c r="U181" i="8"/>
  <c r="U182" i="8"/>
  <c r="U183" i="8"/>
  <c r="U184" i="8"/>
  <c r="U185" i="8"/>
  <c r="U186" i="8"/>
  <c r="U187" i="8"/>
  <c r="U188" i="8"/>
  <c r="U189" i="8"/>
  <c r="U190" i="8"/>
  <c r="U191" i="8"/>
  <c r="U192" i="8"/>
  <c r="U193" i="8"/>
  <c r="U194" i="8"/>
  <c r="U195" i="8"/>
  <c r="U196" i="8"/>
  <c r="U197" i="8"/>
  <c r="U198" i="8"/>
  <c r="U199" i="8"/>
  <c r="U200" i="8"/>
  <c r="U201" i="8"/>
  <c r="U202" i="8"/>
  <c r="U203" i="8"/>
  <c r="U204" i="8"/>
  <c r="U205" i="8"/>
  <c r="U206" i="8"/>
  <c r="U207" i="8"/>
  <c r="U208" i="8"/>
  <c r="U209" i="8"/>
  <c r="U210" i="8"/>
  <c r="U211" i="8"/>
  <c r="U212" i="8"/>
  <c r="U213" i="8"/>
  <c r="U214" i="8"/>
  <c r="U215" i="8"/>
  <c r="U216" i="8"/>
  <c r="U217" i="8"/>
  <c r="U218" i="8"/>
  <c r="U219" i="8"/>
  <c r="U220" i="8"/>
  <c r="U221" i="8"/>
  <c r="U222" i="8"/>
  <c r="U223" i="8"/>
  <c r="U224" i="8"/>
  <c r="U225" i="8"/>
  <c r="U226" i="8"/>
  <c r="U227" i="8"/>
  <c r="U228" i="8"/>
  <c r="U229" i="8"/>
  <c r="U230" i="8"/>
  <c r="U231" i="8"/>
  <c r="U232" i="8"/>
  <c r="U233" i="8"/>
  <c r="U234" i="8"/>
  <c r="U235" i="8"/>
  <c r="U236" i="8"/>
  <c r="U237" i="8"/>
  <c r="U238" i="8"/>
  <c r="U239" i="8"/>
  <c r="U240" i="8"/>
  <c r="U241" i="8"/>
  <c r="U242" i="8"/>
  <c r="U243" i="8"/>
  <c r="U244" i="8"/>
  <c r="U245" i="8"/>
  <c r="U246" i="8"/>
  <c r="U247" i="8"/>
  <c r="U248" i="8"/>
  <c r="U249" i="8"/>
  <c r="U250" i="8"/>
  <c r="U251" i="8"/>
  <c r="U252" i="8"/>
  <c r="U253" i="8"/>
  <c r="U254" i="8"/>
  <c r="U255" i="8"/>
  <c r="U256" i="8"/>
  <c r="U257" i="8"/>
  <c r="U258" i="8"/>
  <c r="U259" i="8"/>
  <c r="U260" i="8"/>
  <c r="U261" i="8"/>
  <c r="U262" i="8"/>
  <c r="U263" i="8"/>
  <c r="U264" i="8"/>
  <c r="U265" i="8"/>
  <c r="U266" i="8"/>
  <c r="U267" i="8"/>
  <c r="U268" i="8"/>
  <c r="U269" i="8"/>
  <c r="U270" i="8"/>
  <c r="U271" i="8"/>
  <c r="U272" i="8"/>
  <c r="U273" i="8"/>
  <c r="U274" i="8"/>
  <c r="U275" i="8"/>
  <c r="U276" i="8"/>
  <c r="U277" i="8"/>
  <c r="U278" i="8"/>
  <c r="U279" i="8"/>
  <c r="U280" i="8"/>
  <c r="U281" i="8"/>
  <c r="U282" i="8"/>
  <c r="U283" i="8"/>
  <c r="U284" i="8"/>
  <c r="U285" i="8"/>
  <c r="U286" i="8"/>
  <c r="U287" i="8"/>
  <c r="U288" i="8"/>
  <c r="U289" i="8"/>
  <c r="U290" i="8"/>
  <c r="U291" i="8"/>
  <c r="U292" i="8"/>
  <c r="U293" i="8"/>
  <c r="U294" i="8"/>
  <c r="U295" i="8"/>
  <c r="U296" i="8"/>
  <c r="U297" i="8"/>
  <c r="U298" i="8"/>
  <c r="U299" i="8"/>
  <c r="U300" i="8"/>
  <c r="U301" i="8"/>
  <c r="U302" i="8"/>
  <c r="U303" i="8"/>
  <c r="U304" i="8"/>
  <c r="U305" i="8"/>
  <c r="U306" i="8"/>
  <c r="U307" i="8"/>
  <c r="U308" i="8"/>
  <c r="U309" i="8"/>
  <c r="U310" i="8"/>
  <c r="U311" i="8"/>
  <c r="U312" i="8"/>
  <c r="U313" i="8"/>
  <c r="U314" i="8"/>
  <c r="U315" i="8"/>
  <c r="U316" i="8"/>
  <c r="U317" i="8"/>
  <c r="U318" i="8"/>
  <c r="U319" i="8"/>
  <c r="U320" i="8"/>
  <c r="U321" i="8"/>
  <c r="U322" i="8"/>
  <c r="U323" i="8"/>
  <c r="U324" i="8"/>
  <c r="U325" i="8"/>
  <c r="U326" i="8"/>
  <c r="U327" i="8"/>
  <c r="U328" i="8"/>
  <c r="U329" i="8"/>
  <c r="U330" i="8"/>
  <c r="U331" i="8"/>
  <c r="U332" i="8"/>
  <c r="U333" i="8"/>
  <c r="U334" i="8"/>
  <c r="U335" i="8"/>
  <c r="U336" i="8"/>
  <c r="U337" i="8"/>
  <c r="U338" i="8"/>
  <c r="U339" i="8"/>
  <c r="U340" i="8"/>
  <c r="U341" i="8"/>
  <c r="U342" i="8"/>
  <c r="U343" i="8"/>
  <c r="U344" i="8"/>
  <c r="U345" i="8"/>
  <c r="U346" i="8"/>
  <c r="U347" i="8"/>
  <c r="U348" i="8"/>
  <c r="U349" i="8"/>
  <c r="U350" i="8"/>
  <c r="U351" i="8"/>
  <c r="U352" i="8"/>
  <c r="U353" i="8"/>
  <c r="U354" i="8"/>
  <c r="U355" i="8"/>
  <c r="U356" i="8"/>
  <c r="U357" i="8"/>
  <c r="U358" i="8"/>
  <c r="U359" i="8"/>
  <c r="U360" i="8"/>
  <c r="U361" i="8"/>
  <c r="U362" i="8"/>
  <c r="U363" i="8"/>
  <c r="U364" i="8"/>
  <c r="U365" i="8"/>
  <c r="U366" i="8"/>
  <c r="U367" i="8"/>
  <c r="U368" i="8"/>
  <c r="U369" i="8"/>
  <c r="U370" i="8"/>
  <c r="U371" i="8"/>
  <c r="U372" i="8"/>
  <c r="U373" i="8"/>
  <c r="U374" i="8"/>
  <c r="U375" i="8"/>
  <c r="U376" i="8"/>
  <c r="U377" i="8"/>
  <c r="U378" i="8"/>
  <c r="U379" i="8"/>
  <c r="U380" i="8"/>
  <c r="U381" i="8"/>
  <c r="U382" i="8"/>
  <c r="U383" i="8"/>
  <c r="U384" i="8"/>
  <c r="U385" i="8"/>
  <c r="U386" i="8"/>
  <c r="U387" i="8"/>
  <c r="U388" i="8"/>
  <c r="U389" i="8"/>
  <c r="U390" i="8"/>
  <c r="U391" i="8"/>
  <c r="U392" i="8"/>
  <c r="U393" i="8"/>
  <c r="U394" i="8"/>
  <c r="U395" i="8"/>
  <c r="U396" i="8"/>
  <c r="U397" i="8"/>
  <c r="U398" i="8"/>
  <c r="U399" i="8"/>
  <c r="U400" i="8"/>
  <c r="U401" i="8"/>
  <c r="U402" i="8"/>
  <c r="U403" i="8"/>
  <c r="U404" i="8"/>
  <c r="U405" i="8"/>
  <c r="U406" i="8"/>
  <c r="U407" i="8"/>
  <c r="U408" i="8"/>
  <c r="U409" i="8"/>
  <c r="U410" i="8"/>
  <c r="U411" i="8"/>
  <c r="U412" i="8"/>
  <c r="U413" i="8"/>
  <c r="U414" i="8"/>
  <c r="U415" i="8"/>
  <c r="U416" i="8"/>
  <c r="U417" i="8"/>
  <c r="U418" i="8"/>
  <c r="U419" i="8"/>
  <c r="U420" i="8"/>
  <c r="U421" i="8"/>
  <c r="U422" i="8"/>
  <c r="U423" i="8"/>
  <c r="U424" i="8"/>
  <c r="U425" i="8"/>
  <c r="U426" i="8"/>
  <c r="U427" i="8"/>
  <c r="U428" i="8"/>
  <c r="U429" i="8"/>
  <c r="U430" i="8"/>
  <c r="U431" i="8"/>
  <c r="U432" i="8"/>
  <c r="U433" i="8"/>
  <c r="U434" i="8"/>
  <c r="U435" i="8"/>
  <c r="U436" i="8"/>
  <c r="U437" i="8"/>
  <c r="U438" i="8"/>
  <c r="U439" i="8"/>
  <c r="U440" i="8"/>
  <c r="U441" i="8"/>
  <c r="U442" i="8"/>
  <c r="U443" i="8"/>
  <c r="U444" i="8"/>
  <c r="U445" i="8"/>
  <c r="U446" i="8"/>
  <c r="U447" i="8"/>
  <c r="U448" i="8"/>
  <c r="U449" i="8"/>
  <c r="U450" i="8"/>
  <c r="U451" i="8"/>
  <c r="U452" i="8"/>
  <c r="U453" i="8"/>
  <c r="U454" i="8"/>
  <c r="U455" i="8"/>
  <c r="U456" i="8"/>
  <c r="U457" i="8"/>
  <c r="U458" i="8"/>
  <c r="U459" i="8"/>
  <c r="U460" i="8"/>
  <c r="U461" i="8"/>
  <c r="U462" i="8"/>
  <c r="U463" i="8"/>
  <c r="U464" i="8"/>
  <c r="U465" i="8"/>
  <c r="U466" i="8"/>
  <c r="U467" i="8"/>
  <c r="U468" i="8"/>
  <c r="U469" i="8"/>
  <c r="U470" i="8"/>
  <c r="U471" i="8"/>
  <c r="U472" i="8"/>
  <c r="U473" i="8"/>
  <c r="U474" i="8"/>
  <c r="U475" i="8"/>
  <c r="U476" i="8"/>
  <c r="U477" i="8"/>
  <c r="U478" i="8"/>
  <c r="U479" i="8"/>
  <c r="U480" i="8"/>
  <c r="U481" i="8"/>
  <c r="U482" i="8"/>
  <c r="U483" i="8"/>
  <c r="U484" i="8"/>
  <c r="U485" i="8"/>
  <c r="U486" i="8"/>
  <c r="U487" i="8"/>
  <c r="U488" i="8"/>
  <c r="U489" i="8"/>
  <c r="U490" i="8"/>
  <c r="U491" i="8"/>
  <c r="U492" i="8"/>
  <c r="U493" i="8"/>
  <c r="U494" i="8"/>
  <c r="U495" i="8"/>
  <c r="U496" i="8"/>
  <c r="U497" i="8"/>
  <c r="U498" i="8"/>
  <c r="U499" i="8"/>
  <c r="U500" i="8"/>
  <c r="U501" i="8"/>
  <c r="U502" i="8"/>
  <c r="U503" i="8"/>
  <c r="U504" i="8"/>
  <c r="U505" i="8"/>
  <c r="U506" i="8"/>
  <c r="U507" i="8"/>
  <c r="U508" i="8"/>
  <c r="U509" i="8"/>
  <c r="U510" i="8"/>
  <c r="U511" i="8"/>
  <c r="U512" i="8"/>
  <c r="U513" i="8"/>
  <c r="U514" i="8"/>
  <c r="U515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V2" i="8"/>
  <c r="U2" i="8"/>
  <c r="N2" i="8"/>
  <c r="T2" i="8"/>
  <c r="R515" i="8"/>
  <c r="Q515" i="8"/>
  <c r="P515" i="8"/>
  <c r="O515" i="8"/>
  <c r="R514" i="8"/>
  <c r="Q514" i="8"/>
  <c r="P514" i="8"/>
  <c r="N514" i="8" s="1"/>
  <c r="O514" i="8"/>
  <c r="R513" i="8"/>
  <c r="Q513" i="8"/>
  <c r="P513" i="8"/>
  <c r="O513" i="8"/>
  <c r="R512" i="8"/>
  <c r="Q512" i="8"/>
  <c r="P512" i="8"/>
  <c r="N512" i="8" s="1"/>
  <c r="O512" i="8"/>
  <c r="R511" i="8"/>
  <c r="Q511" i="8"/>
  <c r="P511" i="8"/>
  <c r="O511" i="8"/>
  <c r="R510" i="8"/>
  <c r="Q510" i="8"/>
  <c r="P510" i="8"/>
  <c r="N510" i="8" s="1"/>
  <c r="O510" i="8"/>
  <c r="R509" i="8"/>
  <c r="Q509" i="8"/>
  <c r="P509" i="8"/>
  <c r="O509" i="8"/>
  <c r="R508" i="8"/>
  <c r="Q508" i="8"/>
  <c r="P508" i="8"/>
  <c r="O508" i="8"/>
  <c r="N508" i="8" s="1"/>
  <c r="R507" i="8"/>
  <c r="Q507" i="8"/>
  <c r="P507" i="8"/>
  <c r="O507" i="8"/>
  <c r="R506" i="8"/>
  <c r="Q506" i="8"/>
  <c r="P506" i="8"/>
  <c r="O506" i="8"/>
  <c r="R505" i="8"/>
  <c r="Q505" i="8"/>
  <c r="P505" i="8"/>
  <c r="O505" i="8"/>
  <c r="R504" i="8"/>
  <c r="Q504" i="8"/>
  <c r="P504" i="8"/>
  <c r="O504" i="8"/>
  <c r="R503" i="8"/>
  <c r="Q503" i="8"/>
  <c r="P503" i="8"/>
  <c r="O503" i="8"/>
  <c r="R502" i="8"/>
  <c r="Q502" i="8"/>
  <c r="P502" i="8"/>
  <c r="O502" i="8"/>
  <c r="R501" i="8"/>
  <c r="Q501" i="8"/>
  <c r="P501" i="8"/>
  <c r="O501" i="8"/>
  <c r="R500" i="8"/>
  <c r="Q500" i="8"/>
  <c r="N500" i="8" s="1"/>
  <c r="P500" i="8"/>
  <c r="O500" i="8"/>
  <c r="R499" i="8"/>
  <c r="Q499" i="8"/>
  <c r="P499" i="8"/>
  <c r="O499" i="8"/>
  <c r="N499" i="8" s="1"/>
  <c r="R498" i="8"/>
  <c r="Q498" i="8"/>
  <c r="P498" i="8"/>
  <c r="O498" i="8"/>
  <c r="R497" i="8"/>
  <c r="Q497" i="8"/>
  <c r="P497" i="8"/>
  <c r="O497" i="8"/>
  <c r="N497" i="8" s="1"/>
  <c r="R496" i="8"/>
  <c r="Q496" i="8"/>
  <c r="P496" i="8"/>
  <c r="O496" i="8"/>
  <c r="R495" i="8"/>
  <c r="Q495" i="8"/>
  <c r="P495" i="8"/>
  <c r="O495" i="8"/>
  <c r="N495" i="8" s="1"/>
  <c r="R494" i="8"/>
  <c r="Q494" i="8"/>
  <c r="P494" i="8"/>
  <c r="O494" i="8"/>
  <c r="R493" i="8"/>
  <c r="Q493" i="8"/>
  <c r="P493" i="8"/>
  <c r="O493" i="8"/>
  <c r="N493" i="8" s="1"/>
  <c r="R492" i="8"/>
  <c r="Q492" i="8"/>
  <c r="P492" i="8"/>
  <c r="O492" i="8"/>
  <c r="N492" i="8" s="1"/>
  <c r="R491" i="8"/>
  <c r="Q491" i="8"/>
  <c r="P491" i="8"/>
  <c r="O491" i="8"/>
  <c r="N491" i="8" s="1"/>
  <c r="R490" i="8"/>
  <c r="Q490" i="8"/>
  <c r="P490" i="8"/>
  <c r="N490" i="8" s="1"/>
  <c r="O490" i="8"/>
  <c r="R489" i="8"/>
  <c r="Q489" i="8"/>
  <c r="P489" i="8"/>
  <c r="O489" i="8"/>
  <c r="N489" i="8" s="1"/>
  <c r="R488" i="8"/>
  <c r="Q488" i="8"/>
  <c r="P488" i="8"/>
  <c r="N488" i="8" s="1"/>
  <c r="O488" i="8"/>
  <c r="R487" i="8"/>
  <c r="Q487" i="8"/>
  <c r="P487" i="8"/>
  <c r="O487" i="8"/>
  <c r="N487" i="8" s="1"/>
  <c r="R486" i="8"/>
  <c r="Q486" i="8"/>
  <c r="P486" i="8"/>
  <c r="N486" i="8" s="1"/>
  <c r="O486" i="8"/>
  <c r="R485" i="8"/>
  <c r="Q485" i="8"/>
  <c r="P485" i="8"/>
  <c r="O485" i="8"/>
  <c r="N485" i="8" s="1"/>
  <c r="R484" i="8"/>
  <c r="Q484" i="8"/>
  <c r="P484" i="8"/>
  <c r="N484" i="8" s="1"/>
  <c r="O484" i="8"/>
  <c r="R483" i="8"/>
  <c r="Q483" i="8"/>
  <c r="P483" i="8"/>
  <c r="O483" i="8"/>
  <c r="R482" i="8"/>
  <c r="Q482" i="8"/>
  <c r="P482" i="8"/>
  <c r="O482" i="8"/>
  <c r="R481" i="8"/>
  <c r="Q481" i="8"/>
  <c r="P481" i="8"/>
  <c r="O481" i="8"/>
  <c r="R480" i="8"/>
  <c r="Q480" i="8"/>
  <c r="P480" i="8"/>
  <c r="O480" i="8"/>
  <c r="R479" i="8"/>
  <c r="Q479" i="8"/>
  <c r="P479" i="8"/>
  <c r="O479" i="8"/>
  <c r="R478" i="8"/>
  <c r="Q478" i="8"/>
  <c r="P478" i="8"/>
  <c r="O478" i="8"/>
  <c r="R477" i="8"/>
  <c r="Q477" i="8"/>
  <c r="P477" i="8"/>
  <c r="O477" i="8"/>
  <c r="R476" i="8"/>
  <c r="Q476" i="8"/>
  <c r="N476" i="8" s="1"/>
  <c r="P476" i="8"/>
  <c r="O476" i="8"/>
  <c r="R475" i="8"/>
  <c r="Q475" i="8"/>
  <c r="P475" i="8"/>
  <c r="O475" i="8"/>
  <c r="R474" i="8"/>
  <c r="Q474" i="8"/>
  <c r="P474" i="8"/>
  <c r="O474" i="8"/>
  <c r="R473" i="8"/>
  <c r="Q473" i="8"/>
  <c r="P473" i="8"/>
  <c r="O473" i="8"/>
  <c r="R472" i="8"/>
  <c r="Q472" i="8"/>
  <c r="P472" i="8"/>
  <c r="O472" i="8"/>
  <c r="R471" i="8"/>
  <c r="Q471" i="8"/>
  <c r="P471" i="8"/>
  <c r="O471" i="8"/>
  <c r="R470" i="8"/>
  <c r="Q470" i="8"/>
  <c r="P470" i="8"/>
  <c r="O470" i="8"/>
  <c r="R469" i="8"/>
  <c r="Q469" i="8"/>
  <c r="P469" i="8"/>
  <c r="O469" i="8"/>
  <c r="R468" i="8"/>
  <c r="Q468" i="8"/>
  <c r="P468" i="8"/>
  <c r="O468" i="8"/>
  <c r="N468" i="8"/>
  <c r="R467" i="8"/>
  <c r="Q467" i="8"/>
  <c r="P467" i="8"/>
  <c r="O467" i="8"/>
  <c r="R466" i="8"/>
  <c r="Q466" i="8"/>
  <c r="P466" i="8"/>
  <c r="O466" i="8"/>
  <c r="R465" i="8"/>
  <c r="Q465" i="8"/>
  <c r="P465" i="8"/>
  <c r="O465" i="8"/>
  <c r="R464" i="8"/>
  <c r="Q464" i="8"/>
  <c r="P464" i="8"/>
  <c r="O464" i="8"/>
  <c r="R463" i="8"/>
  <c r="Q463" i="8"/>
  <c r="P463" i="8"/>
  <c r="O463" i="8"/>
  <c r="R462" i="8"/>
  <c r="Q462" i="8"/>
  <c r="P462" i="8"/>
  <c r="O462" i="8"/>
  <c r="R461" i="8"/>
  <c r="Q461" i="8"/>
  <c r="P461" i="8"/>
  <c r="O461" i="8"/>
  <c r="R460" i="8"/>
  <c r="Q460" i="8"/>
  <c r="P460" i="8"/>
  <c r="O460" i="8"/>
  <c r="N460" i="8"/>
  <c r="R459" i="8"/>
  <c r="Q459" i="8"/>
  <c r="P459" i="8"/>
  <c r="O459" i="8"/>
  <c r="R458" i="8"/>
  <c r="Q458" i="8"/>
  <c r="P458" i="8"/>
  <c r="O458" i="8"/>
  <c r="R457" i="8"/>
  <c r="Q457" i="8"/>
  <c r="P457" i="8"/>
  <c r="O457" i="8"/>
  <c r="R456" i="8"/>
  <c r="Q456" i="8"/>
  <c r="P456" i="8"/>
  <c r="O456" i="8"/>
  <c r="R455" i="8"/>
  <c r="Q455" i="8"/>
  <c r="P455" i="8"/>
  <c r="O455" i="8"/>
  <c r="R454" i="8"/>
  <c r="Q454" i="8"/>
  <c r="P454" i="8"/>
  <c r="O454" i="8"/>
  <c r="R453" i="8"/>
  <c r="Q453" i="8"/>
  <c r="P453" i="8"/>
  <c r="O453" i="8"/>
  <c r="R452" i="8"/>
  <c r="Q452" i="8"/>
  <c r="P452" i="8"/>
  <c r="O452" i="8"/>
  <c r="N452" i="8" s="1"/>
  <c r="R451" i="8"/>
  <c r="Q451" i="8"/>
  <c r="P451" i="8"/>
  <c r="O451" i="8"/>
  <c r="R450" i="8"/>
  <c r="Q450" i="8"/>
  <c r="P450" i="8"/>
  <c r="N450" i="8" s="1"/>
  <c r="O450" i="8"/>
  <c r="R449" i="8"/>
  <c r="Q449" i="8"/>
  <c r="P449" i="8"/>
  <c r="O449" i="8"/>
  <c r="R448" i="8"/>
  <c r="Q448" i="8"/>
  <c r="P448" i="8"/>
  <c r="N448" i="8" s="1"/>
  <c r="O448" i="8"/>
  <c r="R447" i="8"/>
  <c r="Q447" i="8"/>
  <c r="P447" i="8"/>
  <c r="O447" i="8"/>
  <c r="R446" i="8"/>
  <c r="Q446" i="8"/>
  <c r="P446" i="8"/>
  <c r="N446" i="8" s="1"/>
  <c r="O446" i="8"/>
  <c r="R445" i="8"/>
  <c r="Q445" i="8"/>
  <c r="P445" i="8"/>
  <c r="O445" i="8"/>
  <c r="R444" i="8"/>
  <c r="Q444" i="8"/>
  <c r="P444" i="8"/>
  <c r="O444" i="8"/>
  <c r="N444" i="8" s="1"/>
  <c r="R443" i="8"/>
  <c r="Q443" i="8"/>
  <c r="P443" i="8"/>
  <c r="O443" i="8"/>
  <c r="R442" i="8"/>
  <c r="Q442" i="8"/>
  <c r="P442" i="8"/>
  <c r="O442" i="8"/>
  <c r="R441" i="8"/>
  <c r="Q441" i="8"/>
  <c r="P441" i="8"/>
  <c r="O441" i="8"/>
  <c r="R440" i="8"/>
  <c r="Q440" i="8"/>
  <c r="P440" i="8"/>
  <c r="O440" i="8"/>
  <c r="R439" i="8"/>
  <c r="Q439" i="8"/>
  <c r="P439" i="8"/>
  <c r="O439" i="8"/>
  <c r="R438" i="8"/>
  <c r="Q438" i="8"/>
  <c r="P438" i="8"/>
  <c r="O438" i="8"/>
  <c r="R437" i="8"/>
  <c r="Q437" i="8"/>
  <c r="P437" i="8"/>
  <c r="O437" i="8"/>
  <c r="R436" i="8"/>
  <c r="Q436" i="8"/>
  <c r="N436" i="8" s="1"/>
  <c r="P436" i="8"/>
  <c r="O436" i="8"/>
  <c r="R435" i="8"/>
  <c r="Q435" i="8"/>
  <c r="P435" i="8"/>
  <c r="O435" i="8"/>
  <c r="N435" i="8" s="1"/>
  <c r="R434" i="8"/>
  <c r="Q434" i="8"/>
  <c r="P434" i="8"/>
  <c r="O434" i="8"/>
  <c r="R433" i="8"/>
  <c r="Q433" i="8"/>
  <c r="P433" i="8"/>
  <c r="O433" i="8"/>
  <c r="N433" i="8" s="1"/>
  <c r="R432" i="8"/>
  <c r="Q432" i="8"/>
  <c r="P432" i="8"/>
  <c r="O432" i="8"/>
  <c r="R431" i="8"/>
  <c r="Q431" i="8"/>
  <c r="P431" i="8"/>
  <c r="O431" i="8"/>
  <c r="N431" i="8" s="1"/>
  <c r="R430" i="8"/>
  <c r="Q430" i="8"/>
  <c r="P430" i="8"/>
  <c r="O430" i="8"/>
  <c r="R429" i="8"/>
  <c r="Q429" i="8"/>
  <c r="P429" i="8"/>
  <c r="O429" i="8"/>
  <c r="N429" i="8" s="1"/>
  <c r="R428" i="8"/>
  <c r="Q428" i="8"/>
  <c r="P428" i="8"/>
  <c r="O428" i="8"/>
  <c r="N428" i="8" s="1"/>
  <c r="R427" i="8"/>
  <c r="Q427" i="8"/>
  <c r="P427" i="8"/>
  <c r="O427" i="8"/>
  <c r="N427" i="8" s="1"/>
  <c r="R426" i="8"/>
  <c r="Q426" i="8"/>
  <c r="P426" i="8"/>
  <c r="N426" i="8" s="1"/>
  <c r="O426" i="8"/>
  <c r="R425" i="8"/>
  <c r="Q425" i="8"/>
  <c r="P425" i="8"/>
  <c r="O425" i="8"/>
  <c r="N425" i="8" s="1"/>
  <c r="R424" i="8"/>
  <c r="Q424" i="8"/>
  <c r="P424" i="8"/>
  <c r="N424" i="8" s="1"/>
  <c r="O424" i="8"/>
  <c r="R423" i="8"/>
  <c r="Q423" i="8"/>
  <c r="P423" i="8"/>
  <c r="O423" i="8"/>
  <c r="N423" i="8" s="1"/>
  <c r="R422" i="8"/>
  <c r="Q422" i="8"/>
  <c r="P422" i="8"/>
  <c r="N422" i="8" s="1"/>
  <c r="O422" i="8"/>
  <c r="R421" i="8"/>
  <c r="Q421" i="8"/>
  <c r="P421" i="8"/>
  <c r="O421" i="8"/>
  <c r="N421" i="8" s="1"/>
  <c r="R420" i="8"/>
  <c r="Q420" i="8"/>
  <c r="P420" i="8"/>
  <c r="N420" i="8" s="1"/>
  <c r="O420" i="8"/>
  <c r="R419" i="8"/>
  <c r="Q419" i="8"/>
  <c r="P419" i="8"/>
  <c r="O419" i="8"/>
  <c r="R418" i="8"/>
  <c r="Q418" i="8"/>
  <c r="P418" i="8"/>
  <c r="O418" i="8"/>
  <c r="R417" i="8"/>
  <c r="Q417" i="8"/>
  <c r="P417" i="8"/>
  <c r="O417" i="8"/>
  <c r="R416" i="8"/>
  <c r="Q416" i="8"/>
  <c r="P416" i="8"/>
  <c r="O416" i="8"/>
  <c r="R415" i="8"/>
  <c r="Q415" i="8"/>
  <c r="P415" i="8"/>
  <c r="O415" i="8"/>
  <c r="R414" i="8"/>
  <c r="Q414" i="8"/>
  <c r="P414" i="8"/>
  <c r="O414" i="8"/>
  <c r="R413" i="8"/>
  <c r="Q413" i="8"/>
  <c r="P413" i="8"/>
  <c r="O413" i="8"/>
  <c r="R412" i="8"/>
  <c r="Q412" i="8"/>
  <c r="N412" i="8" s="1"/>
  <c r="P412" i="8"/>
  <c r="O412" i="8"/>
  <c r="R411" i="8"/>
  <c r="Q411" i="8"/>
  <c r="P411" i="8"/>
  <c r="O411" i="8"/>
  <c r="R410" i="8"/>
  <c r="Q410" i="8"/>
  <c r="P410" i="8"/>
  <c r="O410" i="8"/>
  <c r="R409" i="8"/>
  <c r="Q409" i="8"/>
  <c r="P409" i="8"/>
  <c r="O409" i="8"/>
  <c r="R408" i="8"/>
  <c r="Q408" i="8"/>
  <c r="P408" i="8"/>
  <c r="O408" i="8"/>
  <c r="R407" i="8"/>
  <c r="Q407" i="8"/>
  <c r="P407" i="8"/>
  <c r="O407" i="8"/>
  <c r="R406" i="8"/>
  <c r="Q406" i="8"/>
  <c r="P406" i="8"/>
  <c r="O406" i="8"/>
  <c r="R405" i="8"/>
  <c r="Q405" i="8"/>
  <c r="P405" i="8"/>
  <c r="O405" i="8"/>
  <c r="R404" i="8"/>
  <c r="Q404" i="8"/>
  <c r="P404" i="8"/>
  <c r="O404" i="8"/>
  <c r="N404" i="8"/>
  <c r="R403" i="8"/>
  <c r="Q403" i="8"/>
  <c r="P403" i="8"/>
  <c r="O403" i="8"/>
  <c r="R402" i="8"/>
  <c r="Q402" i="8"/>
  <c r="P402" i="8"/>
  <c r="O402" i="8"/>
  <c r="R401" i="8"/>
  <c r="Q401" i="8"/>
  <c r="P401" i="8"/>
  <c r="O401" i="8"/>
  <c r="R400" i="8"/>
  <c r="Q400" i="8"/>
  <c r="P400" i="8"/>
  <c r="O400" i="8"/>
  <c r="R399" i="8"/>
  <c r="Q399" i="8"/>
  <c r="P399" i="8"/>
  <c r="O399" i="8"/>
  <c r="R398" i="8"/>
  <c r="Q398" i="8"/>
  <c r="P398" i="8"/>
  <c r="O398" i="8"/>
  <c r="R397" i="8"/>
  <c r="Q397" i="8"/>
  <c r="P397" i="8"/>
  <c r="O397" i="8"/>
  <c r="R396" i="8"/>
  <c r="Q396" i="8"/>
  <c r="P396" i="8"/>
  <c r="O396" i="8"/>
  <c r="N396" i="8"/>
  <c r="R395" i="8"/>
  <c r="Q395" i="8"/>
  <c r="P395" i="8"/>
  <c r="O395" i="8"/>
  <c r="R394" i="8"/>
  <c r="Q394" i="8"/>
  <c r="P394" i="8"/>
  <c r="O394" i="8"/>
  <c r="R393" i="8"/>
  <c r="Q393" i="8"/>
  <c r="P393" i="8"/>
  <c r="O393" i="8"/>
  <c r="R392" i="8"/>
  <c r="Q392" i="8"/>
  <c r="P392" i="8"/>
  <c r="O392" i="8"/>
  <c r="R391" i="8"/>
  <c r="Q391" i="8"/>
  <c r="P391" i="8"/>
  <c r="O391" i="8"/>
  <c r="R390" i="8"/>
  <c r="Q390" i="8"/>
  <c r="P390" i="8"/>
  <c r="O390" i="8"/>
  <c r="R389" i="8"/>
  <c r="Q389" i="8"/>
  <c r="P389" i="8"/>
  <c r="O389" i="8"/>
  <c r="R388" i="8"/>
  <c r="Q388" i="8"/>
  <c r="P388" i="8"/>
  <c r="O388" i="8"/>
  <c r="N388" i="8" s="1"/>
  <c r="R387" i="8"/>
  <c r="Q387" i="8"/>
  <c r="P387" i="8"/>
  <c r="O387" i="8"/>
  <c r="R386" i="8"/>
  <c r="Q386" i="8"/>
  <c r="P386" i="8"/>
  <c r="N386" i="8" s="1"/>
  <c r="O386" i="8"/>
  <c r="R385" i="8"/>
  <c r="Q385" i="8"/>
  <c r="P385" i="8"/>
  <c r="O385" i="8"/>
  <c r="R384" i="8"/>
  <c r="Q384" i="8"/>
  <c r="P384" i="8"/>
  <c r="N384" i="8" s="1"/>
  <c r="O384" i="8"/>
  <c r="R383" i="8"/>
  <c r="Q383" i="8"/>
  <c r="P383" i="8"/>
  <c r="O383" i="8"/>
  <c r="R382" i="8"/>
  <c r="Q382" i="8"/>
  <c r="P382" i="8"/>
  <c r="N382" i="8" s="1"/>
  <c r="O382" i="8"/>
  <c r="R381" i="8"/>
  <c r="Q381" i="8"/>
  <c r="P381" i="8"/>
  <c r="O381" i="8"/>
  <c r="R380" i="8"/>
  <c r="Q380" i="8"/>
  <c r="P380" i="8"/>
  <c r="O380" i="8"/>
  <c r="N380" i="8" s="1"/>
  <c r="R379" i="8"/>
  <c r="Q379" i="8"/>
  <c r="P379" i="8"/>
  <c r="O379" i="8"/>
  <c r="R378" i="8"/>
  <c r="Q378" i="8"/>
  <c r="P378" i="8"/>
  <c r="O378" i="8"/>
  <c r="R377" i="8"/>
  <c r="Q377" i="8"/>
  <c r="P377" i="8"/>
  <c r="O377" i="8"/>
  <c r="R376" i="8"/>
  <c r="Q376" i="8"/>
  <c r="P376" i="8"/>
  <c r="O376" i="8"/>
  <c r="R375" i="8"/>
  <c r="Q375" i="8"/>
  <c r="P375" i="8"/>
  <c r="O375" i="8"/>
  <c r="R374" i="8"/>
  <c r="Q374" i="8"/>
  <c r="P374" i="8"/>
  <c r="O374" i="8"/>
  <c r="R373" i="8"/>
  <c r="Q373" i="8"/>
  <c r="P373" i="8"/>
  <c r="O373" i="8"/>
  <c r="R372" i="8"/>
  <c r="Q372" i="8"/>
  <c r="P372" i="8"/>
  <c r="N372" i="8" s="1"/>
  <c r="O372" i="8"/>
  <c r="R371" i="8"/>
  <c r="Q371" i="8"/>
  <c r="P371" i="8"/>
  <c r="O371" i="8"/>
  <c r="N371" i="8" s="1"/>
  <c r="R370" i="8"/>
  <c r="Q370" i="8"/>
  <c r="P370" i="8"/>
  <c r="O370" i="8"/>
  <c r="R369" i="8"/>
  <c r="Q369" i="8"/>
  <c r="P369" i="8"/>
  <c r="O369" i="8"/>
  <c r="N369" i="8" s="1"/>
  <c r="R368" i="8"/>
  <c r="Q368" i="8"/>
  <c r="P368" i="8"/>
  <c r="O368" i="8"/>
  <c r="R367" i="8"/>
  <c r="Q367" i="8"/>
  <c r="P367" i="8"/>
  <c r="O367" i="8"/>
  <c r="N367" i="8" s="1"/>
  <c r="R366" i="8"/>
  <c r="Q366" i="8"/>
  <c r="P366" i="8"/>
  <c r="O366" i="8"/>
  <c r="R365" i="8"/>
  <c r="Q365" i="8"/>
  <c r="P365" i="8"/>
  <c r="O365" i="8"/>
  <c r="N365" i="8" s="1"/>
  <c r="R364" i="8"/>
  <c r="Q364" i="8"/>
  <c r="P364" i="8"/>
  <c r="O364" i="8"/>
  <c r="N364" i="8" s="1"/>
  <c r="R363" i="8"/>
  <c r="Q363" i="8"/>
  <c r="P363" i="8"/>
  <c r="O363" i="8"/>
  <c r="N363" i="8" s="1"/>
  <c r="R362" i="8"/>
  <c r="Q362" i="8"/>
  <c r="P362" i="8"/>
  <c r="O362" i="8"/>
  <c r="R361" i="8"/>
  <c r="Q361" i="8"/>
  <c r="P361" i="8"/>
  <c r="O361" i="8"/>
  <c r="N361" i="8" s="1"/>
  <c r="R360" i="8"/>
  <c r="Q360" i="8"/>
  <c r="P360" i="8"/>
  <c r="O360" i="8"/>
  <c r="R359" i="8"/>
  <c r="Q359" i="8"/>
  <c r="P359" i="8"/>
  <c r="O359" i="8"/>
  <c r="N359" i="8" s="1"/>
  <c r="R358" i="8"/>
  <c r="Q358" i="8"/>
  <c r="P358" i="8"/>
  <c r="O358" i="8"/>
  <c r="R357" i="8"/>
  <c r="Q357" i="8"/>
  <c r="P357" i="8"/>
  <c r="O357" i="8"/>
  <c r="N357" i="8" s="1"/>
  <c r="R356" i="8"/>
  <c r="Q356" i="8"/>
  <c r="P356" i="8"/>
  <c r="N356" i="8" s="1"/>
  <c r="O356" i="8"/>
  <c r="R355" i="8"/>
  <c r="Q355" i="8"/>
  <c r="P355" i="8"/>
  <c r="O355" i="8"/>
  <c r="R354" i="8"/>
  <c r="Q354" i="8"/>
  <c r="P354" i="8"/>
  <c r="O354" i="8"/>
  <c r="R353" i="8"/>
  <c r="Q353" i="8"/>
  <c r="P353" i="8"/>
  <c r="O353" i="8"/>
  <c r="R352" i="8"/>
  <c r="Q352" i="8"/>
  <c r="P352" i="8"/>
  <c r="O352" i="8"/>
  <c r="R351" i="8"/>
  <c r="Q351" i="8"/>
  <c r="P351" i="8"/>
  <c r="O351" i="8"/>
  <c r="R350" i="8"/>
  <c r="Q350" i="8"/>
  <c r="P350" i="8"/>
  <c r="O350" i="8"/>
  <c r="R349" i="8"/>
  <c r="Q349" i="8"/>
  <c r="P349" i="8"/>
  <c r="O349" i="8"/>
  <c r="R348" i="8"/>
  <c r="Q348" i="8"/>
  <c r="N348" i="8" s="1"/>
  <c r="P348" i="8"/>
  <c r="O348" i="8"/>
  <c r="R347" i="8"/>
  <c r="Q347" i="8"/>
  <c r="P347" i="8"/>
  <c r="O347" i="8"/>
  <c r="R346" i="8"/>
  <c r="Q346" i="8"/>
  <c r="P346" i="8"/>
  <c r="O346" i="8"/>
  <c r="R345" i="8"/>
  <c r="Q345" i="8"/>
  <c r="P345" i="8"/>
  <c r="O345" i="8"/>
  <c r="R344" i="8"/>
  <c r="Q344" i="8"/>
  <c r="P344" i="8"/>
  <c r="O344" i="8"/>
  <c r="R343" i="8"/>
  <c r="Q343" i="8"/>
  <c r="P343" i="8"/>
  <c r="O343" i="8"/>
  <c r="R342" i="8"/>
  <c r="Q342" i="8"/>
  <c r="P342" i="8"/>
  <c r="O342" i="8"/>
  <c r="R341" i="8"/>
  <c r="Q341" i="8"/>
  <c r="P341" i="8"/>
  <c r="O341" i="8"/>
  <c r="R340" i="8"/>
  <c r="Q340" i="8"/>
  <c r="P340" i="8"/>
  <c r="O340" i="8"/>
  <c r="N340" i="8"/>
  <c r="R339" i="8"/>
  <c r="Q339" i="8"/>
  <c r="P339" i="8"/>
  <c r="O339" i="8"/>
  <c r="R338" i="8"/>
  <c r="Q338" i="8"/>
  <c r="P338" i="8"/>
  <c r="O338" i="8"/>
  <c r="R337" i="8"/>
  <c r="Q337" i="8"/>
  <c r="P337" i="8"/>
  <c r="O337" i="8"/>
  <c r="R336" i="8"/>
  <c r="Q336" i="8"/>
  <c r="P336" i="8"/>
  <c r="O336" i="8"/>
  <c r="R335" i="8"/>
  <c r="Q335" i="8"/>
  <c r="P335" i="8"/>
  <c r="O335" i="8"/>
  <c r="R334" i="8"/>
  <c r="Q334" i="8"/>
  <c r="P334" i="8"/>
  <c r="O334" i="8"/>
  <c r="R333" i="8"/>
  <c r="Q333" i="8"/>
  <c r="P333" i="8"/>
  <c r="O333" i="8"/>
  <c r="R332" i="8"/>
  <c r="Q332" i="8"/>
  <c r="P332" i="8"/>
  <c r="O332" i="8"/>
  <c r="N332" i="8"/>
  <c r="R331" i="8"/>
  <c r="Q331" i="8"/>
  <c r="P331" i="8"/>
  <c r="O331" i="8"/>
  <c r="R330" i="8"/>
  <c r="Q330" i="8"/>
  <c r="P330" i="8"/>
  <c r="O330" i="8"/>
  <c r="R329" i="8"/>
  <c r="Q329" i="8"/>
  <c r="P329" i="8"/>
  <c r="O329" i="8"/>
  <c r="R328" i="8"/>
  <c r="Q328" i="8"/>
  <c r="P328" i="8"/>
  <c r="O328" i="8"/>
  <c r="R327" i="8"/>
  <c r="Q327" i="8"/>
  <c r="P327" i="8"/>
  <c r="O327" i="8"/>
  <c r="R326" i="8"/>
  <c r="Q326" i="8"/>
  <c r="P326" i="8"/>
  <c r="O326" i="8"/>
  <c r="R325" i="8"/>
  <c r="Q325" i="8"/>
  <c r="P325" i="8"/>
  <c r="O325" i="8"/>
  <c r="R324" i="8"/>
  <c r="Q324" i="8"/>
  <c r="P324" i="8"/>
  <c r="O324" i="8"/>
  <c r="N324" i="8" s="1"/>
  <c r="R323" i="8"/>
  <c r="Q323" i="8"/>
  <c r="P323" i="8"/>
  <c r="O323" i="8"/>
  <c r="R322" i="8"/>
  <c r="Q322" i="8"/>
  <c r="P322" i="8"/>
  <c r="N322" i="8" s="1"/>
  <c r="O322" i="8"/>
  <c r="R321" i="8"/>
  <c r="Q321" i="8"/>
  <c r="P321" i="8"/>
  <c r="O321" i="8"/>
  <c r="R320" i="8"/>
  <c r="Q320" i="8"/>
  <c r="P320" i="8"/>
  <c r="N320" i="8" s="1"/>
  <c r="O320" i="8"/>
  <c r="R319" i="8"/>
  <c r="Q319" i="8"/>
  <c r="P319" i="8"/>
  <c r="O319" i="8"/>
  <c r="R318" i="8"/>
  <c r="Q318" i="8"/>
  <c r="P318" i="8"/>
  <c r="O318" i="8"/>
  <c r="R317" i="8"/>
  <c r="Q317" i="8"/>
  <c r="P317" i="8"/>
  <c r="O317" i="8"/>
  <c r="R316" i="8"/>
  <c r="Q316" i="8"/>
  <c r="P316" i="8"/>
  <c r="O316" i="8"/>
  <c r="N316" i="8" s="1"/>
  <c r="R315" i="8"/>
  <c r="Q315" i="8"/>
  <c r="P315" i="8"/>
  <c r="O315" i="8"/>
  <c r="R314" i="8"/>
  <c r="Q314" i="8"/>
  <c r="P314" i="8"/>
  <c r="O314" i="8"/>
  <c r="R313" i="8"/>
  <c r="Q313" i="8"/>
  <c r="P313" i="8"/>
  <c r="O313" i="8"/>
  <c r="R312" i="8"/>
  <c r="Q312" i="8"/>
  <c r="P312" i="8"/>
  <c r="O312" i="8"/>
  <c r="R311" i="8"/>
  <c r="Q311" i="8"/>
  <c r="P311" i="8"/>
  <c r="O311" i="8"/>
  <c r="R310" i="8"/>
  <c r="Q310" i="8"/>
  <c r="P310" i="8"/>
  <c r="O310" i="8"/>
  <c r="R309" i="8"/>
  <c r="Q309" i="8"/>
  <c r="P309" i="8"/>
  <c r="O309" i="8"/>
  <c r="R308" i="8"/>
  <c r="Q308" i="8"/>
  <c r="P308" i="8"/>
  <c r="N308" i="8" s="1"/>
  <c r="O308" i="8"/>
  <c r="R307" i="8"/>
  <c r="Q307" i="8"/>
  <c r="P307" i="8"/>
  <c r="O307" i="8"/>
  <c r="N307" i="8" s="1"/>
  <c r="R306" i="8"/>
  <c r="Q306" i="8"/>
  <c r="P306" i="8"/>
  <c r="O306" i="8"/>
  <c r="R305" i="8"/>
  <c r="Q305" i="8"/>
  <c r="P305" i="8"/>
  <c r="O305" i="8"/>
  <c r="N305" i="8" s="1"/>
  <c r="R304" i="8"/>
  <c r="Q304" i="8"/>
  <c r="P304" i="8"/>
  <c r="O304" i="8"/>
  <c r="R303" i="8"/>
  <c r="Q303" i="8"/>
  <c r="P303" i="8"/>
  <c r="O303" i="8"/>
  <c r="N303" i="8" s="1"/>
  <c r="R302" i="8"/>
  <c r="N302" i="8" s="1"/>
  <c r="Q302" i="8"/>
  <c r="P302" i="8"/>
  <c r="O302" i="8"/>
  <c r="R301" i="8"/>
  <c r="Q301" i="8"/>
  <c r="P301" i="8"/>
  <c r="O301" i="8"/>
  <c r="N301" i="8" s="1"/>
  <c r="R300" i="8"/>
  <c r="Q300" i="8"/>
  <c r="P300" i="8"/>
  <c r="O300" i="8"/>
  <c r="N300" i="8" s="1"/>
  <c r="R299" i="8"/>
  <c r="Q299" i="8"/>
  <c r="P299" i="8"/>
  <c r="O299" i="8"/>
  <c r="N299" i="8" s="1"/>
  <c r="R298" i="8"/>
  <c r="Q298" i="8"/>
  <c r="P298" i="8"/>
  <c r="O298" i="8"/>
  <c r="R297" i="8"/>
  <c r="Q297" i="8"/>
  <c r="P297" i="8"/>
  <c r="O297" i="8"/>
  <c r="N297" i="8" s="1"/>
  <c r="R296" i="8"/>
  <c r="Q296" i="8"/>
  <c r="P296" i="8"/>
  <c r="O296" i="8"/>
  <c r="R295" i="8"/>
  <c r="Q295" i="8"/>
  <c r="P295" i="8"/>
  <c r="O295" i="8"/>
  <c r="N295" i="8" s="1"/>
  <c r="R294" i="8"/>
  <c r="N294" i="8" s="1"/>
  <c r="Q294" i="8"/>
  <c r="P294" i="8"/>
  <c r="O294" i="8"/>
  <c r="R293" i="8"/>
  <c r="Q293" i="8"/>
  <c r="P293" i="8"/>
  <c r="O293" i="8"/>
  <c r="N293" i="8" s="1"/>
  <c r="R292" i="8"/>
  <c r="Q292" i="8"/>
  <c r="P292" i="8"/>
  <c r="N292" i="8" s="1"/>
  <c r="O292" i="8"/>
  <c r="R291" i="8"/>
  <c r="Q291" i="8"/>
  <c r="P291" i="8"/>
  <c r="O291" i="8"/>
  <c r="R290" i="8"/>
  <c r="Q290" i="8"/>
  <c r="P290" i="8"/>
  <c r="O290" i="8"/>
  <c r="R289" i="8"/>
  <c r="Q289" i="8"/>
  <c r="P289" i="8"/>
  <c r="O289" i="8"/>
  <c r="R288" i="8"/>
  <c r="Q288" i="8"/>
  <c r="P288" i="8"/>
  <c r="O288" i="8"/>
  <c r="R287" i="8"/>
  <c r="Q287" i="8"/>
  <c r="P287" i="8"/>
  <c r="O287" i="8"/>
  <c r="R286" i="8"/>
  <c r="Q286" i="8"/>
  <c r="P286" i="8"/>
  <c r="O286" i="8"/>
  <c r="R285" i="8"/>
  <c r="Q285" i="8"/>
  <c r="P285" i="8"/>
  <c r="O285" i="8"/>
  <c r="R284" i="8"/>
  <c r="Q284" i="8"/>
  <c r="N284" i="8" s="1"/>
  <c r="P284" i="8"/>
  <c r="O284" i="8"/>
  <c r="R283" i="8"/>
  <c r="Q283" i="8"/>
  <c r="P283" i="8"/>
  <c r="O283" i="8"/>
  <c r="R282" i="8"/>
  <c r="Q282" i="8"/>
  <c r="P282" i="8"/>
  <c r="O282" i="8"/>
  <c r="R281" i="8"/>
  <c r="Q281" i="8"/>
  <c r="P281" i="8"/>
  <c r="O281" i="8"/>
  <c r="R280" i="8"/>
  <c r="Q280" i="8"/>
  <c r="P280" i="8"/>
  <c r="O280" i="8"/>
  <c r="R279" i="8"/>
  <c r="Q279" i="8"/>
  <c r="P279" i="8"/>
  <c r="O279" i="8"/>
  <c r="R278" i="8"/>
  <c r="N278" i="8" s="1"/>
  <c r="Q278" i="8"/>
  <c r="P278" i="8"/>
  <c r="O278" i="8"/>
  <c r="R277" i="8"/>
  <c r="Q277" i="8"/>
  <c r="P277" i="8"/>
  <c r="O277" i="8"/>
  <c r="R276" i="8"/>
  <c r="Q276" i="8"/>
  <c r="P276" i="8"/>
  <c r="O276" i="8"/>
  <c r="N276" i="8"/>
  <c r="R275" i="8"/>
  <c r="Q275" i="8"/>
  <c r="P275" i="8"/>
  <c r="O275" i="8"/>
  <c r="R274" i="8"/>
  <c r="Q274" i="8"/>
  <c r="P274" i="8"/>
  <c r="O274" i="8"/>
  <c r="R273" i="8"/>
  <c r="Q273" i="8"/>
  <c r="P273" i="8"/>
  <c r="O273" i="8"/>
  <c r="R272" i="8"/>
  <c r="Q272" i="8"/>
  <c r="P272" i="8"/>
  <c r="O272" i="8"/>
  <c r="R271" i="8"/>
  <c r="Q271" i="8"/>
  <c r="P271" i="8"/>
  <c r="O271" i="8"/>
  <c r="R270" i="8"/>
  <c r="Q270" i="8"/>
  <c r="P270" i="8"/>
  <c r="O270" i="8"/>
  <c r="R269" i="8"/>
  <c r="Q269" i="8"/>
  <c r="P269" i="8"/>
  <c r="O269" i="8"/>
  <c r="R268" i="8"/>
  <c r="Q268" i="8"/>
  <c r="P268" i="8"/>
  <c r="O268" i="8"/>
  <c r="N268" i="8"/>
  <c r="R267" i="8"/>
  <c r="Q267" i="8"/>
  <c r="P267" i="8"/>
  <c r="O267" i="8"/>
  <c r="R266" i="8"/>
  <c r="Q266" i="8"/>
  <c r="P266" i="8"/>
  <c r="O266" i="8"/>
  <c r="R265" i="8"/>
  <c r="Q265" i="8"/>
  <c r="P265" i="8"/>
  <c r="O265" i="8"/>
  <c r="R264" i="8"/>
  <c r="Q264" i="8"/>
  <c r="P264" i="8"/>
  <c r="O264" i="8"/>
  <c r="R263" i="8"/>
  <c r="Q263" i="8"/>
  <c r="P263" i="8"/>
  <c r="O263" i="8"/>
  <c r="R262" i="8"/>
  <c r="Q262" i="8"/>
  <c r="P262" i="8"/>
  <c r="O262" i="8"/>
  <c r="R261" i="8"/>
  <c r="Q261" i="8"/>
  <c r="P261" i="8"/>
  <c r="O261" i="8"/>
  <c r="R260" i="8"/>
  <c r="Q260" i="8"/>
  <c r="P260" i="8"/>
  <c r="O260" i="8"/>
  <c r="N260" i="8" s="1"/>
  <c r="R259" i="8"/>
  <c r="Q259" i="8"/>
  <c r="P259" i="8"/>
  <c r="O259" i="8"/>
  <c r="R258" i="8"/>
  <c r="Q258" i="8"/>
  <c r="P258" i="8"/>
  <c r="N258" i="8" s="1"/>
  <c r="O258" i="8"/>
  <c r="R257" i="8"/>
  <c r="Q257" i="8"/>
  <c r="P257" i="8"/>
  <c r="O257" i="8"/>
  <c r="R256" i="8"/>
  <c r="Q256" i="8"/>
  <c r="P256" i="8"/>
  <c r="N256" i="8" s="1"/>
  <c r="O256" i="8"/>
  <c r="R255" i="8"/>
  <c r="Q255" i="8"/>
  <c r="P255" i="8"/>
  <c r="O255" i="8"/>
  <c r="R254" i="8"/>
  <c r="Q254" i="8"/>
  <c r="P254" i="8"/>
  <c r="O254" i="8"/>
  <c r="R253" i="8"/>
  <c r="Q253" i="8"/>
  <c r="P253" i="8"/>
  <c r="O253" i="8"/>
  <c r="R252" i="8"/>
  <c r="Q252" i="8"/>
  <c r="P252" i="8"/>
  <c r="O252" i="8"/>
  <c r="N252" i="8" s="1"/>
  <c r="R251" i="8"/>
  <c r="Q251" i="8"/>
  <c r="P251" i="8"/>
  <c r="O251" i="8"/>
  <c r="R250" i="8"/>
  <c r="Q250" i="8"/>
  <c r="P250" i="8"/>
  <c r="O250" i="8"/>
  <c r="R249" i="8"/>
  <c r="Q249" i="8"/>
  <c r="P249" i="8"/>
  <c r="O249" i="8"/>
  <c r="R248" i="8"/>
  <c r="Q248" i="8"/>
  <c r="P248" i="8"/>
  <c r="O248" i="8"/>
  <c r="R247" i="8"/>
  <c r="Q247" i="8"/>
  <c r="P247" i="8"/>
  <c r="O247" i="8"/>
  <c r="R246" i="8"/>
  <c r="Q246" i="8"/>
  <c r="P246" i="8"/>
  <c r="O246" i="8"/>
  <c r="R245" i="8"/>
  <c r="Q245" i="8"/>
  <c r="P245" i="8"/>
  <c r="O245" i="8"/>
  <c r="R244" i="8"/>
  <c r="Q244" i="8"/>
  <c r="P244" i="8"/>
  <c r="N244" i="8" s="1"/>
  <c r="O244" i="8"/>
  <c r="R243" i="8"/>
  <c r="Q243" i="8"/>
  <c r="P243" i="8"/>
  <c r="O243" i="8"/>
  <c r="N243" i="8" s="1"/>
  <c r="R242" i="8"/>
  <c r="Q242" i="8"/>
  <c r="P242" i="8"/>
  <c r="O242" i="8"/>
  <c r="R241" i="8"/>
  <c r="Q241" i="8"/>
  <c r="P241" i="8"/>
  <c r="O241" i="8"/>
  <c r="N241" i="8" s="1"/>
  <c r="R240" i="8"/>
  <c r="Q240" i="8"/>
  <c r="P240" i="8"/>
  <c r="O240" i="8"/>
  <c r="R239" i="8"/>
  <c r="Q239" i="8"/>
  <c r="P239" i="8"/>
  <c r="O239" i="8"/>
  <c r="N239" i="8" s="1"/>
  <c r="R238" i="8"/>
  <c r="N238" i="8" s="1"/>
  <c r="Q238" i="8"/>
  <c r="P238" i="8"/>
  <c r="O238" i="8"/>
  <c r="R237" i="8"/>
  <c r="Q237" i="8"/>
  <c r="P237" i="8"/>
  <c r="O237" i="8"/>
  <c r="N237" i="8" s="1"/>
  <c r="R236" i="8"/>
  <c r="Q236" i="8"/>
  <c r="P236" i="8"/>
  <c r="O236" i="8"/>
  <c r="N236" i="8" s="1"/>
  <c r="R235" i="8"/>
  <c r="Q235" i="8"/>
  <c r="P235" i="8"/>
  <c r="O235" i="8"/>
  <c r="N235" i="8" s="1"/>
  <c r="R234" i="8"/>
  <c r="Q234" i="8"/>
  <c r="P234" i="8"/>
  <c r="O234" i="8"/>
  <c r="R233" i="8"/>
  <c r="Q233" i="8"/>
  <c r="P233" i="8"/>
  <c r="O233" i="8"/>
  <c r="N233" i="8" s="1"/>
  <c r="R232" i="8"/>
  <c r="Q232" i="8"/>
  <c r="P232" i="8"/>
  <c r="O232" i="8"/>
  <c r="R231" i="8"/>
  <c r="Q231" i="8"/>
  <c r="P231" i="8"/>
  <c r="O231" i="8"/>
  <c r="N231" i="8" s="1"/>
  <c r="R230" i="8"/>
  <c r="N230" i="8" s="1"/>
  <c r="Q230" i="8"/>
  <c r="P230" i="8"/>
  <c r="O230" i="8"/>
  <c r="R229" i="8"/>
  <c r="Q229" i="8"/>
  <c r="P229" i="8"/>
  <c r="O229" i="8"/>
  <c r="N229" i="8" s="1"/>
  <c r="R228" i="8"/>
  <c r="Q228" i="8"/>
  <c r="P228" i="8"/>
  <c r="N228" i="8" s="1"/>
  <c r="O228" i="8"/>
  <c r="R227" i="8"/>
  <c r="Q227" i="8"/>
  <c r="P227" i="8"/>
  <c r="O227" i="8"/>
  <c r="R226" i="8"/>
  <c r="Q226" i="8"/>
  <c r="P226" i="8"/>
  <c r="O226" i="8"/>
  <c r="R225" i="8"/>
  <c r="Q225" i="8"/>
  <c r="P225" i="8"/>
  <c r="O225" i="8"/>
  <c r="R224" i="8"/>
  <c r="Q224" i="8"/>
  <c r="P224" i="8"/>
  <c r="O224" i="8"/>
  <c r="R223" i="8"/>
  <c r="Q223" i="8"/>
  <c r="P223" i="8"/>
  <c r="O223" i="8"/>
  <c r="R222" i="8"/>
  <c r="Q222" i="8"/>
  <c r="P222" i="8"/>
  <c r="O222" i="8"/>
  <c r="R221" i="8"/>
  <c r="Q221" i="8"/>
  <c r="P221" i="8"/>
  <c r="O221" i="8"/>
  <c r="R220" i="8"/>
  <c r="Q220" i="8"/>
  <c r="P220" i="8"/>
  <c r="O220" i="8"/>
  <c r="N220" i="8" s="1"/>
  <c r="R219" i="8"/>
  <c r="Q219" i="8"/>
  <c r="P219" i="8"/>
  <c r="O219" i="8"/>
  <c r="R218" i="8"/>
  <c r="Q218" i="8"/>
  <c r="P218" i="8"/>
  <c r="O218" i="8"/>
  <c r="R217" i="8"/>
  <c r="Q217" i="8"/>
  <c r="P217" i="8"/>
  <c r="O217" i="8"/>
  <c r="R216" i="8"/>
  <c r="Q216" i="8"/>
  <c r="P216" i="8"/>
  <c r="O216" i="8"/>
  <c r="R215" i="8"/>
  <c r="Q215" i="8"/>
  <c r="P215" i="8"/>
  <c r="O215" i="8"/>
  <c r="R214" i="8"/>
  <c r="N214" i="8" s="1"/>
  <c r="Q214" i="8"/>
  <c r="P214" i="8"/>
  <c r="O214" i="8"/>
  <c r="R213" i="8"/>
  <c r="Q213" i="8"/>
  <c r="P213" i="8"/>
  <c r="O213" i="8"/>
  <c r="R212" i="8"/>
  <c r="Q212" i="8"/>
  <c r="P212" i="8"/>
  <c r="O212" i="8"/>
  <c r="N212" i="8"/>
  <c r="R211" i="8"/>
  <c r="Q211" i="8"/>
  <c r="P211" i="8"/>
  <c r="O211" i="8"/>
  <c r="R210" i="8"/>
  <c r="Q210" i="8"/>
  <c r="P210" i="8"/>
  <c r="O210" i="8"/>
  <c r="R209" i="8"/>
  <c r="Q209" i="8"/>
  <c r="P209" i="8"/>
  <c r="O209" i="8"/>
  <c r="R208" i="8"/>
  <c r="Q208" i="8"/>
  <c r="P208" i="8"/>
  <c r="O208" i="8"/>
  <c r="R207" i="8"/>
  <c r="Q207" i="8"/>
  <c r="P207" i="8"/>
  <c r="O207" i="8"/>
  <c r="R206" i="8"/>
  <c r="Q206" i="8"/>
  <c r="P206" i="8"/>
  <c r="O206" i="8"/>
  <c r="R205" i="8"/>
  <c r="Q205" i="8"/>
  <c r="P205" i="8"/>
  <c r="O205" i="8"/>
  <c r="R204" i="8"/>
  <c r="Q204" i="8"/>
  <c r="P204" i="8"/>
  <c r="O204" i="8"/>
  <c r="N204" i="8"/>
  <c r="R203" i="8"/>
  <c r="Q203" i="8"/>
  <c r="P203" i="8"/>
  <c r="O203" i="8"/>
  <c r="R202" i="8"/>
  <c r="Q202" i="8"/>
  <c r="P202" i="8"/>
  <c r="O202" i="8"/>
  <c r="R201" i="8"/>
  <c r="Q201" i="8"/>
  <c r="P201" i="8"/>
  <c r="O201" i="8"/>
  <c r="R200" i="8"/>
  <c r="Q200" i="8"/>
  <c r="P200" i="8"/>
  <c r="O200" i="8"/>
  <c r="R199" i="8"/>
  <c r="Q199" i="8"/>
  <c r="P199" i="8"/>
  <c r="O199" i="8"/>
  <c r="R198" i="8"/>
  <c r="Q198" i="8"/>
  <c r="P198" i="8"/>
  <c r="O198" i="8"/>
  <c r="R197" i="8"/>
  <c r="Q197" i="8"/>
  <c r="P197" i="8"/>
  <c r="O197" i="8"/>
  <c r="R196" i="8"/>
  <c r="Q196" i="8"/>
  <c r="P196" i="8"/>
  <c r="O196" i="8"/>
  <c r="N196" i="8" s="1"/>
  <c r="R195" i="8"/>
  <c r="Q195" i="8"/>
  <c r="P195" i="8"/>
  <c r="O195" i="8"/>
  <c r="R194" i="8"/>
  <c r="Q194" i="8"/>
  <c r="P194" i="8"/>
  <c r="N194" i="8" s="1"/>
  <c r="O194" i="8"/>
  <c r="R193" i="8"/>
  <c r="Q193" i="8"/>
  <c r="P193" i="8"/>
  <c r="O193" i="8"/>
  <c r="R192" i="8"/>
  <c r="Q192" i="8"/>
  <c r="P192" i="8"/>
  <c r="N192" i="8" s="1"/>
  <c r="O192" i="8"/>
  <c r="R191" i="8"/>
  <c r="Q191" i="8"/>
  <c r="P191" i="8"/>
  <c r="O191" i="8"/>
  <c r="R190" i="8"/>
  <c r="Q190" i="8"/>
  <c r="P190" i="8"/>
  <c r="O190" i="8"/>
  <c r="R189" i="8"/>
  <c r="Q189" i="8"/>
  <c r="P189" i="8"/>
  <c r="O189" i="8"/>
  <c r="R188" i="8"/>
  <c r="Q188" i="8"/>
  <c r="P188" i="8"/>
  <c r="O188" i="8"/>
  <c r="N188" i="8" s="1"/>
  <c r="R187" i="8"/>
  <c r="Q187" i="8"/>
  <c r="P187" i="8"/>
  <c r="O187" i="8"/>
  <c r="R186" i="8"/>
  <c r="Q186" i="8"/>
  <c r="P186" i="8"/>
  <c r="O186" i="8"/>
  <c r="R185" i="8"/>
  <c r="Q185" i="8"/>
  <c r="P185" i="8"/>
  <c r="O185" i="8"/>
  <c r="R184" i="8"/>
  <c r="Q184" i="8"/>
  <c r="P184" i="8"/>
  <c r="O184" i="8"/>
  <c r="R183" i="8"/>
  <c r="Q183" i="8"/>
  <c r="P183" i="8"/>
  <c r="O183" i="8"/>
  <c r="R182" i="8"/>
  <c r="Q182" i="8"/>
  <c r="P182" i="8"/>
  <c r="O182" i="8"/>
  <c r="R181" i="8"/>
  <c r="Q181" i="8"/>
  <c r="P181" i="8"/>
  <c r="O181" i="8"/>
  <c r="R180" i="8"/>
  <c r="Q180" i="8"/>
  <c r="P180" i="8"/>
  <c r="N180" i="8" s="1"/>
  <c r="O180" i="8"/>
  <c r="R179" i="8"/>
  <c r="Q179" i="8"/>
  <c r="P179" i="8"/>
  <c r="O179" i="8"/>
  <c r="N179" i="8" s="1"/>
  <c r="R178" i="8"/>
  <c r="Q178" i="8"/>
  <c r="P178" i="8"/>
  <c r="O178" i="8"/>
  <c r="R177" i="8"/>
  <c r="Q177" i="8"/>
  <c r="P177" i="8"/>
  <c r="O177" i="8"/>
  <c r="N177" i="8" s="1"/>
  <c r="R176" i="8"/>
  <c r="Q176" i="8"/>
  <c r="P176" i="8"/>
  <c r="O176" i="8"/>
  <c r="R175" i="8"/>
  <c r="Q175" i="8"/>
  <c r="P175" i="8"/>
  <c r="O175" i="8"/>
  <c r="N175" i="8" s="1"/>
  <c r="R174" i="8"/>
  <c r="N174" i="8" s="1"/>
  <c r="Q174" i="8"/>
  <c r="P174" i="8"/>
  <c r="O174" i="8"/>
  <c r="R173" i="8"/>
  <c r="Q173" i="8"/>
  <c r="P173" i="8"/>
  <c r="O173" i="8"/>
  <c r="N173" i="8" s="1"/>
  <c r="R172" i="8"/>
  <c r="Q172" i="8"/>
  <c r="P172" i="8"/>
  <c r="O172" i="8"/>
  <c r="N172" i="8" s="1"/>
  <c r="R171" i="8"/>
  <c r="Q171" i="8"/>
  <c r="P171" i="8"/>
  <c r="O171" i="8"/>
  <c r="N171" i="8" s="1"/>
  <c r="R170" i="8"/>
  <c r="Q170" i="8"/>
  <c r="P170" i="8"/>
  <c r="O170" i="8"/>
  <c r="R169" i="8"/>
  <c r="Q169" i="8"/>
  <c r="P169" i="8"/>
  <c r="O169" i="8"/>
  <c r="N169" i="8" s="1"/>
  <c r="R168" i="8"/>
  <c r="Q168" i="8"/>
  <c r="P168" i="8"/>
  <c r="O168" i="8"/>
  <c r="R167" i="8"/>
  <c r="Q167" i="8"/>
  <c r="P167" i="8"/>
  <c r="O167" i="8"/>
  <c r="N167" i="8" s="1"/>
  <c r="R166" i="8"/>
  <c r="N166" i="8" s="1"/>
  <c r="Q166" i="8"/>
  <c r="P166" i="8"/>
  <c r="O166" i="8"/>
  <c r="R165" i="8"/>
  <c r="Q165" i="8"/>
  <c r="P165" i="8"/>
  <c r="O165" i="8"/>
  <c r="N165" i="8" s="1"/>
  <c r="R164" i="8"/>
  <c r="Q164" i="8"/>
  <c r="P164" i="8"/>
  <c r="N164" i="8" s="1"/>
  <c r="O164" i="8"/>
  <c r="R163" i="8"/>
  <c r="Q163" i="8"/>
  <c r="P163" i="8"/>
  <c r="O163" i="8"/>
  <c r="R162" i="8"/>
  <c r="Q162" i="8"/>
  <c r="P162" i="8"/>
  <c r="O162" i="8"/>
  <c r="R161" i="8"/>
  <c r="Q161" i="8"/>
  <c r="P161" i="8"/>
  <c r="O161" i="8"/>
  <c r="R160" i="8"/>
  <c r="Q160" i="8"/>
  <c r="P160" i="8"/>
  <c r="O160" i="8"/>
  <c r="R159" i="8"/>
  <c r="Q159" i="8"/>
  <c r="P159" i="8"/>
  <c r="O159" i="8"/>
  <c r="R158" i="8"/>
  <c r="Q158" i="8"/>
  <c r="P158" i="8"/>
  <c r="O158" i="8"/>
  <c r="R157" i="8"/>
  <c r="Q157" i="8"/>
  <c r="P157" i="8"/>
  <c r="O157" i="8"/>
  <c r="R156" i="8"/>
  <c r="Q156" i="8"/>
  <c r="P156" i="8"/>
  <c r="O156" i="8"/>
  <c r="N156" i="8" s="1"/>
  <c r="R155" i="8"/>
  <c r="Q155" i="8"/>
  <c r="P155" i="8"/>
  <c r="O155" i="8"/>
  <c r="R154" i="8"/>
  <c r="Q154" i="8"/>
  <c r="P154" i="8"/>
  <c r="N154" i="8" s="1"/>
  <c r="O154" i="8"/>
  <c r="R153" i="8"/>
  <c r="Q153" i="8"/>
  <c r="P153" i="8"/>
  <c r="O153" i="8"/>
  <c r="R152" i="8"/>
  <c r="Q152" i="8"/>
  <c r="P152" i="8"/>
  <c r="N152" i="8" s="1"/>
  <c r="O152" i="8"/>
  <c r="R151" i="8"/>
  <c r="Q151" i="8"/>
  <c r="P151" i="8"/>
  <c r="O151" i="8"/>
  <c r="R150" i="8"/>
  <c r="Q150" i="8"/>
  <c r="P150" i="8"/>
  <c r="O150" i="8"/>
  <c r="R149" i="8"/>
  <c r="Q149" i="8"/>
  <c r="P149" i="8"/>
  <c r="O149" i="8"/>
  <c r="R148" i="8"/>
  <c r="Q148" i="8"/>
  <c r="P148" i="8"/>
  <c r="N148" i="8" s="1"/>
  <c r="O148" i="8"/>
  <c r="R147" i="8"/>
  <c r="Q147" i="8"/>
  <c r="P147" i="8"/>
  <c r="O147" i="8"/>
  <c r="R146" i="8"/>
  <c r="Q146" i="8"/>
  <c r="P146" i="8"/>
  <c r="O146" i="8"/>
  <c r="R145" i="8"/>
  <c r="Q145" i="8"/>
  <c r="P145" i="8"/>
  <c r="O145" i="8"/>
  <c r="R144" i="8"/>
  <c r="Q144" i="8"/>
  <c r="P144" i="8"/>
  <c r="O144" i="8"/>
  <c r="R143" i="8"/>
  <c r="Q143" i="8"/>
  <c r="P143" i="8"/>
  <c r="O143" i="8"/>
  <c r="R142" i="8"/>
  <c r="Q142" i="8"/>
  <c r="P142" i="8"/>
  <c r="O142" i="8"/>
  <c r="R141" i="8"/>
  <c r="Q141" i="8"/>
  <c r="P141" i="8"/>
  <c r="O141" i="8"/>
  <c r="R140" i="8"/>
  <c r="Q140" i="8"/>
  <c r="P140" i="8"/>
  <c r="O140" i="8"/>
  <c r="N140" i="8"/>
  <c r="R139" i="8"/>
  <c r="Q139" i="8"/>
  <c r="P139" i="8"/>
  <c r="O139" i="8"/>
  <c r="R138" i="8"/>
  <c r="Q138" i="8"/>
  <c r="P138" i="8"/>
  <c r="O138" i="8"/>
  <c r="R137" i="8"/>
  <c r="Q137" i="8"/>
  <c r="P137" i="8"/>
  <c r="O137" i="8"/>
  <c r="R136" i="8"/>
  <c r="Q136" i="8"/>
  <c r="P136" i="8"/>
  <c r="O136" i="8"/>
  <c r="R135" i="8"/>
  <c r="Q135" i="8"/>
  <c r="P135" i="8"/>
  <c r="O135" i="8"/>
  <c r="R134" i="8"/>
  <c r="Q134" i="8"/>
  <c r="P134" i="8"/>
  <c r="O134" i="8"/>
  <c r="R133" i="8"/>
  <c r="Q133" i="8"/>
  <c r="P133" i="8"/>
  <c r="O133" i="8"/>
  <c r="R132" i="8"/>
  <c r="Q132" i="8"/>
  <c r="P132" i="8"/>
  <c r="O132" i="8"/>
  <c r="N132" i="8" s="1"/>
  <c r="R131" i="8"/>
  <c r="Q131" i="8"/>
  <c r="P131" i="8"/>
  <c r="O131" i="8"/>
  <c r="N131" i="8" s="1"/>
  <c r="R130" i="8"/>
  <c r="Q130" i="8"/>
  <c r="P130" i="8"/>
  <c r="N130" i="8" s="1"/>
  <c r="O130" i="8"/>
  <c r="R129" i="8"/>
  <c r="Q129" i="8"/>
  <c r="P129" i="8"/>
  <c r="O129" i="8"/>
  <c r="N129" i="8" s="1"/>
  <c r="R128" i="8"/>
  <c r="Q128" i="8"/>
  <c r="P128" i="8"/>
  <c r="N128" i="8" s="1"/>
  <c r="O128" i="8"/>
  <c r="R127" i="8"/>
  <c r="Q127" i="8"/>
  <c r="P127" i="8"/>
  <c r="O127" i="8"/>
  <c r="N127" i="8" s="1"/>
  <c r="R126" i="8"/>
  <c r="Q126" i="8"/>
  <c r="P126" i="8"/>
  <c r="O126" i="8"/>
  <c r="R125" i="8"/>
  <c r="Q125" i="8"/>
  <c r="P125" i="8"/>
  <c r="O125" i="8"/>
  <c r="N125" i="8" s="1"/>
  <c r="R124" i="8"/>
  <c r="Q124" i="8"/>
  <c r="P124" i="8"/>
  <c r="O124" i="8"/>
  <c r="N124" i="8" s="1"/>
  <c r="R123" i="8"/>
  <c r="Q123" i="8"/>
  <c r="P123" i="8"/>
  <c r="O123" i="8"/>
  <c r="R122" i="8"/>
  <c r="Q122" i="8"/>
  <c r="P122" i="8"/>
  <c r="O122" i="8"/>
  <c r="R121" i="8"/>
  <c r="Q121" i="8"/>
  <c r="P121" i="8"/>
  <c r="O121" i="8"/>
  <c r="R120" i="8"/>
  <c r="Q120" i="8"/>
  <c r="P120" i="8"/>
  <c r="O120" i="8"/>
  <c r="R119" i="8"/>
  <c r="Q119" i="8"/>
  <c r="P119" i="8"/>
  <c r="O119" i="8"/>
  <c r="R118" i="8"/>
  <c r="Q118" i="8"/>
  <c r="P118" i="8"/>
  <c r="O118" i="8"/>
  <c r="R117" i="8"/>
  <c r="Q117" i="8"/>
  <c r="P117" i="8"/>
  <c r="O117" i="8"/>
  <c r="R116" i="8"/>
  <c r="Q116" i="8"/>
  <c r="P116" i="8"/>
  <c r="N116" i="8" s="1"/>
  <c r="O116" i="8"/>
  <c r="R115" i="8"/>
  <c r="Q115" i="8"/>
  <c r="P115" i="8"/>
  <c r="O115" i="8"/>
  <c r="R114" i="8"/>
  <c r="Q114" i="8"/>
  <c r="P114" i="8"/>
  <c r="O114" i="8"/>
  <c r="R113" i="8"/>
  <c r="Q113" i="8"/>
  <c r="P113" i="8"/>
  <c r="O113" i="8"/>
  <c r="R112" i="8"/>
  <c r="Q112" i="8"/>
  <c r="P112" i="8"/>
  <c r="O112" i="8"/>
  <c r="R111" i="8"/>
  <c r="Q111" i="8"/>
  <c r="P111" i="8"/>
  <c r="O111" i="8"/>
  <c r="R110" i="8"/>
  <c r="N110" i="8" s="1"/>
  <c r="Q110" i="8"/>
  <c r="P110" i="8"/>
  <c r="O110" i="8"/>
  <c r="R109" i="8"/>
  <c r="Q109" i="8"/>
  <c r="P109" i="8"/>
  <c r="O109" i="8"/>
  <c r="R108" i="8"/>
  <c r="Q108" i="8"/>
  <c r="P108" i="8"/>
  <c r="O108" i="8"/>
  <c r="N108" i="8" s="1"/>
  <c r="R107" i="8"/>
  <c r="Q107" i="8"/>
  <c r="P107" i="8"/>
  <c r="O107" i="8"/>
  <c r="N107" i="8" s="1"/>
  <c r="R106" i="8"/>
  <c r="Q106" i="8"/>
  <c r="P106" i="8"/>
  <c r="O106" i="8"/>
  <c r="R105" i="8"/>
  <c r="Q105" i="8"/>
  <c r="P105" i="8"/>
  <c r="O105" i="8"/>
  <c r="N105" i="8" s="1"/>
  <c r="R104" i="8"/>
  <c r="Q104" i="8"/>
  <c r="P104" i="8"/>
  <c r="O104" i="8"/>
  <c r="R103" i="8"/>
  <c r="Q103" i="8"/>
  <c r="P103" i="8"/>
  <c r="O103" i="8"/>
  <c r="N103" i="8" s="1"/>
  <c r="R102" i="8"/>
  <c r="N102" i="8" s="1"/>
  <c r="Q102" i="8"/>
  <c r="P102" i="8"/>
  <c r="O102" i="8"/>
  <c r="R101" i="8"/>
  <c r="Q101" i="8"/>
  <c r="P101" i="8"/>
  <c r="O101" i="8"/>
  <c r="N101" i="8" s="1"/>
  <c r="R100" i="8"/>
  <c r="N100" i="8" s="1"/>
  <c r="Q100" i="8"/>
  <c r="P100" i="8"/>
  <c r="O100" i="8"/>
  <c r="R99" i="8"/>
  <c r="Q99" i="8"/>
  <c r="P99" i="8"/>
  <c r="O99" i="8"/>
  <c r="R98" i="8"/>
  <c r="Q98" i="8"/>
  <c r="P98" i="8"/>
  <c r="O98" i="8"/>
  <c r="R97" i="8"/>
  <c r="Q97" i="8"/>
  <c r="P97" i="8"/>
  <c r="O97" i="8"/>
  <c r="R96" i="8"/>
  <c r="Q96" i="8"/>
  <c r="P96" i="8"/>
  <c r="O96" i="8"/>
  <c r="R95" i="8"/>
  <c r="Q95" i="8"/>
  <c r="P95" i="8"/>
  <c r="O95" i="8"/>
  <c r="R94" i="8"/>
  <c r="Q94" i="8"/>
  <c r="P94" i="8"/>
  <c r="O94" i="8"/>
  <c r="N94" i="8" s="1"/>
  <c r="R93" i="8"/>
  <c r="Q93" i="8"/>
  <c r="P93" i="8"/>
  <c r="O93" i="8"/>
  <c r="R92" i="8"/>
  <c r="Q92" i="8"/>
  <c r="P92" i="8"/>
  <c r="N92" i="8" s="1"/>
  <c r="O92" i="8"/>
  <c r="R91" i="8"/>
  <c r="Q91" i="8"/>
  <c r="P91" i="8"/>
  <c r="O91" i="8"/>
  <c r="R90" i="8"/>
  <c r="Q90" i="8"/>
  <c r="P90" i="8"/>
  <c r="O90" i="8"/>
  <c r="R89" i="8"/>
  <c r="Q89" i="8"/>
  <c r="P89" i="8"/>
  <c r="O89" i="8"/>
  <c r="R88" i="8"/>
  <c r="Q88" i="8"/>
  <c r="P88" i="8"/>
  <c r="O88" i="8"/>
  <c r="R87" i="8"/>
  <c r="Q87" i="8"/>
  <c r="P87" i="8"/>
  <c r="O87" i="8"/>
  <c r="R86" i="8"/>
  <c r="Q86" i="8"/>
  <c r="P86" i="8"/>
  <c r="O86" i="8"/>
  <c r="N86" i="8"/>
  <c r="R85" i="8"/>
  <c r="Q85" i="8"/>
  <c r="P85" i="8"/>
  <c r="O85" i="8"/>
  <c r="R84" i="8"/>
  <c r="Q84" i="8"/>
  <c r="P84" i="8"/>
  <c r="O84" i="8"/>
  <c r="N84" i="8" s="1"/>
  <c r="R83" i="8"/>
  <c r="Q83" i="8"/>
  <c r="P83" i="8"/>
  <c r="O83" i="8"/>
  <c r="N83" i="8" s="1"/>
  <c r="R82" i="8"/>
  <c r="Q82" i="8"/>
  <c r="P82" i="8"/>
  <c r="N82" i="8" s="1"/>
  <c r="O82" i="8"/>
  <c r="R81" i="8"/>
  <c r="Q81" i="8"/>
  <c r="P81" i="8"/>
  <c r="O81" i="8"/>
  <c r="N81" i="8" s="1"/>
  <c r="R80" i="8"/>
  <c r="Q80" i="8"/>
  <c r="P80" i="8"/>
  <c r="N80" i="8" s="1"/>
  <c r="O80" i="8"/>
  <c r="R79" i="8"/>
  <c r="Q79" i="8"/>
  <c r="P79" i="8"/>
  <c r="O79" i="8"/>
  <c r="N79" i="8" s="1"/>
  <c r="R78" i="8"/>
  <c r="Q78" i="8"/>
  <c r="P78" i="8"/>
  <c r="O78" i="8"/>
  <c r="N78" i="8" s="1"/>
  <c r="R77" i="8"/>
  <c r="Q77" i="8"/>
  <c r="P77" i="8"/>
  <c r="O77" i="8"/>
  <c r="R76" i="8"/>
  <c r="Q76" i="8"/>
  <c r="P76" i="8"/>
  <c r="N76" i="8" s="1"/>
  <c r="O76" i="8"/>
  <c r="R75" i="8"/>
  <c r="Q75" i="8"/>
  <c r="P75" i="8"/>
  <c r="O75" i="8"/>
  <c r="R74" i="8"/>
  <c r="Q74" i="8"/>
  <c r="P74" i="8"/>
  <c r="O74" i="8"/>
  <c r="R73" i="8"/>
  <c r="Q73" i="8"/>
  <c r="P73" i="8"/>
  <c r="O73" i="8"/>
  <c r="R72" i="8"/>
  <c r="Q72" i="8"/>
  <c r="P72" i="8"/>
  <c r="O72" i="8"/>
  <c r="R71" i="8"/>
  <c r="Q71" i="8"/>
  <c r="P71" i="8"/>
  <c r="O71" i="8"/>
  <c r="R70" i="8"/>
  <c r="Q70" i="8"/>
  <c r="P70" i="8"/>
  <c r="O70" i="8"/>
  <c r="N70" i="8" s="1"/>
  <c r="R69" i="8"/>
  <c r="Q69" i="8"/>
  <c r="P69" i="8"/>
  <c r="O69" i="8"/>
  <c r="N69" i="8" s="1"/>
  <c r="R68" i="8"/>
  <c r="N68" i="8" s="1"/>
  <c r="Q68" i="8"/>
  <c r="P68" i="8"/>
  <c r="O68" i="8"/>
  <c r="R67" i="8"/>
  <c r="Q67" i="8"/>
  <c r="P67" i="8"/>
  <c r="O67" i="8"/>
  <c r="R66" i="8"/>
  <c r="Q66" i="8"/>
  <c r="P66" i="8"/>
  <c r="O66" i="8"/>
  <c r="R65" i="8"/>
  <c r="Q65" i="8"/>
  <c r="P65" i="8"/>
  <c r="O65" i="8"/>
  <c r="R64" i="8"/>
  <c r="Q64" i="8"/>
  <c r="P64" i="8"/>
  <c r="O64" i="8"/>
  <c r="R63" i="8"/>
  <c r="Q63" i="8"/>
  <c r="P63" i="8"/>
  <c r="O63" i="8"/>
  <c r="R62" i="8"/>
  <c r="Q62" i="8"/>
  <c r="P62" i="8"/>
  <c r="O62" i="8"/>
  <c r="N62" i="8" s="1"/>
  <c r="R61" i="8"/>
  <c r="Q61" i="8"/>
  <c r="P61" i="8"/>
  <c r="O61" i="8"/>
  <c r="R60" i="8"/>
  <c r="Q60" i="8"/>
  <c r="P60" i="8"/>
  <c r="N60" i="8" s="1"/>
  <c r="O60" i="8"/>
  <c r="R59" i="8"/>
  <c r="Q59" i="8"/>
  <c r="P59" i="8"/>
  <c r="O59" i="8"/>
  <c r="R58" i="8"/>
  <c r="Q58" i="8"/>
  <c r="P58" i="8"/>
  <c r="O58" i="8"/>
  <c r="R57" i="8"/>
  <c r="Q57" i="8"/>
  <c r="P57" i="8"/>
  <c r="O57" i="8"/>
  <c r="R56" i="8"/>
  <c r="Q56" i="8"/>
  <c r="P56" i="8"/>
  <c r="O56" i="8"/>
  <c r="R55" i="8"/>
  <c r="Q55" i="8"/>
  <c r="P55" i="8"/>
  <c r="O55" i="8"/>
  <c r="R54" i="8"/>
  <c r="Q54" i="8"/>
  <c r="P54" i="8"/>
  <c r="O54" i="8"/>
  <c r="N54" i="8"/>
  <c r="R53" i="8"/>
  <c r="Q53" i="8"/>
  <c r="P53" i="8"/>
  <c r="O53" i="8"/>
  <c r="R52" i="8"/>
  <c r="Q52" i="8"/>
  <c r="P52" i="8"/>
  <c r="O52" i="8"/>
  <c r="N52" i="8" s="1"/>
  <c r="R51" i="8"/>
  <c r="Q51" i="8"/>
  <c r="P51" i="8"/>
  <c r="O51" i="8"/>
  <c r="N51" i="8" s="1"/>
  <c r="R50" i="8"/>
  <c r="Q50" i="8"/>
  <c r="P50" i="8"/>
  <c r="O50" i="8"/>
  <c r="R49" i="8"/>
  <c r="Q49" i="8"/>
  <c r="P49" i="8"/>
  <c r="O49" i="8"/>
  <c r="N49" i="8" s="1"/>
  <c r="R48" i="8"/>
  <c r="Q48" i="8"/>
  <c r="P48" i="8"/>
  <c r="N48" i="8" s="1"/>
  <c r="O48" i="8"/>
  <c r="R47" i="8"/>
  <c r="Q47" i="8"/>
  <c r="P47" i="8"/>
  <c r="O47" i="8"/>
  <c r="N47" i="8" s="1"/>
  <c r="R46" i="8"/>
  <c r="Q46" i="8"/>
  <c r="P46" i="8"/>
  <c r="O46" i="8"/>
  <c r="N46" i="8" s="1"/>
  <c r="R45" i="8"/>
  <c r="Q45" i="8"/>
  <c r="P45" i="8"/>
  <c r="O45" i="8"/>
  <c r="R44" i="8"/>
  <c r="Q44" i="8"/>
  <c r="P44" i="8"/>
  <c r="N44" i="8" s="1"/>
  <c r="O44" i="8"/>
  <c r="R43" i="8"/>
  <c r="Q43" i="8"/>
  <c r="P43" i="8"/>
  <c r="O43" i="8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N38" i="8" s="1"/>
  <c r="R37" i="8"/>
  <c r="Q37" i="8"/>
  <c r="P37" i="8"/>
  <c r="O37" i="8"/>
  <c r="N37" i="8" s="1"/>
  <c r="R36" i="8"/>
  <c r="N36" i="8" s="1"/>
  <c r="Q36" i="8"/>
  <c r="P36" i="8"/>
  <c r="O36" i="8"/>
  <c r="R35" i="8"/>
  <c r="Q35" i="8"/>
  <c r="P35" i="8"/>
  <c r="O35" i="8"/>
  <c r="R34" i="8"/>
  <c r="Q34" i="8"/>
  <c r="P34" i="8"/>
  <c r="O34" i="8"/>
  <c r="N34" i="8" s="1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N30" i="8" s="1"/>
  <c r="R29" i="8"/>
  <c r="Q29" i="8"/>
  <c r="P29" i="8"/>
  <c r="O29" i="8"/>
  <c r="R28" i="8"/>
  <c r="Q28" i="8"/>
  <c r="P28" i="8"/>
  <c r="N28" i="8" s="1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Q24" i="8"/>
  <c r="P24" i="8"/>
  <c r="O24" i="8"/>
  <c r="R23" i="8"/>
  <c r="Q23" i="8"/>
  <c r="P23" i="8"/>
  <c r="O23" i="8"/>
  <c r="R22" i="8"/>
  <c r="Q22" i="8"/>
  <c r="P22" i="8"/>
  <c r="O22" i="8"/>
  <c r="N22" i="8"/>
  <c r="R21" i="8"/>
  <c r="Q21" i="8"/>
  <c r="P21" i="8"/>
  <c r="O21" i="8"/>
  <c r="R20" i="8"/>
  <c r="Q20" i="8"/>
  <c r="P20" i="8"/>
  <c r="O20" i="8"/>
  <c r="N20" i="8" s="1"/>
  <c r="R19" i="8"/>
  <c r="Q19" i="8"/>
  <c r="P19" i="8"/>
  <c r="O19" i="8"/>
  <c r="N19" i="8" s="1"/>
  <c r="R18" i="8"/>
  <c r="Q18" i="8"/>
  <c r="P18" i="8"/>
  <c r="O18" i="8"/>
  <c r="R17" i="8"/>
  <c r="Q17" i="8"/>
  <c r="P17" i="8"/>
  <c r="O17" i="8"/>
  <c r="N17" i="8" s="1"/>
  <c r="R16" i="8"/>
  <c r="Q16" i="8"/>
  <c r="P16" i="8"/>
  <c r="N16" i="8" s="1"/>
  <c r="O16" i="8"/>
  <c r="R15" i="8"/>
  <c r="Q15" i="8"/>
  <c r="P15" i="8"/>
  <c r="O15" i="8"/>
  <c r="N15" i="8" s="1"/>
  <c r="R14" i="8"/>
  <c r="Q14" i="8"/>
  <c r="P14" i="8"/>
  <c r="O14" i="8"/>
  <c r="N14" i="8" s="1"/>
  <c r="R13" i="8"/>
  <c r="Q13" i="8"/>
  <c r="P13" i="8"/>
  <c r="O13" i="8"/>
  <c r="R12" i="8"/>
  <c r="Q12" i="8"/>
  <c r="P12" i="8"/>
  <c r="N12" i="8" s="1"/>
  <c r="O12" i="8"/>
  <c r="R11" i="8"/>
  <c r="Q11" i="8"/>
  <c r="P11" i="8"/>
  <c r="O11" i="8"/>
  <c r="R10" i="8"/>
  <c r="Q10" i="8"/>
  <c r="P10" i="8"/>
  <c r="O10" i="8"/>
  <c r="R9" i="8"/>
  <c r="Q9" i="8"/>
  <c r="P9" i="8"/>
  <c r="O9" i="8"/>
  <c r="R8" i="8"/>
  <c r="Q8" i="8"/>
  <c r="P8" i="8"/>
  <c r="O8" i="8"/>
  <c r="R7" i="8"/>
  <c r="Q7" i="8"/>
  <c r="P7" i="8"/>
  <c r="O7" i="8"/>
  <c r="R6" i="8"/>
  <c r="Q6" i="8"/>
  <c r="P6" i="8"/>
  <c r="O6" i="8"/>
  <c r="N6" i="8" s="1"/>
  <c r="R5" i="8"/>
  <c r="Q5" i="8"/>
  <c r="P5" i="8"/>
  <c r="O5" i="8"/>
  <c r="N5" i="8" s="1"/>
  <c r="R4" i="8"/>
  <c r="N4" i="8" s="1"/>
  <c r="Q4" i="8"/>
  <c r="P4" i="8"/>
  <c r="O4" i="8"/>
  <c r="R3" i="8"/>
  <c r="Q3" i="8"/>
  <c r="P3" i="8"/>
  <c r="O3" i="8"/>
  <c r="R2" i="8"/>
  <c r="Q2" i="8"/>
  <c r="P2" i="8"/>
  <c r="O2" i="8"/>
  <c r="Q8" i="6"/>
  <c r="R8" i="6"/>
  <c r="S8" i="6"/>
  <c r="P8" i="6"/>
  <c r="Q5" i="6"/>
  <c r="R5" i="6"/>
  <c r="S5" i="6"/>
  <c r="S6" i="6"/>
  <c r="Q6" i="6"/>
  <c r="R6" i="6"/>
  <c r="Q7" i="6"/>
  <c r="R7" i="6"/>
  <c r="S7" i="6"/>
  <c r="P7" i="6"/>
  <c r="P6" i="6"/>
  <c r="P5" i="6"/>
  <c r="Q4" i="6"/>
  <c r="R4" i="6"/>
  <c r="S4" i="6"/>
  <c r="P4" i="6"/>
  <c r="P3" i="6"/>
  <c r="R3" i="6"/>
  <c r="S3" i="6"/>
  <c r="Q3" i="6"/>
  <c r="S9" i="5"/>
  <c r="S17" i="5"/>
  <c r="S25" i="5"/>
  <c r="S33" i="5"/>
  <c r="S41" i="5"/>
  <c r="S49" i="5"/>
  <c r="S57" i="5"/>
  <c r="S65" i="5"/>
  <c r="S73" i="5"/>
  <c r="S81" i="5"/>
  <c r="S89" i="5"/>
  <c r="S97" i="5"/>
  <c r="S105" i="5"/>
  <c r="S113" i="5"/>
  <c r="S121" i="5"/>
  <c r="S129" i="5"/>
  <c r="S137" i="5"/>
  <c r="S145" i="5"/>
  <c r="S153" i="5"/>
  <c r="S161" i="5"/>
  <c r="S169" i="5"/>
  <c r="S177" i="5"/>
  <c r="S185" i="5"/>
  <c r="S193" i="5"/>
  <c r="S201" i="5"/>
  <c r="S209" i="5"/>
  <c r="S217" i="5"/>
  <c r="S225" i="5"/>
  <c r="S233" i="5"/>
  <c r="S241" i="5"/>
  <c r="S249" i="5"/>
  <c r="S257" i="5"/>
  <c r="S265" i="5"/>
  <c r="S273" i="5"/>
  <c r="S281" i="5"/>
  <c r="S289" i="5"/>
  <c r="S297" i="5"/>
  <c r="S305" i="5"/>
  <c r="S313" i="5"/>
  <c r="S321" i="5"/>
  <c r="S329" i="5"/>
  <c r="S337" i="5"/>
  <c r="S345" i="5"/>
  <c r="S353" i="5"/>
  <c r="S361" i="5"/>
  <c r="S369" i="5"/>
  <c r="S377" i="5"/>
  <c r="S385" i="5"/>
  <c r="S393" i="5"/>
  <c r="S401" i="5"/>
  <c r="S409" i="5"/>
  <c r="S417" i="5"/>
  <c r="S425" i="5"/>
  <c r="S433" i="5"/>
  <c r="S441" i="5"/>
  <c r="S449" i="5"/>
  <c r="S457" i="5"/>
  <c r="S465" i="5"/>
  <c r="S473" i="5"/>
  <c r="S481" i="5"/>
  <c r="S489" i="5"/>
  <c r="S497" i="5"/>
  <c r="S505" i="5"/>
  <c r="S513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62" i="5"/>
  <c r="R63" i="5"/>
  <c r="R64" i="5"/>
  <c r="R65" i="5"/>
  <c r="R66" i="5"/>
  <c r="R67" i="5"/>
  <c r="R68" i="5"/>
  <c r="R69" i="5"/>
  <c r="R70" i="5"/>
  <c r="R71" i="5"/>
  <c r="R72" i="5"/>
  <c r="R73" i="5"/>
  <c r="R74" i="5"/>
  <c r="R75" i="5"/>
  <c r="R76" i="5"/>
  <c r="R77" i="5"/>
  <c r="R78" i="5"/>
  <c r="R79" i="5"/>
  <c r="R80" i="5"/>
  <c r="R81" i="5"/>
  <c r="R82" i="5"/>
  <c r="R83" i="5"/>
  <c r="R84" i="5"/>
  <c r="R85" i="5"/>
  <c r="R86" i="5"/>
  <c r="R87" i="5"/>
  <c r="R88" i="5"/>
  <c r="R89" i="5"/>
  <c r="R90" i="5"/>
  <c r="R91" i="5"/>
  <c r="R92" i="5"/>
  <c r="R93" i="5"/>
  <c r="R94" i="5"/>
  <c r="R95" i="5"/>
  <c r="R96" i="5"/>
  <c r="R97" i="5"/>
  <c r="R98" i="5"/>
  <c r="R99" i="5"/>
  <c r="R100" i="5"/>
  <c r="R101" i="5"/>
  <c r="R102" i="5"/>
  <c r="R103" i="5"/>
  <c r="R104" i="5"/>
  <c r="R105" i="5"/>
  <c r="R106" i="5"/>
  <c r="R107" i="5"/>
  <c r="R108" i="5"/>
  <c r="R109" i="5"/>
  <c r="R110" i="5"/>
  <c r="R111" i="5"/>
  <c r="R112" i="5"/>
  <c r="R113" i="5"/>
  <c r="R114" i="5"/>
  <c r="R115" i="5"/>
  <c r="R116" i="5"/>
  <c r="R117" i="5"/>
  <c r="R118" i="5"/>
  <c r="R119" i="5"/>
  <c r="R120" i="5"/>
  <c r="R121" i="5"/>
  <c r="R122" i="5"/>
  <c r="R123" i="5"/>
  <c r="R124" i="5"/>
  <c r="R125" i="5"/>
  <c r="R126" i="5"/>
  <c r="R127" i="5"/>
  <c r="R128" i="5"/>
  <c r="R129" i="5"/>
  <c r="R130" i="5"/>
  <c r="R131" i="5"/>
  <c r="R132" i="5"/>
  <c r="R133" i="5"/>
  <c r="R134" i="5"/>
  <c r="R135" i="5"/>
  <c r="R136" i="5"/>
  <c r="R137" i="5"/>
  <c r="R138" i="5"/>
  <c r="R139" i="5"/>
  <c r="R140" i="5"/>
  <c r="R141" i="5"/>
  <c r="R142" i="5"/>
  <c r="R143" i="5"/>
  <c r="R144" i="5"/>
  <c r="R145" i="5"/>
  <c r="R146" i="5"/>
  <c r="R147" i="5"/>
  <c r="R148" i="5"/>
  <c r="R149" i="5"/>
  <c r="R150" i="5"/>
  <c r="R151" i="5"/>
  <c r="R152" i="5"/>
  <c r="R153" i="5"/>
  <c r="R154" i="5"/>
  <c r="R155" i="5"/>
  <c r="R156" i="5"/>
  <c r="R157" i="5"/>
  <c r="R158" i="5"/>
  <c r="R159" i="5"/>
  <c r="R160" i="5"/>
  <c r="R161" i="5"/>
  <c r="R162" i="5"/>
  <c r="R163" i="5"/>
  <c r="R164" i="5"/>
  <c r="R165" i="5"/>
  <c r="R166" i="5"/>
  <c r="R167" i="5"/>
  <c r="R168" i="5"/>
  <c r="R169" i="5"/>
  <c r="R170" i="5"/>
  <c r="R171" i="5"/>
  <c r="R172" i="5"/>
  <c r="R173" i="5"/>
  <c r="R174" i="5"/>
  <c r="R175" i="5"/>
  <c r="R176" i="5"/>
  <c r="R177" i="5"/>
  <c r="R178" i="5"/>
  <c r="R179" i="5"/>
  <c r="R180" i="5"/>
  <c r="R181" i="5"/>
  <c r="R182" i="5"/>
  <c r="R183" i="5"/>
  <c r="R184" i="5"/>
  <c r="R185" i="5"/>
  <c r="R186" i="5"/>
  <c r="R187" i="5"/>
  <c r="R188" i="5"/>
  <c r="R189" i="5"/>
  <c r="R190" i="5"/>
  <c r="R191" i="5"/>
  <c r="R192" i="5"/>
  <c r="R193" i="5"/>
  <c r="R194" i="5"/>
  <c r="R195" i="5"/>
  <c r="R196" i="5"/>
  <c r="R197" i="5"/>
  <c r="R198" i="5"/>
  <c r="R199" i="5"/>
  <c r="R200" i="5"/>
  <c r="R201" i="5"/>
  <c r="R202" i="5"/>
  <c r="R203" i="5"/>
  <c r="R204" i="5"/>
  <c r="R205" i="5"/>
  <c r="R206" i="5"/>
  <c r="R207" i="5"/>
  <c r="R208" i="5"/>
  <c r="R209" i="5"/>
  <c r="R210" i="5"/>
  <c r="R211" i="5"/>
  <c r="R212" i="5"/>
  <c r="R213" i="5"/>
  <c r="R214" i="5"/>
  <c r="R215" i="5"/>
  <c r="R216" i="5"/>
  <c r="R217" i="5"/>
  <c r="R218" i="5"/>
  <c r="R219" i="5"/>
  <c r="R220" i="5"/>
  <c r="R221" i="5"/>
  <c r="R222" i="5"/>
  <c r="R223" i="5"/>
  <c r="R224" i="5"/>
  <c r="R225" i="5"/>
  <c r="R226" i="5"/>
  <c r="R227" i="5"/>
  <c r="R228" i="5"/>
  <c r="R229" i="5"/>
  <c r="R230" i="5"/>
  <c r="R231" i="5"/>
  <c r="R232" i="5"/>
  <c r="R233" i="5"/>
  <c r="R234" i="5"/>
  <c r="R235" i="5"/>
  <c r="R236" i="5"/>
  <c r="R237" i="5"/>
  <c r="R238" i="5"/>
  <c r="R239" i="5"/>
  <c r="R240" i="5"/>
  <c r="R241" i="5"/>
  <c r="R242" i="5"/>
  <c r="R243" i="5"/>
  <c r="R244" i="5"/>
  <c r="R245" i="5"/>
  <c r="R246" i="5"/>
  <c r="R247" i="5"/>
  <c r="R248" i="5"/>
  <c r="R249" i="5"/>
  <c r="R250" i="5"/>
  <c r="R251" i="5"/>
  <c r="R252" i="5"/>
  <c r="R253" i="5"/>
  <c r="R254" i="5"/>
  <c r="R255" i="5"/>
  <c r="R256" i="5"/>
  <c r="R257" i="5"/>
  <c r="R258" i="5"/>
  <c r="R259" i="5"/>
  <c r="R260" i="5"/>
  <c r="R261" i="5"/>
  <c r="R262" i="5"/>
  <c r="R263" i="5"/>
  <c r="R264" i="5"/>
  <c r="R265" i="5"/>
  <c r="R266" i="5"/>
  <c r="R267" i="5"/>
  <c r="R268" i="5"/>
  <c r="R269" i="5"/>
  <c r="R270" i="5"/>
  <c r="R271" i="5"/>
  <c r="R272" i="5"/>
  <c r="R273" i="5"/>
  <c r="R274" i="5"/>
  <c r="R275" i="5"/>
  <c r="R276" i="5"/>
  <c r="R277" i="5"/>
  <c r="R278" i="5"/>
  <c r="R279" i="5"/>
  <c r="R280" i="5"/>
  <c r="R281" i="5"/>
  <c r="R282" i="5"/>
  <c r="R283" i="5"/>
  <c r="R284" i="5"/>
  <c r="R285" i="5"/>
  <c r="R286" i="5"/>
  <c r="R287" i="5"/>
  <c r="R288" i="5"/>
  <c r="R289" i="5"/>
  <c r="R290" i="5"/>
  <c r="R291" i="5"/>
  <c r="R292" i="5"/>
  <c r="R293" i="5"/>
  <c r="R294" i="5"/>
  <c r="R295" i="5"/>
  <c r="R296" i="5"/>
  <c r="R297" i="5"/>
  <c r="R298" i="5"/>
  <c r="R299" i="5"/>
  <c r="R300" i="5"/>
  <c r="R301" i="5"/>
  <c r="R302" i="5"/>
  <c r="R303" i="5"/>
  <c r="R304" i="5"/>
  <c r="R305" i="5"/>
  <c r="R306" i="5"/>
  <c r="R307" i="5"/>
  <c r="R308" i="5"/>
  <c r="R309" i="5"/>
  <c r="R310" i="5"/>
  <c r="R311" i="5"/>
  <c r="R312" i="5"/>
  <c r="R313" i="5"/>
  <c r="R314" i="5"/>
  <c r="R315" i="5"/>
  <c r="R316" i="5"/>
  <c r="R317" i="5"/>
  <c r="R318" i="5"/>
  <c r="R319" i="5"/>
  <c r="R320" i="5"/>
  <c r="R321" i="5"/>
  <c r="R322" i="5"/>
  <c r="R323" i="5"/>
  <c r="R324" i="5"/>
  <c r="R325" i="5"/>
  <c r="R326" i="5"/>
  <c r="R327" i="5"/>
  <c r="R328" i="5"/>
  <c r="R329" i="5"/>
  <c r="R330" i="5"/>
  <c r="R331" i="5"/>
  <c r="R332" i="5"/>
  <c r="R333" i="5"/>
  <c r="R334" i="5"/>
  <c r="R335" i="5"/>
  <c r="R336" i="5"/>
  <c r="R337" i="5"/>
  <c r="R338" i="5"/>
  <c r="R339" i="5"/>
  <c r="R340" i="5"/>
  <c r="R341" i="5"/>
  <c r="R342" i="5"/>
  <c r="R343" i="5"/>
  <c r="R344" i="5"/>
  <c r="R345" i="5"/>
  <c r="R346" i="5"/>
  <c r="R347" i="5"/>
  <c r="R348" i="5"/>
  <c r="R349" i="5"/>
  <c r="R350" i="5"/>
  <c r="R351" i="5"/>
  <c r="R352" i="5"/>
  <c r="R353" i="5"/>
  <c r="R354" i="5"/>
  <c r="R355" i="5"/>
  <c r="R356" i="5"/>
  <c r="R357" i="5"/>
  <c r="R358" i="5"/>
  <c r="R359" i="5"/>
  <c r="R360" i="5"/>
  <c r="R361" i="5"/>
  <c r="R362" i="5"/>
  <c r="R363" i="5"/>
  <c r="R364" i="5"/>
  <c r="R365" i="5"/>
  <c r="R366" i="5"/>
  <c r="R367" i="5"/>
  <c r="R368" i="5"/>
  <c r="R369" i="5"/>
  <c r="R370" i="5"/>
  <c r="R371" i="5"/>
  <c r="R372" i="5"/>
  <c r="R373" i="5"/>
  <c r="R374" i="5"/>
  <c r="R375" i="5"/>
  <c r="R376" i="5"/>
  <c r="R377" i="5"/>
  <c r="R378" i="5"/>
  <c r="R379" i="5"/>
  <c r="R380" i="5"/>
  <c r="R381" i="5"/>
  <c r="R382" i="5"/>
  <c r="R383" i="5"/>
  <c r="R384" i="5"/>
  <c r="R385" i="5"/>
  <c r="R386" i="5"/>
  <c r="R387" i="5"/>
  <c r="R388" i="5"/>
  <c r="R389" i="5"/>
  <c r="R390" i="5"/>
  <c r="R391" i="5"/>
  <c r="R392" i="5"/>
  <c r="R393" i="5"/>
  <c r="R394" i="5"/>
  <c r="R395" i="5"/>
  <c r="R396" i="5"/>
  <c r="R397" i="5"/>
  <c r="R398" i="5"/>
  <c r="R399" i="5"/>
  <c r="R400" i="5"/>
  <c r="R401" i="5"/>
  <c r="R402" i="5"/>
  <c r="R403" i="5"/>
  <c r="R404" i="5"/>
  <c r="R405" i="5"/>
  <c r="R406" i="5"/>
  <c r="R407" i="5"/>
  <c r="R408" i="5"/>
  <c r="R409" i="5"/>
  <c r="R410" i="5"/>
  <c r="R411" i="5"/>
  <c r="R412" i="5"/>
  <c r="R413" i="5"/>
  <c r="R414" i="5"/>
  <c r="R415" i="5"/>
  <c r="R416" i="5"/>
  <c r="R417" i="5"/>
  <c r="R418" i="5"/>
  <c r="R419" i="5"/>
  <c r="R420" i="5"/>
  <c r="R421" i="5"/>
  <c r="R422" i="5"/>
  <c r="R423" i="5"/>
  <c r="R424" i="5"/>
  <c r="R425" i="5"/>
  <c r="R426" i="5"/>
  <c r="R427" i="5"/>
  <c r="R428" i="5"/>
  <c r="R429" i="5"/>
  <c r="R430" i="5"/>
  <c r="R431" i="5"/>
  <c r="R432" i="5"/>
  <c r="R433" i="5"/>
  <c r="R434" i="5"/>
  <c r="R435" i="5"/>
  <c r="R436" i="5"/>
  <c r="R437" i="5"/>
  <c r="R438" i="5"/>
  <c r="R439" i="5"/>
  <c r="R440" i="5"/>
  <c r="R441" i="5"/>
  <c r="R442" i="5"/>
  <c r="R443" i="5"/>
  <c r="R444" i="5"/>
  <c r="R445" i="5"/>
  <c r="R446" i="5"/>
  <c r="R447" i="5"/>
  <c r="R448" i="5"/>
  <c r="R449" i="5"/>
  <c r="R450" i="5"/>
  <c r="R451" i="5"/>
  <c r="R452" i="5"/>
  <c r="R453" i="5"/>
  <c r="R454" i="5"/>
  <c r="R455" i="5"/>
  <c r="R456" i="5"/>
  <c r="R457" i="5"/>
  <c r="R458" i="5"/>
  <c r="R459" i="5"/>
  <c r="R460" i="5"/>
  <c r="R461" i="5"/>
  <c r="R462" i="5"/>
  <c r="R463" i="5"/>
  <c r="R464" i="5"/>
  <c r="R465" i="5"/>
  <c r="R466" i="5"/>
  <c r="R467" i="5"/>
  <c r="R468" i="5"/>
  <c r="R469" i="5"/>
  <c r="R470" i="5"/>
  <c r="R471" i="5"/>
  <c r="R472" i="5"/>
  <c r="R473" i="5"/>
  <c r="R474" i="5"/>
  <c r="R475" i="5"/>
  <c r="R476" i="5"/>
  <c r="R477" i="5"/>
  <c r="R478" i="5"/>
  <c r="R479" i="5"/>
  <c r="R480" i="5"/>
  <c r="R481" i="5"/>
  <c r="R482" i="5"/>
  <c r="R483" i="5"/>
  <c r="R484" i="5"/>
  <c r="R485" i="5"/>
  <c r="R486" i="5"/>
  <c r="R487" i="5"/>
  <c r="R488" i="5"/>
  <c r="R489" i="5"/>
  <c r="R490" i="5"/>
  <c r="R491" i="5"/>
  <c r="R492" i="5"/>
  <c r="R493" i="5"/>
  <c r="R494" i="5"/>
  <c r="R495" i="5"/>
  <c r="R496" i="5"/>
  <c r="R497" i="5"/>
  <c r="R498" i="5"/>
  <c r="R499" i="5"/>
  <c r="R500" i="5"/>
  <c r="R501" i="5"/>
  <c r="R502" i="5"/>
  <c r="R503" i="5"/>
  <c r="R504" i="5"/>
  <c r="R505" i="5"/>
  <c r="R506" i="5"/>
  <c r="R507" i="5"/>
  <c r="R508" i="5"/>
  <c r="R509" i="5"/>
  <c r="R510" i="5"/>
  <c r="R511" i="5"/>
  <c r="R512" i="5"/>
  <c r="R513" i="5"/>
  <c r="R514" i="5"/>
  <c r="R515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Q262" i="5"/>
  <c r="Q263" i="5"/>
  <c r="Q264" i="5"/>
  <c r="Q265" i="5"/>
  <c r="Q266" i="5"/>
  <c r="Q267" i="5"/>
  <c r="Q268" i="5"/>
  <c r="Q269" i="5"/>
  <c r="Q270" i="5"/>
  <c r="Q271" i="5"/>
  <c r="Q272" i="5"/>
  <c r="Q273" i="5"/>
  <c r="Q274" i="5"/>
  <c r="Q275" i="5"/>
  <c r="Q276" i="5"/>
  <c r="Q277" i="5"/>
  <c r="Q278" i="5"/>
  <c r="Q279" i="5"/>
  <c r="Q280" i="5"/>
  <c r="Q281" i="5"/>
  <c r="Q282" i="5"/>
  <c r="Q283" i="5"/>
  <c r="Q284" i="5"/>
  <c r="Q285" i="5"/>
  <c r="Q286" i="5"/>
  <c r="Q287" i="5"/>
  <c r="Q288" i="5"/>
  <c r="Q289" i="5"/>
  <c r="Q290" i="5"/>
  <c r="Q291" i="5"/>
  <c r="Q292" i="5"/>
  <c r="Q293" i="5"/>
  <c r="Q294" i="5"/>
  <c r="Q295" i="5"/>
  <c r="Q296" i="5"/>
  <c r="Q297" i="5"/>
  <c r="Q298" i="5"/>
  <c r="Q299" i="5"/>
  <c r="Q300" i="5"/>
  <c r="Q301" i="5"/>
  <c r="Q302" i="5"/>
  <c r="Q303" i="5"/>
  <c r="Q304" i="5"/>
  <c r="Q305" i="5"/>
  <c r="Q306" i="5"/>
  <c r="Q307" i="5"/>
  <c r="Q308" i="5"/>
  <c r="Q309" i="5"/>
  <c r="Q310" i="5"/>
  <c r="Q311" i="5"/>
  <c r="Q312" i="5"/>
  <c r="Q313" i="5"/>
  <c r="Q314" i="5"/>
  <c r="Q315" i="5"/>
  <c r="Q316" i="5"/>
  <c r="Q317" i="5"/>
  <c r="Q318" i="5"/>
  <c r="Q319" i="5"/>
  <c r="Q320" i="5"/>
  <c r="Q321" i="5"/>
  <c r="Q322" i="5"/>
  <c r="Q323" i="5"/>
  <c r="Q324" i="5"/>
  <c r="Q325" i="5"/>
  <c r="Q326" i="5"/>
  <c r="Q327" i="5"/>
  <c r="Q328" i="5"/>
  <c r="Q329" i="5"/>
  <c r="Q330" i="5"/>
  <c r="Q331" i="5"/>
  <c r="Q332" i="5"/>
  <c r="Q333" i="5"/>
  <c r="Q334" i="5"/>
  <c r="Q335" i="5"/>
  <c r="Q336" i="5"/>
  <c r="Q337" i="5"/>
  <c r="Q338" i="5"/>
  <c r="Q339" i="5"/>
  <c r="Q340" i="5"/>
  <c r="Q341" i="5"/>
  <c r="Q342" i="5"/>
  <c r="Q343" i="5"/>
  <c r="Q344" i="5"/>
  <c r="Q345" i="5"/>
  <c r="Q346" i="5"/>
  <c r="Q347" i="5"/>
  <c r="Q348" i="5"/>
  <c r="Q349" i="5"/>
  <c r="Q350" i="5"/>
  <c r="Q351" i="5"/>
  <c r="Q352" i="5"/>
  <c r="Q353" i="5"/>
  <c r="Q354" i="5"/>
  <c r="Q355" i="5"/>
  <c r="Q356" i="5"/>
  <c r="Q357" i="5"/>
  <c r="Q358" i="5"/>
  <c r="Q359" i="5"/>
  <c r="Q360" i="5"/>
  <c r="Q361" i="5"/>
  <c r="Q362" i="5"/>
  <c r="Q363" i="5"/>
  <c r="Q364" i="5"/>
  <c r="Q365" i="5"/>
  <c r="Q366" i="5"/>
  <c r="Q367" i="5"/>
  <c r="Q368" i="5"/>
  <c r="Q369" i="5"/>
  <c r="Q370" i="5"/>
  <c r="Q371" i="5"/>
  <c r="Q372" i="5"/>
  <c r="Q373" i="5"/>
  <c r="Q374" i="5"/>
  <c r="Q375" i="5"/>
  <c r="Q376" i="5"/>
  <c r="Q377" i="5"/>
  <c r="Q378" i="5"/>
  <c r="Q379" i="5"/>
  <c r="Q380" i="5"/>
  <c r="Q381" i="5"/>
  <c r="Q382" i="5"/>
  <c r="Q383" i="5"/>
  <c r="Q384" i="5"/>
  <c r="Q385" i="5"/>
  <c r="Q386" i="5"/>
  <c r="Q387" i="5"/>
  <c r="Q388" i="5"/>
  <c r="Q389" i="5"/>
  <c r="Q390" i="5"/>
  <c r="Q391" i="5"/>
  <c r="Q392" i="5"/>
  <c r="Q393" i="5"/>
  <c r="Q394" i="5"/>
  <c r="Q395" i="5"/>
  <c r="Q396" i="5"/>
  <c r="Q397" i="5"/>
  <c r="Q398" i="5"/>
  <c r="Q399" i="5"/>
  <c r="Q400" i="5"/>
  <c r="Q401" i="5"/>
  <c r="Q402" i="5"/>
  <c r="Q403" i="5"/>
  <c r="Q404" i="5"/>
  <c r="Q405" i="5"/>
  <c r="Q406" i="5"/>
  <c r="Q407" i="5"/>
  <c r="Q408" i="5"/>
  <c r="Q409" i="5"/>
  <c r="Q410" i="5"/>
  <c r="Q411" i="5"/>
  <c r="Q412" i="5"/>
  <c r="Q413" i="5"/>
  <c r="Q414" i="5"/>
  <c r="Q415" i="5"/>
  <c r="Q416" i="5"/>
  <c r="Q417" i="5"/>
  <c r="Q418" i="5"/>
  <c r="Q419" i="5"/>
  <c r="Q420" i="5"/>
  <c r="Q421" i="5"/>
  <c r="Q422" i="5"/>
  <c r="Q423" i="5"/>
  <c r="Q424" i="5"/>
  <c r="Q425" i="5"/>
  <c r="Q426" i="5"/>
  <c r="Q427" i="5"/>
  <c r="Q428" i="5"/>
  <c r="Q429" i="5"/>
  <c r="Q430" i="5"/>
  <c r="Q431" i="5"/>
  <c r="Q432" i="5"/>
  <c r="Q433" i="5"/>
  <c r="Q434" i="5"/>
  <c r="Q435" i="5"/>
  <c r="Q436" i="5"/>
  <c r="Q437" i="5"/>
  <c r="Q438" i="5"/>
  <c r="Q439" i="5"/>
  <c r="Q440" i="5"/>
  <c r="Q441" i="5"/>
  <c r="Q442" i="5"/>
  <c r="Q443" i="5"/>
  <c r="Q444" i="5"/>
  <c r="Q445" i="5"/>
  <c r="Q446" i="5"/>
  <c r="Q447" i="5"/>
  <c r="Q448" i="5"/>
  <c r="Q449" i="5"/>
  <c r="Q450" i="5"/>
  <c r="Q451" i="5"/>
  <c r="Q452" i="5"/>
  <c r="Q453" i="5"/>
  <c r="Q454" i="5"/>
  <c r="Q455" i="5"/>
  <c r="Q456" i="5"/>
  <c r="Q457" i="5"/>
  <c r="Q458" i="5"/>
  <c r="Q459" i="5"/>
  <c r="Q460" i="5"/>
  <c r="Q461" i="5"/>
  <c r="Q462" i="5"/>
  <c r="Q463" i="5"/>
  <c r="Q464" i="5"/>
  <c r="Q465" i="5"/>
  <c r="Q466" i="5"/>
  <c r="Q467" i="5"/>
  <c r="Q468" i="5"/>
  <c r="Q469" i="5"/>
  <c r="Q470" i="5"/>
  <c r="Q471" i="5"/>
  <c r="Q472" i="5"/>
  <c r="Q473" i="5"/>
  <c r="Q474" i="5"/>
  <c r="Q475" i="5"/>
  <c r="Q476" i="5"/>
  <c r="Q477" i="5"/>
  <c r="Q478" i="5"/>
  <c r="Q479" i="5"/>
  <c r="Q480" i="5"/>
  <c r="Q481" i="5"/>
  <c r="Q482" i="5"/>
  <c r="Q483" i="5"/>
  <c r="Q484" i="5"/>
  <c r="Q485" i="5"/>
  <c r="Q486" i="5"/>
  <c r="Q487" i="5"/>
  <c r="Q488" i="5"/>
  <c r="Q489" i="5"/>
  <c r="Q490" i="5"/>
  <c r="Q491" i="5"/>
  <c r="Q492" i="5"/>
  <c r="Q493" i="5"/>
  <c r="Q494" i="5"/>
  <c r="Q495" i="5"/>
  <c r="Q496" i="5"/>
  <c r="Q497" i="5"/>
  <c r="Q498" i="5"/>
  <c r="Q499" i="5"/>
  <c r="Q500" i="5"/>
  <c r="Q501" i="5"/>
  <c r="Q502" i="5"/>
  <c r="Q503" i="5"/>
  <c r="Q504" i="5"/>
  <c r="Q505" i="5"/>
  <c r="Q506" i="5"/>
  <c r="Q507" i="5"/>
  <c r="Q508" i="5"/>
  <c r="Q509" i="5"/>
  <c r="Q510" i="5"/>
  <c r="Q511" i="5"/>
  <c r="Q512" i="5"/>
  <c r="Q513" i="5"/>
  <c r="Q514" i="5"/>
  <c r="Q515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N3" i="5"/>
  <c r="S3" i="5" s="1"/>
  <c r="N4" i="5"/>
  <c r="S4" i="5" s="1"/>
  <c r="N5" i="5"/>
  <c r="S5" i="5" s="1"/>
  <c r="N6" i="5"/>
  <c r="S6" i="5" s="1"/>
  <c r="N7" i="5"/>
  <c r="S7" i="5" s="1"/>
  <c r="N8" i="5"/>
  <c r="S8" i="5" s="1"/>
  <c r="N9" i="5"/>
  <c r="N10" i="5"/>
  <c r="S10" i="5" s="1"/>
  <c r="N11" i="5"/>
  <c r="S11" i="5" s="1"/>
  <c r="N12" i="5"/>
  <c r="S12" i="5" s="1"/>
  <c r="N13" i="5"/>
  <c r="S13" i="5" s="1"/>
  <c r="N14" i="5"/>
  <c r="S14" i="5" s="1"/>
  <c r="N15" i="5"/>
  <c r="S15" i="5" s="1"/>
  <c r="N16" i="5"/>
  <c r="S16" i="5" s="1"/>
  <c r="N17" i="5"/>
  <c r="N18" i="5"/>
  <c r="S18" i="5" s="1"/>
  <c r="N19" i="5"/>
  <c r="S19" i="5" s="1"/>
  <c r="N20" i="5"/>
  <c r="S20" i="5" s="1"/>
  <c r="N21" i="5"/>
  <c r="S21" i="5" s="1"/>
  <c r="N22" i="5"/>
  <c r="S22" i="5" s="1"/>
  <c r="N23" i="5"/>
  <c r="S23" i="5" s="1"/>
  <c r="N24" i="5"/>
  <c r="S24" i="5" s="1"/>
  <c r="N25" i="5"/>
  <c r="N26" i="5"/>
  <c r="S26" i="5" s="1"/>
  <c r="N27" i="5"/>
  <c r="S27" i="5" s="1"/>
  <c r="N28" i="5"/>
  <c r="S28" i="5" s="1"/>
  <c r="N29" i="5"/>
  <c r="S29" i="5" s="1"/>
  <c r="N30" i="5"/>
  <c r="S30" i="5" s="1"/>
  <c r="N31" i="5"/>
  <c r="S31" i="5" s="1"/>
  <c r="N32" i="5"/>
  <c r="S32" i="5" s="1"/>
  <c r="N33" i="5"/>
  <c r="N34" i="5"/>
  <c r="S34" i="5" s="1"/>
  <c r="N35" i="5"/>
  <c r="S35" i="5" s="1"/>
  <c r="N36" i="5"/>
  <c r="S36" i="5" s="1"/>
  <c r="N37" i="5"/>
  <c r="S37" i="5" s="1"/>
  <c r="N38" i="5"/>
  <c r="S38" i="5" s="1"/>
  <c r="N39" i="5"/>
  <c r="S39" i="5" s="1"/>
  <c r="N40" i="5"/>
  <c r="S40" i="5" s="1"/>
  <c r="N41" i="5"/>
  <c r="N42" i="5"/>
  <c r="S42" i="5" s="1"/>
  <c r="N43" i="5"/>
  <c r="S43" i="5" s="1"/>
  <c r="N44" i="5"/>
  <c r="S44" i="5" s="1"/>
  <c r="N45" i="5"/>
  <c r="S45" i="5" s="1"/>
  <c r="N46" i="5"/>
  <c r="S46" i="5" s="1"/>
  <c r="N47" i="5"/>
  <c r="S47" i="5" s="1"/>
  <c r="N48" i="5"/>
  <c r="S48" i="5" s="1"/>
  <c r="N49" i="5"/>
  <c r="N50" i="5"/>
  <c r="S50" i="5" s="1"/>
  <c r="N51" i="5"/>
  <c r="S51" i="5" s="1"/>
  <c r="N52" i="5"/>
  <c r="S52" i="5" s="1"/>
  <c r="N53" i="5"/>
  <c r="S53" i="5" s="1"/>
  <c r="N54" i="5"/>
  <c r="S54" i="5" s="1"/>
  <c r="N55" i="5"/>
  <c r="S55" i="5" s="1"/>
  <c r="N56" i="5"/>
  <c r="S56" i="5" s="1"/>
  <c r="N57" i="5"/>
  <c r="N58" i="5"/>
  <c r="S58" i="5" s="1"/>
  <c r="N59" i="5"/>
  <c r="S59" i="5" s="1"/>
  <c r="N60" i="5"/>
  <c r="S60" i="5" s="1"/>
  <c r="N61" i="5"/>
  <c r="S61" i="5" s="1"/>
  <c r="N62" i="5"/>
  <c r="S62" i="5" s="1"/>
  <c r="N63" i="5"/>
  <c r="S63" i="5" s="1"/>
  <c r="N64" i="5"/>
  <c r="S64" i="5" s="1"/>
  <c r="N65" i="5"/>
  <c r="N66" i="5"/>
  <c r="S66" i="5" s="1"/>
  <c r="N67" i="5"/>
  <c r="S67" i="5" s="1"/>
  <c r="N68" i="5"/>
  <c r="S68" i="5" s="1"/>
  <c r="N69" i="5"/>
  <c r="S69" i="5" s="1"/>
  <c r="N70" i="5"/>
  <c r="S70" i="5" s="1"/>
  <c r="N71" i="5"/>
  <c r="S71" i="5" s="1"/>
  <c r="N72" i="5"/>
  <c r="S72" i="5" s="1"/>
  <c r="N73" i="5"/>
  <c r="N74" i="5"/>
  <c r="S74" i="5" s="1"/>
  <c r="N75" i="5"/>
  <c r="S75" i="5" s="1"/>
  <c r="N76" i="5"/>
  <c r="S76" i="5" s="1"/>
  <c r="N77" i="5"/>
  <c r="S77" i="5" s="1"/>
  <c r="N78" i="5"/>
  <c r="S78" i="5" s="1"/>
  <c r="N79" i="5"/>
  <c r="S79" i="5" s="1"/>
  <c r="N80" i="5"/>
  <c r="S80" i="5" s="1"/>
  <c r="N81" i="5"/>
  <c r="N82" i="5"/>
  <c r="S82" i="5" s="1"/>
  <c r="N83" i="5"/>
  <c r="S83" i="5" s="1"/>
  <c r="N84" i="5"/>
  <c r="S84" i="5" s="1"/>
  <c r="N85" i="5"/>
  <c r="S85" i="5" s="1"/>
  <c r="N86" i="5"/>
  <c r="S86" i="5" s="1"/>
  <c r="N87" i="5"/>
  <c r="S87" i="5" s="1"/>
  <c r="N88" i="5"/>
  <c r="S88" i="5" s="1"/>
  <c r="N89" i="5"/>
  <c r="N90" i="5"/>
  <c r="S90" i="5" s="1"/>
  <c r="N91" i="5"/>
  <c r="S91" i="5" s="1"/>
  <c r="N92" i="5"/>
  <c r="S92" i="5" s="1"/>
  <c r="N93" i="5"/>
  <c r="S93" i="5" s="1"/>
  <c r="N94" i="5"/>
  <c r="S94" i="5" s="1"/>
  <c r="N95" i="5"/>
  <c r="S95" i="5" s="1"/>
  <c r="N96" i="5"/>
  <c r="S96" i="5" s="1"/>
  <c r="N97" i="5"/>
  <c r="N98" i="5"/>
  <c r="S98" i="5" s="1"/>
  <c r="N99" i="5"/>
  <c r="S99" i="5" s="1"/>
  <c r="N100" i="5"/>
  <c r="S100" i="5" s="1"/>
  <c r="N101" i="5"/>
  <c r="S101" i="5" s="1"/>
  <c r="N102" i="5"/>
  <c r="S102" i="5" s="1"/>
  <c r="N103" i="5"/>
  <c r="S103" i="5" s="1"/>
  <c r="N104" i="5"/>
  <c r="S104" i="5" s="1"/>
  <c r="N105" i="5"/>
  <c r="N106" i="5"/>
  <c r="S106" i="5" s="1"/>
  <c r="N107" i="5"/>
  <c r="S107" i="5" s="1"/>
  <c r="N108" i="5"/>
  <c r="S108" i="5" s="1"/>
  <c r="N109" i="5"/>
  <c r="S109" i="5" s="1"/>
  <c r="N110" i="5"/>
  <c r="S110" i="5" s="1"/>
  <c r="N111" i="5"/>
  <c r="S111" i="5" s="1"/>
  <c r="N112" i="5"/>
  <c r="S112" i="5" s="1"/>
  <c r="N113" i="5"/>
  <c r="N114" i="5"/>
  <c r="S114" i="5" s="1"/>
  <c r="N115" i="5"/>
  <c r="S115" i="5" s="1"/>
  <c r="N116" i="5"/>
  <c r="S116" i="5" s="1"/>
  <c r="N117" i="5"/>
  <c r="S117" i="5" s="1"/>
  <c r="N118" i="5"/>
  <c r="S118" i="5" s="1"/>
  <c r="N119" i="5"/>
  <c r="S119" i="5" s="1"/>
  <c r="N120" i="5"/>
  <c r="S120" i="5" s="1"/>
  <c r="N121" i="5"/>
  <c r="N122" i="5"/>
  <c r="S122" i="5" s="1"/>
  <c r="N123" i="5"/>
  <c r="S123" i="5" s="1"/>
  <c r="N124" i="5"/>
  <c r="S124" i="5" s="1"/>
  <c r="N125" i="5"/>
  <c r="S125" i="5" s="1"/>
  <c r="N126" i="5"/>
  <c r="S126" i="5" s="1"/>
  <c r="N127" i="5"/>
  <c r="S127" i="5" s="1"/>
  <c r="N128" i="5"/>
  <c r="S128" i="5" s="1"/>
  <c r="N129" i="5"/>
  <c r="N130" i="5"/>
  <c r="S130" i="5" s="1"/>
  <c r="N131" i="5"/>
  <c r="S131" i="5" s="1"/>
  <c r="N132" i="5"/>
  <c r="S132" i="5" s="1"/>
  <c r="N133" i="5"/>
  <c r="S133" i="5" s="1"/>
  <c r="N134" i="5"/>
  <c r="S134" i="5" s="1"/>
  <c r="N135" i="5"/>
  <c r="S135" i="5" s="1"/>
  <c r="N136" i="5"/>
  <c r="S136" i="5" s="1"/>
  <c r="N137" i="5"/>
  <c r="N138" i="5"/>
  <c r="S138" i="5" s="1"/>
  <c r="N139" i="5"/>
  <c r="S139" i="5" s="1"/>
  <c r="N140" i="5"/>
  <c r="S140" i="5" s="1"/>
  <c r="N141" i="5"/>
  <c r="S141" i="5" s="1"/>
  <c r="N142" i="5"/>
  <c r="S142" i="5" s="1"/>
  <c r="N143" i="5"/>
  <c r="S143" i="5" s="1"/>
  <c r="N144" i="5"/>
  <c r="S144" i="5" s="1"/>
  <c r="N145" i="5"/>
  <c r="N146" i="5"/>
  <c r="S146" i="5" s="1"/>
  <c r="N147" i="5"/>
  <c r="S147" i="5" s="1"/>
  <c r="N148" i="5"/>
  <c r="S148" i="5" s="1"/>
  <c r="N149" i="5"/>
  <c r="S149" i="5" s="1"/>
  <c r="N150" i="5"/>
  <c r="S150" i="5" s="1"/>
  <c r="N151" i="5"/>
  <c r="S151" i="5" s="1"/>
  <c r="N152" i="5"/>
  <c r="S152" i="5" s="1"/>
  <c r="N153" i="5"/>
  <c r="N154" i="5"/>
  <c r="S154" i="5" s="1"/>
  <c r="N155" i="5"/>
  <c r="S155" i="5" s="1"/>
  <c r="N156" i="5"/>
  <c r="S156" i="5" s="1"/>
  <c r="N157" i="5"/>
  <c r="S157" i="5" s="1"/>
  <c r="N158" i="5"/>
  <c r="S158" i="5" s="1"/>
  <c r="N159" i="5"/>
  <c r="S159" i="5" s="1"/>
  <c r="N160" i="5"/>
  <c r="S160" i="5" s="1"/>
  <c r="N161" i="5"/>
  <c r="N162" i="5"/>
  <c r="S162" i="5" s="1"/>
  <c r="N163" i="5"/>
  <c r="S163" i="5" s="1"/>
  <c r="N164" i="5"/>
  <c r="S164" i="5" s="1"/>
  <c r="N165" i="5"/>
  <c r="S165" i="5" s="1"/>
  <c r="N166" i="5"/>
  <c r="S166" i="5" s="1"/>
  <c r="N167" i="5"/>
  <c r="S167" i="5" s="1"/>
  <c r="N168" i="5"/>
  <c r="S168" i="5" s="1"/>
  <c r="N169" i="5"/>
  <c r="N170" i="5"/>
  <c r="S170" i="5" s="1"/>
  <c r="N171" i="5"/>
  <c r="S171" i="5" s="1"/>
  <c r="N172" i="5"/>
  <c r="S172" i="5" s="1"/>
  <c r="N173" i="5"/>
  <c r="S173" i="5" s="1"/>
  <c r="N174" i="5"/>
  <c r="S174" i="5" s="1"/>
  <c r="N175" i="5"/>
  <c r="S175" i="5" s="1"/>
  <c r="N176" i="5"/>
  <c r="S176" i="5" s="1"/>
  <c r="N177" i="5"/>
  <c r="N178" i="5"/>
  <c r="S178" i="5" s="1"/>
  <c r="N179" i="5"/>
  <c r="S179" i="5" s="1"/>
  <c r="N180" i="5"/>
  <c r="S180" i="5" s="1"/>
  <c r="N181" i="5"/>
  <c r="S181" i="5" s="1"/>
  <c r="N182" i="5"/>
  <c r="S182" i="5" s="1"/>
  <c r="N183" i="5"/>
  <c r="S183" i="5" s="1"/>
  <c r="N184" i="5"/>
  <c r="S184" i="5" s="1"/>
  <c r="N185" i="5"/>
  <c r="N186" i="5"/>
  <c r="S186" i="5" s="1"/>
  <c r="N187" i="5"/>
  <c r="S187" i="5" s="1"/>
  <c r="N188" i="5"/>
  <c r="S188" i="5" s="1"/>
  <c r="N189" i="5"/>
  <c r="S189" i="5" s="1"/>
  <c r="N190" i="5"/>
  <c r="S190" i="5" s="1"/>
  <c r="N191" i="5"/>
  <c r="S191" i="5" s="1"/>
  <c r="N192" i="5"/>
  <c r="S192" i="5" s="1"/>
  <c r="N193" i="5"/>
  <c r="N194" i="5"/>
  <c r="S194" i="5" s="1"/>
  <c r="N195" i="5"/>
  <c r="S195" i="5" s="1"/>
  <c r="N196" i="5"/>
  <c r="S196" i="5" s="1"/>
  <c r="N197" i="5"/>
  <c r="S197" i="5" s="1"/>
  <c r="N198" i="5"/>
  <c r="S198" i="5" s="1"/>
  <c r="N199" i="5"/>
  <c r="S199" i="5" s="1"/>
  <c r="N200" i="5"/>
  <c r="S200" i="5" s="1"/>
  <c r="N201" i="5"/>
  <c r="N202" i="5"/>
  <c r="S202" i="5" s="1"/>
  <c r="N203" i="5"/>
  <c r="S203" i="5" s="1"/>
  <c r="N204" i="5"/>
  <c r="S204" i="5" s="1"/>
  <c r="N205" i="5"/>
  <c r="S205" i="5" s="1"/>
  <c r="N206" i="5"/>
  <c r="S206" i="5" s="1"/>
  <c r="N207" i="5"/>
  <c r="S207" i="5" s="1"/>
  <c r="N208" i="5"/>
  <c r="S208" i="5" s="1"/>
  <c r="N209" i="5"/>
  <c r="N210" i="5"/>
  <c r="S210" i="5" s="1"/>
  <c r="N211" i="5"/>
  <c r="S211" i="5" s="1"/>
  <c r="N212" i="5"/>
  <c r="S212" i="5" s="1"/>
  <c r="N213" i="5"/>
  <c r="S213" i="5" s="1"/>
  <c r="N214" i="5"/>
  <c r="S214" i="5" s="1"/>
  <c r="N215" i="5"/>
  <c r="S215" i="5" s="1"/>
  <c r="N216" i="5"/>
  <c r="S216" i="5" s="1"/>
  <c r="N217" i="5"/>
  <c r="N218" i="5"/>
  <c r="S218" i="5" s="1"/>
  <c r="N219" i="5"/>
  <c r="S219" i="5" s="1"/>
  <c r="N220" i="5"/>
  <c r="S220" i="5" s="1"/>
  <c r="N221" i="5"/>
  <c r="S221" i="5" s="1"/>
  <c r="N222" i="5"/>
  <c r="S222" i="5" s="1"/>
  <c r="N223" i="5"/>
  <c r="S223" i="5" s="1"/>
  <c r="N224" i="5"/>
  <c r="S224" i="5" s="1"/>
  <c r="N225" i="5"/>
  <c r="N226" i="5"/>
  <c r="S226" i="5" s="1"/>
  <c r="N227" i="5"/>
  <c r="S227" i="5" s="1"/>
  <c r="N228" i="5"/>
  <c r="S228" i="5" s="1"/>
  <c r="N229" i="5"/>
  <c r="S229" i="5" s="1"/>
  <c r="N230" i="5"/>
  <c r="S230" i="5" s="1"/>
  <c r="N231" i="5"/>
  <c r="S231" i="5" s="1"/>
  <c r="N232" i="5"/>
  <c r="S232" i="5" s="1"/>
  <c r="N233" i="5"/>
  <c r="N234" i="5"/>
  <c r="S234" i="5" s="1"/>
  <c r="N235" i="5"/>
  <c r="S235" i="5" s="1"/>
  <c r="N236" i="5"/>
  <c r="S236" i="5" s="1"/>
  <c r="N237" i="5"/>
  <c r="S237" i="5" s="1"/>
  <c r="N238" i="5"/>
  <c r="S238" i="5" s="1"/>
  <c r="N239" i="5"/>
  <c r="S239" i="5" s="1"/>
  <c r="N240" i="5"/>
  <c r="S240" i="5" s="1"/>
  <c r="N241" i="5"/>
  <c r="N242" i="5"/>
  <c r="S242" i="5" s="1"/>
  <c r="N243" i="5"/>
  <c r="S243" i="5" s="1"/>
  <c r="N244" i="5"/>
  <c r="S244" i="5" s="1"/>
  <c r="N245" i="5"/>
  <c r="S245" i="5" s="1"/>
  <c r="N246" i="5"/>
  <c r="S246" i="5" s="1"/>
  <c r="N247" i="5"/>
  <c r="S247" i="5" s="1"/>
  <c r="N248" i="5"/>
  <c r="S248" i="5" s="1"/>
  <c r="N249" i="5"/>
  <c r="N250" i="5"/>
  <c r="S250" i="5" s="1"/>
  <c r="N251" i="5"/>
  <c r="S251" i="5" s="1"/>
  <c r="N252" i="5"/>
  <c r="S252" i="5" s="1"/>
  <c r="N253" i="5"/>
  <c r="S253" i="5" s="1"/>
  <c r="N254" i="5"/>
  <c r="S254" i="5" s="1"/>
  <c r="N255" i="5"/>
  <c r="S255" i="5" s="1"/>
  <c r="N256" i="5"/>
  <c r="S256" i="5" s="1"/>
  <c r="N257" i="5"/>
  <c r="N258" i="5"/>
  <c r="S258" i="5" s="1"/>
  <c r="N259" i="5"/>
  <c r="S259" i="5" s="1"/>
  <c r="N260" i="5"/>
  <c r="S260" i="5" s="1"/>
  <c r="N261" i="5"/>
  <c r="S261" i="5" s="1"/>
  <c r="N262" i="5"/>
  <c r="S262" i="5" s="1"/>
  <c r="N263" i="5"/>
  <c r="S263" i="5" s="1"/>
  <c r="N264" i="5"/>
  <c r="S264" i="5" s="1"/>
  <c r="N265" i="5"/>
  <c r="N266" i="5"/>
  <c r="S266" i="5" s="1"/>
  <c r="N267" i="5"/>
  <c r="S267" i="5" s="1"/>
  <c r="N268" i="5"/>
  <c r="S268" i="5" s="1"/>
  <c r="N269" i="5"/>
  <c r="S269" i="5" s="1"/>
  <c r="N270" i="5"/>
  <c r="S270" i="5" s="1"/>
  <c r="N271" i="5"/>
  <c r="S271" i="5" s="1"/>
  <c r="N272" i="5"/>
  <c r="S272" i="5" s="1"/>
  <c r="N273" i="5"/>
  <c r="N274" i="5"/>
  <c r="S274" i="5" s="1"/>
  <c r="N275" i="5"/>
  <c r="S275" i="5" s="1"/>
  <c r="N276" i="5"/>
  <c r="S276" i="5" s="1"/>
  <c r="N277" i="5"/>
  <c r="S277" i="5" s="1"/>
  <c r="N278" i="5"/>
  <c r="S278" i="5" s="1"/>
  <c r="N279" i="5"/>
  <c r="S279" i="5" s="1"/>
  <c r="N280" i="5"/>
  <c r="S280" i="5" s="1"/>
  <c r="N281" i="5"/>
  <c r="N282" i="5"/>
  <c r="S282" i="5" s="1"/>
  <c r="N283" i="5"/>
  <c r="S283" i="5" s="1"/>
  <c r="N284" i="5"/>
  <c r="S284" i="5" s="1"/>
  <c r="N285" i="5"/>
  <c r="S285" i="5" s="1"/>
  <c r="N286" i="5"/>
  <c r="S286" i="5" s="1"/>
  <c r="N287" i="5"/>
  <c r="S287" i="5" s="1"/>
  <c r="N288" i="5"/>
  <c r="S288" i="5" s="1"/>
  <c r="N289" i="5"/>
  <c r="N290" i="5"/>
  <c r="S290" i="5" s="1"/>
  <c r="N291" i="5"/>
  <c r="S291" i="5" s="1"/>
  <c r="N292" i="5"/>
  <c r="S292" i="5" s="1"/>
  <c r="N293" i="5"/>
  <c r="S293" i="5" s="1"/>
  <c r="N294" i="5"/>
  <c r="S294" i="5" s="1"/>
  <c r="N295" i="5"/>
  <c r="S295" i="5" s="1"/>
  <c r="N296" i="5"/>
  <c r="S296" i="5" s="1"/>
  <c r="N297" i="5"/>
  <c r="N298" i="5"/>
  <c r="S298" i="5" s="1"/>
  <c r="N299" i="5"/>
  <c r="S299" i="5" s="1"/>
  <c r="N300" i="5"/>
  <c r="S300" i="5" s="1"/>
  <c r="N301" i="5"/>
  <c r="S301" i="5" s="1"/>
  <c r="N302" i="5"/>
  <c r="S302" i="5" s="1"/>
  <c r="N303" i="5"/>
  <c r="S303" i="5" s="1"/>
  <c r="N304" i="5"/>
  <c r="S304" i="5" s="1"/>
  <c r="N305" i="5"/>
  <c r="N306" i="5"/>
  <c r="S306" i="5" s="1"/>
  <c r="N307" i="5"/>
  <c r="S307" i="5" s="1"/>
  <c r="N308" i="5"/>
  <c r="S308" i="5" s="1"/>
  <c r="N309" i="5"/>
  <c r="S309" i="5" s="1"/>
  <c r="N310" i="5"/>
  <c r="S310" i="5" s="1"/>
  <c r="N311" i="5"/>
  <c r="S311" i="5" s="1"/>
  <c r="N312" i="5"/>
  <c r="S312" i="5" s="1"/>
  <c r="N313" i="5"/>
  <c r="N314" i="5"/>
  <c r="S314" i="5" s="1"/>
  <c r="N315" i="5"/>
  <c r="S315" i="5" s="1"/>
  <c r="N316" i="5"/>
  <c r="S316" i="5" s="1"/>
  <c r="N317" i="5"/>
  <c r="S317" i="5" s="1"/>
  <c r="N318" i="5"/>
  <c r="S318" i="5" s="1"/>
  <c r="N319" i="5"/>
  <c r="S319" i="5" s="1"/>
  <c r="N320" i="5"/>
  <c r="S320" i="5" s="1"/>
  <c r="N321" i="5"/>
  <c r="N322" i="5"/>
  <c r="S322" i="5" s="1"/>
  <c r="N323" i="5"/>
  <c r="S323" i="5" s="1"/>
  <c r="N324" i="5"/>
  <c r="S324" i="5" s="1"/>
  <c r="N325" i="5"/>
  <c r="S325" i="5" s="1"/>
  <c r="N326" i="5"/>
  <c r="S326" i="5" s="1"/>
  <c r="N327" i="5"/>
  <c r="S327" i="5" s="1"/>
  <c r="N328" i="5"/>
  <c r="S328" i="5" s="1"/>
  <c r="N329" i="5"/>
  <c r="N330" i="5"/>
  <c r="S330" i="5" s="1"/>
  <c r="N331" i="5"/>
  <c r="S331" i="5" s="1"/>
  <c r="N332" i="5"/>
  <c r="S332" i="5" s="1"/>
  <c r="N333" i="5"/>
  <c r="S333" i="5" s="1"/>
  <c r="N334" i="5"/>
  <c r="S334" i="5" s="1"/>
  <c r="N335" i="5"/>
  <c r="S335" i="5" s="1"/>
  <c r="N336" i="5"/>
  <c r="S336" i="5" s="1"/>
  <c r="N337" i="5"/>
  <c r="N338" i="5"/>
  <c r="S338" i="5" s="1"/>
  <c r="N339" i="5"/>
  <c r="S339" i="5" s="1"/>
  <c r="N340" i="5"/>
  <c r="S340" i="5" s="1"/>
  <c r="N341" i="5"/>
  <c r="S341" i="5" s="1"/>
  <c r="N342" i="5"/>
  <c r="S342" i="5" s="1"/>
  <c r="N343" i="5"/>
  <c r="S343" i="5" s="1"/>
  <c r="N344" i="5"/>
  <c r="S344" i="5" s="1"/>
  <c r="N345" i="5"/>
  <c r="N346" i="5"/>
  <c r="S346" i="5" s="1"/>
  <c r="N347" i="5"/>
  <c r="S347" i="5" s="1"/>
  <c r="N348" i="5"/>
  <c r="S348" i="5" s="1"/>
  <c r="N349" i="5"/>
  <c r="S349" i="5" s="1"/>
  <c r="N350" i="5"/>
  <c r="S350" i="5" s="1"/>
  <c r="N351" i="5"/>
  <c r="S351" i="5" s="1"/>
  <c r="N352" i="5"/>
  <c r="S352" i="5" s="1"/>
  <c r="N353" i="5"/>
  <c r="N354" i="5"/>
  <c r="S354" i="5" s="1"/>
  <c r="N355" i="5"/>
  <c r="S355" i="5" s="1"/>
  <c r="N356" i="5"/>
  <c r="S356" i="5" s="1"/>
  <c r="N357" i="5"/>
  <c r="S357" i="5" s="1"/>
  <c r="N358" i="5"/>
  <c r="S358" i="5" s="1"/>
  <c r="N359" i="5"/>
  <c r="S359" i="5" s="1"/>
  <c r="N360" i="5"/>
  <c r="S360" i="5" s="1"/>
  <c r="N361" i="5"/>
  <c r="N362" i="5"/>
  <c r="S362" i="5" s="1"/>
  <c r="N363" i="5"/>
  <c r="S363" i="5" s="1"/>
  <c r="N364" i="5"/>
  <c r="S364" i="5" s="1"/>
  <c r="N365" i="5"/>
  <c r="S365" i="5" s="1"/>
  <c r="N366" i="5"/>
  <c r="S366" i="5" s="1"/>
  <c r="N367" i="5"/>
  <c r="S367" i="5" s="1"/>
  <c r="N368" i="5"/>
  <c r="S368" i="5" s="1"/>
  <c r="N369" i="5"/>
  <c r="N370" i="5"/>
  <c r="S370" i="5" s="1"/>
  <c r="N371" i="5"/>
  <c r="S371" i="5" s="1"/>
  <c r="N372" i="5"/>
  <c r="S372" i="5" s="1"/>
  <c r="N373" i="5"/>
  <c r="S373" i="5" s="1"/>
  <c r="N374" i="5"/>
  <c r="S374" i="5" s="1"/>
  <c r="N375" i="5"/>
  <c r="S375" i="5" s="1"/>
  <c r="N376" i="5"/>
  <c r="S376" i="5" s="1"/>
  <c r="N377" i="5"/>
  <c r="N378" i="5"/>
  <c r="S378" i="5" s="1"/>
  <c r="N379" i="5"/>
  <c r="S379" i="5" s="1"/>
  <c r="N380" i="5"/>
  <c r="S380" i="5" s="1"/>
  <c r="N381" i="5"/>
  <c r="S381" i="5" s="1"/>
  <c r="N382" i="5"/>
  <c r="S382" i="5" s="1"/>
  <c r="N383" i="5"/>
  <c r="S383" i="5" s="1"/>
  <c r="N384" i="5"/>
  <c r="S384" i="5" s="1"/>
  <c r="N385" i="5"/>
  <c r="N386" i="5"/>
  <c r="S386" i="5" s="1"/>
  <c r="N387" i="5"/>
  <c r="S387" i="5" s="1"/>
  <c r="N388" i="5"/>
  <c r="S388" i="5" s="1"/>
  <c r="N389" i="5"/>
  <c r="S389" i="5" s="1"/>
  <c r="N390" i="5"/>
  <c r="S390" i="5" s="1"/>
  <c r="N391" i="5"/>
  <c r="S391" i="5" s="1"/>
  <c r="N392" i="5"/>
  <c r="S392" i="5" s="1"/>
  <c r="N393" i="5"/>
  <c r="N394" i="5"/>
  <c r="S394" i="5" s="1"/>
  <c r="N395" i="5"/>
  <c r="S395" i="5" s="1"/>
  <c r="N396" i="5"/>
  <c r="S396" i="5" s="1"/>
  <c r="N397" i="5"/>
  <c r="S397" i="5" s="1"/>
  <c r="N398" i="5"/>
  <c r="S398" i="5" s="1"/>
  <c r="N399" i="5"/>
  <c r="S399" i="5" s="1"/>
  <c r="N400" i="5"/>
  <c r="S400" i="5" s="1"/>
  <c r="N401" i="5"/>
  <c r="N402" i="5"/>
  <c r="S402" i="5" s="1"/>
  <c r="N403" i="5"/>
  <c r="S403" i="5" s="1"/>
  <c r="N404" i="5"/>
  <c r="S404" i="5" s="1"/>
  <c r="N405" i="5"/>
  <c r="S405" i="5" s="1"/>
  <c r="N406" i="5"/>
  <c r="S406" i="5" s="1"/>
  <c r="N407" i="5"/>
  <c r="S407" i="5" s="1"/>
  <c r="N408" i="5"/>
  <c r="S408" i="5" s="1"/>
  <c r="N409" i="5"/>
  <c r="N410" i="5"/>
  <c r="S410" i="5" s="1"/>
  <c r="N411" i="5"/>
  <c r="S411" i="5" s="1"/>
  <c r="N412" i="5"/>
  <c r="S412" i="5" s="1"/>
  <c r="N413" i="5"/>
  <c r="S413" i="5" s="1"/>
  <c r="N414" i="5"/>
  <c r="S414" i="5" s="1"/>
  <c r="N415" i="5"/>
  <c r="S415" i="5" s="1"/>
  <c r="N416" i="5"/>
  <c r="S416" i="5" s="1"/>
  <c r="N417" i="5"/>
  <c r="N418" i="5"/>
  <c r="S418" i="5" s="1"/>
  <c r="N419" i="5"/>
  <c r="S419" i="5" s="1"/>
  <c r="N420" i="5"/>
  <c r="S420" i="5" s="1"/>
  <c r="N421" i="5"/>
  <c r="S421" i="5" s="1"/>
  <c r="N422" i="5"/>
  <c r="S422" i="5" s="1"/>
  <c r="N423" i="5"/>
  <c r="S423" i="5" s="1"/>
  <c r="N424" i="5"/>
  <c r="S424" i="5" s="1"/>
  <c r="N425" i="5"/>
  <c r="N426" i="5"/>
  <c r="S426" i="5" s="1"/>
  <c r="N427" i="5"/>
  <c r="S427" i="5" s="1"/>
  <c r="N428" i="5"/>
  <c r="S428" i="5" s="1"/>
  <c r="N429" i="5"/>
  <c r="S429" i="5" s="1"/>
  <c r="N430" i="5"/>
  <c r="S430" i="5" s="1"/>
  <c r="N431" i="5"/>
  <c r="S431" i="5" s="1"/>
  <c r="N432" i="5"/>
  <c r="S432" i="5" s="1"/>
  <c r="N433" i="5"/>
  <c r="N434" i="5"/>
  <c r="S434" i="5" s="1"/>
  <c r="N435" i="5"/>
  <c r="S435" i="5" s="1"/>
  <c r="N436" i="5"/>
  <c r="S436" i="5" s="1"/>
  <c r="N437" i="5"/>
  <c r="S437" i="5" s="1"/>
  <c r="N438" i="5"/>
  <c r="S438" i="5" s="1"/>
  <c r="N439" i="5"/>
  <c r="S439" i="5" s="1"/>
  <c r="N440" i="5"/>
  <c r="S440" i="5" s="1"/>
  <c r="N441" i="5"/>
  <c r="N442" i="5"/>
  <c r="S442" i="5" s="1"/>
  <c r="N443" i="5"/>
  <c r="S443" i="5" s="1"/>
  <c r="N444" i="5"/>
  <c r="S444" i="5" s="1"/>
  <c r="N445" i="5"/>
  <c r="S445" i="5" s="1"/>
  <c r="N446" i="5"/>
  <c r="S446" i="5" s="1"/>
  <c r="N447" i="5"/>
  <c r="S447" i="5" s="1"/>
  <c r="N448" i="5"/>
  <c r="S448" i="5" s="1"/>
  <c r="N449" i="5"/>
  <c r="N450" i="5"/>
  <c r="S450" i="5" s="1"/>
  <c r="N451" i="5"/>
  <c r="S451" i="5" s="1"/>
  <c r="N452" i="5"/>
  <c r="S452" i="5" s="1"/>
  <c r="N453" i="5"/>
  <c r="S453" i="5" s="1"/>
  <c r="N454" i="5"/>
  <c r="S454" i="5" s="1"/>
  <c r="N455" i="5"/>
  <c r="S455" i="5" s="1"/>
  <c r="N456" i="5"/>
  <c r="S456" i="5" s="1"/>
  <c r="N457" i="5"/>
  <c r="N458" i="5"/>
  <c r="S458" i="5" s="1"/>
  <c r="N459" i="5"/>
  <c r="S459" i="5" s="1"/>
  <c r="N460" i="5"/>
  <c r="S460" i="5" s="1"/>
  <c r="N461" i="5"/>
  <c r="S461" i="5" s="1"/>
  <c r="N462" i="5"/>
  <c r="S462" i="5" s="1"/>
  <c r="N463" i="5"/>
  <c r="S463" i="5" s="1"/>
  <c r="N464" i="5"/>
  <c r="S464" i="5" s="1"/>
  <c r="N465" i="5"/>
  <c r="N466" i="5"/>
  <c r="S466" i="5" s="1"/>
  <c r="N467" i="5"/>
  <c r="S467" i="5" s="1"/>
  <c r="N468" i="5"/>
  <c r="S468" i="5" s="1"/>
  <c r="N469" i="5"/>
  <c r="S469" i="5" s="1"/>
  <c r="N470" i="5"/>
  <c r="S470" i="5" s="1"/>
  <c r="N471" i="5"/>
  <c r="S471" i="5" s="1"/>
  <c r="N472" i="5"/>
  <c r="S472" i="5" s="1"/>
  <c r="N473" i="5"/>
  <c r="N474" i="5"/>
  <c r="S474" i="5" s="1"/>
  <c r="N475" i="5"/>
  <c r="S475" i="5" s="1"/>
  <c r="N476" i="5"/>
  <c r="S476" i="5" s="1"/>
  <c r="N477" i="5"/>
  <c r="S477" i="5" s="1"/>
  <c r="N478" i="5"/>
  <c r="S478" i="5" s="1"/>
  <c r="N479" i="5"/>
  <c r="S479" i="5" s="1"/>
  <c r="N480" i="5"/>
  <c r="S480" i="5" s="1"/>
  <c r="N481" i="5"/>
  <c r="N482" i="5"/>
  <c r="S482" i="5" s="1"/>
  <c r="N483" i="5"/>
  <c r="S483" i="5" s="1"/>
  <c r="N484" i="5"/>
  <c r="S484" i="5" s="1"/>
  <c r="N485" i="5"/>
  <c r="S485" i="5" s="1"/>
  <c r="N486" i="5"/>
  <c r="S486" i="5" s="1"/>
  <c r="N487" i="5"/>
  <c r="S487" i="5" s="1"/>
  <c r="N488" i="5"/>
  <c r="S488" i="5" s="1"/>
  <c r="N489" i="5"/>
  <c r="N490" i="5"/>
  <c r="S490" i="5" s="1"/>
  <c r="N491" i="5"/>
  <c r="S491" i="5" s="1"/>
  <c r="N492" i="5"/>
  <c r="S492" i="5" s="1"/>
  <c r="N493" i="5"/>
  <c r="S493" i="5" s="1"/>
  <c r="N494" i="5"/>
  <c r="S494" i="5" s="1"/>
  <c r="N495" i="5"/>
  <c r="S495" i="5" s="1"/>
  <c r="N496" i="5"/>
  <c r="S496" i="5" s="1"/>
  <c r="N497" i="5"/>
  <c r="N498" i="5"/>
  <c r="S498" i="5" s="1"/>
  <c r="N499" i="5"/>
  <c r="S499" i="5" s="1"/>
  <c r="N500" i="5"/>
  <c r="S500" i="5" s="1"/>
  <c r="N501" i="5"/>
  <c r="S501" i="5" s="1"/>
  <c r="N502" i="5"/>
  <c r="S502" i="5" s="1"/>
  <c r="N503" i="5"/>
  <c r="S503" i="5" s="1"/>
  <c r="N504" i="5"/>
  <c r="S504" i="5" s="1"/>
  <c r="N505" i="5"/>
  <c r="N506" i="5"/>
  <c r="S506" i="5" s="1"/>
  <c r="N507" i="5"/>
  <c r="S507" i="5" s="1"/>
  <c r="N508" i="5"/>
  <c r="S508" i="5" s="1"/>
  <c r="N509" i="5"/>
  <c r="S509" i="5" s="1"/>
  <c r="N510" i="5"/>
  <c r="S510" i="5" s="1"/>
  <c r="N511" i="5"/>
  <c r="S511" i="5" s="1"/>
  <c r="N512" i="5"/>
  <c r="S512" i="5" s="1"/>
  <c r="N513" i="5"/>
  <c r="N514" i="5"/>
  <c r="S514" i="5" s="1"/>
  <c r="N515" i="5"/>
  <c r="S515" i="5" s="1"/>
  <c r="S2" i="5"/>
  <c r="O2" i="5"/>
  <c r="P2" i="5"/>
  <c r="Q2" i="5"/>
  <c r="R2" i="5"/>
  <c r="N2" i="5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O3" i="4"/>
  <c r="O4" i="4"/>
  <c r="N4" i="4" s="1"/>
  <c r="O5" i="4"/>
  <c r="N5" i="4" s="1"/>
  <c r="O6" i="4"/>
  <c r="N6" i="4" s="1"/>
  <c r="O7" i="4"/>
  <c r="O8" i="4"/>
  <c r="O9" i="4"/>
  <c r="N9" i="4" s="1"/>
  <c r="O10" i="4"/>
  <c r="O11" i="4"/>
  <c r="O12" i="4"/>
  <c r="N12" i="4" s="1"/>
  <c r="O13" i="4"/>
  <c r="N13" i="4" s="1"/>
  <c r="O14" i="4"/>
  <c r="N14" i="4" s="1"/>
  <c r="O15" i="4"/>
  <c r="O16" i="4"/>
  <c r="O17" i="4"/>
  <c r="N17" i="4" s="1"/>
  <c r="O18" i="4"/>
  <c r="O19" i="4"/>
  <c r="O20" i="4"/>
  <c r="N20" i="4" s="1"/>
  <c r="O21" i="4"/>
  <c r="N21" i="4" s="1"/>
  <c r="O22" i="4"/>
  <c r="N22" i="4" s="1"/>
  <c r="O23" i="4"/>
  <c r="O24" i="4"/>
  <c r="O25" i="4"/>
  <c r="N25" i="4" s="1"/>
  <c r="O26" i="4"/>
  <c r="O27" i="4"/>
  <c r="O28" i="4"/>
  <c r="N28" i="4" s="1"/>
  <c r="O29" i="4"/>
  <c r="N29" i="4" s="1"/>
  <c r="O30" i="4"/>
  <c r="N30" i="4" s="1"/>
  <c r="O31" i="4"/>
  <c r="O32" i="4"/>
  <c r="O33" i="4"/>
  <c r="N33" i="4" s="1"/>
  <c r="O34" i="4"/>
  <c r="O35" i="4"/>
  <c r="O36" i="4"/>
  <c r="N36" i="4" s="1"/>
  <c r="O37" i="4"/>
  <c r="N37" i="4" s="1"/>
  <c r="O38" i="4"/>
  <c r="N38" i="4" s="1"/>
  <c r="O39" i="4"/>
  <c r="O40" i="4"/>
  <c r="O41" i="4"/>
  <c r="N41" i="4" s="1"/>
  <c r="O42" i="4"/>
  <c r="O43" i="4"/>
  <c r="O44" i="4"/>
  <c r="N44" i="4" s="1"/>
  <c r="O45" i="4"/>
  <c r="N45" i="4" s="1"/>
  <c r="O46" i="4"/>
  <c r="N46" i="4" s="1"/>
  <c r="O47" i="4"/>
  <c r="O48" i="4"/>
  <c r="O49" i="4"/>
  <c r="N49" i="4" s="1"/>
  <c r="O50" i="4"/>
  <c r="O51" i="4"/>
  <c r="O52" i="4"/>
  <c r="N52" i="4" s="1"/>
  <c r="O53" i="4"/>
  <c r="N53" i="4" s="1"/>
  <c r="O54" i="4"/>
  <c r="N54" i="4" s="1"/>
  <c r="O55" i="4"/>
  <c r="O56" i="4"/>
  <c r="O57" i="4"/>
  <c r="O58" i="4"/>
  <c r="O59" i="4"/>
  <c r="O60" i="4"/>
  <c r="N60" i="4" s="1"/>
  <c r="O61" i="4"/>
  <c r="N61" i="4" s="1"/>
  <c r="O62" i="4"/>
  <c r="N62" i="4" s="1"/>
  <c r="O63" i="4"/>
  <c r="O64" i="4"/>
  <c r="O65" i="4"/>
  <c r="O66" i="4"/>
  <c r="O67" i="4"/>
  <c r="O68" i="4"/>
  <c r="N68" i="4" s="1"/>
  <c r="O69" i="4"/>
  <c r="N69" i="4" s="1"/>
  <c r="O70" i="4"/>
  <c r="N70" i="4" s="1"/>
  <c r="O71" i="4"/>
  <c r="O72" i="4"/>
  <c r="O73" i="4"/>
  <c r="N73" i="4" s="1"/>
  <c r="O74" i="4"/>
  <c r="O75" i="4"/>
  <c r="O76" i="4"/>
  <c r="N76" i="4" s="1"/>
  <c r="O77" i="4"/>
  <c r="N77" i="4" s="1"/>
  <c r="O78" i="4"/>
  <c r="N78" i="4" s="1"/>
  <c r="O79" i="4"/>
  <c r="O80" i="4"/>
  <c r="O81" i="4"/>
  <c r="N81" i="4" s="1"/>
  <c r="O82" i="4"/>
  <c r="O83" i="4"/>
  <c r="O84" i="4"/>
  <c r="N84" i="4" s="1"/>
  <c r="O85" i="4"/>
  <c r="N85" i="4" s="1"/>
  <c r="O86" i="4"/>
  <c r="N86" i="4" s="1"/>
  <c r="O87" i="4"/>
  <c r="O88" i="4"/>
  <c r="O89" i="4"/>
  <c r="N89" i="4" s="1"/>
  <c r="O90" i="4"/>
  <c r="O91" i="4"/>
  <c r="O92" i="4"/>
  <c r="N92" i="4" s="1"/>
  <c r="O93" i="4"/>
  <c r="N93" i="4" s="1"/>
  <c r="O94" i="4"/>
  <c r="N94" i="4" s="1"/>
  <c r="O95" i="4"/>
  <c r="O96" i="4"/>
  <c r="O97" i="4"/>
  <c r="N97" i="4" s="1"/>
  <c r="O98" i="4"/>
  <c r="O99" i="4"/>
  <c r="O100" i="4"/>
  <c r="N100" i="4" s="1"/>
  <c r="O101" i="4"/>
  <c r="N101" i="4" s="1"/>
  <c r="O102" i="4"/>
  <c r="N102" i="4" s="1"/>
  <c r="O103" i="4"/>
  <c r="O104" i="4"/>
  <c r="O105" i="4"/>
  <c r="N105" i="4" s="1"/>
  <c r="O106" i="4"/>
  <c r="O107" i="4"/>
  <c r="O108" i="4"/>
  <c r="N108" i="4" s="1"/>
  <c r="O109" i="4"/>
  <c r="N109" i="4" s="1"/>
  <c r="O110" i="4"/>
  <c r="N110" i="4" s="1"/>
  <c r="O111" i="4"/>
  <c r="O112" i="4"/>
  <c r="O113" i="4"/>
  <c r="N113" i="4" s="1"/>
  <c r="O114" i="4"/>
  <c r="O115" i="4"/>
  <c r="O116" i="4"/>
  <c r="N116" i="4" s="1"/>
  <c r="O117" i="4"/>
  <c r="N117" i="4" s="1"/>
  <c r="O118" i="4"/>
  <c r="N118" i="4" s="1"/>
  <c r="O119" i="4"/>
  <c r="O120" i="4"/>
  <c r="O121" i="4"/>
  <c r="O122" i="4"/>
  <c r="O123" i="4"/>
  <c r="O124" i="4"/>
  <c r="N124" i="4" s="1"/>
  <c r="O125" i="4"/>
  <c r="N125" i="4" s="1"/>
  <c r="O126" i="4"/>
  <c r="N126" i="4" s="1"/>
  <c r="O127" i="4"/>
  <c r="O128" i="4"/>
  <c r="O129" i="4"/>
  <c r="O130" i="4"/>
  <c r="O131" i="4"/>
  <c r="O132" i="4"/>
  <c r="N132" i="4" s="1"/>
  <c r="O133" i="4"/>
  <c r="N133" i="4" s="1"/>
  <c r="O134" i="4"/>
  <c r="N134" i="4" s="1"/>
  <c r="O135" i="4"/>
  <c r="O136" i="4"/>
  <c r="O137" i="4"/>
  <c r="N137" i="4" s="1"/>
  <c r="O138" i="4"/>
  <c r="O139" i="4"/>
  <c r="O140" i="4"/>
  <c r="N140" i="4" s="1"/>
  <c r="O141" i="4"/>
  <c r="N141" i="4" s="1"/>
  <c r="O142" i="4"/>
  <c r="N142" i="4" s="1"/>
  <c r="O143" i="4"/>
  <c r="O144" i="4"/>
  <c r="O145" i="4"/>
  <c r="N145" i="4" s="1"/>
  <c r="O146" i="4"/>
  <c r="O147" i="4"/>
  <c r="O148" i="4"/>
  <c r="N148" i="4" s="1"/>
  <c r="O149" i="4"/>
  <c r="N149" i="4" s="1"/>
  <c r="O150" i="4"/>
  <c r="N150" i="4" s="1"/>
  <c r="O151" i="4"/>
  <c r="O152" i="4"/>
  <c r="O153" i="4"/>
  <c r="N153" i="4" s="1"/>
  <c r="O154" i="4"/>
  <c r="O155" i="4"/>
  <c r="O156" i="4"/>
  <c r="N156" i="4" s="1"/>
  <c r="O157" i="4"/>
  <c r="N157" i="4" s="1"/>
  <c r="O158" i="4"/>
  <c r="N158" i="4" s="1"/>
  <c r="O159" i="4"/>
  <c r="O160" i="4"/>
  <c r="O161" i="4"/>
  <c r="N161" i="4" s="1"/>
  <c r="O162" i="4"/>
  <c r="O163" i="4"/>
  <c r="O164" i="4"/>
  <c r="N164" i="4" s="1"/>
  <c r="O165" i="4"/>
  <c r="N165" i="4" s="1"/>
  <c r="O166" i="4"/>
  <c r="N166" i="4" s="1"/>
  <c r="O167" i="4"/>
  <c r="O168" i="4"/>
  <c r="O169" i="4"/>
  <c r="N169" i="4" s="1"/>
  <c r="O170" i="4"/>
  <c r="O171" i="4"/>
  <c r="O172" i="4"/>
  <c r="N172" i="4" s="1"/>
  <c r="O173" i="4"/>
  <c r="N173" i="4" s="1"/>
  <c r="O174" i="4"/>
  <c r="N174" i="4" s="1"/>
  <c r="O175" i="4"/>
  <c r="O176" i="4"/>
  <c r="O177" i="4"/>
  <c r="N177" i="4" s="1"/>
  <c r="O178" i="4"/>
  <c r="O179" i="4"/>
  <c r="O180" i="4"/>
  <c r="N180" i="4" s="1"/>
  <c r="O181" i="4"/>
  <c r="N181" i="4" s="1"/>
  <c r="O182" i="4"/>
  <c r="N182" i="4" s="1"/>
  <c r="O183" i="4"/>
  <c r="O184" i="4"/>
  <c r="O185" i="4"/>
  <c r="O186" i="4"/>
  <c r="O187" i="4"/>
  <c r="O188" i="4"/>
  <c r="N188" i="4" s="1"/>
  <c r="O189" i="4"/>
  <c r="N189" i="4" s="1"/>
  <c r="O190" i="4"/>
  <c r="N190" i="4" s="1"/>
  <c r="O191" i="4"/>
  <c r="O192" i="4"/>
  <c r="O193" i="4"/>
  <c r="O194" i="4"/>
  <c r="O195" i="4"/>
  <c r="O196" i="4"/>
  <c r="N196" i="4" s="1"/>
  <c r="O197" i="4"/>
  <c r="N197" i="4" s="1"/>
  <c r="O198" i="4"/>
  <c r="N198" i="4" s="1"/>
  <c r="O199" i="4"/>
  <c r="O200" i="4"/>
  <c r="O201" i="4"/>
  <c r="N201" i="4" s="1"/>
  <c r="O202" i="4"/>
  <c r="O203" i="4"/>
  <c r="O204" i="4"/>
  <c r="N204" i="4" s="1"/>
  <c r="O205" i="4"/>
  <c r="N205" i="4" s="1"/>
  <c r="O206" i="4"/>
  <c r="N206" i="4" s="1"/>
  <c r="O207" i="4"/>
  <c r="O208" i="4"/>
  <c r="O209" i="4"/>
  <c r="N209" i="4" s="1"/>
  <c r="O210" i="4"/>
  <c r="O211" i="4"/>
  <c r="O212" i="4"/>
  <c r="N212" i="4" s="1"/>
  <c r="O213" i="4"/>
  <c r="N213" i="4" s="1"/>
  <c r="O214" i="4"/>
  <c r="N214" i="4" s="1"/>
  <c r="O215" i="4"/>
  <c r="O216" i="4"/>
  <c r="O217" i="4"/>
  <c r="N217" i="4" s="1"/>
  <c r="O218" i="4"/>
  <c r="O219" i="4"/>
  <c r="O220" i="4"/>
  <c r="N220" i="4" s="1"/>
  <c r="O221" i="4"/>
  <c r="N221" i="4" s="1"/>
  <c r="O222" i="4"/>
  <c r="N222" i="4" s="1"/>
  <c r="O223" i="4"/>
  <c r="O224" i="4"/>
  <c r="O225" i="4"/>
  <c r="N225" i="4" s="1"/>
  <c r="O226" i="4"/>
  <c r="O227" i="4"/>
  <c r="O228" i="4"/>
  <c r="N228" i="4" s="1"/>
  <c r="O229" i="4"/>
  <c r="N229" i="4" s="1"/>
  <c r="O230" i="4"/>
  <c r="N230" i="4" s="1"/>
  <c r="O231" i="4"/>
  <c r="O232" i="4"/>
  <c r="O233" i="4"/>
  <c r="N233" i="4" s="1"/>
  <c r="O234" i="4"/>
  <c r="O235" i="4"/>
  <c r="O236" i="4"/>
  <c r="N236" i="4" s="1"/>
  <c r="O237" i="4"/>
  <c r="N237" i="4" s="1"/>
  <c r="O238" i="4"/>
  <c r="N238" i="4" s="1"/>
  <c r="O239" i="4"/>
  <c r="O240" i="4"/>
  <c r="O241" i="4"/>
  <c r="N241" i="4" s="1"/>
  <c r="O242" i="4"/>
  <c r="O243" i="4"/>
  <c r="O244" i="4"/>
  <c r="N244" i="4" s="1"/>
  <c r="O245" i="4"/>
  <c r="N245" i="4" s="1"/>
  <c r="O246" i="4"/>
  <c r="N246" i="4" s="1"/>
  <c r="O247" i="4"/>
  <c r="O248" i="4"/>
  <c r="O249" i="4"/>
  <c r="O250" i="4"/>
  <c r="O251" i="4"/>
  <c r="O252" i="4"/>
  <c r="N252" i="4" s="1"/>
  <c r="O253" i="4"/>
  <c r="N253" i="4" s="1"/>
  <c r="O254" i="4"/>
  <c r="N254" i="4" s="1"/>
  <c r="O255" i="4"/>
  <c r="O256" i="4"/>
  <c r="O257" i="4"/>
  <c r="O258" i="4"/>
  <c r="O259" i="4"/>
  <c r="O260" i="4"/>
  <c r="N260" i="4" s="1"/>
  <c r="O261" i="4"/>
  <c r="N261" i="4" s="1"/>
  <c r="O262" i="4"/>
  <c r="N262" i="4" s="1"/>
  <c r="O263" i="4"/>
  <c r="O264" i="4"/>
  <c r="O265" i="4"/>
  <c r="N265" i="4" s="1"/>
  <c r="O266" i="4"/>
  <c r="O267" i="4"/>
  <c r="O268" i="4"/>
  <c r="N268" i="4" s="1"/>
  <c r="O269" i="4"/>
  <c r="N269" i="4" s="1"/>
  <c r="O270" i="4"/>
  <c r="N270" i="4" s="1"/>
  <c r="O271" i="4"/>
  <c r="O272" i="4"/>
  <c r="O273" i="4"/>
  <c r="N273" i="4" s="1"/>
  <c r="O274" i="4"/>
  <c r="O275" i="4"/>
  <c r="O276" i="4"/>
  <c r="N276" i="4" s="1"/>
  <c r="O277" i="4"/>
  <c r="N277" i="4" s="1"/>
  <c r="O278" i="4"/>
  <c r="N278" i="4" s="1"/>
  <c r="O279" i="4"/>
  <c r="O280" i="4"/>
  <c r="O281" i="4"/>
  <c r="N281" i="4" s="1"/>
  <c r="O282" i="4"/>
  <c r="O283" i="4"/>
  <c r="O284" i="4"/>
  <c r="N284" i="4" s="1"/>
  <c r="O285" i="4"/>
  <c r="N285" i="4" s="1"/>
  <c r="O286" i="4"/>
  <c r="N286" i="4" s="1"/>
  <c r="O287" i="4"/>
  <c r="O288" i="4"/>
  <c r="O289" i="4"/>
  <c r="N289" i="4" s="1"/>
  <c r="O290" i="4"/>
  <c r="O291" i="4"/>
  <c r="O292" i="4"/>
  <c r="N292" i="4" s="1"/>
  <c r="O293" i="4"/>
  <c r="N293" i="4" s="1"/>
  <c r="O294" i="4"/>
  <c r="N294" i="4" s="1"/>
  <c r="O295" i="4"/>
  <c r="O296" i="4"/>
  <c r="O297" i="4"/>
  <c r="N297" i="4" s="1"/>
  <c r="O298" i="4"/>
  <c r="O299" i="4"/>
  <c r="O300" i="4"/>
  <c r="N300" i="4" s="1"/>
  <c r="O301" i="4"/>
  <c r="N301" i="4" s="1"/>
  <c r="O302" i="4"/>
  <c r="N302" i="4" s="1"/>
  <c r="O303" i="4"/>
  <c r="O304" i="4"/>
  <c r="O305" i="4"/>
  <c r="N305" i="4" s="1"/>
  <c r="O306" i="4"/>
  <c r="O307" i="4"/>
  <c r="O308" i="4"/>
  <c r="N308" i="4" s="1"/>
  <c r="O309" i="4"/>
  <c r="N309" i="4" s="1"/>
  <c r="O310" i="4"/>
  <c r="N310" i="4" s="1"/>
  <c r="O311" i="4"/>
  <c r="O312" i="4"/>
  <c r="O313" i="4"/>
  <c r="O314" i="4"/>
  <c r="O315" i="4"/>
  <c r="O316" i="4"/>
  <c r="N316" i="4" s="1"/>
  <c r="O317" i="4"/>
  <c r="N317" i="4" s="1"/>
  <c r="O318" i="4"/>
  <c r="N318" i="4" s="1"/>
  <c r="O319" i="4"/>
  <c r="O320" i="4"/>
  <c r="O321" i="4"/>
  <c r="O322" i="4"/>
  <c r="O323" i="4"/>
  <c r="O324" i="4"/>
  <c r="N324" i="4" s="1"/>
  <c r="O325" i="4"/>
  <c r="N325" i="4" s="1"/>
  <c r="O326" i="4"/>
  <c r="N326" i="4" s="1"/>
  <c r="O327" i="4"/>
  <c r="O328" i="4"/>
  <c r="O329" i="4"/>
  <c r="N329" i="4" s="1"/>
  <c r="O330" i="4"/>
  <c r="O331" i="4"/>
  <c r="O332" i="4"/>
  <c r="N332" i="4" s="1"/>
  <c r="O333" i="4"/>
  <c r="N333" i="4" s="1"/>
  <c r="O334" i="4"/>
  <c r="N334" i="4" s="1"/>
  <c r="O335" i="4"/>
  <c r="O336" i="4"/>
  <c r="O337" i="4"/>
  <c r="N337" i="4" s="1"/>
  <c r="O338" i="4"/>
  <c r="O339" i="4"/>
  <c r="O340" i="4"/>
  <c r="N340" i="4" s="1"/>
  <c r="O341" i="4"/>
  <c r="N341" i="4" s="1"/>
  <c r="O342" i="4"/>
  <c r="N342" i="4" s="1"/>
  <c r="O343" i="4"/>
  <c r="O344" i="4"/>
  <c r="O345" i="4"/>
  <c r="N345" i="4" s="1"/>
  <c r="O346" i="4"/>
  <c r="O347" i="4"/>
  <c r="O348" i="4"/>
  <c r="N348" i="4" s="1"/>
  <c r="O349" i="4"/>
  <c r="N349" i="4" s="1"/>
  <c r="O350" i="4"/>
  <c r="N350" i="4" s="1"/>
  <c r="O351" i="4"/>
  <c r="O352" i="4"/>
  <c r="O353" i="4"/>
  <c r="N353" i="4" s="1"/>
  <c r="O354" i="4"/>
  <c r="O355" i="4"/>
  <c r="O356" i="4"/>
  <c r="N356" i="4" s="1"/>
  <c r="O357" i="4"/>
  <c r="N357" i="4" s="1"/>
  <c r="O358" i="4"/>
  <c r="N358" i="4" s="1"/>
  <c r="O359" i="4"/>
  <c r="O360" i="4"/>
  <c r="O361" i="4"/>
  <c r="N361" i="4" s="1"/>
  <c r="O362" i="4"/>
  <c r="O363" i="4"/>
  <c r="O364" i="4"/>
  <c r="N364" i="4" s="1"/>
  <c r="O365" i="4"/>
  <c r="N365" i="4" s="1"/>
  <c r="O366" i="4"/>
  <c r="N366" i="4" s="1"/>
  <c r="O367" i="4"/>
  <c r="O368" i="4"/>
  <c r="O369" i="4"/>
  <c r="N369" i="4" s="1"/>
  <c r="O370" i="4"/>
  <c r="O371" i="4"/>
  <c r="O372" i="4"/>
  <c r="N372" i="4" s="1"/>
  <c r="O373" i="4"/>
  <c r="N373" i="4" s="1"/>
  <c r="O374" i="4"/>
  <c r="N374" i="4" s="1"/>
  <c r="O375" i="4"/>
  <c r="O376" i="4"/>
  <c r="O377" i="4"/>
  <c r="O378" i="4"/>
  <c r="O379" i="4"/>
  <c r="O380" i="4"/>
  <c r="N380" i="4" s="1"/>
  <c r="O381" i="4"/>
  <c r="N381" i="4" s="1"/>
  <c r="O382" i="4"/>
  <c r="N382" i="4" s="1"/>
  <c r="O383" i="4"/>
  <c r="O384" i="4"/>
  <c r="O385" i="4"/>
  <c r="O386" i="4"/>
  <c r="O387" i="4"/>
  <c r="O388" i="4"/>
  <c r="N388" i="4" s="1"/>
  <c r="O389" i="4"/>
  <c r="N389" i="4" s="1"/>
  <c r="O390" i="4"/>
  <c r="N390" i="4" s="1"/>
  <c r="O391" i="4"/>
  <c r="O392" i="4"/>
  <c r="O393" i="4"/>
  <c r="N393" i="4" s="1"/>
  <c r="O394" i="4"/>
  <c r="O395" i="4"/>
  <c r="O396" i="4"/>
  <c r="N396" i="4" s="1"/>
  <c r="O397" i="4"/>
  <c r="N397" i="4" s="1"/>
  <c r="O398" i="4"/>
  <c r="N398" i="4" s="1"/>
  <c r="O399" i="4"/>
  <c r="O400" i="4"/>
  <c r="O401" i="4"/>
  <c r="N401" i="4" s="1"/>
  <c r="O402" i="4"/>
  <c r="O403" i="4"/>
  <c r="O404" i="4"/>
  <c r="N404" i="4" s="1"/>
  <c r="O405" i="4"/>
  <c r="N405" i="4" s="1"/>
  <c r="O406" i="4"/>
  <c r="N406" i="4" s="1"/>
  <c r="O407" i="4"/>
  <c r="O408" i="4"/>
  <c r="O409" i="4"/>
  <c r="N409" i="4" s="1"/>
  <c r="O410" i="4"/>
  <c r="O411" i="4"/>
  <c r="O412" i="4"/>
  <c r="N412" i="4" s="1"/>
  <c r="O413" i="4"/>
  <c r="N413" i="4" s="1"/>
  <c r="O414" i="4"/>
  <c r="N414" i="4" s="1"/>
  <c r="O415" i="4"/>
  <c r="O416" i="4"/>
  <c r="O417" i="4"/>
  <c r="N417" i="4" s="1"/>
  <c r="O418" i="4"/>
  <c r="O419" i="4"/>
  <c r="O420" i="4"/>
  <c r="N420" i="4" s="1"/>
  <c r="O421" i="4"/>
  <c r="N421" i="4" s="1"/>
  <c r="O422" i="4"/>
  <c r="N422" i="4" s="1"/>
  <c r="O423" i="4"/>
  <c r="O424" i="4"/>
  <c r="O425" i="4"/>
  <c r="N425" i="4" s="1"/>
  <c r="O426" i="4"/>
  <c r="O427" i="4"/>
  <c r="O428" i="4"/>
  <c r="N428" i="4" s="1"/>
  <c r="O429" i="4"/>
  <c r="N429" i="4" s="1"/>
  <c r="O430" i="4"/>
  <c r="N430" i="4" s="1"/>
  <c r="O431" i="4"/>
  <c r="O432" i="4"/>
  <c r="O433" i="4"/>
  <c r="N433" i="4" s="1"/>
  <c r="O434" i="4"/>
  <c r="O435" i="4"/>
  <c r="O436" i="4"/>
  <c r="N436" i="4" s="1"/>
  <c r="O437" i="4"/>
  <c r="N437" i="4" s="1"/>
  <c r="O438" i="4"/>
  <c r="N438" i="4" s="1"/>
  <c r="O439" i="4"/>
  <c r="O440" i="4"/>
  <c r="O441" i="4"/>
  <c r="O442" i="4"/>
  <c r="O443" i="4"/>
  <c r="O444" i="4"/>
  <c r="N444" i="4" s="1"/>
  <c r="O445" i="4"/>
  <c r="N445" i="4" s="1"/>
  <c r="O446" i="4"/>
  <c r="N446" i="4" s="1"/>
  <c r="O447" i="4"/>
  <c r="O448" i="4"/>
  <c r="O449" i="4"/>
  <c r="O450" i="4"/>
  <c r="O451" i="4"/>
  <c r="O452" i="4"/>
  <c r="N452" i="4" s="1"/>
  <c r="O453" i="4"/>
  <c r="N453" i="4" s="1"/>
  <c r="O454" i="4"/>
  <c r="N454" i="4" s="1"/>
  <c r="O455" i="4"/>
  <c r="O456" i="4"/>
  <c r="O457" i="4"/>
  <c r="N457" i="4" s="1"/>
  <c r="O458" i="4"/>
  <c r="O459" i="4"/>
  <c r="O460" i="4"/>
  <c r="N460" i="4" s="1"/>
  <c r="O461" i="4"/>
  <c r="N461" i="4" s="1"/>
  <c r="O462" i="4"/>
  <c r="N462" i="4" s="1"/>
  <c r="O463" i="4"/>
  <c r="O464" i="4"/>
  <c r="O465" i="4"/>
  <c r="N465" i="4" s="1"/>
  <c r="O466" i="4"/>
  <c r="O467" i="4"/>
  <c r="O468" i="4"/>
  <c r="N468" i="4" s="1"/>
  <c r="O469" i="4"/>
  <c r="N469" i="4" s="1"/>
  <c r="O470" i="4"/>
  <c r="N470" i="4" s="1"/>
  <c r="O471" i="4"/>
  <c r="O472" i="4"/>
  <c r="O473" i="4"/>
  <c r="N473" i="4" s="1"/>
  <c r="O474" i="4"/>
  <c r="O475" i="4"/>
  <c r="O476" i="4"/>
  <c r="N476" i="4" s="1"/>
  <c r="O477" i="4"/>
  <c r="N477" i="4" s="1"/>
  <c r="O478" i="4"/>
  <c r="N478" i="4" s="1"/>
  <c r="O479" i="4"/>
  <c r="O480" i="4"/>
  <c r="O481" i="4"/>
  <c r="N481" i="4" s="1"/>
  <c r="O482" i="4"/>
  <c r="O483" i="4"/>
  <c r="O484" i="4"/>
  <c r="N484" i="4" s="1"/>
  <c r="O485" i="4"/>
  <c r="N485" i="4" s="1"/>
  <c r="O486" i="4"/>
  <c r="N486" i="4" s="1"/>
  <c r="O487" i="4"/>
  <c r="O488" i="4"/>
  <c r="O489" i="4"/>
  <c r="N489" i="4" s="1"/>
  <c r="O490" i="4"/>
  <c r="O491" i="4"/>
  <c r="O492" i="4"/>
  <c r="N492" i="4" s="1"/>
  <c r="O493" i="4"/>
  <c r="N493" i="4" s="1"/>
  <c r="O494" i="4"/>
  <c r="N494" i="4" s="1"/>
  <c r="O495" i="4"/>
  <c r="O496" i="4"/>
  <c r="O497" i="4"/>
  <c r="N497" i="4" s="1"/>
  <c r="O498" i="4"/>
  <c r="O499" i="4"/>
  <c r="O500" i="4"/>
  <c r="N500" i="4" s="1"/>
  <c r="O501" i="4"/>
  <c r="N501" i="4" s="1"/>
  <c r="O502" i="4"/>
  <c r="N502" i="4" s="1"/>
  <c r="O503" i="4"/>
  <c r="O504" i="4"/>
  <c r="O505" i="4"/>
  <c r="O506" i="4"/>
  <c r="O507" i="4"/>
  <c r="O508" i="4"/>
  <c r="N508" i="4" s="1"/>
  <c r="O509" i="4"/>
  <c r="N509" i="4" s="1"/>
  <c r="O510" i="4"/>
  <c r="N510" i="4" s="1"/>
  <c r="O511" i="4"/>
  <c r="O512" i="4"/>
  <c r="O513" i="4"/>
  <c r="O514" i="4"/>
  <c r="O515" i="4"/>
  <c r="R2" i="4"/>
  <c r="Q2" i="4"/>
  <c r="P2" i="4"/>
  <c r="O2" i="4"/>
  <c r="N3" i="3"/>
  <c r="N4" i="3"/>
  <c r="N5" i="3"/>
  <c r="N6" i="3"/>
  <c r="N7" i="3"/>
  <c r="N8" i="3"/>
  <c r="N9" i="3"/>
  <c r="N10" i="3"/>
  <c r="N289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456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202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8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181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463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11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250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222" i="3"/>
  <c r="N457" i="3"/>
  <c r="N458" i="3"/>
  <c r="N459" i="3"/>
  <c r="N460" i="3"/>
  <c r="N461" i="3"/>
  <c r="N462" i="3"/>
  <c r="N441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2" i="3"/>
  <c r="N3" i="8" l="1"/>
  <c r="N18" i="8"/>
  <c r="N31" i="8"/>
  <c r="N33" i="8"/>
  <c r="N35" i="8"/>
  <c r="N50" i="8"/>
  <c r="N63" i="8"/>
  <c r="N65" i="8"/>
  <c r="N67" i="8"/>
  <c r="N95" i="8"/>
  <c r="N97" i="8"/>
  <c r="N99" i="8"/>
  <c r="N120" i="8"/>
  <c r="N122" i="8"/>
  <c r="N157" i="8"/>
  <c r="N159" i="8"/>
  <c r="N161" i="8"/>
  <c r="N163" i="8"/>
  <c r="N184" i="8"/>
  <c r="N186" i="8"/>
  <c r="N221" i="8"/>
  <c r="N223" i="8"/>
  <c r="N225" i="8"/>
  <c r="N227" i="8"/>
  <c r="N248" i="8"/>
  <c r="N250" i="8"/>
  <c r="N285" i="8"/>
  <c r="N287" i="8"/>
  <c r="N289" i="8"/>
  <c r="N291" i="8"/>
  <c r="N312" i="8"/>
  <c r="N314" i="8"/>
  <c r="N349" i="8"/>
  <c r="N351" i="8"/>
  <c r="N353" i="8"/>
  <c r="N355" i="8"/>
  <c r="N374" i="8"/>
  <c r="N376" i="8"/>
  <c r="N378" i="8"/>
  <c r="N413" i="8"/>
  <c r="N415" i="8"/>
  <c r="N417" i="8"/>
  <c r="N419" i="8"/>
  <c r="N438" i="8"/>
  <c r="N440" i="8"/>
  <c r="N442" i="8"/>
  <c r="N477" i="8"/>
  <c r="N479" i="8"/>
  <c r="N481" i="8"/>
  <c r="N483" i="8"/>
  <c r="N502" i="8"/>
  <c r="N504" i="8"/>
  <c r="N506" i="8"/>
  <c r="N7" i="8"/>
  <c r="N9" i="8"/>
  <c r="N11" i="8"/>
  <c r="N26" i="8"/>
  <c r="N39" i="8"/>
  <c r="N41" i="8"/>
  <c r="N43" i="8"/>
  <c r="N58" i="8"/>
  <c r="N71" i="8"/>
  <c r="N73" i="8"/>
  <c r="N75" i="8"/>
  <c r="N109" i="8"/>
  <c r="N111" i="8"/>
  <c r="N113" i="8"/>
  <c r="N115" i="8"/>
  <c r="N118" i="8"/>
  <c r="N136" i="8"/>
  <c r="N138" i="8"/>
  <c r="N182" i="8"/>
  <c r="N200" i="8"/>
  <c r="N202" i="8"/>
  <c r="N246" i="8"/>
  <c r="N264" i="8"/>
  <c r="N266" i="8"/>
  <c r="N310" i="8"/>
  <c r="N326" i="8"/>
  <c r="N328" i="8"/>
  <c r="N330" i="8"/>
  <c r="N390" i="8"/>
  <c r="N392" i="8"/>
  <c r="N394" i="8"/>
  <c r="N454" i="8"/>
  <c r="N456" i="8"/>
  <c r="N458" i="8"/>
  <c r="N13" i="8"/>
  <c r="N24" i="8"/>
  <c r="N45" i="8"/>
  <c r="N56" i="8"/>
  <c r="N77" i="8"/>
  <c r="N88" i="8"/>
  <c r="N90" i="8"/>
  <c r="N117" i="8"/>
  <c r="N119" i="8"/>
  <c r="N121" i="8"/>
  <c r="N123" i="8"/>
  <c r="N126" i="8"/>
  <c r="N144" i="8"/>
  <c r="N146" i="8"/>
  <c r="N181" i="8"/>
  <c r="N183" i="8"/>
  <c r="N185" i="8"/>
  <c r="N187" i="8"/>
  <c r="N190" i="8"/>
  <c r="N208" i="8"/>
  <c r="N210" i="8"/>
  <c r="N245" i="8"/>
  <c r="N247" i="8"/>
  <c r="N249" i="8"/>
  <c r="N251" i="8"/>
  <c r="N254" i="8"/>
  <c r="N272" i="8"/>
  <c r="N274" i="8"/>
  <c r="N309" i="8"/>
  <c r="N311" i="8"/>
  <c r="N313" i="8"/>
  <c r="N315" i="8"/>
  <c r="N318" i="8"/>
  <c r="N334" i="8"/>
  <c r="N336" i="8"/>
  <c r="N338" i="8"/>
  <c r="N373" i="8"/>
  <c r="N375" i="8"/>
  <c r="N377" i="8"/>
  <c r="N379" i="8"/>
  <c r="N398" i="8"/>
  <c r="N400" i="8"/>
  <c r="N402" i="8"/>
  <c r="N437" i="8"/>
  <c r="N439" i="8"/>
  <c r="N441" i="8"/>
  <c r="N443" i="8"/>
  <c r="N462" i="8"/>
  <c r="N464" i="8"/>
  <c r="N466" i="8"/>
  <c r="N501" i="8"/>
  <c r="N503" i="8"/>
  <c r="N505" i="8"/>
  <c r="N507" i="8"/>
  <c r="N134" i="8"/>
  <c r="N189" i="8"/>
  <c r="N191" i="8"/>
  <c r="N193" i="8"/>
  <c r="N195" i="8"/>
  <c r="N198" i="8"/>
  <c r="N216" i="8"/>
  <c r="N218" i="8"/>
  <c r="N253" i="8"/>
  <c r="N255" i="8"/>
  <c r="N257" i="8"/>
  <c r="N259" i="8"/>
  <c r="N262" i="8"/>
  <c r="N280" i="8"/>
  <c r="N282" i="8"/>
  <c r="N317" i="8"/>
  <c r="N319" i="8"/>
  <c r="N321" i="8"/>
  <c r="N323" i="8"/>
  <c r="N342" i="8"/>
  <c r="N344" i="8"/>
  <c r="N346" i="8"/>
  <c r="N381" i="8"/>
  <c r="N383" i="8"/>
  <c r="N385" i="8"/>
  <c r="N387" i="8"/>
  <c r="N406" i="8"/>
  <c r="N408" i="8"/>
  <c r="N410" i="8"/>
  <c r="N445" i="8"/>
  <c r="N447" i="8"/>
  <c r="N449" i="8"/>
  <c r="N451" i="8"/>
  <c r="N470" i="8"/>
  <c r="N472" i="8"/>
  <c r="N474" i="8"/>
  <c r="N509" i="8"/>
  <c r="N511" i="8"/>
  <c r="N513" i="8"/>
  <c r="N515" i="8"/>
  <c r="N21" i="8"/>
  <c r="N32" i="8"/>
  <c r="N53" i="8"/>
  <c r="N64" i="8"/>
  <c r="N66" i="8"/>
  <c r="N85" i="8"/>
  <c r="N96" i="8"/>
  <c r="N98" i="8"/>
  <c r="N133" i="8"/>
  <c r="N135" i="8"/>
  <c r="N137" i="8"/>
  <c r="N139" i="8"/>
  <c r="N142" i="8"/>
  <c r="N160" i="8"/>
  <c r="N162" i="8"/>
  <c r="N197" i="8"/>
  <c r="N199" i="8"/>
  <c r="N201" i="8"/>
  <c r="N203" i="8"/>
  <c r="N206" i="8"/>
  <c r="N224" i="8"/>
  <c r="N226" i="8"/>
  <c r="N261" i="8"/>
  <c r="N263" i="8"/>
  <c r="N265" i="8"/>
  <c r="N267" i="8"/>
  <c r="N270" i="8"/>
  <c r="N288" i="8"/>
  <c r="N290" i="8"/>
  <c r="N325" i="8"/>
  <c r="N327" i="8"/>
  <c r="N329" i="8"/>
  <c r="N331" i="8"/>
  <c r="N350" i="8"/>
  <c r="N352" i="8"/>
  <c r="N354" i="8"/>
  <c r="N389" i="8"/>
  <c r="N391" i="8"/>
  <c r="N393" i="8"/>
  <c r="N395" i="8"/>
  <c r="N414" i="8"/>
  <c r="N416" i="8"/>
  <c r="N418" i="8"/>
  <c r="N453" i="8"/>
  <c r="N455" i="8"/>
  <c r="N457" i="8"/>
  <c r="N459" i="8"/>
  <c r="N478" i="8"/>
  <c r="N480" i="8"/>
  <c r="N482" i="8"/>
  <c r="N10" i="8"/>
  <c r="N23" i="8"/>
  <c r="N25" i="8"/>
  <c r="N27" i="8"/>
  <c r="N42" i="8"/>
  <c r="N55" i="8"/>
  <c r="N57" i="8"/>
  <c r="N59" i="8"/>
  <c r="N87" i="8"/>
  <c r="N89" i="8"/>
  <c r="N91" i="8"/>
  <c r="N104" i="8"/>
  <c r="N106" i="8"/>
  <c r="N141" i="8"/>
  <c r="N143" i="8"/>
  <c r="N145" i="8"/>
  <c r="N147" i="8"/>
  <c r="N150" i="8"/>
  <c r="N168" i="8"/>
  <c r="N170" i="8"/>
  <c r="N205" i="8"/>
  <c r="N207" i="8"/>
  <c r="N209" i="8"/>
  <c r="N211" i="8"/>
  <c r="N232" i="8"/>
  <c r="N234" i="8"/>
  <c r="N269" i="8"/>
  <c r="N271" i="8"/>
  <c r="N273" i="8"/>
  <c r="N275" i="8"/>
  <c r="N296" i="8"/>
  <c r="N298" i="8"/>
  <c r="N333" i="8"/>
  <c r="N335" i="8"/>
  <c r="N337" i="8"/>
  <c r="N339" i="8"/>
  <c r="N358" i="8"/>
  <c r="N360" i="8"/>
  <c r="N362" i="8"/>
  <c r="N397" i="8"/>
  <c r="N399" i="8"/>
  <c r="N401" i="8"/>
  <c r="N403" i="8"/>
  <c r="N461" i="8"/>
  <c r="N463" i="8"/>
  <c r="N465" i="8"/>
  <c r="N467" i="8"/>
  <c r="N8" i="8"/>
  <c r="N29" i="8"/>
  <c r="N40" i="8"/>
  <c r="N61" i="8"/>
  <c r="N72" i="8"/>
  <c r="N74" i="8"/>
  <c r="N93" i="8"/>
  <c r="N112" i="8"/>
  <c r="N114" i="8"/>
  <c r="N149" i="8"/>
  <c r="N151" i="8"/>
  <c r="N153" i="8"/>
  <c r="N155" i="8"/>
  <c r="N158" i="8"/>
  <c r="N176" i="8"/>
  <c r="N178" i="8"/>
  <c r="N213" i="8"/>
  <c r="N215" i="8"/>
  <c r="N217" i="8"/>
  <c r="N219" i="8"/>
  <c r="N222" i="8"/>
  <c r="N240" i="8"/>
  <c r="N242" i="8"/>
  <c r="N277" i="8"/>
  <c r="N279" i="8"/>
  <c r="N281" i="8"/>
  <c r="N283" i="8"/>
  <c r="N286" i="8"/>
  <c r="N304" i="8"/>
  <c r="N306" i="8"/>
  <c r="N341" i="8"/>
  <c r="N343" i="8"/>
  <c r="N345" i="8"/>
  <c r="N347" i="8"/>
  <c r="N366" i="8"/>
  <c r="N368" i="8"/>
  <c r="N370" i="8"/>
  <c r="N405" i="8"/>
  <c r="N407" i="8"/>
  <c r="N409" i="8"/>
  <c r="N411" i="8"/>
  <c r="N430" i="8"/>
  <c r="N432" i="8"/>
  <c r="N434" i="8"/>
  <c r="N469" i="8"/>
  <c r="N471" i="8"/>
  <c r="N473" i="8"/>
  <c r="N475" i="8"/>
  <c r="N494" i="8"/>
  <c r="N496" i="8"/>
  <c r="N498" i="8"/>
  <c r="N513" i="4"/>
  <c r="N449" i="4"/>
  <c r="N321" i="4"/>
  <c r="N257" i="4"/>
  <c r="N121" i="4"/>
  <c r="N65" i="4"/>
  <c r="N377" i="4"/>
  <c r="N249" i="4"/>
  <c r="N129" i="4"/>
  <c r="N385" i="4"/>
  <c r="N193" i="4"/>
  <c r="N505" i="4"/>
  <c r="N313" i="4"/>
  <c r="N57" i="4"/>
  <c r="N499" i="4"/>
  <c r="N483" i="4"/>
  <c r="N467" i="4"/>
  <c r="N451" i="4"/>
  <c r="N427" i="4"/>
  <c r="N411" i="4"/>
  <c r="N403" i="4"/>
  <c r="N387" i="4"/>
  <c r="N371" i="4"/>
  <c r="N355" i="4"/>
  <c r="N339" i="4"/>
  <c r="N323" i="4"/>
  <c r="N299" i="4"/>
  <c r="N275" i="4"/>
  <c r="N131" i="4"/>
  <c r="N11" i="4"/>
  <c r="N441" i="4"/>
  <c r="N185" i="4"/>
  <c r="N515" i="4"/>
  <c r="N507" i="4"/>
  <c r="N491" i="4"/>
  <c r="N475" i="4"/>
  <c r="N459" i="4"/>
  <c r="N443" i="4"/>
  <c r="N435" i="4"/>
  <c r="N419" i="4"/>
  <c r="N395" i="4"/>
  <c r="N379" i="4"/>
  <c r="N363" i="4"/>
  <c r="N347" i="4"/>
  <c r="N331" i="4"/>
  <c r="N315" i="4"/>
  <c r="N307" i="4"/>
  <c r="N291" i="4"/>
  <c r="N283" i="4"/>
  <c r="N267" i="4"/>
  <c r="N259" i="4"/>
  <c r="N251" i="4"/>
  <c r="N243" i="4"/>
  <c r="N235" i="4"/>
  <c r="N227" i="4"/>
  <c r="N219" i="4"/>
  <c r="N211" i="4"/>
  <c r="N203" i="4"/>
  <c r="N195" i="4"/>
  <c r="N187" i="4"/>
  <c r="N179" i="4"/>
  <c r="N171" i="4"/>
  <c r="N163" i="4"/>
  <c r="N155" i="4"/>
  <c r="N147" i="4"/>
  <c r="N139" i="4"/>
  <c r="N123" i="4"/>
  <c r="N115" i="4"/>
  <c r="N107" i="4"/>
  <c r="N99" i="4"/>
  <c r="N91" i="4"/>
  <c r="N83" i="4"/>
  <c r="N75" i="4"/>
  <c r="N67" i="4"/>
  <c r="N59" i="4"/>
  <c r="N51" i="4"/>
  <c r="N43" i="4"/>
  <c r="N35" i="4"/>
  <c r="N27" i="4"/>
  <c r="N19" i="4"/>
  <c r="N3" i="4"/>
  <c r="N488" i="4"/>
  <c r="N440" i="4"/>
  <c r="N384" i="4"/>
  <c r="N328" i="4"/>
  <c r="N272" i="4"/>
  <c r="N216" i="4"/>
  <c r="N176" i="4"/>
  <c r="N128" i="4"/>
  <c r="N88" i="4"/>
  <c r="N48" i="4"/>
  <c r="N32" i="4"/>
  <c r="N24" i="4"/>
  <c r="N496" i="4"/>
  <c r="N464" i="4"/>
  <c r="N424" i="4"/>
  <c r="N376" i="4"/>
  <c r="N336" i="4"/>
  <c r="N280" i="4"/>
  <c r="N232" i="4"/>
  <c r="N184" i="4"/>
  <c r="N144" i="4"/>
  <c r="N96" i="4"/>
  <c r="N40" i="4"/>
  <c r="N472" i="4"/>
  <c r="N432" i="4"/>
  <c r="N392" i="4"/>
  <c r="N344" i="4"/>
  <c r="N296" i="4"/>
  <c r="N256" i="4"/>
  <c r="N208" i="4"/>
  <c r="N160" i="4"/>
  <c r="N112" i="4"/>
  <c r="N56" i="4"/>
  <c r="N480" i="4"/>
  <c r="N416" i="4"/>
  <c r="N360" i="4"/>
  <c r="N320" i="4"/>
  <c r="N288" i="4"/>
  <c r="N224" i="4"/>
  <c r="N168" i="4"/>
  <c r="N120" i="4"/>
  <c r="N72" i="4"/>
  <c r="N506" i="4"/>
  <c r="N466" i="4"/>
  <c r="N442" i="4"/>
  <c r="N410" i="4"/>
  <c r="N394" i="4"/>
  <c r="N370" i="4"/>
  <c r="N346" i="4"/>
  <c r="N314" i="4"/>
  <c r="N290" i="4"/>
  <c r="N266" i="4"/>
  <c r="N250" i="4"/>
  <c r="N226" i="4"/>
  <c r="N210" i="4"/>
  <c r="N202" i="4"/>
  <c r="N178" i="4"/>
  <c r="N170" i="4"/>
  <c r="N162" i="4"/>
  <c r="N154" i="4"/>
  <c r="N146" i="4"/>
  <c r="N138" i="4"/>
  <c r="N130" i="4"/>
  <c r="N122" i="4"/>
  <c r="N114" i="4"/>
  <c r="N106" i="4"/>
  <c r="N98" i="4"/>
  <c r="N90" i="4"/>
  <c r="N82" i="4"/>
  <c r="N74" i="4"/>
  <c r="N66" i="4"/>
  <c r="N58" i="4"/>
  <c r="N50" i="4"/>
  <c r="N42" i="4"/>
  <c r="N34" i="4"/>
  <c r="N26" i="4"/>
  <c r="N18" i="4"/>
  <c r="N10" i="4"/>
  <c r="N504" i="4"/>
  <c r="N456" i="4"/>
  <c r="N408" i="4"/>
  <c r="N368" i="4"/>
  <c r="N312" i="4"/>
  <c r="N264" i="4"/>
  <c r="N200" i="4"/>
  <c r="N152" i="4"/>
  <c r="N104" i="4"/>
  <c r="N8" i="4"/>
  <c r="N514" i="4"/>
  <c r="N490" i="4"/>
  <c r="N474" i="4"/>
  <c r="N450" i="4"/>
  <c r="N426" i="4"/>
  <c r="N402" i="4"/>
  <c r="N378" i="4"/>
  <c r="N362" i="4"/>
  <c r="N338" i="4"/>
  <c r="N322" i="4"/>
  <c r="N298" i="4"/>
  <c r="N274" i="4"/>
  <c r="N258" i="4"/>
  <c r="N234" i="4"/>
  <c r="N218" i="4"/>
  <c r="N194" i="4"/>
  <c r="N512" i="4"/>
  <c r="N448" i="4"/>
  <c r="N400" i="4"/>
  <c r="N352" i="4"/>
  <c r="N304" i="4"/>
  <c r="N240" i="4"/>
  <c r="N192" i="4"/>
  <c r="N136" i="4"/>
  <c r="N80" i="4"/>
  <c r="N16" i="4"/>
  <c r="N498" i="4"/>
  <c r="N482" i="4"/>
  <c r="N458" i="4"/>
  <c r="N434" i="4"/>
  <c r="N418" i="4"/>
  <c r="N386" i="4"/>
  <c r="N354" i="4"/>
  <c r="N330" i="4"/>
  <c r="N306" i="4"/>
  <c r="N282" i="4"/>
  <c r="N242" i="4"/>
  <c r="N186" i="4"/>
  <c r="N248" i="4"/>
  <c r="N64" i="4"/>
  <c r="N511" i="4"/>
  <c r="N503" i="4"/>
  <c r="N495" i="4"/>
  <c r="N487" i="4"/>
  <c r="N479" i="4"/>
  <c r="N471" i="4"/>
  <c r="N463" i="4"/>
  <c r="N455" i="4"/>
  <c r="N447" i="4"/>
  <c r="N439" i="4"/>
  <c r="N431" i="4"/>
  <c r="N423" i="4"/>
  <c r="N415" i="4"/>
  <c r="N407" i="4"/>
  <c r="N399" i="4"/>
  <c r="N391" i="4"/>
  <c r="N383" i="4"/>
  <c r="N375" i="4"/>
  <c r="N367" i="4"/>
  <c r="N359" i="4"/>
  <c r="N351" i="4"/>
  <c r="N343" i="4"/>
  <c r="N335" i="4"/>
  <c r="N327" i="4"/>
  <c r="N319" i="4"/>
  <c r="N311" i="4"/>
  <c r="N303" i="4"/>
  <c r="N295" i="4"/>
  <c r="N287" i="4"/>
  <c r="N279" i="4"/>
  <c r="N271" i="4"/>
  <c r="N263" i="4"/>
  <c r="N255" i="4"/>
  <c r="N247" i="4"/>
  <c r="N239" i="4"/>
  <c r="N231" i="4"/>
  <c r="N223" i="4"/>
  <c r="N215" i="4"/>
  <c r="N207" i="4"/>
  <c r="N199" i="4"/>
  <c r="N191" i="4"/>
  <c r="N183" i="4"/>
  <c r="N175" i="4"/>
  <c r="N167" i="4"/>
  <c r="N159" i="4"/>
  <c r="N151" i="4"/>
  <c r="N143" i="4"/>
  <c r="N135" i="4"/>
  <c r="N127" i="4"/>
  <c r="N119" i="4"/>
  <c r="N111" i="4"/>
  <c r="N103" i="4"/>
  <c r="N95" i="4"/>
  <c r="N87" i="4"/>
  <c r="N79" i="4"/>
  <c r="N71" i="4"/>
  <c r="N63" i="4"/>
  <c r="N55" i="4"/>
  <c r="N47" i="4"/>
  <c r="N39" i="4"/>
  <c r="N31" i="4"/>
  <c r="N23" i="4"/>
  <c r="N15" i="4"/>
  <c r="N7" i="4"/>
  <c r="N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6E1A67-8F2E-48B6-9BDD-A54E5A4297A7}" keepAlive="1" name="Zapytanie — punkty_rekrutacyjne" description="Połączenie z zapytaniem „punkty_rekrutacyjne” w skoroszycie." type="5" refreshedVersion="0" background="1">
    <dbPr connection="Provider=Microsoft.Mashup.OleDb.1;Data Source=$Workbook$;Location=punkty_rekrutacyjne;Extended Properties=&quot;&quot;" command="SELECT * FROM [punkty_rekrutacyjne]"/>
  </connection>
</connections>
</file>

<file path=xl/sharedStrings.xml><?xml version="1.0" encoding="utf-8"?>
<sst xmlns="http://schemas.openxmlformats.org/spreadsheetml/2006/main" count="6282" uniqueCount="701">
  <si>
    <t>Nazwisko</t>
  </si>
  <si>
    <t>Imie</t>
  </si>
  <si>
    <t>Osiagniecia</t>
  </si>
  <si>
    <t>Zachowanie</t>
  </si>
  <si>
    <t>JP</t>
  </si>
  <si>
    <t>Mat</t>
  </si>
  <si>
    <t>Biol</t>
  </si>
  <si>
    <t>Geog</t>
  </si>
  <si>
    <t>GHP</t>
  </si>
  <si>
    <t>GHH</t>
  </si>
  <si>
    <t>GMM</t>
  </si>
  <si>
    <t>GMP</t>
  </si>
  <si>
    <t>GJP</t>
  </si>
  <si>
    <t>Swistek</t>
  </si>
  <si>
    <t>Damian</t>
  </si>
  <si>
    <t>Kowalik</t>
  </si>
  <si>
    <t>Mateusz</t>
  </si>
  <si>
    <t>Hintzke</t>
  </si>
  <si>
    <t>Nikola</t>
  </si>
  <si>
    <t>Grzelecki</t>
  </si>
  <si>
    <t>Oliwier</t>
  </si>
  <si>
    <t>Hinz</t>
  </si>
  <si>
    <t>Wasiluk</t>
  </si>
  <si>
    <t>Bartlomiej</t>
  </si>
  <si>
    <t>Wasilewski</t>
  </si>
  <si>
    <t>Silakowski</t>
  </si>
  <si>
    <t>Henryk</t>
  </si>
  <si>
    <t>Kaftan</t>
  </si>
  <si>
    <t>Monika</t>
  </si>
  <si>
    <t>Pettka</t>
  </si>
  <si>
    <t>Jan</t>
  </si>
  <si>
    <t>Zygmunt</t>
  </si>
  <si>
    <t>Adam</t>
  </si>
  <si>
    <t>Lukasik</t>
  </si>
  <si>
    <t>Magdalena</t>
  </si>
  <si>
    <t>Hanczarek</t>
  </si>
  <si>
    <t>Olivier</t>
  </si>
  <si>
    <t>Samulczyk</t>
  </si>
  <si>
    <t>Julia</t>
  </si>
  <si>
    <t>Rutkiewicz</t>
  </si>
  <si>
    <t>Bialaszewski</t>
  </si>
  <si>
    <t>Piotr</t>
  </si>
  <si>
    <t>Berezniewicz</t>
  </si>
  <si>
    <t>Wiktor</t>
  </si>
  <si>
    <t>Sobol</t>
  </si>
  <si>
    <t>Filip</t>
  </si>
  <si>
    <t>Kowalczyk</t>
  </si>
  <si>
    <t>Senger</t>
  </si>
  <si>
    <t>Joanna</t>
  </si>
  <si>
    <t>Sadowska</t>
  </si>
  <si>
    <t>Wojcicki</t>
  </si>
  <si>
    <t>Aleks</t>
  </si>
  <si>
    <t>Szczepkowski</t>
  </si>
  <si>
    <t>Dorian</t>
  </si>
  <si>
    <t>Stanislawska</t>
  </si>
  <si>
    <t>Hanna</t>
  </si>
  <si>
    <t>Salanowska</t>
  </si>
  <si>
    <t>Skrzydlak</t>
  </si>
  <si>
    <t>Izabela</t>
  </si>
  <si>
    <t>Koszlaga</t>
  </si>
  <si>
    <t>Glowinska</t>
  </si>
  <si>
    <t>Patrycja</t>
  </si>
  <si>
    <t>Sautycz</t>
  </si>
  <si>
    <t>Kowalczuk</t>
  </si>
  <si>
    <t>Maria</t>
  </si>
  <si>
    <t>Sochacka</t>
  </si>
  <si>
    <t>Inka</t>
  </si>
  <si>
    <t>Filarska</t>
  </si>
  <si>
    <t>Sandra</t>
  </si>
  <si>
    <t>Przestrzelski</t>
  </si>
  <si>
    <t>Jakub</t>
  </si>
  <si>
    <t>Labuda</t>
  </si>
  <si>
    <t>Marcel</t>
  </si>
  <si>
    <t>Broukin</t>
  </si>
  <si>
    <t>Zofia</t>
  </si>
  <si>
    <t>Kozlowska</t>
  </si>
  <si>
    <t>Malgorzata</t>
  </si>
  <si>
    <t>Jakubowski</t>
  </si>
  <si>
    <t>Nikodem</t>
  </si>
  <si>
    <t>Sarnowski</t>
  </si>
  <si>
    <t>Ignacy</t>
  </si>
  <si>
    <t>Riegel</t>
  </si>
  <si>
    <t>Wierzbicki</t>
  </si>
  <si>
    <t>Antoni</t>
  </si>
  <si>
    <t>Sachse</t>
  </si>
  <si>
    <t>Jurewicz</t>
  </si>
  <si>
    <t>Nadia</t>
  </si>
  <si>
    <t>Steinborn</t>
  </si>
  <si>
    <t>Siminski</t>
  </si>
  <si>
    <t>Machalski</t>
  </si>
  <si>
    <t>Maciej</t>
  </si>
  <si>
    <t>Porydzaj</t>
  </si>
  <si>
    <t>Spanowski</t>
  </si>
  <si>
    <t>Zmurko</t>
  </si>
  <si>
    <t>Sibiga</t>
  </si>
  <si>
    <t>Makowska</t>
  </si>
  <si>
    <t>Luiza</t>
  </si>
  <si>
    <t>Machol</t>
  </si>
  <si>
    <t>Szmitko</t>
  </si>
  <si>
    <t>Dominik</t>
  </si>
  <si>
    <t>Leman</t>
  </si>
  <si>
    <t>Maja</t>
  </si>
  <si>
    <t>Rembisz</t>
  </si>
  <si>
    <t>Stankiewicz</t>
  </si>
  <si>
    <t>Zurek</t>
  </si>
  <si>
    <t>Reczmin</t>
  </si>
  <si>
    <t>Swierszcz</t>
  </si>
  <si>
    <t>Cyprian</t>
  </si>
  <si>
    <t>Wizniewski</t>
  </si>
  <si>
    <t xml:space="preserve">Perez </t>
  </si>
  <si>
    <t>Karolina</t>
  </si>
  <si>
    <t>Adamiak</t>
  </si>
  <si>
    <t>Zylinska</t>
  </si>
  <si>
    <t>Adelajda</t>
  </si>
  <si>
    <t>Kulkowska</t>
  </si>
  <si>
    <t>Dzierzak</t>
  </si>
  <si>
    <t>Engel</t>
  </si>
  <si>
    <t>Urszula</t>
  </si>
  <si>
    <t>Yuksek</t>
  </si>
  <si>
    <t>Adrian</t>
  </si>
  <si>
    <t>Zdrojewska</t>
  </si>
  <si>
    <t>Agata</t>
  </si>
  <si>
    <t>Zgadzaj</t>
  </si>
  <si>
    <t>Zawisza</t>
  </si>
  <si>
    <t>Duszota</t>
  </si>
  <si>
    <t>Nowak</t>
  </si>
  <si>
    <t>Kacper</t>
  </si>
  <si>
    <t>Lyszcz</t>
  </si>
  <si>
    <t>Strack</t>
  </si>
  <si>
    <t>Mazurkiewicz</t>
  </si>
  <si>
    <t>Lena</t>
  </si>
  <si>
    <t>Potocki</t>
  </si>
  <si>
    <t>Furmaniak</t>
  </si>
  <si>
    <t>Pawel</t>
  </si>
  <si>
    <t>Strupiechowski</t>
  </si>
  <si>
    <t>Reclaw</t>
  </si>
  <si>
    <t>Tomaszewski</t>
  </si>
  <si>
    <t>Bruno</t>
  </si>
  <si>
    <t>Szczepanska</t>
  </si>
  <si>
    <t>Emilia</t>
  </si>
  <si>
    <t>Spychala</t>
  </si>
  <si>
    <t>Szczucki</t>
  </si>
  <si>
    <t>Marzec</t>
  </si>
  <si>
    <t>Rembiewski</t>
  </si>
  <si>
    <t>Geszczynski</t>
  </si>
  <si>
    <t>Patryk</t>
  </si>
  <si>
    <t>Wamka</t>
  </si>
  <si>
    <t>Anastazja</t>
  </si>
  <si>
    <t>Bialkowska</t>
  </si>
  <si>
    <t>Kulakowski</t>
  </si>
  <si>
    <t>Marcjusz</t>
  </si>
  <si>
    <t>Przytula</t>
  </si>
  <si>
    <t>Bsk</t>
  </si>
  <si>
    <t>Arleta</t>
  </si>
  <si>
    <t>Derek</t>
  </si>
  <si>
    <t>Stanislaw</t>
  </si>
  <si>
    <t>Felisiak</t>
  </si>
  <si>
    <t>Sofie</t>
  </si>
  <si>
    <t>Lupa</t>
  </si>
  <si>
    <t>Maksymilian</t>
  </si>
  <si>
    <t>Wojciechowska</t>
  </si>
  <si>
    <t>Alicja</t>
  </si>
  <si>
    <t>Pieterson</t>
  </si>
  <si>
    <t>Hrywniak</t>
  </si>
  <si>
    <t>Olaf</t>
  </si>
  <si>
    <t>Ciosinski</t>
  </si>
  <si>
    <t>Jacek</t>
  </si>
  <si>
    <t>Helinska</t>
  </si>
  <si>
    <t>Frankowska</t>
  </si>
  <si>
    <t>Roksana</t>
  </si>
  <si>
    <t>Brydzinski</t>
  </si>
  <si>
    <t>Mariusz</t>
  </si>
  <si>
    <t>Mrozik</t>
  </si>
  <si>
    <t>Klein</t>
  </si>
  <si>
    <t>Michalina</t>
  </si>
  <si>
    <t>Strehlke</t>
  </si>
  <si>
    <t>Ciesielska</t>
  </si>
  <si>
    <t>Wiktoria</t>
  </si>
  <si>
    <t>Wydrzynski</t>
  </si>
  <si>
    <t>Beniuszys</t>
  </si>
  <si>
    <t>Mikolaj</t>
  </si>
  <si>
    <t>Witkowski</t>
  </si>
  <si>
    <t>Andrea</t>
  </si>
  <si>
    <t>Dsbrowski</t>
  </si>
  <si>
    <t>Procinska</t>
  </si>
  <si>
    <t>Julianna</t>
  </si>
  <si>
    <t>Radziszewski</t>
  </si>
  <si>
    <t>Kolodziejczyk</t>
  </si>
  <si>
    <t>Marta</t>
  </si>
  <si>
    <t>Radomski</t>
  </si>
  <si>
    <t>Lange</t>
  </si>
  <si>
    <t>Kornatowski</t>
  </si>
  <si>
    <t>Pistek</t>
  </si>
  <si>
    <t>Kamila</t>
  </si>
  <si>
    <t>Jurczyk</t>
  </si>
  <si>
    <t>Cieslik</t>
  </si>
  <si>
    <t>Trzebiatowska</t>
  </si>
  <si>
    <t>Anna</t>
  </si>
  <si>
    <t>Kluziak</t>
  </si>
  <si>
    <t>Matylda</t>
  </si>
  <si>
    <t>Mierzejewski</t>
  </si>
  <si>
    <t>Kornel</t>
  </si>
  <si>
    <t>Szreder</t>
  </si>
  <si>
    <t>Dawid</t>
  </si>
  <si>
    <t>Rybinski</t>
  </si>
  <si>
    <t>Igor</t>
  </si>
  <si>
    <t>Burza</t>
  </si>
  <si>
    <t>Wojcik</t>
  </si>
  <si>
    <t>Pawelec</t>
  </si>
  <si>
    <t>Micun</t>
  </si>
  <si>
    <t>Krzysztof</t>
  </si>
  <si>
    <t>Jablonski</t>
  </si>
  <si>
    <t>Kwidczynska</t>
  </si>
  <si>
    <t>Leoniuk</t>
  </si>
  <si>
    <t>Tomaszewska</t>
  </si>
  <si>
    <t>Kurasik</t>
  </si>
  <si>
    <t>Marcin</t>
  </si>
  <si>
    <t>Grzsdzielska</t>
  </si>
  <si>
    <t>Nina</t>
  </si>
  <si>
    <t>Krynicki</t>
  </si>
  <si>
    <t>Miszkin</t>
  </si>
  <si>
    <t>Wilk</t>
  </si>
  <si>
    <t>Amelia</t>
  </si>
  <si>
    <t>Gibas</t>
  </si>
  <si>
    <t>Nowakowska</t>
  </si>
  <si>
    <t>Kornelia</t>
  </si>
  <si>
    <t>Broszkow</t>
  </si>
  <si>
    <t>Jama</t>
  </si>
  <si>
    <t>Chojnacki</t>
  </si>
  <si>
    <t>Klebba</t>
  </si>
  <si>
    <t>Tomczyk</t>
  </si>
  <si>
    <t>Wojciechowski</t>
  </si>
  <si>
    <t>Aleksander</t>
  </si>
  <si>
    <t>Glac</t>
  </si>
  <si>
    <t>Lewita</t>
  </si>
  <si>
    <t>Kurowska</t>
  </si>
  <si>
    <t>Lutczyk</t>
  </si>
  <si>
    <t>Laskowski</t>
  </si>
  <si>
    <t>Adamczyk</t>
  </si>
  <si>
    <t>Zuzanna</t>
  </si>
  <si>
    <t>Wolski</t>
  </si>
  <si>
    <t>Dsbrowa</t>
  </si>
  <si>
    <t>Szymon</t>
  </si>
  <si>
    <t>Jackowska</t>
  </si>
  <si>
    <t>Natasza</t>
  </si>
  <si>
    <t>Korenkiewicz</t>
  </si>
  <si>
    <t>Marika</t>
  </si>
  <si>
    <t>Iwanowski</t>
  </si>
  <si>
    <t>Arendt</t>
  </si>
  <si>
    <t>Wojciech</t>
  </si>
  <si>
    <t>Tarkowska</t>
  </si>
  <si>
    <t>Antonina</t>
  </si>
  <si>
    <t>Murczynska</t>
  </si>
  <si>
    <t>Laura</t>
  </si>
  <si>
    <t>Kado</t>
  </si>
  <si>
    <t>Wieczerzak</t>
  </si>
  <si>
    <t>Jakudczyk</t>
  </si>
  <si>
    <t>Gryniewicz</t>
  </si>
  <si>
    <t>Kaliszuk</t>
  </si>
  <si>
    <t>Majtas</t>
  </si>
  <si>
    <t>Lucja</t>
  </si>
  <si>
    <t>Grzesiak</t>
  </si>
  <si>
    <t>Freda</t>
  </si>
  <si>
    <t>Janczynski</t>
  </si>
  <si>
    <t>Kossakowska</t>
  </si>
  <si>
    <t>Korda</t>
  </si>
  <si>
    <t>Klukowska</t>
  </si>
  <si>
    <t>Araucz</t>
  </si>
  <si>
    <t>Kuban</t>
  </si>
  <si>
    <t>Rutkowski</t>
  </si>
  <si>
    <t>MaźNiewski</t>
  </si>
  <si>
    <t>Pawlak</t>
  </si>
  <si>
    <t>Zasowska</t>
  </si>
  <si>
    <t>Agnieszka</t>
  </si>
  <si>
    <t>Korkosz</t>
  </si>
  <si>
    <t>Olczak</t>
  </si>
  <si>
    <t>Kaminski</t>
  </si>
  <si>
    <t>Wlodarczyk</t>
  </si>
  <si>
    <t>Grubba</t>
  </si>
  <si>
    <t>Oskar</t>
  </si>
  <si>
    <t>Ligman</t>
  </si>
  <si>
    <t>Filbrandt</t>
  </si>
  <si>
    <t>Formela</t>
  </si>
  <si>
    <t>Dľbrowski</t>
  </si>
  <si>
    <t>Rowinski</t>
  </si>
  <si>
    <t>Szymanska</t>
  </si>
  <si>
    <t>Ariuna</t>
  </si>
  <si>
    <t>Gozdalik</t>
  </si>
  <si>
    <t>Oliwia</t>
  </si>
  <si>
    <t>Pinker</t>
  </si>
  <si>
    <t>Jaglowski</t>
  </si>
  <si>
    <t>Wendt</t>
  </si>
  <si>
    <t>Obarowska</t>
  </si>
  <si>
    <t>Baranowska</t>
  </si>
  <si>
    <t>Bonislawska</t>
  </si>
  <si>
    <t>JoźWiak</t>
  </si>
  <si>
    <t>Wejner</t>
  </si>
  <si>
    <t>Wojcicka</t>
  </si>
  <si>
    <t>Koprowski</t>
  </si>
  <si>
    <t>Maurycy</t>
  </si>
  <si>
    <t>Cicherski</t>
  </si>
  <si>
    <t>Olitkowska</t>
  </si>
  <si>
    <t>Klaudia</t>
  </si>
  <si>
    <t>Majewski</t>
  </si>
  <si>
    <t>Podbereski</t>
  </si>
  <si>
    <t>Wójcik</t>
  </si>
  <si>
    <t>Alan</t>
  </si>
  <si>
    <t>Latika</t>
  </si>
  <si>
    <t>Piotrowski</t>
  </si>
  <si>
    <t>Bialek</t>
  </si>
  <si>
    <t>Galla</t>
  </si>
  <si>
    <t>Paulina</t>
  </si>
  <si>
    <t>Glasmann</t>
  </si>
  <si>
    <t>Paula</t>
  </si>
  <si>
    <t>Aniol</t>
  </si>
  <si>
    <t>Cuper</t>
  </si>
  <si>
    <t>Olga</t>
  </si>
  <si>
    <t>Becla</t>
  </si>
  <si>
    <t>Grodzki</t>
  </si>
  <si>
    <t>Ulwan</t>
  </si>
  <si>
    <t>Goszczynski</t>
  </si>
  <si>
    <t>Bigos</t>
  </si>
  <si>
    <t>Zosia</t>
  </si>
  <si>
    <t>Waclawski</t>
  </si>
  <si>
    <t>Bartosz</t>
  </si>
  <si>
    <t>Wludyka</t>
  </si>
  <si>
    <t>Alexander</t>
  </si>
  <si>
    <t>Andrzej</t>
  </si>
  <si>
    <t>Florek</t>
  </si>
  <si>
    <t>Korbus</t>
  </si>
  <si>
    <t>Piechalski</t>
  </si>
  <si>
    <t>Depczynski</t>
  </si>
  <si>
    <t>Erbel</t>
  </si>
  <si>
    <t>Kutnik</t>
  </si>
  <si>
    <t>Dabrowski</t>
  </si>
  <si>
    <t>Ciupa</t>
  </si>
  <si>
    <t>Michalak</t>
  </si>
  <si>
    <t>Mieczkowski</t>
  </si>
  <si>
    <t>Krystian</t>
  </si>
  <si>
    <t>Jaglowska</t>
  </si>
  <si>
    <t>Natalia</t>
  </si>
  <si>
    <t>Czechowska</t>
  </si>
  <si>
    <t>Domanski</t>
  </si>
  <si>
    <t>Sebastian</t>
  </si>
  <si>
    <t>Kotowska</t>
  </si>
  <si>
    <t>Marianna</t>
  </si>
  <si>
    <t>Nieradko</t>
  </si>
  <si>
    <t>Kajetan</t>
  </si>
  <si>
    <t>Mendrek</t>
  </si>
  <si>
    <t>Trawicki</t>
  </si>
  <si>
    <t>Borys</t>
  </si>
  <si>
    <t>Sobon</t>
  </si>
  <si>
    <t>Cejnog</t>
  </si>
  <si>
    <t>Jazkowiec</t>
  </si>
  <si>
    <t>Jarosiewicz</t>
  </si>
  <si>
    <t>Milosz</t>
  </si>
  <si>
    <t>Kmiecik</t>
  </si>
  <si>
    <t>Martyna</t>
  </si>
  <si>
    <t>Kilanowska</t>
  </si>
  <si>
    <t>Markowiak</t>
  </si>
  <si>
    <t>Leon</t>
  </si>
  <si>
    <t>Sikora</t>
  </si>
  <si>
    <t>Hubert</t>
  </si>
  <si>
    <t>Szczuplinska</t>
  </si>
  <si>
    <t>Szubarczyk</t>
  </si>
  <si>
    <t>Krefta</t>
  </si>
  <si>
    <t>Malinowski</t>
  </si>
  <si>
    <t>Lukasz</t>
  </si>
  <si>
    <t>Czerlonek</t>
  </si>
  <si>
    <t>Weronika</t>
  </si>
  <si>
    <t>Szostakowska</t>
  </si>
  <si>
    <t>Dominika</t>
  </si>
  <si>
    <t>Kaleta</t>
  </si>
  <si>
    <t>Kocur</t>
  </si>
  <si>
    <t>Wit</t>
  </si>
  <si>
    <t>Rybienik</t>
  </si>
  <si>
    <t>Puzlecka</t>
  </si>
  <si>
    <t>Juralewicz</t>
  </si>
  <si>
    <t>Piwowarek</t>
  </si>
  <si>
    <t>Jurczak</t>
  </si>
  <si>
    <t>Ogrodowczyk</t>
  </si>
  <si>
    <t>Konstancja</t>
  </si>
  <si>
    <t>Strojek</t>
  </si>
  <si>
    <t>Zaremba</t>
  </si>
  <si>
    <t>Aleksandra</t>
  </si>
  <si>
    <t>Gorska</t>
  </si>
  <si>
    <t>Garus</t>
  </si>
  <si>
    <t>Siemistkowska</t>
  </si>
  <si>
    <t>Jagoda</t>
  </si>
  <si>
    <t>Ulewicz</t>
  </si>
  <si>
    <t>Tokarska</t>
  </si>
  <si>
    <t>Antonia</t>
  </si>
  <si>
    <t>Krupa</t>
  </si>
  <si>
    <t>Swirk</t>
  </si>
  <si>
    <t>Kizielewicz</t>
  </si>
  <si>
    <t>Michal</t>
  </si>
  <si>
    <t>Kecler</t>
  </si>
  <si>
    <t>Milena</t>
  </si>
  <si>
    <t>Zochowska</t>
  </si>
  <si>
    <t>Adriana</t>
  </si>
  <si>
    <t>Lewandowska</t>
  </si>
  <si>
    <t>Górlikowski</t>
  </si>
  <si>
    <t>Patrick</t>
  </si>
  <si>
    <t>Kowalska</t>
  </si>
  <si>
    <t>Katende</t>
  </si>
  <si>
    <t>Tokarz</t>
  </si>
  <si>
    <t>Radosz</t>
  </si>
  <si>
    <t>Komorowska</t>
  </si>
  <si>
    <t>Zakrzewska</t>
  </si>
  <si>
    <t>Ewa</t>
  </si>
  <si>
    <t>Rohde</t>
  </si>
  <si>
    <t>Smoliniec</t>
  </si>
  <si>
    <t>Franciszek</t>
  </si>
  <si>
    <t>Paluchowski</t>
  </si>
  <si>
    <t>Julian</t>
  </si>
  <si>
    <t>Bielawski</t>
  </si>
  <si>
    <t>Tymoteusz</t>
  </si>
  <si>
    <t>Pawlun</t>
  </si>
  <si>
    <t>Zielinski</t>
  </si>
  <si>
    <t>Majchrzak</t>
  </si>
  <si>
    <t>Koczakowska</t>
  </si>
  <si>
    <t>Brzozowski</t>
  </si>
  <si>
    <t>Jakubczyk</t>
  </si>
  <si>
    <t>Krol</t>
  </si>
  <si>
    <t>Bialy</t>
  </si>
  <si>
    <t>Viktor</t>
  </si>
  <si>
    <t>Drozd</t>
  </si>
  <si>
    <t>Radoslaw</t>
  </si>
  <si>
    <t>Srokowska</t>
  </si>
  <si>
    <t>Helena</t>
  </si>
  <si>
    <t>Iga</t>
  </si>
  <si>
    <t>Cejman</t>
  </si>
  <si>
    <t>Stambuldzys</t>
  </si>
  <si>
    <t>Adryan</t>
  </si>
  <si>
    <t>Xawery</t>
  </si>
  <si>
    <t>Kwidzinski</t>
  </si>
  <si>
    <t>Marceli</t>
  </si>
  <si>
    <t>Ostrowska</t>
  </si>
  <si>
    <t>Kelly</t>
  </si>
  <si>
    <t>Karmasz</t>
  </si>
  <si>
    <t>Smiecinska</t>
  </si>
  <si>
    <t>Czecholinska</t>
  </si>
  <si>
    <t>PodraZka</t>
  </si>
  <si>
    <t>Kmita</t>
  </si>
  <si>
    <t>Gachewicz</t>
  </si>
  <si>
    <t>Pola</t>
  </si>
  <si>
    <t>Pilewski</t>
  </si>
  <si>
    <t>Paliniewicz</t>
  </si>
  <si>
    <t>Katarzyna</t>
  </si>
  <si>
    <t>Lubinska</t>
  </si>
  <si>
    <t>Konstanski</t>
  </si>
  <si>
    <t>Warda</t>
  </si>
  <si>
    <t>Stefan</t>
  </si>
  <si>
    <t>Mrozek</t>
  </si>
  <si>
    <t>Drapinska</t>
  </si>
  <si>
    <t>Dawidowska</t>
  </si>
  <si>
    <t>Lesiak</t>
  </si>
  <si>
    <t>Szarmach</t>
  </si>
  <si>
    <t>Burghard</t>
  </si>
  <si>
    <t>Michalska</t>
  </si>
  <si>
    <t>Mezynska</t>
  </si>
  <si>
    <t>Kaminska</t>
  </si>
  <si>
    <t>Edel</t>
  </si>
  <si>
    <t>Vanessa</t>
  </si>
  <si>
    <t>Gadomska</t>
  </si>
  <si>
    <t>Bieniasz</t>
  </si>
  <si>
    <t>Kozlowski</t>
  </si>
  <si>
    <t>Karewicz</t>
  </si>
  <si>
    <t>Hinca</t>
  </si>
  <si>
    <t>Mielcarz</t>
  </si>
  <si>
    <t>Zebrowski</t>
  </si>
  <si>
    <t>Janik</t>
  </si>
  <si>
    <t>Radziun</t>
  </si>
  <si>
    <t>Stawirej</t>
  </si>
  <si>
    <t>Brankiewicz</t>
  </si>
  <si>
    <t>Wojniusz</t>
  </si>
  <si>
    <t>Borowiec</t>
  </si>
  <si>
    <t>Tymon</t>
  </si>
  <si>
    <t>Kuszner</t>
  </si>
  <si>
    <t>Pawlowski</t>
  </si>
  <si>
    <t>Boleski</t>
  </si>
  <si>
    <t>GnieźDzinska</t>
  </si>
  <si>
    <t>Gazarkiewicz</t>
  </si>
  <si>
    <t>Gawinkowski</t>
  </si>
  <si>
    <t>Lendzion</t>
  </si>
  <si>
    <t>Skrzek</t>
  </si>
  <si>
    <t>Reda</t>
  </si>
  <si>
    <t>Krolikowska</t>
  </si>
  <si>
    <t>Szydlowski</t>
  </si>
  <si>
    <t>Daniel</t>
  </si>
  <si>
    <t>Sawicka</t>
  </si>
  <si>
    <t>Jakubiak</t>
  </si>
  <si>
    <t>Maciejewski</t>
  </si>
  <si>
    <t>Kachniarz</t>
  </si>
  <si>
    <t>Pluzinska</t>
  </si>
  <si>
    <t>Kaja</t>
  </si>
  <si>
    <t>Domachowska</t>
  </si>
  <si>
    <t>Skrodzki</t>
  </si>
  <si>
    <t>Gabriel</t>
  </si>
  <si>
    <t>Skoropinski</t>
  </si>
  <si>
    <t>Zak</t>
  </si>
  <si>
    <t>Hildebrandt</t>
  </si>
  <si>
    <t>Papciak</t>
  </si>
  <si>
    <t>Jaroslaw</t>
  </si>
  <si>
    <t>Malanowski</t>
  </si>
  <si>
    <t>Osojca</t>
  </si>
  <si>
    <t>Kinga</t>
  </si>
  <si>
    <t>Szulfer</t>
  </si>
  <si>
    <t>Daria</t>
  </si>
  <si>
    <t>Konieczka</t>
  </si>
  <si>
    <t>Komasinska</t>
  </si>
  <si>
    <t>Gajdecka</t>
  </si>
  <si>
    <t>Galikowska</t>
  </si>
  <si>
    <t>Schmidtke</t>
  </si>
  <si>
    <t>Romanowska</t>
  </si>
  <si>
    <t>Iwa</t>
  </si>
  <si>
    <t>Kukulski</t>
  </si>
  <si>
    <t>Wakuluk</t>
  </si>
  <si>
    <t>Angelika</t>
  </si>
  <si>
    <t>Wabiszewska</t>
  </si>
  <si>
    <t>Aniela</t>
  </si>
  <si>
    <t>Bialowss</t>
  </si>
  <si>
    <t>Gondek</t>
  </si>
  <si>
    <t>Górski</t>
  </si>
  <si>
    <t>Szlage</t>
  </si>
  <si>
    <t>Stiewa</t>
  </si>
  <si>
    <t>Gabriela</t>
  </si>
  <si>
    <t>Janiszewska</t>
  </si>
  <si>
    <t>Orlowski</t>
  </si>
  <si>
    <t>Kulik</t>
  </si>
  <si>
    <t>Marek</t>
  </si>
  <si>
    <t>Szymaniak</t>
  </si>
  <si>
    <t>Bianka</t>
  </si>
  <si>
    <t>Soja</t>
  </si>
  <si>
    <t>Macholla</t>
  </si>
  <si>
    <t>Duchcik</t>
  </si>
  <si>
    <t>Victoria</t>
  </si>
  <si>
    <t>Subocz</t>
  </si>
  <si>
    <t>Emma</t>
  </si>
  <si>
    <t>Matusiewicz</t>
  </si>
  <si>
    <t>Ksawery</t>
  </si>
  <si>
    <t>Czapkowski</t>
  </si>
  <si>
    <t>Cudzilo</t>
  </si>
  <si>
    <t>Frost</t>
  </si>
  <si>
    <t>Tylec</t>
  </si>
  <si>
    <t>Niewierowska</t>
  </si>
  <si>
    <t>Bankowski</t>
  </si>
  <si>
    <t>Stopinska</t>
  </si>
  <si>
    <t>Odya</t>
  </si>
  <si>
    <t>Jaroszek</t>
  </si>
  <si>
    <t>Deszcz</t>
  </si>
  <si>
    <t>Simon</t>
  </si>
  <si>
    <t>Bujalski</t>
  </si>
  <si>
    <t>Tobiasz</t>
  </si>
  <si>
    <t>Kowalina</t>
  </si>
  <si>
    <t>Broner</t>
  </si>
  <si>
    <t>Majsik</t>
  </si>
  <si>
    <t>Borkowski</t>
  </si>
  <si>
    <t>Tomasz</t>
  </si>
  <si>
    <t>Górecki</t>
  </si>
  <si>
    <t>Gerygk</t>
  </si>
  <si>
    <t>Gerono</t>
  </si>
  <si>
    <t>Dsbkowska</t>
  </si>
  <si>
    <t>Lang</t>
  </si>
  <si>
    <t>Glowacz</t>
  </si>
  <si>
    <t>Olstowska</t>
  </si>
  <si>
    <t>Kik</t>
  </si>
  <si>
    <t>Chajecki</t>
  </si>
  <si>
    <t>Karol</t>
  </si>
  <si>
    <t>Wizniewska</t>
  </si>
  <si>
    <t>Szewczyk</t>
  </si>
  <si>
    <t>Edyta</t>
  </si>
  <si>
    <t>Basek</t>
  </si>
  <si>
    <t>Stiburska</t>
  </si>
  <si>
    <t>Dreger</t>
  </si>
  <si>
    <t>Wanessa</t>
  </si>
  <si>
    <t>Sorr</t>
  </si>
  <si>
    <t>Marjanski</t>
  </si>
  <si>
    <t>Sokolnicka</t>
  </si>
  <si>
    <t>Inga</t>
  </si>
  <si>
    <t>Sciebur</t>
  </si>
  <si>
    <t>Polubinski</t>
  </si>
  <si>
    <t>Makarski</t>
  </si>
  <si>
    <t>Freitag</t>
  </si>
  <si>
    <t>Aftanas</t>
  </si>
  <si>
    <t>Polonska</t>
  </si>
  <si>
    <t>Justyna</t>
  </si>
  <si>
    <t>Piwowarska</t>
  </si>
  <si>
    <t>Pomierska</t>
  </si>
  <si>
    <t>Sulek</t>
  </si>
  <si>
    <t>Fabian</t>
  </si>
  <si>
    <t>Uszkiewicz</t>
  </si>
  <si>
    <t>Wentland</t>
  </si>
  <si>
    <t>Baniamin</t>
  </si>
  <si>
    <t>Zebala</t>
  </si>
  <si>
    <t>Chudzik</t>
  </si>
  <si>
    <t>Jedrzejewski</t>
  </si>
  <si>
    <t>Hajdamowicz</t>
  </si>
  <si>
    <t>Ropel</t>
  </si>
  <si>
    <t>Budzynski</t>
  </si>
  <si>
    <t>Tadeusz</t>
  </si>
  <si>
    <t>Zbieska</t>
  </si>
  <si>
    <t>Skrzynska</t>
  </si>
  <si>
    <t>Karmazyn</t>
  </si>
  <si>
    <t>Mira</t>
  </si>
  <si>
    <t>Bienkowska</t>
  </si>
  <si>
    <t>Chabowski</t>
  </si>
  <si>
    <t>Markiewicz</t>
  </si>
  <si>
    <t>Lila</t>
  </si>
  <si>
    <t>Dalek</t>
  </si>
  <si>
    <t>Klos</t>
  </si>
  <si>
    <t>Kedzierski</t>
  </si>
  <si>
    <t>Irek</t>
  </si>
  <si>
    <t>Smal</t>
  </si>
  <si>
    <t>Muczynski</t>
  </si>
  <si>
    <t>Kasjan</t>
  </si>
  <si>
    <t>Butajlo</t>
  </si>
  <si>
    <t>Kass</t>
  </si>
  <si>
    <t>Jenda</t>
  </si>
  <si>
    <t>Markowski</t>
  </si>
  <si>
    <t>Kuba</t>
  </si>
  <si>
    <t>Mľdry</t>
  </si>
  <si>
    <t>Ostwald</t>
  </si>
  <si>
    <t>Begdon</t>
  </si>
  <si>
    <t>Panfil</t>
  </si>
  <si>
    <t>Wnuczynska</t>
  </si>
  <si>
    <t>Rychter</t>
  </si>
  <si>
    <t>Gasinski</t>
  </si>
  <si>
    <t>Toczek</t>
  </si>
  <si>
    <t>Sokolowska</t>
  </si>
  <si>
    <t>Zawizlak</t>
  </si>
  <si>
    <t>Golunska</t>
  </si>
  <si>
    <t>Piskor</t>
  </si>
  <si>
    <t>Kalina</t>
  </si>
  <si>
    <t>Szumala</t>
  </si>
  <si>
    <t>Blanka</t>
  </si>
  <si>
    <t>Jakuszewska</t>
  </si>
  <si>
    <t>Jezierska</t>
  </si>
  <si>
    <t>Kisiela</t>
  </si>
  <si>
    <t>Macierzynska</t>
  </si>
  <si>
    <t>Sosnowski</t>
  </si>
  <si>
    <t>Winiarczyk</t>
  </si>
  <si>
    <t>Bialkowski</t>
  </si>
  <si>
    <t>Lehmann</t>
  </si>
  <si>
    <t>Gnacinski</t>
  </si>
  <si>
    <t>Marchewicz</t>
  </si>
  <si>
    <t>Lucjan</t>
  </si>
  <si>
    <t>Zurowski</t>
  </si>
  <si>
    <t>Morawski</t>
  </si>
  <si>
    <t>Klaudiusz</t>
  </si>
  <si>
    <t>Sitarska</t>
  </si>
  <si>
    <t>Izabella</t>
  </si>
  <si>
    <t>Bianga</t>
  </si>
  <si>
    <t>Jank</t>
  </si>
  <si>
    <t>Janukowicz</t>
  </si>
  <si>
    <t>Richter</t>
  </si>
  <si>
    <t>Zarzeczanski</t>
  </si>
  <si>
    <t>Jasik</t>
  </si>
  <si>
    <t>Krawiec</t>
  </si>
  <si>
    <t>Olszowka</t>
  </si>
  <si>
    <t>Klara</t>
  </si>
  <si>
    <t>Wieruszewski</t>
  </si>
  <si>
    <t>Jarosz</t>
  </si>
  <si>
    <t>Daczkowska</t>
  </si>
  <si>
    <t>Bastian</t>
  </si>
  <si>
    <t>Witold</t>
  </si>
  <si>
    <t>Lsczynska</t>
  </si>
  <si>
    <t>Szubiga</t>
  </si>
  <si>
    <t>Winiarski</t>
  </si>
  <si>
    <t>Mazurowski</t>
  </si>
  <si>
    <t>Olewnik</t>
  </si>
  <si>
    <t>Kruz</t>
  </si>
  <si>
    <t xml:space="preserve">czy </t>
  </si>
  <si>
    <t>Etykiety wierszy</t>
  </si>
  <si>
    <t>Suma końcowa</t>
  </si>
  <si>
    <t>pkt</t>
  </si>
  <si>
    <t>jp</t>
  </si>
  <si>
    <t>mat</t>
  </si>
  <si>
    <t>biol</t>
  </si>
  <si>
    <t>geog</t>
  </si>
  <si>
    <t>licz</t>
  </si>
  <si>
    <t>Suma z licz</t>
  </si>
  <si>
    <t>wynik</t>
  </si>
  <si>
    <t>liczba</t>
  </si>
  <si>
    <t>czy</t>
  </si>
  <si>
    <t>czy 100</t>
  </si>
  <si>
    <t>czy 101</t>
  </si>
  <si>
    <t>czy 102</t>
  </si>
  <si>
    <t>czy 103</t>
  </si>
  <si>
    <t>czy 104</t>
  </si>
  <si>
    <t>Matematyka</t>
  </si>
  <si>
    <t>Język polski</t>
  </si>
  <si>
    <t>Geografia</t>
  </si>
  <si>
    <t>Biologia</t>
  </si>
  <si>
    <t>dopuszczający</t>
  </si>
  <si>
    <t>dostateczny</t>
  </si>
  <si>
    <t>dobry</t>
  </si>
  <si>
    <t>bardzo dobry</t>
  </si>
  <si>
    <t>celujący</t>
  </si>
  <si>
    <t>pkt za przedmioty+osiagniecia</t>
  </si>
  <si>
    <t>pkt za wyniki egzaminu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</si>
</sst>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NumberFormat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NumberFormat="1" applyFont="1" applyBorder="1"/>
    <xf numFmtId="0" fontId="0" fillId="0" borderId="5" xfId="0" applyNumberFormat="1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Oceny w danych przedmiotach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'4'!$P$2</c:f>
              <c:strCache>
                <c:ptCount val="1"/>
                <c:pt idx="0">
                  <c:v>Język polski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'4'!$O$3:$O$7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'4'!$P$3:$P$7</c:f>
              <c:numCache>
                <c:formatCode>General</c:formatCode>
                <c:ptCount val="5"/>
                <c:pt idx="0">
                  <c:v>95</c:v>
                </c:pt>
                <c:pt idx="1">
                  <c:v>96</c:v>
                </c:pt>
                <c:pt idx="2">
                  <c:v>101</c:v>
                </c:pt>
                <c:pt idx="3">
                  <c:v>108</c:v>
                </c:pt>
                <c:pt idx="4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52-41DE-89A6-2D00A2A0F7C5}"/>
            </c:ext>
          </c:extLst>
        </c:ser>
        <c:ser>
          <c:idx val="1"/>
          <c:order val="1"/>
          <c:tx>
            <c:strRef>
              <c:f>'4'!$Q$2</c:f>
              <c:strCache>
                <c:ptCount val="1"/>
                <c:pt idx="0">
                  <c:v>Matematyka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'4'!$O$3:$O$7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'4'!$Q$3:$Q$7</c:f>
              <c:numCache>
                <c:formatCode>General</c:formatCode>
                <c:ptCount val="5"/>
                <c:pt idx="0">
                  <c:v>110</c:v>
                </c:pt>
                <c:pt idx="1">
                  <c:v>106</c:v>
                </c:pt>
                <c:pt idx="2">
                  <c:v>100</c:v>
                </c:pt>
                <c:pt idx="3">
                  <c:v>97</c:v>
                </c:pt>
                <c:pt idx="4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52-41DE-89A6-2D00A2A0F7C5}"/>
            </c:ext>
          </c:extLst>
        </c:ser>
        <c:ser>
          <c:idx val="2"/>
          <c:order val="2"/>
          <c:tx>
            <c:strRef>
              <c:f>'4'!$R$2</c:f>
              <c:strCache>
                <c:ptCount val="1"/>
                <c:pt idx="0">
                  <c:v>Biologia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'4'!$O$3:$O$7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'4'!$R$3:$R$7</c:f>
              <c:numCache>
                <c:formatCode>General</c:formatCode>
                <c:ptCount val="5"/>
                <c:pt idx="0">
                  <c:v>101</c:v>
                </c:pt>
                <c:pt idx="1">
                  <c:v>105</c:v>
                </c:pt>
                <c:pt idx="2">
                  <c:v>94</c:v>
                </c:pt>
                <c:pt idx="3">
                  <c:v>110</c:v>
                </c:pt>
                <c:pt idx="4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52-41DE-89A6-2D00A2A0F7C5}"/>
            </c:ext>
          </c:extLst>
        </c:ser>
        <c:ser>
          <c:idx val="3"/>
          <c:order val="3"/>
          <c:tx>
            <c:strRef>
              <c:f>'4'!$S$2</c:f>
              <c:strCache>
                <c:ptCount val="1"/>
                <c:pt idx="0">
                  <c:v>Geografia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'4'!$O$3:$O$7</c:f>
              <c:strCache>
                <c:ptCount val="5"/>
                <c:pt idx="0">
                  <c:v>dopuszczający</c:v>
                </c:pt>
                <c:pt idx="1">
                  <c:v>dostateczny</c:v>
                </c:pt>
                <c:pt idx="2">
                  <c:v>dobry</c:v>
                </c:pt>
                <c:pt idx="3">
                  <c:v>bardzo dobry</c:v>
                </c:pt>
                <c:pt idx="4">
                  <c:v>celujący</c:v>
                </c:pt>
              </c:strCache>
            </c:strRef>
          </c:cat>
          <c:val>
            <c:numRef>
              <c:f>'4'!$S$3:$S$7</c:f>
              <c:numCache>
                <c:formatCode>General</c:formatCode>
                <c:ptCount val="5"/>
                <c:pt idx="0">
                  <c:v>112</c:v>
                </c:pt>
                <c:pt idx="1">
                  <c:v>97</c:v>
                </c:pt>
                <c:pt idx="2">
                  <c:v>96</c:v>
                </c:pt>
                <c:pt idx="3">
                  <c:v>97</c:v>
                </c:pt>
                <c:pt idx="4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52-41DE-89A6-2D00A2A0F7C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65339248"/>
        <c:axId val="1165332048"/>
      </c:barChart>
      <c:catAx>
        <c:axId val="11653392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ocena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5332048"/>
        <c:crosses val="autoZero"/>
        <c:auto val="1"/>
        <c:lblAlgn val="ctr"/>
        <c:lblOffset val="100"/>
        <c:noMultiLvlLbl val="0"/>
      </c:catAx>
      <c:valAx>
        <c:axId val="116533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</a:t>
                </a:r>
                <a:r>
                  <a:rPr lang="pl-PL" baseline="0"/>
                  <a:t> procent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6533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60325</xdr:colOff>
      <xdr:row>2</xdr:row>
      <xdr:rowOff>98425</xdr:rowOff>
    </xdr:from>
    <xdr:to>
      <xdr:col>15</xdr:col>
      <xdr:colOff>574675</xdr:colOff>
      <xdr:row>17</xdr:row>
      <xdr:rowOff>79375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43B039DA-A060-B6EC-20EF-A99A609A2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48.856821064815" createdVersion="8" refreshedVersion="8" minRefreshableVersion="3" recordCount="514" xr:uid="{67D0DC01-04F6-434B-BD1E-98AE4CFB4001}">
  <cacheSource type="worksheet">
    <worksheetSource ref="A1:S515" sheet="2"/>
  </cacheSource>
  <cacheFields count="19">
    <cacheField name="Nazwisko" numFmtId="0">
      <sharedItems/>
    </cacheField>
    <cacheField name="Imie" numFmtId="0">
      <sharedItems/>
    </cacheField>
    <cacheField name="Osiagniecia" numFmtId="0">
      <sharedItems containsSemiMixedTypes="0" containsString="0" containsNumber="1" containsInteger="1" minValue="0" maxValue="8"/>
    </cacheField>
    <cacheField name="Zachowanie" numFmtId="0">
      <sharedItems containsSemiMixedTypes="0" containsString="0" containsNumber="1" containsInteger="1" minValue="2" maxValue="6"/>
    </cacheField>
    <cacheField name="JP" numFmtId="0">
      <sharedItems containsSemiMixedTypes="0" containsString="0" containsNumber="1" containsInteger="1" minValue="2" maxValue="6"/>
    </cacheField>
    <cacheField name="Mat" numFmtId="0">
      <sharedItems containsSemiMixedTypes="0" containsString="0" containsNumber="1" containsInteger="1" minValue="2" maxValue="6"/>
    </cacheField>
    <cacheField name="Biol" numFmtId="0">
      <sharedItems containsSemiMixedTypes="0" containsString="0" containsNumber="1" containsInteger="1" minValue="2" maxValue="6"/>
    </cacheField>
    <cacheField name="Geog" numFmtId="0">
      <sharedItems containsSemiMixedTypes="0" containsString="0" containsNumber="1" containsInteger="1" minValue="2" maxValue="6"/>
    </cacheField>
    <cacheField name="GHP" numFmtId="0">
      <sharedItems containsSemiMixedTypes="0" containsString="0" containsNumber="1" containsInteger="1" minValue="1" maxValue="100"/>
    </cacheField>
    <cacheField name="GHH" numFmtId="0">
      <sharedItems containsSemiMixedTypes="0" containsString="0" containsNumber="1" containsInteger="1" minValue="1" maxValue="100"/>
    </cacheField>
    <cacheField name="GMM" numFmtId="0">
      <sharedItems containsSemiMixedTypes="0" containsString="0" containsNumber="1" containsInteger="1" minValue="1" maxValue="100"/>
    </cacheField>
    <cacheField name="GMP" numFmtId="0">
      <sharedItems containsSemiMixedTypes="0" containsString="0" containsNumber="1" containsInteger="1" minValue="1" maxValue="100"/>
    </cacheField>
    <cacheField name="GJP" numFmtId="0">
      <sharedItems containsSemiMixedTypes="0" containsString="0" containsNumber="1" containsInteger="1" minValue="1" maxValue="100"/>
    </cacheField>
    <cacheField name="pkt" numFmtId="0">
      <sharedItems containsSemiMixedTypes="0" containsString="0" containsNumber="1" minValue="21.5" maxValue="84.6" count="278">
        <n v="57"/>
        <n v="51.4"/>
        <n v="77.099999999999994"/>
        <n v="68.8"/>
        <n v="49"/>
        <n v="35.799999999999997"/>
        <n v="52.6"/>
        <n v="33"/>
        <n v="44.2"/>
        <n v="55.2"/>
        <n v="56.5"/>
        <n v="63.2"/>
        <n v="42.2"/>
        <n v="45.4"/>
        <n v="56.8"/>
        <n v="48"/>
        <n v="45.2"/>
        <n v="43.7"/>
        <n v="49.8"/>
        <n v="43.3"/>
        <n v="84.5"/>
        <n v="48.9"/>
        <n v="48.5"/>
        <n v="47.5"/>
        <n v="44"/>
        <n v="48.7"/>
        <n v="64.2"/>
        <n v="35.6"/>
        <n v="55.6"/>
        <n v="42.7"/>
        <n v="45.7"/>
        <n v="50"/>
        <n v="68"/>
        <n v="61.8"/>
        <n v="57.9"/>
        <n v="61.2"/>
        <n v="53.9"/>
        <n v="63.7"/>
        <n v="41.2"/>
        <n v="54.4"/>
        <n v="53.3"/>
        <n v="49.5"/>
        <n v="47.1"/>
        <n v="50.5"/>
        <n v="62.9"/>
        <n v="60.8"/>
        <n v="60.6"/>
        <n v="58.8"/>
        <n v="56.4"/>
        <n v="47.4"/>
        <n v="72.8"/>
        <n v="62.6"/>
        <n v="63"/>
        <n v="59.3"/>
        <n v="80.099999999999994"/>
        <n v="56.1"/>
        <n v="46.8"/>
        <n v="59.2"/>
        <n v="53.1"/>
        <n v="45.5"/>
        <n v="57.2"/>
        <n v="47.6"/>
        <n v="45.3"/>
        <n v="68.2"/>
        <n v="35.9"/>
        <n v="53.5"/>
        <n v="58.9"/>
        <n v="67.7"/>
        <n v="27.6"/>
        <n v="54"/>
        <n v="51.8"/>
        <n v="62.3"/>
        <n v="56.3"/>
        <n v="52.7"/>
        <n v="42.6"/>
        <n v="45.9"/>
        <n v="65.599999999999994"/>
        <n v="49.9"/>
        <n v="40.700000000000003"/>
        <n v="51.2"/>
        <n v="63.5"/>
        <n v="50.2"/>
        <n v="55.8"/>
        <n v="31"/>
        <n v="66.2"/>
        <n v="48.6"/>
        <n v="60"/>
        <n v="55"/>
        <n v="37.799999999999997"/>
        <n v="52.5"/>
        <n v="52.9"/>
        <n v="59.7"/>
        <n v="34.200000000000003"/>
        <n v="61"/>
        <n v="78.5"/>
        <n v="54.9"/>
        <n v="38.4"/>
        <n v="32.299999999999997"/>
        <n v="59.5"/>
        <n v="44.8"/>
        <n v="27.7"/>
        <n v="36.1"/>
        <n v="50.7"/>
        <n v="51.7"/>
        <n v="46.1"/>
        <n v="46.3"/>
        <n v="61.7"/>
        <n v="48.1"/>
        <n v="42.9"/>
        <n v="48.2"/>
        <n v="62.4"/>
        <n v="39.4"/>
        <n v="54.6"/>
        <n v="50.6"/>
        <n v="39.799999999999997"/>
        <n v="43.5"/>
        <n v="58.4"/>
        <n v="42.1"/>
        <n v="40.799999999999997"/>
        <n v="53.4"/>
        <n v="40.299999999999997"/>
        <n v="59.8"/>
        <n v="74.099999999999994"/>
        <n v="57.3"/>
        <n v="38.200000000000003"/>
        <n v="47.8"/>
        <n v="67.400000000000006"/>
        <n v="33.4"/>
        <n v="52"/>
        <n v="57.5"/>
        <n v="28.4"/>
        <n v="49.7"/>
        <n v="55.7"/>
        <n v="84.6"/>
        <n v="65.099999999999994"/>
        <n v="58.6"/>
        <n v="56.9"/>
        <n v="59.6"/>
        <n v="72.2"/>
        <n v="54.8"/>
        <n v="55.4"/>
        <n v="50.9"/>
        <n v="37.5"/>
        <n v="56"/>
        <n v="41.3"/>
        <n v="47.3"/>
        <n v="51.3"/>
        <n v="47"/>
        <n v="71.7"/>
        <n v="61.3"/>
        <n v="60.9"/>
        <n v="52.3"/>
        <n v="51.6"/>
        <n v="45.1"/>
        <n v="45"/>
        <n v="42.8"/>
        <n v="64.8"/>
        <n v="42"/>
        <n v="43.1"/>
        <n v="51.5"/>
        <n v="50.4"/>
        <n v="37.299999999999997"/>
        <n v="44.6"/>
        <n v="55.3"/>
        <n v="59"/>
        <n v="39.1"/>
        <n v="49.2"/>
        <n v="21.5"/>
        <n v="46.2"/>
        <n v="57.1"/>
        <n v="39.5"/>
        <n v="57.8"/>
        <n v="55.5"/>
        <n v="69.8"/>
        <n v="38.700000000000003"/>
        <n v="70.099999999999994"/>
        <n v="46.5"/>
        <n v="50.8"/>
        <n v="69.900000000000006"/>
        <n v="69.3"/>
        <n v="32.9"/>
        <n v="64.900000000000006"/>
        <n v="38.6"/>
        <n v="60.7"/>
        <n v="31.7"/>
        <n v="54.1"/>
        <n v="72"/>
        <n v="51"/>
        <n v="54.2"/>
        <n v="29.8"/>
        <n v="52.1"/>
        <n v="45.6"/>
        <n v="53.7"/>
        <n v="53.6"/>
        <n v="70.400000000000006"/>
        <n v="70.3"/>
        <n v="53.2"/>
        <n v="63.3"/>
        <n v="63.1"/>
        <n v="48.3"/>
        <n v="69"/>
        <n v="64.3"/>
        <n v="58.3"/>
        <n v="49.1"/>
        <n v="52.2"/>
        <n v="44.9"/>
        <n v="46.7"/>
        <n v="49.4"/>
        <n v="41.5"/>
        <n v="66.099999999999994"/>
        <n v="52.4"/>
        <n v="27.9"/>
        <n v="43.2"/>
        <n v="64.7"/>
        <n v="46.9"/>
        <n v="63.9"/>
        <n v="34.6"/>
        <n v="54.7"/>
        <n v="61.9"/>
        <n v="72.3"/>
        <n v="62"/>
        <n v="43.6"/>
        <n v="60.4"/>
        <n v="75.400000000000006"/>
        <n v="65"/>
        <n v="34"/>
        <n v="32.700000000000003"/>
        <n v="44.1"/>
        <n v="58.5"/>
        <n v="68.3"/>
        <n v="53.8"/>
        <n v="61.1"/>
        <n v="32.4"/>
        <n v="37.6"/>
        <n v="34.5"/>
        <n v="32"/>
        <n v="39"/>
        <n v="50.1"/>
        <n v="33.299999999999997"/>
        <n v="62.2"/>
        <n v="60.3"/>
        <n v="69.2"/>
        <n v="61.6"/>
        <n v="42.3"/>
        <n v="56.6"/>
        <n v="60.1"/>
        <n v="37.200000000000003"/>
        <n v="65.5"/>
        <n v="28"/>
        <n v="64"/>
        <n v="30.7"/>
        <n v="69.599999999999994"/>
        <n v="48.4"/>
        <n v="43.4"/>
        <n v="39.9"/>
        <n v="49.6"/>
        <n v="40.4"/>
        <n v="66.7"/>
        <n v="39.700000000000003"/>
        <n v="40.1"/>
        <n v="55.9"/>
        <n v="67.3"/>
        <n v="31.2"/>
        <n v="54.3"/>
        <n v="47.2"/>
        <n v="46.6"/>
        <n v="30.6"/>
        <n v="40"/>
        <n v="56.7"/>
        <n v="38.299999999999997"/>
        <n v="41.8"/>
        <n v="65.2"/>
        <n v="41"/>
        <n v="64.5"/>
        <n v="63.6"/>
        <n v="41.7"/>
        <n v="44.5"/>
        <n v="33.5"/>
      </sharedItems>
    </cacheField>
    <cacheField name="jp2" numFmtId="0">
      <sharedItems containsSemiMixedTypes="0" containsString="0" containsNumber="1" containsInteger="1" minValue="0" maxValue="10"/>
    </cacheField>
    <cacheField name="mat2" numFmtId="0">
      <sharedItems containsSemiMixedTypes="0" containsString="0" containsNumber="1" containsInteger="1" minValue="0" maxValue="10"/>
    </cacheField>
    <cacheField name="biol2" numFmtId="0">
      <sharedItems containsSemiMixedTypes="0" containsString="0" containsNumber="1" containsInteger="1" minValue="0" maxValue="10"/>
    </cacheField>
    <cacheField name="geog2" numFmtId="0">
      <sharedItems containsSemiMixedTypes="0" containsString="0" containsNumber="1" containsInteger="1" minValue="0" maxValue="10"/>
    </cacheField>
    <cacheField name="licz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4">
  <r>
    <s v="Swistek"/>
    <s v="Damian"/>
    <n v="0"/>
    <n v="4"/>
    <n v="4"/>
    <n v="5"/>
    <n v="6"/>
    <n v="6"/>
    <n v="62"/>
    <n v="13"/>
    <n v="26"/>
    <n v="67"/>
    <n v="62"/>
    <x v="0"/>
    <n v="6"/>
    <n v="8"/>
    <n v="10"/>
    <n v="10"/>
    <n v="1"/>
  </r>
  <r>
    <s v="Kowalik"/>
    <s v="Mateusz"/>
    <n v="7"/>
    <n v="4"/>
    <n v="4"/>
    <n v="2"/>
    <n v="5"/>
    <n v="6"/>
    <n v="90"/>
    <n v="8"/>
    <n v="21"/>
    <n v="52"/>
    <n v="33"/>
    <x v="1"/>
    <n v="6"/>
    <n v="0"/>
    <n v="8"/>
    <n v="10"/>
    <n v="1"/>
  </r>
  <r>
    <s v="Hintzke"/>
    <s v="Nikola"/>
    <n v="7"/>
    <n v="4"/>
    <n v="4"/>
    <n v="6"/>
    <n v="6"/>
    <n v="5"/>
    <n v="96"/>
    <n v="99"/>
    <n v="16"/>
    <n v="85"/>
    <n v="65"/>
    <x v="2"/>
    <n v="6"/>
    <n v="10"/>
    <n v="10"/>
    <n v="8"/>
    <n v="1"/>
  </r>
  <r>
    <s v="Grzelecki"/>
    <s v="Oliwier"/>
    <n v="8"/>
    <n v="6"/>
    <n v="4"/>
    <n v="4"/>
    <n v="3"/>
    <n v="5"/>
    <n v="17"/>
    <n v="100"/>
    <n v="100"/>
    <n v="100"/>
    <n v="31"/>
    <x v="3"/>
    <n v="6"/>
    <n v="6"/>
    <n v="4"/>
    <n v="8"/>
    <n v="1"/>
  </r>
  <r>
    <s v="Hinz"/>
    <s v="Nikola"/>
    <n v="5"/>
    <n v="4"/>
    <n v="2"/>
    <n v="4"/>
    <n v="5"/>
    <n v="4"/>
    <n v="20"/>
    <n v="28"/>
    <n v="58"/>
    <n v="86"/>
    <n v="48"/>
    <x v="4"/>
    <n v="0"/>
    <n v="6"/>
    <n v="8"/>
    <n v="6"/>
    <n v="1"/>
  </r>
  <r>
    <s v="Wasiluk"/>
    <s v="Bartlomiej"/>
    <n v="7"/>
    <n v="3"/>
    <n v="2"/>
    <n v="2"/>
    <n v="2"/>
    <n v="3"/>
    <n v="77"/>
    <n v="10"/>
    <n v="11"/>
    <n v="72"/>
    <n v="78"/>
    <x v="5"/>
    <n v="0"/>
    <n v="0"/>
    <n v="0"/>
    <n v="4"/>
    <n v="1"/>
  </r>
  <r>
    <s v="Wasilewski"/>
    <s v="Bartlomiej"/>
    <n v="8"/>
    <n v="6"/>
    <n v="6"/>
    <n v="5"/>
    <n v="5"/>
    <n v="2"/>
    <n v="75"/>
    <n v="25"/>
    <n v="5"/>
    <n v="3"/>
    <n v="58"/>
    <x v="6"/>
    <n v="10"/>
    <n v="8"/>
    <n v="8"/>
    <n v="0"/>
    <n v="1"/>
  </r>
  <r>
    <s v="Silakowski"/>
    <s v="Henryk"/>
    <n v="6"/>
    <n v="6"/>
    <n v="2"/>
    <n v="5"/>
    <n v="5"/>
    <n v="3"/>
    <n v="12"/>
    <n v="17"/>
    <n v="14"/>
    <n v="4"/>
    <n v="3"/>
    <x v="7"/>
    <n v="0"/>
    <n v="8"/>
    <n v="8"/>
    <n v="4"/>
    <n v="1"/>
  </r>
  <r>
    <s v="Kaftan"/>
    <s v="Monika"/>
    <n v="1"/>
    <n v="6"/>
    <n v="6"/>
    <n v="2"/>
    <n v="3"/>
    <n v="6"/>
    <n v="1"/>
    <n v="3"/>
    <n v="69"/>
    <n v="89"/>
    <n v="10"/>
    <x v="8"/>
    <n v="10"/>
    <n v="0"/>
    <n v="4"/>
    <n v="10"/>
    <n v="1"/>
  </r>
  <r>
    <s v="Pettka"/>
    <s v="Jan"/>
    <n v="0"/>
    <n v="5"/>
    <n v="3"/>
    <n v="6"/>
    <n v="6"/>
    <n v="4"/>
    <n v="28"/>
    <n v="53"/>
    <n v="38"/>
    <n v="63"/>
    <n v="70"/>
    <x v="9"/>
    <n v="4"/>
    <n v="10"/>
    <n v="10"/>
    <n v="6"/>
    <n v="1"/>
  </r>
  <r>
    <s v="Zygmunt"/>
    <s v="Adam"/>
    <n v="4"/>
    <n v="3"/>
    <n v="3"/>
    <n v="6"/>
    <n v="6"/>
    <n v="2"/>
    <n v="77"/>
    <n v="8"/>
    <n v="71"/>
    <n v="88"/>
    <n v="41"/>
    <x v="10"/>
    <n v="4"/>
    <n v="10"/>
    <n v="10"/>
    <n v="0"/>
    <n v="1"/>
  </r>
  <r>
    <s v="Lukasik"/>
    <s v="Magdalena"/>
    <n v="4"/>
    <n v="6"/>
    <n v="5"/>
    <n v="6"/>
    <n v="3"/>
    <n v="6"/>
    <n v="83"/>
    <n v="27"/>
    <n v="79"/>
    <n v="20"/>
    <n v="43"/>
    <x v="11"/>
    <n v="8"/>
    <n v="10"/>
    <n v="4"/>
    <n v="10"/>
    <n v="1"/>
  </r>
  <r>
    <s v="Hanczarek"/>
    <s v="Olivier"/>
    <n v="1"/>
    <n v="3"/>
    <n v="6"/>
    <n v="3"/>
    <n v="3"/>
    <n v="2"/>
    <n v="16"/>
    <n v="43"/>
    <n v="92"/>
    <n v="54"/>
    <n v="27"/>
    <x v="12"/>
    <n v="10"/>
    <n v="4"/>
    <n v="4"/>
    <n v="0"/>
    <n v="1"/>
  </r>
  <r>
    <s v="Samulczyk"/>
    <s v="Julia"/>
    <n v="6"/>
    <n v="6"/>
    <n v="5"/>
    <n v="3"/>
    <n v="2"/>
    <n v="6"/>
    <n v="11"/>
    <n v="36"/>
    <n v="4"/>
    <n v="41"/>
    <n v="62"/>
    <x v="13"/>
    <n v="8"/>
    <n v="4"/>
    <n v="0"/>
    <n v="10"/>
    <n v="1"/>
  </r>
  <r>
    <s v="Rutkiewicz"/>
    <s v="Julia"/>
    <n v="5"/>
    <n v="2"/>
    <n v="4"/>
    <n v="2"/>
    <n v="3"/>
    <n v="5"/>
    <n v="80"/>
    <n v="75"/>
    <n v="60"/>
    <n v="54"/>
    <n v="69"/>
    <x v="14"/>
    <n v="6"/>
    <n v="0"/>
    <n v="4"/>
    <n v="8"/>
    <n v="1"/>
  </r>
  <r>
    <s v="Bialaszewski"/>
    <s v="Piotr"/>
    <n v="8"/>
    <n v="6"/>
    <n v="4"/>
    <n v="3"/>
    <n v="4"/>
    <n v="5"/>
    <n v="22"/>
    <n v="46"/>
    <n v="36"/>
    <n v="35"/>
    <n v="91"/>
    <x v="0"/>
    <n v="6"/>
    <n v="4"/>
    <n v="6"/>
    <n v="8"/>
    <n v="1"/>
  </r>
  <r>
    <s v="Berezniewicz"/>
    <s v="Wiktor"/>
    <n v="2"/>
    <n v="5"/>
    <n v="3"/>
    <n v="5"/>
    <n v="6"/>
    <n v="3"/>
    <n v="47"/>
    <n v="30"/>
    <n v="2"/>
    <n v="45"/>
    <n v="76"/>
    <x v="15"/>
    <n v="4"/>
    <n v="8"/>
    <n v="10"/>
    <n v="4"/>
    <n v="1"/>
  </r>
  <r>
    <s v="Sobol"/>
    <s v="Filip"/>
    <n v="8"/>
    <n v="4"/>
    <n v="3"/>
    <n v="4"/>
    <n v="6"/>
    <n v="2"/>
    <n v="23"/>
    <n v="49"/>
    <n v="16"/>
    <n v="3"/>
    <n v="81"/>
    <x v="16"/>
    <n v="4"/>
    <n v="6"/>
    <n v="10"/>
    <n v="0"/>
    <n v="1"/>
  </r>
  <r>
    <s v="Kowalczyk"/>
    <s v="Mateusz"/>
    <n v="1"/>
    <n v="6"/>
    <n v="6"/>
    <n v="6"/>
    <n v="3"/>
    <n v="2"/>
    <n v="14"/>
    <n v="20"/>
    <n v="14"/>
    <n v="64"/>
    <n v="55"/>
    <x v="17"/>
    <n v="10"/>
    <n v="10"/>
    <n v="4"/>
    <n v="0"/>
    <n v="1"/>
  </r>
  <r>
    <s v="Senger"/>
    <s v="Joanna"/>
    <n v="5"/>
    <n v="4"/>
    <n v="3"/>
    <n v="3"/>
    <n v="3"/>
    <n v="6"/>
    <n v="98"/>
    <n v="48"/>
    <n v="6"/>
    <n v="70"/>
    <n v="6"/>
    <x v="18"/>
    <n v="4"/>
    <n v="4"/>
    <n v="4"/>
    <n v="10"/>
    <n v="1"/>
  </r>
  <r>
    <s v="Sadowska"/>
    <s v="Julia"/>
    <n v="3"/>
    <n v="3"/>
    <n v="2"/>
    <n v="3"/>
    <n v="3"/>
    <n v="2"/>
    <n v="38"/>
    <n v="71"/>
    <n v="35"/>
    <n v="95"/>
    <n v="84"/>
    <x v="19"/>
    <n v="0"/>
    <n v="4"/>
    <n v="4"/>
    <n v="0"/>
    <n v="1"/>
  </r>
  <r>
    <s v="Wojcicki"/>
    <s v="Aleks"/>
    <n v="7"/>
    <n v="4"/>
    <n v="6"/>
    <n v="4"/>
    <n v="6"/>
    <n v="5"/>
    <n v="95"/>
    <n v="100"/>
    <n v="100"/>
    <n v="40"/>
    <n v="100"/>
    <x v="20"/>
    <n v="10"/>
    <n v="6"/>
    <n v="10"/>
    <n v="8"/>
    <n v="1"/>
  </r>
  <r>
    <s v="Szczepkowski"/>
    <s v="Dorian"/>
    <n v="7"/>
    <n v="2"/>
    <n v="4"/>
    <n v="5"/>
    <n v="3"/>
    <n v="4"/>
    <n v="59"/>
    <n v="14"/>
    <n v="99"/>
    <n v="4"/>
    <n v="3"/>
    <x v="21"/>
    <n v="6"/>
    <n v="8"/>
    <n v="4"/>
    <n v="6"/>
    <n v="1"/>
  </r>
  <r>
    <s v="Stanislawska"/>
    <s v="Hanna"/>
    <n v="3"/>
    <n v="3"/>
    <n v="5"/>
    <n v="5"/>
    <n v="2"/>
    <n v="6"/>
    <n v="26"/>
    <n v="14"/>
    <n v="18"/>
    <n v="96"/>
    <n v="41"/>
    <x v="22"/>
    <n v="8"/>
    <n v="8"/>
    <n v="0"/>
    <n v="10"/>
    <n v="1"/>
  </r>
  <r>
    <s v="Salanowska"/>
    <s v="Julia"/>
    <n v="8"/>
    <n v="6"/>
    <n v="3"/>
    <n v="4"/>
    <n v="2"/>
    <n v="4"/>
    <n v="8"/>
    <n v="78"/>
    <n v="64"/>
    <n v="10"/>
    <n v="55"/>
    <x v="23"/>
    <n v="4"/>
    <n v="6"/>
    <n v="0"/>
    <n v="6"/>
    <n v="1"/>
  </r>
  <r>
    <s v="Skrzydlak"/>
    <s v="Izabela"/>
    <n v="3"/>
    <n v="5"/>
    <n v="2"/>
    <n v="4"/>
    <n v="3"/>
    <n v="6"/>
    <n v="41"/>
    <n v="37"/>
    <n v="5"/>
    <n v="34"/>
    <n v="93"/>
    <x v="24"/>
    <n v="0"/>
    <n v="6"/>
    <n v="4"/>
    <n v="10"/>
    <n v="1"/>
  </r>
  <r>
    <s v="Koszlaga"/>
    <s v="Mateusz"/>
    <n v="4"/>
    <n v="6"/>
    <n v="4"/>
    <n v="3"/>
    <n v="2"/>
    <n v="3"/>
    <n v="60"/>
    <n v="7"/>
    <n v="97"/>
    <n v="80"/>
    <n v="43"/>
    <x v="25"/>
    <n v="6"/>
    <n v="4"/>
    <n v="0"/>
    <n v="4"/>
    <n v="1"/>
  </r>
  <r>
    <s v="Glowinska"/>
    <s v="Patrycja"/>
    <n v="1"/>
    <n v="4"/>
    <n v="5"/>
    <n v="4"/>
    <n v="2"/>
    <n v="5"/>
    <n v="53"/>
    <n v="18"/>
    <n v="94"/>
    <n v="99"/>
    <n v="76"/>
    <x v="0"/>
    <n v="8"/>
    <n v="6"/>
    <n v="0"/>
    <n v="8"/>
    <n v="1"/>
  </r>
  <r>
    <s v="Sautycz"/>
    <s v="Julia"/>
    <n v="5"/>
    <n v="3"/>
    <n v="3"/>
    <n v="4"/>
    <n v="6"/>
    <n v="6"/>
    <n v="84"/>
    <n v="87"/>
    <n v="96"/>
    <n v="8"/>
    <n v="17"/>
    <x v="26"/>
    <n v="4"/>
    <n v="6"/>
    <n v="10"/>
    <n v="10"/>
    <n v="1"/>
  </r>
  <r>
    <s v="Kowalczuk"/>
    <s v="Maria"/>
    <n v="2"/>
    <n v="3"/>
    <n v="5"/>
    <n v="2"/>
    <n v="2"/>
    <n v="5"/>
    <n v="6"/>
    <n v="43"/>
    <n v="53"/>
    <n v="71"/>
    <n v="3"/>
    <x v="27"/>
    <n v="8"/>
    <n v="0"/>
    <n v="0"/>
    <n v="8"/>
    <n v="1"/>
  </r>
  <r>
    <s v="Sochacka"/>
    <s v="Inka"/>
    <n v="0"/>
    <n v="2"/>
    <n v="6"/>
    <n v="5"/>
    <n v="6"/>
    <n v="3"/>
    <n v="89"/>
    <n v="40"/>
    <n v="28"/>
    <n v="32"/>
    <n v="47"/>
    <x v="28"/>
    <n v="10"/>
    <n v="8"/>
    <n v="10"/>
    <n v="4"/>
    <n v="1"/>
  </r>
  <r>
    <s v="Filarska"/>
    <s v="Sandra"/>
    <n v="0"/>
    <n v="5"/>
    <n v="6"/>
    <n v="4"/>
    <n v="4"/>
    <n v="2"/>
    <n v="22"/>
    <n v="9"/>
    <n v="1"/>
    <n v="76"/>
    <n v="28"/>
    <x v="27"/>
    <n v="10"/>
    <n v="6"/>
    <n v="6"/>
    <n v="0"/>
    <n v="1"/>
  </r>
  <r>
    <s v="Przestrzelski"/>
    <s v="Jakub"/>
    <n v="6"/>
    <n v="3"/>
    <n v="2"/>
    <n v="2"/>
    <n v="2"/>
    <n v="4"/>
    <n v="82"/>
    <n v="95"/>
    <n v="8"/>
    <n v="46"/>
    <n v="76"/>
    <x v="29"/>
    <n v="0"/>
    <n v="0"/>
    <n v="0"/>
    <n v="6"/>
    <n v="1"/>
  </r>
  <r>
    <s v="Labuda"/>
    <s v="Marcel"/>
    <n v="7"/>
    <n v="3"/>
    <n v="2"/>
    <n v="4"/>
    <n v="4"/>
    <n v="2"/>
    <n v="67"/>
    <n v="26"/>
    <n v="50"/>
    <n v="90"/>
    <n v="34"/>
    <x v="30"/>
    <n v="0"/>
    <n v="6"/>
    <n v="6"/>
    <n v="0"/>
    <n v="1"/>
  </r>
  <r>
    <s v="Broukin"/>
    <s v="Zofia"/>
    <n v="2"/>
    <n v="2"/>
    <n v="6"/>
    <n v="5"/>
    <n v="4"/>
    <n v="5"/>
    <n v="34"/>
    <n v="59"/>
    <n v="59"/>
    <n v="7"/>
    <n v="1"/>
    <x v="31"/>
    <n v="10"/>
    <n v="8"/>
    <n v="6"/>
    <n v="8"/>
    <n v="1"/>
  </r>
  <r>
    <s v="Kozlowska"/>
    <s v="Malgorzata"/>
    <n v="4"/>
    <n v="6"/>
    <n v="5"/>
    <n v="5"/>
    <n v="6"/>
    <n v="4"/>
    <n v="56"/>
    <n v="75"/>
    <n v="51"/>
    <n v="47"/>
    <n v="71"/>
    <x v="32"/>
    <n v="8"/>
    <n v="8"/>
    <n v="10"/>
    <n v="6"/>
    <n v="1"/>
  </r>
  <r>
    <s v="Jakubowski"/>
    <s v="Nikodem"/>
    <n v="6"/>
    <n v="4"/>
    <n v="5"/>
    <n v="5"/>
    <n v="5"/>
    <n v="4"/>
    <n v="70"/>
    <n v="71"/>
    <n v="27"/>
    <n v="77"/>
    <n v="13"/>
    <x v="33"/>
    <n v="8"/>
    <n v="8"/>
    <n v="8"/>
    <n v="6"/>
    <n v="1"/>
  </r>
  <r>
    <s v="Sarnowski"/>
    <s v="Ignacy"/>
    <n v="2"/>
    <n v="2"/>
    <n v="4"/>
    <n v="4"/>
    <n v="4"/>
    <n v="6"/>
    <n v="30"/>
    <n v="55"/>
    <n v="59"/>
    <n v="77"/>
    <n v="58"/>
    <x v="34"/>
    <n v="6"/>
    <n v="6"/>
    <n v="6"/>
    <n v="10"/>
    <n v="1"/>
  </r>
  <r>
    <s v="Riegel"/>
    <s v="Julia"/>
    <n v="5"/>
    <n v="6"/>
    <n v="6"/>
    <n v="6"/>
    <n v="5"/>
    <n v="5"/>
    <n v="57"/>
    <n v="22"/>
    <n v="16"/>
    <n v="20"/>
    <n v="67"/>
    <x v="35"/>
    <n v="10"/>
    <n v="10"/>
    <n v="8"/>
    <n v="8"/>
    <n v="1"/>
  </r>
  <r>
    <s v="Wierzbicki"/>
    <s v="Antoni"/>
    <n v="6"/>
    <n v="2"/>
    <n v="5"/>
    <n v="3"/>
    <n v="3"/>
    <n v="6"/>
    <n v="67"/>
    <n v="98"/>
    <n v="28"/>
    <n v="6"/>
    <n v="20"/>
    <x v="36"/>
    <n v="8"/>
    <n v="4"/>
    <n v="4"/>
    <n v="10"/>
    <n v="1"/>
  </r>
  <r>
    <s v="Sachse"/>
    <s v="Julia"/>
    <n v="7"/>
    <n v="4"/>
    <n v="6"/>
    <n v="4"/>
    <n v="3"/>
    <n v="3"/>
    <n v="12"/>
    <n v="86"/>
    <n v="61"/>
    <n v="94"/>
    <n v="74"/>
    <x v="37"/>
    <n v="10"/>
    <n v="6"/>
    <n v="4"/>
    <n v="4"/>
    <n v="1"/>
  </r>
  <r>
    <s v="Kowalczyk"/>
    <s v="Mateusz"/>
    <n v="0"/>
    <n v="3"/>
    <n v="4"/>
    <n v="3"/>
    <n v="5"/>
    <n v="2"/>
    <n v="82"/>
    <n v="70"/>
    <n v="18"/>
    <n v="28"/>
    <n v="34"/>
    <x v="38"/>
    <n v="6"/>
    <n v="4"/>
    <n v="8"/>
    <n v="0"/>
    <n v="1"/>
  </r>
  <r>
    <s v="Jurewicz"/>
    <s v="Nadia"/>
    <n v="8"/>
    <n v="5"/>
    <n v="4"/>
    <n v="6"/>
    <n v="2"/>
    <n v="6"/>
    <n v="32"/>
    <n v="88"/>
    <n v="15"/>
    <n v="45"/>
    <n v="24"/>
    <x v="39"/>
    <n v="6"/>
    <n v="10"/>
    <n v="0"/>
    <n v="10"/>
    <n v="1"/>
  </r>
  <r>
    <s v="Steinborn"/>
    <s v="Hanna"/>
    <n v="2"/>
    <n v="2"/>
    <n v="5"/>
    <n v="5"/>
    <n v="2"/>
    <n v="2"/>
    <n v="65"/>
    <n v="87"/>
    <n v="53"/>
    <n v="98"/>
    <n v="50"/>
    <x v="40"/>
    <n v="8"/>
    <n v="8"/>
    <n v="0"/>
    <n v="0"/>
    <n v="1"/>
  </r>
  <r>
    <s v="Siminski"/>
    <s v="Henryk"/>
    <n v="3"/>
    <n v="2"/>
    <n v="3"/>
    <n v="3"/>
    <n v="6"/>
    <n v="6"/>
    <n v="10"/>
    <n v="21"/>
    <n v="35"/>
    <n v="98"/>
    <n v="21"/>
    <x v="41"/>
    <n v="4"/>
    <n v="4"/>
    <n v="10"/>
    <n v="10"/>
    <n v="1"/>
  </r>
  <r>
    <s v="Machalski"/>
    <s v="Maciej"/>
    <n v="2"/>
    <n v="3"/>
    <n v="6"/>
    <n v="3"/>
    <n v="6"/>
    <n v="3"/>
    <n v="53"/>
    <n v="50"/>
    <n v="16"/>
    <n v="44"/>
    <n v="8"/>
    <x v="42"/>
    <n v="10"/>
    <n v="4"/>
    <n v="10"/>
    <n v="4"/>
    <n v="1"/>
  </r>
  <r>
    <s v="Porydzaj"/>
    <s v="Jakub"/>
    <n v="1"/>
    <n v="5"/>
    <n v="3"/>
    <n v="6"/>
    <n v="4"/>
    <n v="4"/>
    <n v="38"/>
    <n v="43"/>
    <n v="49"/>
    <n v="89"/>
    <n v="16"/>
    <x v="43"/>
    <n v="4"/>
    <n v="10"/>
    <n v="6"/>
    <n v="6"/>
    <n v="1"/>
  </r>
  <r>
    <s v="Spanowski"/>
    <s v="Filip"/>
    <n v="6"/>
    <n v="6"/>
    <n v="4"/>
    <n v="6"/>
    <n v="5"/>
    <n v="3"/>
    <n v="99"/>
    <n v="95"/>
    <n v="48"/>
    <n v="16"/>
    <n v="11"/>
    <x v="44"/>
    <n v="6"/>
    <n v="10"/>
    <n v="8"/>
    <n v="4"/>
    <n v="1"/>
  </r>
  <r>
    <s v="Zmurko"/>
    <s v="Adam"/>
    <n v="6"/>
    <n v="5"/>
    <n v="6"/>
    <n v="5"/>
    <n v="6"/>
    <n v="3"/>
    <n v="78"/>
    <n v="22"/>
    <n v="95"/>
    <n v="18"/>
    <n v="15"/>
    <x v="45"/>
    <n v="10"/>
    <n v="8"/>
    <n v="10"/>
    <n v="4"/>
    <n v="1"/>
  </r>
  <r>
    <s v="Sibiga"/>
    <s v="Joanna"/>
    <n v="6"/>
    <n v="3"/>
    <n v="3"/>
    <n v="6"/>
    <n v="4"/>
    <n v="5"/>
    <n v="25"/>
    <n v="73"/>
    <n v="78"/>
    <n v="61"/>
    <n v="29"/>
    <x v="46"/>
    <n v="4"/>
    <n v="10"/>
    <n v="6"/>
    <n v="8"/>
    <n v="1"/>
  </r>
  <r>
    <s v="Makowska"/>
    <s v="Luiza"/>
    <n v="6"/>
    <n v="5"/>
    <n v="5"/>
    <n v="6"/>
    <n v="2"/>
    <n v="4"/>
    <n v="65"/>
    <n v="66"/>
    <n v="87"/>
    <n v="5"/>
    <n v="65"/>
    <x v="47"/>
    <n v="8"/>
    <n v="10"/>
    <n v="0"/>
    <n v="6"/>
    <n v="1"/>
  </r>
  <r>
    <s v="Machol"/>
    <s v="Maciej"/>
    <n v="8"/>
    <n v="2"/>
    <n v="2"/>
    <n v="3"/>
    <n v="4"/>
    <n v="3"/>
    <n v="18"/>
    <n v="83"/>
    <n v="86"/>
    <n v="67"/>
    <n v="90"/>
    <x v="48"/>
    <n v="0"/>
    <n v="4"/>
    <n v="6"/>
    <n v="4"/>
    <n v="1"/>
  </r>
  <r>
    <s v="Szmitko"/>
    <s v="Dominik"/>
    <n v="0"/>
    <n v="3"/>
    <n v="4"/>
    <n v="6"/>
    <n v="4"/>
    <n v="4"/>
    <n v="41"/>
    <n v="88"/>
    <n v="4"/>
    <n v="24"/>
    <n v="37"/>
    <x v="49"/>
    <n v="6"/>
    <n v="10"/>
    <n v="6"/>
    <n v="6"/>
    <n v="1"/>
  </r>
  <r>
    <s v="Leman"/>
    <s v="Maja"/>
    <n v="7"/>
    <n v="3"/>
    <n v="4"/>
    <n v="4"/>
    <n v="5"/>
    <n v="6"/>
    <n v="54"/>
    <n v="42"/>
    <n v="82"/>
    <n v="99"/>
    <n v="81"/>
    <x v="50"/>
    <n v="6"/>
    <n v="6"/>
    <n v="8"/>
    <n v="10"/>
    <n v="1"/>
  </r>
  <r>
    <s v="Rembisz"/>
    <s v="Jakub"/>
    <n v="3"/>
    <n v="6"/>
    <n v="5"/>
    <n v="2"/>
    <n v="4"/>
    <n v="6"/>
    <n v="51"/>
    <n v="96"/>
    <n v="78"/>
    <n v="72"/>
    <n v="39"/>
    <x v="51"/>
    <n v="8"/>
    <n v="0"/>
    <n v="6"/>
    <n v="10"/>
    <n v="1"/>
  </r>
  <r>
    <s v="Stankiewicz"/>
    <s v="Hanna"/>
    <n v="8"/>
    <n v="6"/>
    <n v="2"/>
    <n v="2"/>
    <n v="6"/>
    <n v="6"/>
    <n v="86"/>
    <n v="67"/>
    <n v="94"/>
    <n v="38"/>
    <n v="45"/>
    <x v="52"/>
    <n v="0"/>
    <n v="0"/>
    <n v="10"/>
    <n v="10"/>
    <n v="1"/>
  </r>
  <r>
    <s v="Zurek"/>
    <s v="Adam"/>
    <n v="7"/>
    <n v="5"/>
    <n v="6"/>
    <n v="4"/>
    <n v="6"/>
    <n v="5"/>
    <n v="15"/>
    <n v="79"/>
    <n v="11"/>
    <n v="20"/>
    <n v="58"/>
    <x v="53"/>
    <n v="10"/>
    <n v="6"/>
    <n v="10"/>
    <n v="8"/>
    <n v="1"/>
  </r>
  <r>
    <s v="Reczmin"/>
    <s v="Jakub"/>
    <n v="3"/>
    <n v="6"/>
    <n v="3"/>
    <n v="5"/>
    <n v="5"/>
    <n v="2"/>
    <n v="49"/>
    <n v="99"/>
    <n v="78"/>
    <n v="70"/>
    <n v="60"/>
    <x v="46"/>
    <n v="4"/>
    <n v="8"/>
    <n v="8"/>
    <n v="0"/>
    <n v="1"/>
  </r>
  <r>
    <s v="Swierszcz"/>
    <s v="Cyprian"/>
    <n v="3"/>
    <n v="6"/>
    <n v="3"/>
    <n v="5"/>
    <n v="4"/>
    <n v="2"/>
    <n v="94"/>
    <n v="27"/>
    <n v="20"/>
    <n v="13"/>
    <n v="49"/>
    <x v="19"/>
    <n v="4"/>
    <n v="8"/>
    <n v="6"/>
    <n v="0"/>
    <n v="1"/>
  </r>
  <r>
    <s v="Wizniewski"/>
    <s v="Antoni"/>
    <n v="8"/>
    <n v="4"/>
    <n v="5"/>
    <n v="6"/>
    <n v="6"/>
    <n v="2"/>
    <n v="94"/>
    <n v="99"/>
    <n v="87"/>
    <n v="99"/>
    <n v="62"/>
    <x v="54"/>
    <n v="8"/>
    <n v="10"/>
    <n v="10"/>
    <n v="0"/>
    <n v="1"/>
  </r>
  <r>
    <s v="Perez "/>
    <s v="Karolina"/>
    <n v="8"/>
    <n v="2"/>
    <n v="4"/>
    <n v="5"/>
    <n v="2"/>
    <n v="4"/>
    <n v="20"/>
    <n v="78"/>
    <n v="54"/>
    <n v="34"/>
    <n v="95"/>
    <x v="55"/>
    <n v="6"/>
    <n v="8"/>
    <n v="0"/>
    <n v="6"/>
    <n v="1"/>
  </r>
  <r>
    <s v="Adamiak"/>
    <s v="Zofia"/>
    <n v="5"/>
    <n v="2"/>
    <n v="4"/>
    <n v="5"/>
    <n v="5"/>
    <n v="3"/>
    <n v="39"/>
    <n v="16"/>
    <n v="8"/>
    <n v="66"/>
    <n v="29"/>
    <x v="56"/>
    <n v="6"/>
    <n v="8"/>
    <n v="8"/>
    <n v="4"/>
    <n v="1"/>
  </r>
  <r>
    <s v="Zylinska"/>
    <s v="Adelajda"/>
    <n v="0"/>
    <n v="6"/>
    <n v="3"/>
    <n v="5"/>
    <n v="4"/>
    <n v="2"/>
    <n v="77"/>
    <n v="80"/>
    <n v="92"/>
    <n v="43"/>
    <n v="100"/>
    <x v="57"/>
    <n v="4"/>
    <n v="8"/>
    <n v="6"/>
    <n v="0"/>
    <n v="1"/>
  </r>
  <r>
    <s v="Kulkowska"/>
    <s v="Maja"/>
    <n v="1"/>
    <n v="4"/>
    <n v="6"/>
    <n v="3"/>
    <n v="4"/>
    <n v="2"/>
    <n v="70"/>
    <n v="39"/>
    <n v="65"/>
    <n v="57"/>
    <n v="90"/>
    <x v="58"/>
    <n v="10"/>
    <n v="4"/>
    <n v="6"/>
    <n v="0"/>
    <n v="1"/>
  </r>
  <r>
    <s v="Dzierzak"/>
    <s v="Piotr"/>
    <n v="0"/>
    <n v="4"/>
    <n v="5"/>
    <n v="4"/>
    <n v="6"/>
    <n v="2"/>
    <n v="4"/>
    <n v="85"/>
    <n v="83"/>
    <n v="10"/>
    <n v="33"/>
    <x v="59"/>
    <n v="8"/>
    <n v="6"/>
    <n v="10"/>
    <n v="0"/>
    <n v="1"/>
  </r>
  <r>
    <s v="Engel"/>
    <s v="Urszula"/>
    <n v="8"/>
    <n v="5"/>
    <n v="5"/>
    <n v="4"/>
    <n v="3"/>
    <n v="3"/>
    <n v="80"/>
    <n v="91"/>
    <n v="16"/>
    <n v="12"/>
    <n v="73"/>
    <x v="60"/>
    <n v="8"/>
    <n v="6"/>
    <n v="4"/>
    <n v="4"/>
    <n v="1"/>
  </r>
  <r>
    <s v="Yuksek"/>
    <s v="Adrian"/>
    <n v="6"/>
    <n v="6"/>
    <n v="2"/>
    <n v="3"/>
    <n v="6"/>
    <n v="5"/>
    <n v="27"/>
    <n v="6"/>
    <n v="19"/>
    <n v="61"/>
    <n v="63"/>
    <x v="61"/>
    <n v="0"/>
    <n v="4"/>
    <n v="10"/>
    <n v="8"/>
    <n v="1"/>
  </r>
  <r>
    <s v="Zdrojewska"/>
    <s v="Agata"/>
    <n v="0"/>
    <n v="5"/>
    <n v="5"/>
    <n v="3"/>
    <n v="2"/>
    <n v="6"/>
    <n v="26"/>
    <n v="23"/>
    <n v="48"/>
    <n v="73"/>
    <n v="63"/>
    <x v="62"/>
    <n v="8"/>
    <n v="4"/>
    <n v="0"/>
    <n v="10"/>
    <n v="1"/>
  </r>
  <r>
    <s v="Zgadzaj"/>
    <s v="Agata"/>
    <n v="8"/>
    <n v="3"/>
    <n v="5"/>
    <n v="5"/>
    <n v="6"/>
    <n v="3"/>
    <n v="28"/>
    <n v="69"/>
    <n v="99"/>
    <n v="45"/>
    <n v="61"/>
    <x v="63"/>
    <n v="8"/>
    <n v="8"/>
    <n v="10"/>
    <n v="4"/>
    <n v="1"/>
  </r>
  <r>
    <s v="Zawisza"/>
    <s v="Adrian"/>
    <n v="1"/>
    <n v="2"/>
    <n v="3"/>
    <n v="2"/>
    <n v="3"/>
    <n v="6"/>
    <n v="51"/>
    <n v="14"/>
    <n v="33"/>
    <n v="28"/>
    <n v="43"/>
    <x v="64"/>
    <n v="4"/>
    <n v="0"/>
    <n v="4"/>
    <n v="10"/>
    <n v="1"/>
  </r>
  <r>
    <s v="Duszota"/>
    <s v="Piotr"/>
    <n v="3"/>
    <n v="5"/>
    <n v="6"/>
    <n v="5"/>
    <n v="2"/>
    <n v="5"/>
    <n v="73"/>
    <n v="84"/>
    <n v="48"/>
    <n v="36"/>
    <n v="4"/>
    <x v="65"/>
    <n v="10"/>
    <n v="8"/>
    <n v="0"/>
    <n v="8"/>
    <n v="1"/>
  </r>
  <r>
    <s v="Nowak"/>
    <s v="Kacper"/>
    <n v="4"/>
    <n v="4"/>
    <n v="5"/>
    <n v="5"/>
    <n v="3"/>
    <n v="6"/>
    <n v="44"/>
    <n v="16"/>
    <n v="68"/>
    <n v="55"/>
    <n v="66"/>
    <x v="66"/>
    <n v="8"/>
    <n v="8"/>
    <n v="4"/>
    <n v="10"/>
    <n v="1"/>
  </r>
  <r>
    <s v="Lyszcz"/>
    <s v="Maciej"/>
    <n v="2"/>
    <n v="6"/>
    <n v="6"/>
    <n v="3"/>
    <n v="6"/>
    <n v="2"/>
    <n v="71"/>
    <n v="95"/>
    <n v="90"/>
    <n v="50"/>
    <n v="91"/>
    <x v="67"/>
    <n v="10"/>
    <n v="4"/>
    <n v="10"/>
    <n v="0"/>
    <n v="1"/>
  </r>
  <r>
    <s v="Strack"/>
    <s v="Filip"/>
    <n v="5"/>
    <n v="5"/>
    <n v="2"/>
    <n v="6"/>
    <n v="2"/>
    <n v="2"/>
    <n v="90"/>
    <n v="88"/>
    <n v="73"/>
    <n v="83"/>
    <n v="51"/>
    <x v="65"/>
    <n v="0"/>
    <n v="10"/>
    <n v="0"/>
    <n v="0"/>
    <n v="1"/>
  </r>
  <r>
    <s v="Mazurkiewicz"/>
    <s v="Lena"/>
    <n v="1"/>
    <n v="5"/>
    <n v="2"/>
    <n v="2"/>
    <n v="3"/>
    <n v="5"/>
    <n v="11"/>
    <n v="24"/>
    <n v="35"/>
    <n v="70"/>
    <n v="6"/>
    <x v="68"/>
    <n v="0"/>
    <n v="0"/>
    <n v="4"/>
    <n v="8"/>
    <n v="1"/>
  </r>
  <r>
    <s v="Potocki"/>
    <s v="Jakub"/>
    <n v="5"/>
    <n v="2"/>
    <n v="2"/>
    <n v="6"/>
    <n v="5"/>
    <n v="6"/>
    <n v="44"/>
    <n v="43"/>
    <n v="19"/>
    <n v="86"/>
    <n v="18"/>
    <x v="69"/>
    <n v="0"/>
    <n v="10"/>
    <n v="8"/>
    <n v="10"/>
    <n v="1"/>
  </r>
  <r>
    <s v="Furmaniak"/>
    <s v="Pawel"/>
    <n v="2"/>
    <n v="5"/>
    <n v="4"/>
    <n v="3"/>
    <n v="6"/>
    <n v="6"/>
    <n v="15"/>
    <n v="69"/>
    <n v="48"/>
    <n v="14"/>
    <n v="32"/>
    <x v="18"/>
    <n v="6"/>
    <n v="4"/>
    <n v="10"/>
    <n v="10"/>
    <n v="1"/>
  </r>
  <r>
    <s v="Strupiechowski"/>
    <s v="Filip"/>
    <n v="6"/>
    <n v="3"/>
    <n v="4"/>
    <n v="5"/>
    <n v="3"/>
    <n v="4"/>
    <n v="38"/>
    <n v="48"/>
    <n v="3"/>
    <n v="38"/>
    <n v="91"/>
    <x v="70"/>
    <n v="6"/>
    <n v="8"/>
    <n v="4"/>
    <n v="6"/>
    <n v="1"/>
  </r>
  <r>
    <s v="Reclaw"/>
    <s v="Julia"/>
    <n v="3"/>
    <n v="6"/>
    <n v="3"/>
    <n v="6"/>
    <n v="3"/>
    <n v="5"/>
    <n v="66"/>
    <n v="42"/>
    <n v="40"/>
    <n v="91"/>
    <n v="74"/>
    <x v="71"/>
    <n v="4"/>
    <n v="10"/>
    <n v="4"/>
    <n v="8"/>
    <n v="1"/>
  </r>
  <r>
    <s v="Tomaszewski"/>
    <s v="Bruno"/>
    <n v="7"/>
    <n v="4"/>
    <n v="2"/>
    <n v="4"/>
    <n v="6"/>
    <n v="5"/>
    <n v="28"/>
    <n v="1"/>
    <n v="36"/>
    <n v="63"/>
    <n v="49"/>
    <x v="25"/>
    <n v="0"/>
    <n v="6"/>
    <n v="10"/>
    <n v="8"/>
    <n v="1"/>
  </r>
  <r>
    <s v="Szczepanska"/>
    <s v="Emilia"/>
    <n v="0"/>
    <n v="6"/>
    <n v="5"/>
    <n v="6"/>
    <n v="5"/>
    <n v="6"/>
    <n v="12"/>
    <n v="20"/>
    <n v="10"/>
    <n v="73"/>
    <n v="68"/>
    <x v="72"/>
    <n v="8"/>
    <n v="10"/>
    <n v="8"/>
    <n v="10"/>
    <n v="1"/>
  </r>
  <r>
    <s v="Spychala"/>
    <s v="Filip"/>
    <n v="4"/>
    <n v="5"/>
    <n v="4"/>
    <n v="2"/>
    <n v="3"/>
    <n v="4"/>
    <n v="21"/>
    <n v="58"/>
    <n v="66"/>
    <n v="93"/>
    <n v="89"/>
    <x v="73"/>
    <n v="6"/>
    <n v="0"/>
    <n v="4"/>
    <n v="6"/>
    <n v="1"/>
  </r>
  <r>
    <s v="Szczucki"/>
    <s v="Dominik"/>
    <n v="0"/>
    <n v="2"/>
    <n v="2"/>
    <n v="4"/>
    <n v="3"/>
    <n v="3"/>
    <n v="3"/>
    <n v="25"/>
    <n v="93"/>
    <n v="92"/>
    <n v="73"/>
    <x v="74"/>
    <n v="0"/>
    <n v="6"/>
    <n v="4"/>
    <n v="4"/>
    <n v="1"/>
  </r>
  <r>
    <s v="Marzec"/>
    <s v="Lena"/>
    <n v="4"/>
    <n v="4"/>
    <n v="2"/>
    <n v="6"/>
    <n v="5"/>
    <n v="2"/>
    <n v="81"/>
    <n v="5"/>
    <n v="60"/>
    <n v="2"/>
    <n v="91"/>
    <x v="75"/>
    <n v="0"/>
    <n v="10"/>
    <n v="8"/>
    <n v="0"/>
    <n v="1"/>
  </r>
  <r>
    <s v="Rembiewski"/>
    <s v="Jakub"/>
    <n v="1"/>
    <n v="4"/>
    <n v="6"/>
    <n v="4"/>
    <n v="3"/>
    <n v="6"/>
    <n v="100"/>
    <n v="100"/>
    <n v="100"/>
    <n v="36"/>
    <n v="10"/>
    <x v="76"/>
    <n v="10"/>
    <n v="6"/>
    <n v="4"/>
    <n v="10"/>
    <n v="1"/>
  </r>
  <r>
    <s v="Geszczynski"/>
    <s v="Patryk"/>
    <n v="2"/>
    <n v="3"/>
    <n v="3"/>
    <n v="5"/>
    <n v="6"/>
    <n v="6"/>
    <n v="32"/>
    <n v="27"/>
    <n v="15"/>
    <n v="59"/>
    <n v="26"/>
    <x v="77"/>
    <n v="4"/>
    <n v="8"/>
    <n v="10"/>
    <n v="10"/>
    <n v="1"/>
  </r>
  <r>
    <s v="Wamka"/>
    <s v="Anastazja"/>
    <n v="3"/>
    <n v="5"/>
    <n v="2"/>
    <n v="6"/>
    <n v="3"/>
    <n v="3"/>
    <n v="95"/>
    <n v="15"/>
    <n v="44"/>
    <n v="29"/>
    <n v="14"/>
    <x v="78"/>
    <n v="0"/>
    <n v="10"/>
    <n v="4"/>
    <n v="4"/>
    <n v="1"/>
  </r>
  <r>
    <s v="Bialkowska"/>
    <s v="Monika"/>
    <n v="2"/>
    <n v="4"/>
    <n v="2"/>
    <n v="6"/>
    <n v="4"/>
    <n v="4"/>
    <n v="84"/>
    <n v="95"/>
    <n v="31"/>
    <n v="8"/>
    <n v="54"/>
    <x v="79"/>
    <n v="0"/>
    <n v="10"/>
    <n v="6"/>
    <n v="6"/>
    <n v="1"/>
  </r>
  <r>
    <s v="Kulakowski"/>
    <s v="Marcjusz"/>
    <n v="5"/>
    <n v="2"/>
    <n v="3"/>
    <n v="4"/>
    <n v="3"/>
    <n v="6"/>
    <n v="30"/>
    <n v="24"/>
    <n v="66"/>
    <n v="41"/>
    <n v="82"/>
    <x v="40"/>
    <n v="4"/>
    <n v="6"/>
    <n v="4"/>
    <n v="10"/>
    <n v="1"/>
  </r>
  <r>
    <s v="Przytula"/>
    <s v="Jakub"/>
    <n v="1"/>
    <n v="3"/>
    <n v="6"/>
    <n v="4"/>
    <n v="6"/>
    <n v="2"/>
    <n v="30"/>
    <n v="35"/>
    <n v="100"/>
    <n v="100"/>
    <n v="100"/>
    <x v="80"/>
    <n v="10"/>
    <n v="6"/>
    <n v="10"/>
    <n v="0"/>
    <n v="1"/>
  </r>
  <r>
    <s v="Bsk"/>
    <s v="Arleta"/>
    <n v="1"/>
    <n v="5"/>
    <n v="4"/>
    <n v="2"/>
    <n v="5"/>
    <n v="6"/>
    <n v="54"/>
    <n v="50"/>
    <n v="9"/>
    <n v="59"/>
    <n v="54"/>
    <x v="61"/>
    <n v="6"/>
    <n v="0"/>
    <n v="8"/>
    <n v="10"/>
    <n v="1"/>
  </r>
  <r>
    <s v="Derek"/>
    <s v="Stanislaw"/>
    <n v="6"/>
    <n v="2"/>
    <n v="3"/>
    <n v="5"/>
    <n v="4"/>
    <n v="4"/>
    <n v="50"/>
    <n v="30"/>
    <n v="14"/>
    <n v="20"/>
    <n v="88"/>
    <x v="81"/>
    <n v="4"/>
    <n v="8"/>
    <n v="6"/>
    <n v="6"/>
    <n v="1"/>
  </r>
  <r>
    <s v="Felisiak"/>
    <s v="Sofie"/>
    <n v="6"/>
    <n v="3"/>
    <n v="6"/>
    <n v="5"/>
    <n v="4"/>
    <n v="5"/>
    <n v="62"/>
    <n v="47"/>
    <n v="19"/>
    <n v="10"/>
    <n v="40"/>
    <x v="82"/>
    <n v="10"/>
    <n v="8"/>
    <n v="6"/>
    <n v="8"/>
    <n v="1"/>
  </r>
  <r>
    <s v="Lupa"/>
    <s v="Maksymilian"/>
    <n v="0"/>
    <n v="3"/>
    <n v="6"/>
    <n v="3"/>
    <n v="5"/>
    <n v="6"/>
    <n v="12"/>
    <n v="60"/>
    <n v="63"/>
    <n v="37"/>
    <n v="71"/>
    <x v="72"/>
    <n v="10"/>
    <n v="4"/>
    <n v="8"/>
    <n v="10"/>
    <n v="1"/>
  </r>
  <r>
    <s v="Wojciechowska"/>
    <s v="Alicja"/>
    <n v="2"/>
    <n v="3"/>
    <n v="2"/>
    <n v="2"/>
    <n v="3"/>
    <n v="2"/>
    <n v="56"/>
    <n v="63"/>
    <n v="26"/>
    <n v="92"/>
    <n v="13"/>
    <x v="83"/>
    <n v="0"/>
    <n v="0"/>
    <n v="4"/>
    <n v="0"/>
    <n v="1"/>
  </r>
  <r>
    <s v="Pieterson"/>
    <s v="Jan"/>
    <n v="5"/>
    <n v="5"/>
    <n v="6"/>
    <n v="6"/>
    <n v="5"/>
    <n v="6"/>
    <n v="45"/>
    <n v="97"/>
    <n v="5"/>
    <n v="73"/>
    <n v="12"/>
    <x v="84"/>
    <n v="10"/>
    <n v="10"/>
    <n v="8"/>
    <n v="10"/>
    <n v="1"/>
  </r>
  <r>
    <s v="Hrywniak"/>
    <s v="Olaf"/>
    <n v="2"/>
    <n v="4"/>
    <n v="5"/>
    <n v="2"/>
    <n v="4"/>
    <n v="6"/>
    <n v="96"/>
    <n v="60"/>
    <n v="4"/>
    <n v="45"/>
    <n v="21"/>
    <x v="85"/>
    <n v="8"/>
    <n v="0"/>
    <n v="6"/>
    <n v="10"/>
    <n v="1"/>
  </r>
  <r>
    <s v="Ciosinski"/>
    <s v="Jacek"/>
    <n v="7"/>
    <n v="3"/>
    <n v="3"/>
    <n v="6"/>
    <n v="5"/>
    <n v="5"/>
    <n v="57"/>
    <n v="31"/>
    <n v="22"/>
    <n v="59"/>
    <n v="61"/>
    <x v="86"/>
    <n v="4"/>
    <n v="10"/>
    <n v="8"/>
    <n v="8"/>
    <n v="1"/>
  </r>
  <r>
    <s v="Helinska"/>
    <s v="Nikola"/>
    <n v="5"/>
    <n v="6"/>
    <n v="4"/>
    <n v="2"/>
    <n v="5"/>
    <n v="5"/>
    <n v="18"/>
    <n v="86"/>
    <n v="25"/>
    <n v="29"/>
    <n v="9"/>
    <x v="30"/>
    <n v="6"/>
    <n v="0"/>
    <n v="8"/>
    <n v="8"/>
    <n v="1"/>
  </r>
  <r>
    <s v="Frankowska"/>
    <s v="Roksana"/>
    <n v="5"/>
    <n v="4"/>
    <n v="6"/>
    <n v="2"/>
    <n v="5"/>
    <n v="4"/>
    <n v="93"/>
    <n v="47"/>
    <n v="47"/>
    <n v="34"/>
    <n v="39"/>
    <x v="87"/>
    <n v="10"/>
    <n v="0"/>
    <n v="8"/>
    <n v="6"/>
    <n v="1"/>
  </r>
  <r>
    <s v="Brydzinski"/>
    <s v="Mariusz"/>
    <n v="3"/>
    <n v="6"/>
    <n v="2"/>
    <n v="3"/>
    <n v="2"/>
    <n v="6"/>
    <n v="89"/>
    <n v="30"/>
    <n v="43"/>
    <n v="25"/>
    <n v="1"/>
    <x v="88"/>
    <n v="0"/>
    <n v="4"/>
    <n v="0"/>
    <n v="10"/>
    <n v="1"/>
  </r>
  <r>
    <s v="Mrozik"/>
    <s v="Lena"/>
    <n v="6"/>
    <n v="2"/>
    <n v="3"/>
    <n v="2"/>
    <n v="3"/>
    <n v="6"/>
    <n v="67"/>
    <n v="74"/>
    <n v="49"/>
    <n v="43"/>
    <n v="52"/>
    <x v="89"/>
    <n v="4"/>
    <n v="0"/>
    <n v="4"/>
    <n v="10"/>
    <n v="1"/>
  </r>
  <r>
    <s v="Klein"/>
    <s v="Michalina"/>
    <n v="8"/>
    <n v="3"/>
    <n v="2"/>
    <n v="6"/>
    <n v="5"/>
    <n v="3"/>
    <n v="41"/>
    <n v="29"/>
    <n v="52"/>
    <n v="81"/>
    <n v="26"/>
    <x v="90"/>
    <n v="0"/>
    <n v="10"/>
    <n v="8"/>
    <n v="4"/>
    <n v="1"/>
  </r>
  <r>
    <s v="Strehlke"/>
    <s v="Filip"/>
    <n v="8"/>
    <n v="2"/>
    <n v="4"/>
    <n v="3"/>
    <n v="5"/>
    <n v="4"/>
    <n v="32"/>
    <n v="83"/>
    <n v="14"/>
    <n v="77"/>
    <n v="71"/>
    <x v="91"/>
    <n v="6"/>
    <n v="4"/>
    <n v="8"/>
    <n v="6"/>
    <n v="1"/>
  </r>
  <r>
    <s v="Ciesielska"/>
    <s v="Wiktoria"/>
    <n v="6"/>
    <n v="5"/>
    <n v="2"/>
    <n v="6"/>
    <n v="6"/>
    <n v="4"/>
    <n v="48"/>
    <n v="39"/>
    <n v="45"/>
    <n v="39"/>
    <n v="59"/>
    <x v="87"/>
    <n v="0"/>
    <n v="10"/>
    <n v="10"/>
    <n v="6"/>
    <n v="1"/>
  </r>
  <r>
    <s v="Wydrzynski"/>
    <s v="Adrian"/>
    <n v="1"/>
    <n v="3"/>
    <n v="2"/>
    <n v="3"/>
    <n v="5"/>
    <n v="2"/>
    <n v="11"/>
    <n v="23"/>
    <n v="92"/>
    <n v="50"/>
    <n v="36"/>
    <x v="92"/>
    <n v="0"/>
    <n v="4"/>
    <n v="8"/>
    <n v="0"/>
    <n v="1"/>
  </r>
  <r>
    <s v="Beniuszys"/>
    <s v="Mikolaj"/>
    <n v="0"/>
    <n v="5"/>
    <n v="3"/>
    <n v="5"/>
    <n v="2"/>
    <n v="5"/>
    <n v="20"/>
    <n v="51"/>
    <n v="64"/>
    <n v="67"/>
    <n v="72"/>
    <x v="49"/>
    <n v="4"/>
    <n v="8"/>
    <n v="0"/>
    <n v="8"/>
    <n v="1"/>
  </r>
  <r>
    <s v="Witkowski"/>
    <s v="Andrea"/>
    <n v="7"/>
    <n v="4"/>
    <n v="6"/>
    <n v="2"/>
    <n v="5"/>
    <n v="5"/>
    <n v="90"/>
    <n v="9"/>
    <n v="61"/>
    <n v="28"/>
    <n v="92"/>
    <x v="93"/>
    <n v="10"/>
    <n v="0"/>
    <n v="8"/>
    <n v="8"/>
    <n v="1"/>
  </r>
  <r>
    <s v="Dsbrowski"/>
    <s v="Stanislaw"/>
    <n v="4"/>
    <n v="2"/>
    <n v="6"/>
    <n v="6"/>
    <n v="6"/>
    <n v="4"/>
    <n v="91"/>
    <n v="63"/>
    <n v="88"/>
    <n v="68"/>
    <n v="75"/>
    <x v="94"/>
    <n v="10"/>
    <n v="10"/>
    <n v="10"/>
    <n v="6"/>
    <n v="1"/>
  </r>
  <r>
    <s v="Procinska"/>
    <s v="Julianna"/>
    <n v="3"/>
    <n v="3"/>
    <n v="4"/>
    <n v="5"/>
    <n v="6"/>
    <n v="3"/>
    <n v="59"/>
    <n v="13"/>
    <n v="14"/>
    <n v="22"/>
    <n v="96"/>
    <x v="1"/>
    <n v="6"/>
    <n v="8"/>
    <n v="10"/>
    <n v="4"/>
    <n v="1"/>
  </r>
  <r>
    <s v="Radziszewski"/>
    <s v="Jakub"/>
    <n v="1"/>
    <n v="3"/>
    <n v="3"/>
    <n v="4"/>
    <n v="3"/>
    <n v="4"/>
    <n v="7"/>
    <n v="13"/>
    <n v="73"/>
    <n v="73"/>
    <n v="78"/>
    <x v="13"/>
    <n v="4"/>
    <n v="6"/>
    <n v="4"/>
    <n v="6"/>
    <n v="1"/>
  </r>
  <r>
    <s v="Kolodziejczyk"/>
    <s v="Marta"/>
    <n v="7"/>
    <n v="3"/>
    <n v="6"/>
    <n v="2"/>
    <n v="4"/>
    <n v="6"/>
    <n v="39"/>
    <n v="69"/>
    <n v="10"/>
    <n v="10"/>
    <n v="91"/>
    <x v="95"/>
    <n v="10"/>
    <n v="0"/>
    <n v="6"/>
    <n v="10"/>
    <n v="1"/>
  </r>
  <r>
    <s v="Radomski"/>
    <s v="Jakub"/>
    <n v="5"/>
    <n v="6"/>
    <n v="4"/>
    <n v="3"/>
    <n v="5"/>
    <n v="2"/>
    <n v="18"/>
    <n v="29"/>
    <n v="18"/>
    <n v="5"/>
    <n v="64"/>
    <x v="96"/>
    <n v="6"/>
    <n v="4"/>
    <n v="8"/>
    <n v="0"/>
    <n v="1"/>
  </r>
  <r>
    <s v="Lange"/>
    <s v="Maja"/>
    <n v="3"/>
    <n v="3"/>
    <n v="3"/>
    <n v="6"/>
    <n v="2"/>
    <n v="2"/>
    <n v="80"/>
    <n v="5"/>
    <n v="4"/>
    <n v="59"/>
    <n v="5"/>
    <x v="97"/>
    <n v="4"/>
    <n v="10"/>
    <n v="0"/>
    <n v="0"/>
    <n v="1"/>
  </r>
  <r>
    <s v="Kornatowski"/>
    <s v="Mateusz"/>
    <n v="2"/>
    <n v="4"/>
    <n v="6"/>
    <n v="3"/>
    <n v="6"/>
    <n v="6"/>
    <n v="72"/>
    <n v="51"/>
    <n v="1"/>
    <n v="33"/>
    <n v="91"/>
    <x v="45"/>
    <n v="10"/>
    <n v="4"/>
    <n v="10"/>
    <n v="10"/>
    <n v="1"/>
  </r>
  <r>
    <s v="Pistek"/>
    <s v="Jan"/>
    <n v="1"/>
    <n v="4"/>
    <n v="4"/>
    <n v="3"/>
    <n v="3"/>
    <n v="6"/>
    <n v="25"/>
    <n v="23"/>
    <n v="20"/>
    <n v="93"/>
    <n v="78"/>
    <x v="21"/>
    <n v="6"/>
    <n v="4"/>
    <n v="4"/>
    <n v="10"/>
    <n v="1"/>
  </r>
  <r>
    <s v="Bialkowska"/>
    <s v="Kamila"/>
    <n v="4"/>
    <n v="5"/>
    <n v="5"/>
    <n v="3"/>
    <n v="5"/>
    <n v="2"/>
    <n v="79"/>
    <n v="53"/>
    <n v="97"/>
    <n v="34"/>
    <n v="92"/>
    <x v="98"/>
    <n v="8"/>
    <n v="4"/>
    <n v="8"/>
    <n v="0"/>
    <n v="1"/>
  </r>
  <r>
    <s v="Jurczyk"/>
    <s v="Nadia"/>
    <n v="4"/>
    <n v="2"/>
    <n v="6"/>
    <n v="4"/>
    <n v="3"/>
    <n v="2"/>
    <n v="13"/>
    <n v="81"/>
    <n v="58"/>
    <n v="45"/>
    <n v="11"/>
    <x v="99"/>
    <n v="10"/>
    <n v="6"/>
    <n v="4"/>
    <n v="0"/>
    <n v="1"/>
  </r>
  <r>
    <s v="Cieslik"/>
    <s v="Stanislaw"/>
    <n v="5"/>
    <n v="2"/>
    <n v="3"/>
    <n v="3"/>
    <n v="2"/>
    <n v="6"/>
    <n v="93"/>
    <n v="31"/>
    <n v="9"/>
    <n v="50"/>
    <n v="41"/>
    <x v="13"/>
    <n v="4"/>
    <n v="4"/>
    <n v="0"/>
    <n v="10"/>
    <n v="1"/>
  </r>
  <r>
    <s v="Trzebiatowska"/>
    <s v="Anna"/>
    <n v="2"/>
    <n v="2"/>
    <n v="2"/>
    <n v="2"/>
    <n v="2"/>
    <n v="2"/>
    <n v="10"/>
    <n v="93"/>
    <n v="88"/>
    <n v="23"/>
    <n v="43"/>
    <x v="100"/>
    <n v="0"/>
    <n v="0"/>
    <n v="0"/>
    <n v="0"/>
    <n v="1"/>
  </r>
  <r>
    <s v="Kluziak"/>
    <s v="Matylda"/>
    <n v="0"/>
    <n v="3"/>
    <n v="3"/>
    <n v="2"/>
    <n v="3"/>
    <n v="6"/>
    <n v="7"/>
    <n v="69"/>
    <n v="31"/>
    <n v="13"/>
    <n v="61"/>
    <x v="101"/>
    <n v="4"/>
    <n v="0"/>
    <n v="4"/>
    <n v="10"/>
    <n v="1"/>
  </r>
  <r>
    <s v="Mierzejewski"/>
    <s v="Kornel"/>
    <n v="5"/>
    <n v="3"/>
    <n v="2"/>
    <n v="2"/>
    <n v="4"/>
    <n v="6"/>
    <n v="24"/>
    <n v="79"/>
    <n v="99"/>
    <n v="6"/>
    <n v="89"/>
    <x v="102"/>
    <n v="0"/>
    <n v="0"/>
    <n v="6"/>
    <n v="10"/>
    <n v="1"/>
  </r>
  <r>
    <s v="Szreder"/>
    <s v="Dawid"/>
    <n v="7"/>
    <n v="2"/>
    <n v="2"/>
    <n v="4"/>
    <n v="4"/>
    <n v="6"/>
    <n v="57"/>
    <n v="11"/>
    <n v="80"/>
    <n v="27"/>
    <n v="21"/>
    <x v="85"/>
    <n v="0"/>
    <n v="6"/>
    <n v="6"/>
    <n v="10"/>
    <n v="1"/>
  </r>
  <r>
    <s v="Rybinski"/>
    <s v="Igor"/>
    <n v="7"/>
    <n v="6"/>
    <n v="6"/>
    <n v="2"/>
    <n v="2"/>
    <n v="4"/>
    <n v="2"/>
    <n v="65"/>
    <n v="47"/>
    <n v="64"/>
    <n v="89"/>
    <x v="103"/>
    <n v="10"/>
    <n v="0"/>
    <n v="0"/>
    <n v="6"/>
    <n v="1"/>
  </r>
  <r>
    <s v="Burza"/>
    <s v="Stanislaw"/>
    <n v="6"/>
    <n v="4"/>
    <n v="5"/>
    <n v="3"/>
    <n v="6"/>
    <n v="2"/>
    <n v="46"/>
    <n v="75"/>
    <n v="6"/>
    <n v="45"/>
    <n v="9"/>
    <x v="104"/>
    <n v="8"/>
    <n v="4"/>
    <n v="10"/>
    <n v="0"/>
    <n v="1"/>
  </r>
  <r>
    <s v="Wojcik"/>
    <s v="Aleks"/>
    <n v="8"/>
    <n v="3"/>
    <n v="6"/>
    <n v="4"/>
    <n v="5"/>
    <n v="2"/>
    <n v="8"/>
    <n v="35"/>
    <n v="65"/>
    <n v="30"/>
    <n v="5"/>
    <x v="105"/>
    <n v="10"/>
    <n v="6"/>
    <n v="8"/>
    <n v="0"/>
    <n v="1"/>
  </r>
  <r>
    <s v="Pawelec"/>
    <s v="Jan"/>
    <n v="3"/>
    <n v="6"/>
    <n v="6"/>
    <n v="3"/>
    <n v="4"/>
    <n v="5"/>
    <n v="35"/>
    <n v="1"/>
    <n v="100"/>
    <n v="65"/>
    <n v="86"/>
    <x v="106"/>
    <n v="10"/>
    <n v="4"/>
    <n v="6"/>
    <n v="8"/>
    <n v="1"/>
  </r>
  <r>
    <s v="Micun"/>
    <s v="Krzysztof"/>
    <n v="8"/>
    <n v="3"/>
    <n v="2"/>
    <n v="3"/>
    <n v="5"/>
    <n v="5"/>
    <n v="31"/>
    <n v="75"/>
    <n v="10"/>
    <n v="37"/>
    <n v="48"/>
    <x v="107"/>
    <n v="0"/>
    <n v="4"/>
    <n v="8"/>
    <n v="8"/>
    <n v="1"/>
  </r>
  <r>
    <s v="Jablonski"/>
    <s v="Nikodem"/>
    <n v="4"/>
    <n v="3"/>
    <n v="4"/>
    <n v="2"/>
    <n v="5"/>
    <n v="6"/>
    <n v="53"/>
    <n v="74"/>
    <n v="66"/>
    <n v="37"/>
    <n v="55"/>
    <x v="10"/>
    <n v="6"/>
    <n v="0"/>
    <n v="8"/>
    <n v="10"/>
    <n v="1"/>
  </r>
  <r>
    <s v="Kwidczynska"/>
    <s v="Maja"/>
    <n v="4"/>
    <n v="6"/>
    <n v="5"/>
    <n v="3"/>
    <n v="4"/>
    <n v="4"/>
    <n v="43"/>
    <n v="49"/>
    <n v="12"/>
    <n v="36"/>
    <n v="87"/>
    <x v="73"/>
    <n v="8"/>
    <n v="4"/>
    <n v="6"/>
    <n v="6"/>
    <n v="1"/>
  </r>
  <r>
    <s v="Leoniuk"/>
    <s v="Marcel"/>
    <n v="4"/>
    <n v="4"/>
    <n v="6"/>
    <n v="2"/>
    <n v="5"/>
    <n v="2"/>
    <n v="60"/>
    <n v="75"/>
    <n v="10"/>
    <n v="59"/>
    <n v="5"/>
    <x v="108"/>
    <n v="10"/>
    <n v="0"/>
    <n v="8"/>
    <n v="0"/>
    <n v="1"/>
  </r>
  <r>
    <s v="Tomaszewska"/>
    <s v="Anna"/>
    <n v="7"/>
    <n v="6"/>
    <n v="4"/>
    <n v="2"/>
    <n v="2"/>
    <n v="3"/>
    <n v="89"/>
    <n v="29"/>
    <n v="58"/>
    <n v="19"/>
    <n v="97"/>
    <x v="109"/>
    <n v="6"/>
    <n v="0"/>
    <n v="0"/>
    <n v="4"/>
    <n v="1"/>
  </r>
  <r>
    <s v="Kurasik"/>
    <s v="Marcin"/>
    <n v="5"/>
    <n v="6"/>
    <n v="5"/>
    <n v="3"/>
    <n v="5"/>
    <n v="3"/>
    <n v="61"/>
    <n v="95"/>
    <n v="36"/>
    <n v="86"/>
    <n v="36"/>
    <x v="110"/>
    <n v="8"/>
    <n v="4"/>
    <n v="8"/>
    <n v="4"/>
    <n v="1"/>
  </r>
  <r>
    <s v="Grzsdzielska"/>
    <s v="Nina"/>
    <n v="7"/>
    <n v="6"/>
    <n v="2"/>
    <n v="3"/>
    <n v="3"/>
    <n v="2"/>
    <n v="2"/>
    <n v="9"/>
    <n v="56"/>
    <n v="86"/>
    <n v="71"/>
    <x v="111"/>
    <n v="0"/>
    <n v="4"/>
    <n v="4"/>
    <n v="0"/>
    <n v="1"/>
  </r>
  <r>
    <s v="Krynicki"/>
    <s v="Mateusz"/>
    <n v="6"/>
    <n v="2"/>
    <n v="4"/>
    <n v="5"/>
    <n v="6"/>
    <n v="4"/>
    <n v="21"/>
    <n v="73"/>
    <n v="39"/>
    <n v="28"/>
    <n v="25"/>
    <x v="112"/>
    <n v="6"/>
    <n v="8"/>
    <n v="10"/>
    <n v="6"/>
    <n v="1"/>
  </r>
  <r>
    <s v="Miszkin"/>
    <s v="Lena"/>
    <n v="0"/>
    <n v="5"/>
    <n v="2"/>
    <n v="4"/>
    <n v="3"/>
    <n v="3"/>
    <n v="52"/>
    <n v="74"/>
    <n v="79"/>
    <n v="92"/>
    <n v="69"/>
    <x v="113"/>
    <n v="0"/>
    <n v="6"/>
    <n v="4"/>
    <n v="4"/>
    <n v="1"/>
  </r>
  <r>
    <s v="Wilk"/>
    <s v="Amelia"/>
    <n v="1"/>
    <n v="2"/>
    <n v="2"/>
    <n v="4"/>
    <n v="5"/>
    <n v="3"/>
    <n v="97"/>
    <n v="51"/>
    <n v="38"/>
    <n v="17"/>
    <n v="5"/>
    <x v="114"/>
    <n v="0"/>
    <n v="6"/>
    <n v="8"/>
    <n v="4"/>
    <n v="1"/>
  </r>
  <r>
    <s v="Gibas"/>
    <s v="Patryk"/>
    <n v="3"/>
    <n v="3"/>
    <n v="2"/>
    <n v="5"/>
    <n v="3"/>
    <n v="5"/>
    <n v="68"/>
    <n v="38"/>
    <n v="31"/>
    <n v="14"/>
    <n v="54"/>
    <x v="115"/>
    <n v="0"/>
    <n v="8"/>
    <n v="4"/>
    <n v="8"/>
    <n v="1"/>
  </r>
  <r>
    <s v="Nowakowska"/>
    <s v="Kornelia"/>
    <n v="7"/>
    <n v="6"/>
    <n v="2"/>
    <n v="5"/>
    <n v="6"/>
    <n v="5"/>
    <n v="19"/>
    <n v="56"/>
    <n v="50"/>
    <n v="43"/>
    <n v="66"/>
    <x v="116"/>
    <n v="0"/>
    <n v="8"/>
    <n v="10"/>
    <n v="8"/>
    <n v="1"/>
  </r>
  <r>
    <s v="Broszkow"/>
    <s v="Zofia"/>
    <n v="6"/>
    <n v="6"/>
    <n v="5"/>
    <n v="3"/>
    <n v="2"/>
    <n v="3"/>
    <n v="16"/>
    <n v="95"/>
    <n v="97"/>
    <n v="62"/>
    <n v="46"/>
    <x v="28"/>
    <n v="8"/>
    <n v="4"/>
    <n v="0"/>
    <n v="4"/>
    <n v="1"/>
  </r>
  <r>
    <s v="Jama"/>
    <s v="Nikodem"/>
    <n v="6"/>
    <n v="5"/>
    <n v="3"/>
    <n v="2"/>
    <n v="3"/>
    <n v="5"/>
    <n v="55"/>
    <n v="2"/>
    <n v="64"/>
    <n v="13"/>
    <n v="72"/>
    <x v="74"/>
    <n v="4"/>
    <n v="0"/>
    <n v="4"/>
    <n v="8"/>
    <n v="1"/>
  </r>
  <r>
    <s v="Chojnacki"/>
    <s v="Jacek"/>
    <n v="6"/>
    <n v="2"/>
    <n v="4"/>
    <n v="3"/>
    <n v="3"/>
    <n v="2"/>
    <n v="54"/>
    <n v="83"/>
    <n v="36"/>
    <n v="27"/>
    <n v="21"/>
    <x v="117"/>
    <n v="6"/>
    <n v="4"/>
    <n v="4"/>
    <n v="0"/>
    <n v="1"/>
  </r>
  <r>
    <s v="Klebba"/>
    <s v="Michalina"/>
    <n v="1"/>
    <n v="5"/>
    <n v="2"/>
    <n v="2"/>
    <n v="4"/>
    <n v="5"/>
    <n v="19"/>
    <n v="92"/>
    <n v="24"/>
    <n v="32"/>
    <n v="91"/>
    <x v="118"/>
    <n v="0"/>
    <n v="0"/>
    <n v="6"/>
    <n v="8"/>
    <n v="1"/>
  </r>
  <r>
    <s v="Tomczyk"/>
    <s v="Bruno"/>
    <n v="7"/>
    <n v="3"/>
    <n v="2"/>
    <n v="3"/>
    <n v="5"/>
    <n v="6"/>
    <n v="25"/>
    <n v="14"/>
    <n v="19"/>
    <n v="95"/>
    <n v="91"/>
    <x v="119"/>
    <n v="0"/>
    <n v="4"/>
    <n v="8"/>
    <n v="10"/>
    <n v="1"/>
  </r>
  <r>
    <s v="Wojciechowski"/>
    <s v="Aleksander"/>
    <n v="8"/>
    <n v="4"/>
    <n v="3"/>
    <n v="2"/>
    <n v="3"/>
    <n v="4"/>
    <n v="37"/>
    <n v="69"/>
    <n v="12"/>
    <n v="17"/>
    <n v="48"/>
    <x v="120"/>
    <n v="4"/>
    <n v="0"/>
    <n v="4"/>
    <n v="6"/>
    <n v="1"/>
  </r>
  <r>
    <s v="Glac"/>
    <s v="Patryk"/>
    <n v="3"/>
    <n v="6"/>
    <n v="6"/>
    <n v="6"/>
    <n v="3"/>
    <n v="4"/>
    <n v="79"/>
    <n v="23"/>
    <n v="17"/>
    <n v="99"/>
    <n v="29"/>
    <x v="91"/>
    <n v="10"/>
    <n v="10"/>
    <n v="4"/>
    <n v="6"/>
    <n v="1"/>
  </r>
  <r>
    <s v="Lewita"/>
    <s v="Maksymilian"/>
    <n v="4"/>
    <n v="5"/>
    <n v="2"/>
    <n v="5"/>
    <n v="4"/>
    <n v="3"/>
    <n v="41"/>
    <n v="64"/>
    <n v="91"/>
    <n v="82"/>
    <n v="100"/>
    <x v="121"/>
    <n v="0"/>
    <n v="8"/>
    <n v="6"/>
    <n v="4"/>
    <n v="1"/>
  </r>
  <r>
    <s v="Kurowska"/>
    <s v="Maja"/>
    <n v="5"/>
    <n v="4"/>
    <n v="5"/>
    <n v="2"/>
    <n v="3"/>
    <n v="2"/>
    <n v="87"/>
    <n v="45"/>
    <n v="47"/>
    <n v="75"/>
    <n v="51"/>
    <x v="23"/>
    <n v="8"/>
    <n v="0"/>
    <n v="4"/>
    <n v="0"/>
    <n v="1"/>
  </r>
  <r>
    <s v="Lutczyk"/>
    <s v="Maciej"/>
    <n v="8"/>
    <n v="3"/>
    <n v="6"/>
    <n v="3"/>
    <n v="6"/>
    <n v="2"/>
    <n v="84"/>
    <n v="77"/>
    <n v="71"/>
    <n v="71"/>
    <n v="9"/>
    <x v="11"/>
    <n v="10"/>
    <n v="4"/>
    <n v="10"/>
    <n v="0"/>
    <n v="1"/>
  </r>
  <r>
    <s v="Laskowski"/>
    <s v="Maciej"/>
    <n v="1"/>
    <n v="2"/>
    <n v="4"/>
    <n v="4"/>
    <n v="5"/>
    <n v="5"/>
    <n v="20"/>
    <n v="93"/>
    <n v="68"/>
    <n v="58"/>
    <n v="23"/>
    <x v="9"/>
    <n v="6"/>
    <n v="6"/>
    <n v="8"/>
    <n v="8"/>
    <n v="1"/>
  </r>
  <r>
    <s v="Adamczyk"/>
    <s v="Zuzanna"/>
    <n v="7"/>
    <n v="5"/>
    <n v="6"/>
    <n v="6"/>
    <n v="2"/>
    <n v="5"/>
    <n v="80"/>
    <n v="90"/>
    <n v="62"/>
    <n v="97"/>
    <n v="3"/>
    <x v="63"/>
    <n v="10"/>
    <n v="10"/>
    <n v="0"/>
    <n v="8"/>
    <n v="1"/>
  </r>
  <r>
    <s v="Wolski"/>
    <s v="Aleksander"/>
    <n v="6"/>
    <n v="6"/>
    <n v="6"/>
    <n v="4"/>
    <n v="4"/>
    <n v="5"/>
    <n v="77"/>
    <n v="40"/>
    <n v="93"/>
    <n v="80"/>
    <n v="71"/>
    <x v="122"/>
    <n v="10"/>
    <n v="6"/>
    <n v="6"/>
    <n v="8"/>
    <n v="1"/>
  </r>
  <r>
    <s v="Dsbrowa"/>
    <s v="Szymon"/>
    <n v="4"/>
    <n v="6"/>
    <n v="5"/>
    <n v="3"/>
    <n v="5"/>
    <n v="4"/>
    <n v="65"/>
    <n v="34"/>
    <n v="51"/>
    <n v="38"/>
    <n v="65"/>
    <x v="123"/>
    <n v="8"/>
    <n v="4"/>
    <n v="8"/>
    <n v="6"/>
    <n v="1"/>
  </r>
  <r>
    <s v="Jackowska"/>
    <s v="Natasza"/>
    <n v="0"/>
    <n v="6"/>
    <n v="4"/>
    <n v="3"/>
    <n v="3"/>
    <n v="2"/>
    <n v="62"/>
    <n v="62"/>
    <n v="86"/>
    <n v="10"/>
    <n v="2"/>
    <x v="124"/>
    <n v="6"/>
    <n v="4"/>
    <n v="4"/>
    <n v="0"/>
    <n v="1"/>
  </r>
  <r>
    <s v="Korenkiewicz"/>
    <s v="Marika"/>
    <n v="8"/>
    <n v="5"/>
    <n v="4"/>
    <n v="2"/>
    <n v="4"/>
    <n v="2"/>
    <n v="70"/>
    <n v="4"/>
    <n v="92"/>
    <n v="91"/>
    <n v="21"/>
    <x v="125"/>
    <n v="6"/>
    <n v="0"/>
    <n v="6"/>
    <n v="0"/>
    <n v="1"/>
  </r>
  <r>
    <s v="Iwanowski"/>
    <s v="Olaf"/>
    <n v="1"/>
    <n v="2"/>
    <n v="6"/>
    <n v="5"/>
    <n v="6"/>
    <n v="4"/>
    <n v="66"/>
    <n v="78"/>
    <n v="26"/>
    <n v="98"/>
    <n v="56"/>
    <x v="126"/>
    <n v="10"/>
    <n v="8"/>
    <n v="10"/>
    <n v="6"/>
    <n v="1"/>
  </r>
  <r>
    <s v="Arendt"/>
    <s v="Wojciech"/>
    <n v="3"/>
    <n v="4"/>
    <n v="6"/>
    <n v="2"/>
    <n v="2"/>
    <n v="5"/>
    <n v="54"/>
    <n v="12"/>
    <n v="13"/>
    <n v="21"/>
    <n v="24"/>
    <x v="127"/>
    <n v="10"/>
    <n v="0"/>
    <n v="0"/>
    <n v="8"/>
    <n v="1"/>
  </r>
  <r>
    <s v="Tarkowska"/>
    <s v="Antonina"/>
    <n v="6"/>
    <n v="2"/>
    <n v="3"/>
    <n v="3"/>
    <n v="3"/>
    <n v="6"/>
    <n v="27"/>
    <n v="2"/>
    <n v="84"/>
    <n v="100"/>
    <n v="27"/>
    <x v="128"/>
    <n v="4"/>
    <n v="4"/>
    <n v="4"/>
    <n v="10"/>
    <n v="1"/>
  </r>
  <r>
    <s v="Murczynska"/>
    <s v="Laura"/>
    <n v="1"/>
    <n v="4"/>
    <n v="6"/>
    <n v="6"/>
    <n v="2"/>
    <n v="3"/>
    <n v="43"/>
    <n v="77"/>
    <n v="31"/>
    <n v="88"/>
    <n v="67"/>
    <x v="28"/>
    <n v="10"/>
    <n v="10"/>
    <n v="0"/>
    <n v="4"/>
    <n v="1"/>
  </r>
  <r>
    <s v="Kado"/>
    <s v="Monika"/>
    <n v="3"/>
    <n v="6"/>
    <n v="6"/>
    <n v="4"/>
    <n v="3"/>
    <n v="6"/>
    <n v="63"/>
    <n v="36"/>
    <n v="68"/>
    <n v="19"/>
    <n v="39"/>
    <x v="129"/>
    <n v="10"/>
    <n v="6"/>
    <n v="4"/>
    <n v="10"/>
    <n v="1"/>
  </r>
  <r>
    <s v="Wieczerzak"/>
    <s v="Amelia"/>
    <n v="1"/>
    <n v="2"/>
    <n v="6"/>
    <n v="4"/>
    <n v="2"/>
    <n v="2"/>
    <n v="32"/>
    <n v="18"/>
    <n v="1"/>
    <n v="56"/>
    <n v="7"/>
    <x v="130"/>
    <n v="10"/>
    <n v="6"/>
    <n v="0"/>
    <n v="0"/>
    <n v="1"/>
  </r>
  <r>
    <s v="Jakudczyk"/>
    <s v="Nikodem"/>
    <n v="4"/>
    <n v="3"/>
    <n v="3"/>
    <n v="2"/>
    <n v="6"/>
    <n v="2"/>
    <n v="60"/>
    <n v="64"/>
    <n v="100"/>
    <n v="38"/>
    <n v="70"/>
    <x v="79"/>
    <n v="4"/>
    <n v="0"/>
    <n v="10"/>
    <n v="0"/>
    <n v="1"/>
  </r>
  <r>
    <s v="Gryniewicz"/>
    <s v="Oliwier"/>
    <n v="0"/>
    <n v="6"/>
    <n v="6"/>
    <n v="5"/>
    <n v="3"/>
    <n v="2"/>
    <n v="39"/>
    <n v="66"/>
    <n v="84"/>
    <n v="47"/>
    <n v="21"/>
    <x v="131"/>
    <n v="10"/>
    <n v="8"/>
    <n v="4"/>
    <n v="0"/>
    <n v="1"/>
  </r>
  <r>
    <s v="Kaliszuk"/>
    <s v="Mikolaj"/>
    <n v="2"/>
    <n v="2"/>
    <n v="5"/>
    <n v="2"/>
    <n v="3"/>
    <n v="3"/>
    <n v="11"/>
    <n v="88"/>
    <n v="90"/>
    <n v="20"/>
    <n v="65"/>
    <x v="13"/>
    <n v="8"/>
    <n v="0"/>
    <n v="4"/>
    <n v="4"/>
    <n v="1"/>
  </r>
  <r>
    <s v="Majtas"/>
    <s v="Lucja"/>
    <n v="2"/>
    <n v="5"/>
    <n v="5"/>
    <n v="2"/>
    <n v="6"/>
    <n v="2"/>
    <n v="79"/>
    <n v="66"/>
    <n v="91"/>
    <n v="30"/>
    <n v="90"/>
    <x v="28"/>
    <n v="8"/>
    <n v="0"/>
    <n v="10"/>
    <n v="0"/>
    <n v="1"/>
  </r>
  <r>
    <s v="Grzesiak"/>
    <s v="Nina"/>
    <n v="5"/>
    <n v="3"/>
    <n v="6"/>
    <n v="3"/>
    <n v="3"/>
    <n v="5"/>
    <n v="15"/>
    <n v="21"/>
    <n v="66"/>
    <n v="55"/>
    <n v="90"/>
    <x v="132"/>
    <n v="10"/>
    <n v="4"/>
    <n v="4"/>
    <n v="8"/>
    <n v="1"/>
  </r>
  <r>
    <s v="Freda"/>
    <s v="Piotr"/>
    <n v="4"/>
    <n v="3"/>
    <n v="6"/>
    <n v="6"/>
    <n v="4"/>
    <n v="4"/>
    <n v="15"/>
    <n v="36"/>
    <n v="51"/>
    <n v="10"/>
    <n v="68"/>
    <x v="69"/>
    <n v="10"/>
    <n v="10"/>
    <n v="6"/>
    <n v="6"/>
    <n v="1"/>
  </r>
  <r>
    <s v="Janczynski"/>
    <s v="Nikodem"/>
    <n v="5"/>
    <n v="5"/>
    <n v="6"/>
    <n v="6"/>
    <n v="6"/>
    <n v="6"/>
    <n v="63"/>
    <n v="88"/>
    <n v="72"/>
    <n v="90"/>
    <n v="83"/>
    <x v="133"/>
    <n v="10"/>
    <n v="10"/>
    <n v="10"/>
    <n v="10"/>
    <n v="1"/>
  </r>
  <r>
    <s v="Kossakowska"/>
    <s v="Marika"/>
    <n v="8"/>
    <n v="3"/>
    <n v="5"/>
    <n v="5"/>
    <n v="5"/>
    <n v="6"/>
    <n v="55"/>
    <n v="10"/>
    <n v="80"/>
    <n v="8"/>
    <n v="78"/>
    <x v="134"/>
    <n v="8"/>
    <n v="8"/>
    <n v="8"/>
    <n v="10"/>
    <n v="1"/>
  </r>
  <r>
    <s v="Korda"/>
    <s v="Mateusz"/>
    <n v="7"/>
    <n v="3"/>
    <n v="5"/>
    <n v="4"/>
    <n v="5"/>
    <n v="6"/>
    <n v="24"/>
    <n v="82"/>
    <n v="37"/>
    <n v="7"/>
    <n v="12"/>
    <x v="9"/>
    <n v="8"/>
    <n v="6"/>
    <n v="8"/>
    <n v="10"/>
    <n v="1"/>
  </r>
  <r>
    <s v="Klukowska"/>
    <s v="Matylda"/>
    <n v="0"/>
    <n v="2"/>
    <n v="3"/>
    <n v="4"/>
    <n v="6"/>
    <n v="6"/>
    <n v="19"/>
    <n v="82"/>
    <n v="75"/>
    <n v="35"/>
    <n v="75"/>
    <x v="135"/>
    <n v="4"/>
    <n v="6"/>
    <n v="10"/>
    <n v="10"/>
    <n v="1"/>
  </r>
  <r>
    <s v="Araucz"/>
    <s v="Zuzanna"/>
    <n v="5"/>
    <n v="3"/>
    <n v="5"/>
    <n v="3"/>
    <n v="3"/>
    <n v="2"/>
    <n v="33"/>
    <n v="10"/>
    <n v="92"/>
    <n v="74"/>
    <n v="79"/>
    <x v="18"/>
    <n v="8"/>
    <n v="4"/>
    <n v="4"/>
    <n v="0"/>
    <n v="1"/>
  </r>
  <r>
    <s v="Kuban"/>
    <s v="Maja"/>
    <n v="4"/>
    <n v="5"/>
    <n v="5"/>
    <n v="3"/>
    <n v="4"/>
    <n v="4"/>
    <n v="94"/>
    <n v="21"/>
    <n v="58"/>
    <n v="60"/>
    <n v="36"/>
    <x v="95"/>
    <n v="8"/>
    <n v="4"/>
    <n v="6"/>
    <n v="6"/>
    <n v="1"/>
  </r>
  <r>
    <s v="Rutkowski"/>
    <s v="Igor"/>
    <n v="1"/>
    <n v="2"/>
    <n v="6"/>
    <n v="4"/>
    <n v="6"/>
    <n v="5"/>
    <n v="5"/>
    <n v="79"/>
    <n v="31"/>
    <n v="60"/>
    <n v="44"/>
    <x v="136"/>
    <n v="10"/>
    <n v="6"/>
    <n v="10"/>
    <n v="8"/>
    <n v="1"/>
  </r>
  <r>
    <s v="MaźNiewski"/>
    <s v="Krzysztof"/>
    <n v="0"/>
    <n v="4"/>
    <n v="4"/>
    <n v="6"/>
    <n v="4"/>
    <n v="4"/>
    <n v="60"/>
    <n v="36"/>
    <n v="6"/>
    <n v="48"/>
    <n v="31"/>
    <x v="104"/>
    <n v="6"/>
    <n v="10"/>
    <n v="6"/>
    <n v="6"/>
    <n v="1"/>
  </r>
  <r>
    <s v="Pawlak"/>
    <s v="Jan"/>
    <n v="6"/>
    <n v="3"/>
    <n v="2"/>
    <n v="2"/>
    <n v="6"/>
    <n v="6"/>
    <n v="47"/>
    <n v="36"/>
    <n v="64"/>
    <n v="67"/>
    <n v="13"/>
    <x v="25"/>
    <n v="0"/>
    <n v="0"/>
    <n v="10"/>
    <n v="10"/>
    <n v="1"/>
  </r>
  <r>
    <s v="Zasowska"/>
    <s v="Agnieszka"/>
    <n v="0"/>
    <n v="5"/>
    <n v="5"/>
    <n v="3"/>
    <n v="3"/>
    <n v="4"/>
    <n v="92"/>
    <n v="58"/>
    <n v="73"/>
    <n v="53"/>
    <n v="68"/>
    <x v="48"/>
    <n v="8"/>
    <n v="4"/>
    <n v="4"/>
    <n v="6"/>
    <n v="1"/>
  </r>
  <r>
    <s v="Korkosz"/>
    <s v="Mateusz"/>
    <n v="3"/>
    <n v="5"/>
    <n v="4"/>
    <n v="6"/>
    <n v="6"/>
    <n v="4"/>
    <n v="70"/>
    <n v="3"/>
    <n v="92"/>
    <n v="40"/>
    <n v="41"/>
    <x v="137"/>
    <n v="6"/>
    <n v="10"/>
    <n v="10"/>
    <n v="6"/>
    <n v="1"/>
  </r>
  <r>
    <s v="Olczak"/>
    <s v="Kacper"/>
    <n v="5"/>
    <n v="2"/>
    <n v="4"/>
    <n v="6"/>
    <n v="5"/>
    <n v="3"/>
    <n v="78"/>
    <n v="78"/>
    <n v="90"/>
    <n v="83"/>
    <n v="63"/>
    <x v="138"/>
    <n v="6"/>
    <n v="10"/>
    <n v="8"/>
    <n v="4"/>
    <n v="1"/>
  </r>
  <r>
    <s v="Kaminski"/>
    <s v="Mikolaj"/>
    <n v="0"/>
    <n v="6"/>
    <n v="5"/>
    <n v="6"/>
    <n v="6"/>
    <n v="6"/>
    <n v="43"/>
    <n v="3"/>
    <n v="56"/>
    <n v="52"/>
    <n v="41"/>
    <x v="98"/>
    <n v="8"/>
    <n v="10"/>
    <n v="10"/>
    <n v="10"/>
    <n v="1"/>
  </r>
  <r>
    <s v="Wlodarczyk"/>
    <s v="Alicja"/>
    <n v="1"/>
    <n v="4"/>
    <n v="4"/>
    <n v="3"/>
    <n v="6"/>
    <n v="6"/>
    <n v="33"/>
    <n v="38"/>
    <n v="27"/>
    <n v="60"/>
    <n v="80"/>
    <x v="139"/>
    <n v="6"/>
    <n v="4"/>
    <n v="10"/>
    <n v="10"/>
    <n v="1"/>
  </r>
  <r>
    <s v="Grubba"/>
    <s v="Oskar"/>
    <n v="5"/>
    <n v="6"/>
    <n v="2"/>
    <n v="5"/>
    <n v="5"/>
    <n v="5"/>
    <n v="80"/>
    <n v="54"/>
    <n v="22"/>
    <n v="26"/>
    <n v="62"/>
    <x v="140"/>
    <n v="0"/>
    <n v="8"/>
    <n v="8"/>
    <n v="8"/>
    <n v="1"/>
  </r>
  <r>
    <s v="Ligman"/>
    <s v="Maksymilian"/>
    <n v="6"/>
    <n v="6"/>
    <n v="2"/>
    <n v="4"/>
    <n v="5"/>
    <n v="2"/>
    <n v="34"/>
    <n v="92"/>
    <n v="51"/>
    <n v="32"/>
    <n v="80"/>
    <x v="141"/>
    <n v="0"/>
    <n v="6"/>
    <n v="8"/>
    <n v="0"/>
    <n v="1"/>
  </r>
  <r>
    <s v="Filbrandt"/>
    <s v="Piotr"/>
    <n v="8"/>
    <n v="2"/>
    <n v="4"/>
    <n v="2"/>
    <n v="6"/>
    <n v="5"/>
    <n v="17"/>
    <n v="29"/>
    <n v="83"/>
    <n v="9"/>
    <n v="54"/>
    <x v="79"/>
    <n v="6"/>
    <n v="0"/>
    <n v="10"/>
    <n v="8"/>
    <n v="1"/>
  </r>
  <r>
    <s v="Formela"/>
    <s v="Piotr"/>
    <n v="1"/>
    <n v="5"/>
    <n v="6"/>
    <n v="4"/>
    <n v="3"/>
    <n v="2"/>
    <n v="14"/>
    <n v="49"/>
    <n v="64"/>
    <n v="36"/>
    <n v="2"/>
    <x v="142"/>
    <n v="10"/>
    <n v="6"/>
    <n v="4"/>
    <n v="0"/>
    <n v="1"/>
  </r>
  <r>
    <s v="Dľbrowski"/>
    <s v="Szymon"/>
    <n v="6"/>
    <n v="6"/>
    <n v="3"/>
    <n v="6"/>
    <n v="2"/>
    <n v="3"/>
    <n v="27"/>
    <n v="64"/>
    <n v="47"/>
    <n v="11"/>
    <n v="24"/>
    <x v="19"/>
    <n v="4"/>
    <n v="10"/>
    <n v="0"/>
    <n v="4"/>
    <n v="1"/>
  </r>
  <r>
    <s v="Rowinski"/>
    <s v="Jacek"/>
    <n v="3"/>
    <n v="5"/>
    <n v="3"/>
    <n v="2"/>
    <n v="6"/>
    <n v="6"/>
    <n v="77"/>
    <n v="9"/>
    <n v="73"/>
    <n v="35"/>
    <n v="96"/>
    <x v="143"/>
    <n v="4"/>
    <n v="0"/>
    <n v="10"/>
    <n v="10"/>
    <n v="1"/>
  </r>
  <r>
    <s v="Szymanska"/>
    <s v="Ariuna"/>
    <n v="2"/>
    <n v="5"/>
    <n v="4"/>
    <n v="4"/>
    <n v="2"/>
    <n v="5"/>
    <n v="46"/>
    <n v="15"/>
    <n v="67"/>
    <n v="56"/>
    <n v="9"/>
    <x v="144"/>
    <n v="6"/>
    <n v="6"/>
    <n v="0"/>
    <n v="8"/>
    <n v="1"/>
  </r>
  <r>
    <s v="Gozdalik"/>
    <s v="Oliwia"/>
    <n v="3"/>
    <n v="4"/>
    <n v="6"/>
    <n v="3"/>
    <n v="2"/>
    <n v="2"/>
    <n v="79"/>
    <n v="70"/>
    <n v="42"/>
    <n v="36"/>
    <n v="76"/>
    <x v="145"/>
    <n v="10"/>
    <n v="4"/>
    <n v="0"/>
    <n v="0"/>
    <n v="1"/>
  </r>
  <r>
    <s v="Pinker"/>
    <s v="Jan"/>
    <n v="3"/>
    <n v="6"/>
    <n v="3"/>
    <n v="6"/>
    <n v="2"/>
    <n v="5"/>
    <n v="25"/>
    <n v="78"/>
    <n v="36"/>
    <n v="67"/>
    <n v="37"/>
    <x v="146"/>
    <n v="4"/>
    <n v="10"/>
    <n v="0"/>
    <n v="8"/>
    <n v="1"/>
  </r>
  <r>
    <s v="Jaglowski"/>
    <s v="Nikodem"/>
    <n v="4"/>
    <n v="5"/>
    <n v="4"/>
    <n v="6"/>
    <n v="5"/>
    <n v="2"/>
    <n v="53"/>
    <n v="61"/>
    <n v="85"/>
    <n v="8"/>
    <n v="76"/>
    <x v="72"/>
    <n v="6"/>
    <n v="10"/>
    <n v="8"/>
    <n v="0"/>
    <n v="1"/>
  </r>
  <r>
    <s v="Kossakowska"/>
    <s v="Marika"/>
    <n v="7"/>
    <n v="2"/>
    <n v="4"/>
    <n v="3"/>
    <n v="6"/>
    <n v="3"/>
    <n v="13"/>
    <n v="89"/>
    <n v="20"/>
    <n v="2"/>
    <n v="36"/>
    <x v="147"/>
    <n v="6"/>
    <n v="4"/>
    <n v="10"/>
    <n v="4"/>
    <n v="1"/>
  </r>
  <r>
    <s v="Wendt"/>
    <s v="Amelia"/>
    <n v="3"/>
    <n v="5"/>
    <n v="5"/>
    <n v="2"/>
    <n v="5"/>
    <n v="2"/>
    <n v="25"/>
    <n v="46"/>
    <n v="91"/>
    <n v="75"/>
    <n v="91"/>
    <x v="70"/>
    <n v="8"/>
    <n v="0"/>
    <n v="8"/>
    <n v="0"/>
    <n v="1"/>
  </r>
  <r>
    <s v="Obarowska"/>
    <s v="Kornelia"/>
    <n v="7"/>
    <n v="6"/>
    <n v="4"/>
    <n v="5"/>
    <n v="4"/>
    <n v="6"/>
    <n v="52"/>
    <n v="32"/>
    <n v="57"/>
    <n v="58"/>
    <n v="67"/>
    <x v="76"/>
    <n v="6"/>
    <n v="8"/>
    <n v="6"/>
    <n v="10"/>
    <n v="1"/>
  </r>
  <r>
    <s v="Baranowska"/>
    <s v="Zuzanna"/>
    <n v="7"/>
    <n v="6"/>
    <n v="4"/>
    <n v="6"/>
    <n v="6"/>
    <n v="5"/>
    <n v="85"/>
    <n v="37"/>
    <n v="73"/>
    <n v="73"/>
    <n v="19"/>
    <x v="148"/>
    <n v="6"/>
    <n v="10"/>
    <n v="10"/>
    <n v="8"/>
    <n v="1"/>
  </r>
  <r>
    <s v="Bonislawska"/>
    <s v="Monika"/>
    <n v="8"/>
    <n v="3"/>
    <n v="3"/>
    <n v="4"/>
    <n v="3"/>
    <n v="5"/>
    <n v="96"/>
    <n v="17"/>
    <n v="94"/>
    <n v="90"/>
    <n v="1"/>
    <x v="121"/>
    <n v="4"/>
    <n v="6"/>
    <n v="4"/>
    <n v="8"/>
    <n v="1"/>
  </r>
  <r>
    <s v="JoźWiak"/>
    <s v="Mikolaj"/>
    <n v="2"/>
    <n v="3"/>
    <n v="6"/>
    <n v="4"/>
    <n v="5"/>
    <n v="6"/>
    <n v="68"/>
    <n v="10"/>
    <n v="64"/>
    <n v="85"/>
    <n v="26"/>
    <x v="149"/>
    <n v="10"/>
    <n v="6"/>
    <n v="8"/>
    <n v="10"/>
    <n v="1"/>
  </r>
  <r>
    <s v="Wejner"/>
    <s v="Amelia"/>
    <n v="7"/>
    <n v="2"/>
    <n v="2"/>
    <n v="6"/>
    <n v="5"/>
    <n v="3"/>
    <n v="45"/>
    <n v="81"/>
    <n v="28"/>
    <n v="11"/>
    <n v="25"/>
    <x v="15"/>
    <n v="0"/>
    <n v="10"/>
    <n v="8"/>
    <n v="4"/>
    <n v="1"/>
  </r>
  <r>
    <s v="Wojcicka"/>
    <s v="Alicja"/>
    <n v="3"/>
    <n v="2"/>
    <n v="3"/>
    <n v="2"/>
    <n v="5"/>
    <n v="4"/>
    <n v="85"/>
    <n v="28"/>
    <n v="36"/>
    <n v="9"/>
    <n v="95"/>
    <x v="105"/>
    <n v="4"/>
    <n v="0"/>
    <n v="8"/>
    <n v="6"/>
    <n v="1"/>
  </r>
  <r>
    <s v="Koprowski"/>
    <s v="Maurycy"/>
    <n v="4"/>
    <n v="3"/>
    <n v="6"/>
    <n v="4"/>
    <n v="4"/>
    <n v="3"/>
    <n v="48"/>
    <n v="71"/>
    <n v="40"/>
    <n v="67"/>
    <n v="83"/>
    <x v="150"/>
    <n v="10"/>
    <n v="6"/>
    <n v="6"/>
    <n v="4"/>
    <n v="1"/>
  </r>
  <r>
    <s v="Cicherski"/>
    <s v="Szymon"/>
    <n v="0"/>
    <n v="5"/>
    <n v="6"/>
    <n v="4"/>
    <n v="4"/>
    <n v="5"/>
    <n v="70"/>
    <n v="42"/>
    <n v="47"/>
    <n v="24"/>
    <n v="40"/>
    <x v="151"/>
    <n v="10"/>
    <n v="6"/>
    <n v="6"/>
    <n v="8"/>
    <n v="1"/>
  </r>
  <r>
    <s v="Olitkowska"/>
    <s v="Klaudia"/>
    <n v="8"/>
    <n v="4"/>
    <n v="5"/>
    <n v="4"/>
    <n v="4"/>
    <n v="5"/>
    <n v="83"/>
    <n v="18"/>
    <n v="29"/>
    <n v="17"/>
    <n v="9"/>
    <x v="152"/>
    <n v="8"/>
    <n v="6"/>
    <n v="6"/>
    <n v="8"/>
    <n v="1"/>
  </r>
  <r>
    <s v="Majewski"/>
    <s v="Maciej"/>
    <n v="1"/>
    <n v="6"/>
    <n v="4"/>
    <n v="6"/>
    <n v="3"/>
    <n v="2"/>
    <n v="48"/>
    <n v="65"/>
    <n v="86"/>
    <n v="18"/>
    <n v="88"/>
    <x v="65"/>
    <n v="6"/>
    <n v="10"/>
    <n v="4"/>
    <n v="0"/>
    <n v="1"/>
  </r>
  <r>
    <s v="Podbereski"/>
    <s v="Jakub"/>
    <n v="4"/>
    <n v="5"/>
    <n v="3"/>
    <n v="5"/>
    <n v="5"/>
    <n v="2"/>
    <n v="70"/>
    <n v="20"/>
    <n v="38"/>
    <n v="18"/>
    <n v="65"/>
    <x v="153"/>
    <n v="4"/>
    <n v="8"/>
    <n v="8"/>
    <n v="0"/>
    <n v="1"/>
  </r>
  <r>
    <s v="Wójcik"/>
    <s v="Alan"/>
    <n v="2"/>
    <n v="2"/>
    <n v="6"/>
    <n v="5"/>
    <n v="2"/>
    <n v="6"/>
    <n v="74"/>
    <n v="61"/>
    <n v="24"/>
    <n v="72"/>
    <n v="41"/>
    <x v="60"/>
    <n v="10"/>
    <n v="8"/>
    <n v="0"/>
    <n v="10"/>
    <n v="1"/>
  </r>
  <r>
    <s v="Nowak"/>
    <s v="Latika"/>
    <n v="2"/>
    <n v="2"/>
    <n v="4"/>
    <n v="4"/>
    <n v="4"/>
    <n v="3"/>
    <n v="18"/>
    <n v="50"/>
    <n v="99"/>
    <n v="35"/>
    <n v="8"/>
    <x v="154"/>
    <n v="6"/>
    <n v="6"/>
    <n v="6"/>
    <n v="4"/>
    <n v="1"/>
  </r>
  <r>
    <s v="Piotrowski"/>
    <s v="Jacek"/>
    <n v="6"/>
    <n v="6"/>
    <n v="4"/>
    <n v="3"/>
    <n v="6"/>
    <n v="2"/>
    <n v="68"/>
    <n v="82"/>
    <n v="74"/>
    <n v="4"/>
    <n v="9"/>
    <x v="103"/>
    <n v="6"/>
    <n v="4"/>
    <n v="10"/>
    <n v="0"/>
    <n v="1"/>
  </r>
  <r>
    <s v="Bialek"/>
    <s v="Zuzanna"/>
    <n v="3"/>
    <n v="4"/>
    <n v="2"/>
    <n v="2"/>
    <n v="6"/>
    <n v="4"/>
    <n v="48"/>
    <n v="56"/>
    <n v="97"/>
    <n v="34"/>
    <n v="50"/>
    <x v="23"/>
    <n v="0"/>
    <n v="0"/>
    <n v="10"/>
    <n v="6"/>
    <n v="1"/>
  </r>
  <r>
    <s v="Galla"/>
    <s v="Paulina"/>
    <n v="2"/>
    <n v="5"/>
    <n v="5"/>
    <n v="5"/>
    <n v="3"/>
    <n v="2"/>
    <n v="69"/>
    <n v="49"/>
    <n v="67"/>
    <n v="20"/>
    <n v="3"/>
    <x v="155"/>
    <n v="8"/>
    <n v="8"/>
    <n v="4"/>
    <n v="0"/>
    <n v="1"/>
  </r>
  <r>
    <s v="Glasmann"/>
    <s v="Paula"/>
    <n v="5"/>
    <n v="2"/>
    <n v="4"/>
    <n v="5"/>
    <n v="6"/>
    <n v="4"/>
    <n v="68"/>
    <n v="37"/>
    <n v="91"/>
    <n v="56"/>
    <n v="46"/>
    <x v="156"/>
    <n v="6"/>
    <n v="8"/>
    <n v="10"/>
    <n v="6"/>
    <n v="1"/>
  </r>
  <r>
    <s v="Aniol"/>
    <s v="Wojciech"/>
    <n v="7"/>
    <n v="2"/>
    <n v="2"/>
    <n v="3"/>
    <n v="6"/>
    <n v="5"/>
    <n v="11"/>
    <n v="6"/>
    <n v="24"/>
    <n v="72"/>
    <n v="17"/>
    <x v="157"/>
    <n v="0"/>
    <n v="4"/>
    <n v="10"/>
    <n v="8"/>
    <n v="1"/>
  </r>
  <r>
    <s v="Cuper"/>
    <s v="Olga"/>
    <n v="2"/>
    <n v="2"/>
    <n v="6"/>
    <n v="2"/>
    <n v="2"/>
    <n v="4"/>
    <n v="13"/>
    <n v="7"/>
    <n v="71"/>
    <n v="64"/>
    <n v="96"/>
    <x v="158"/>
    <n v="10"/>
    <n v="0"/>
    <n v="0"/>
    <n v="6"/>
    <n v="1"/>
  </r>
  <r>
    <s v="Becla"/>
    <s v="Aleksander"/>
    <n v="8"/>
    <n v="4"/>
    <n v="5"/>
    <n v="5"/>
    <n v="3"/>
    <n v="4"/>
    <n v="92"/>
    <n v="71"/>
    <n v="26"/>
    <n v="42"/>
    <n v="46"/>
    <x v="106"/>
    <n v="8"/>
    <n v="8"/>
    <n v="4"/>
    <n v="6"/>
    <n v="1"/>
  </r>
  <r>
    <s v="Grodzki"/>
    <s v="Oskar"/>
    <n v="5"/>
    <n v="6"/>
    <n v="2"/>
    <n v="6"/>
    <n v="6"/>
    <n v="5"/>
    <n v="79"/>
    <n v="19"/>
    <n v="23"/>
    <n v="18"/>
    <n v="13"/>
    <x v="81"/>
    <n v="0"/>
    <n v="10"/>
    <n v="10"/>
    <n v="8"/>
    <n v="1"/>
  </r>
  <r>
    <s v="Ulwan"/>
    <s v="Anna"/>
    <n v="3"/>
    <n v="2"/>
    <n v="5"/>
    <n v="3"/>
    <n v="5"/>
    <n v="2"/>
    <n v="47"/>
    <n v="7"/>
    <n v="72"/>
    <n v="74"/>
    <n v="85"/>
    <x v="159"/>
    <n v="8"/>
    <n v="4"/>
    <n v="8"/>
    <n v="0"/>
    <n v="1"/>
  </r>
  <r>
    <s v="Goszczynski"/>
    <s v="Patryk"/>
    <n v="1"/>
    <n v="6"/>
    <n v="2"/>
    <n v="5"/>
    <n v="6"/>
    <n v="3"/>
    <n v="74"/>
    <n v="64"/>
    <n v="17"/>
    <n v="76"/>
    <n v="23"/>
    <x v="160"/>
    <n v="0"/>
    <n v="8"/>
    <n v="10"/>
    <n v="4"/>
    <n v="1"/>
  </r>
  <r>
    <s v="Bigos"/>
    <s v="Zosia"/>
    <n v="3"/>
    <n v="4"/>
    <n v="2"/>
    <n v="4"/>
    <n v="5"/>
    <n v="6"/>
    <n v="47"/>
    <n v="80"/>
    <n v="34"/>
    <n v="4"/>
    <n v="81"/>
    <x v="152"/>
    <n v="0"/>
    <n v="6"/>
    <n v="8"/>
    <n v="10"/>
    <n v="1"/>
  </r>
  <r>
    <s v="Waclawski"/>
    <s v="Bartosz"/>
    <n v="3"/>
    <n v="4"/>
    <n v="3"/>
    <n v="2"/>
    <n v="4"/>
    <n v="4"/>
    <n v="14"/>
    <n v="35"/>
    <n v="43"/>
    <n v="57"/>
    <n v="34"/>
    <x v="161"/>
    <n v="4"/>
    <n v="0"/>
    <n v="6"/>
    <n v="6"/>
    <n v="1"/>
  </r>
  <r>
    <s v="Wludyka"/>
    <s v="Alexander"/>
    <n v="7"/>
    <n v="3"/>
    <n v="3"/>
    <n v="2"/>
    <n v="6"/>
    <n v="5"/>
    <n v="84"/>
    <n v="70"/>
    <n v="57"/>
    <n v="62"/>
    <n v="1"/>
    <x v="48"/>
    <n v="4"/>
    <n v="0"/>
    <n v="10"/>
    <n v="8"/>
    <n v="1"/>
  </r>
  <r>
    <s v="Wizniewski"/>
    <s v="Andrzej"/>
    <n v="1"/>
    <n v="5"/>
    <n v="3"/>
    <n v="5"/>
    <n v="2"/>
    <n v="4"/>
    <n v="42"/>
    <n v="82"/>
    <n v="89"/>
    <n v="2"/>
    <n v="41"/>
    <x v="162"/>
    <n v="4"/>
    <n v="8"/>
    <n v="0"/>
    <n v="6"/>
    <n v="1"/>
  </r>
  <r>
    <s v="Florek"/>
    <s v="Sandra"/>
    <n v="0"/>
    <n v="6"/>
    <n v="6"/>
    <n v="4"/>
    <n v="4"/>
    <n v="3"/>
    <n v="25"/>
    <n v="40"/>
    <n v="61"/>
    <n v="59"/>
    <n v="88"/>
    <x v="163"/>
    <n v="10"/>
    <n v="6"/>
    <n v="6"/>
    <n v="4"/>
    <n v="1"/>
  </r>
  <r>
    <s v="Korbus"/>
    <s v="Marta"/>
    <n v="2"/>
    <n v="4"/>
    <n v="3"/>
    <n v="3"/>
    <n v="3"/>
    <n v="2"/>
    <n v="76"/>
    <n v="21"/>
    <n v="59"/>
    <n v="79"/>
    <n v="33"/>
    <x v="118"/>
    <n v="4"/>
    <n v="4"/>
    <n v="4"/>
    <n v="0"/>
    <n v="1"/>
  </r>
  <r>
    <s v="Piechalski"/>
    <s v="Jan"/>
    <n v="3"/>
    <n v="6"/>
    <n v="5"/>
    <n v="2"/>
    <n v="5"/>
    <n v="4"/>
    <n v="18"/>
    <n v="33"/>
    <n v="57"/>
    <n v="34"/>
    <n v="74"/>
    <x v="85"/>
    <n v="8"/>
    <n v="0"/>
    <n v="8"/>
    <n v="6"/>
    <n v="1"/>
  </r>
  <r>
    <s v="Potocki"/>
    <s v="Mariusz"/>
    <n v="8"/>
    <n v="4"/>
    <n v="3"/>
    <n v="2"/>
    <n v="6"/>
    <n v="5"/>
    <n v="67"/>
    <n v="34"/>
    <n v="96"/>
    <n v="61"/>
    <n v="40"/>
    <x v="121"/>
    <n v="4"/>
    <n v="0"/>
    <n v="10"/>
    <n v="8"/>
    <n v="1"/>
  </r>
  <r>
    <s v="Korda"/>
    <s v="Mateusz"/>
    <n v="5"/>
    <n v="4"/>
    <n v="4"/>
    <n v="6"/>
    <n v="4"/>
    <n v="5"/>
    <n v="39"/>
    <n v="12"/>
    <n v="100"/>
    <n v="47"/>
    <n v="42"/>
    <x v="164"/>
    <n v="6"/>
    <n v="10"/>
    <n v="6"/>
    <n v="8"/>
    <n v="1"/>
  </r>
  <r>
    <s v="Depczynski"/>
    <s v="Stanislaw"/>
    <n v="0"/>
    <n v="3"/>
    <n v="2"/>
    <n v="4"/>
    <n v="4"/>
    <n v="2"/>
    <n v="88"/>
    <n v="79"/>
    <n v="26"/>
    <n v="8"/>
    <n v="70"/>
    <x v="165"/>
    <n v="0"/>
    <n v="6"/>
    <n v="6"/>
    <n v="0"/>
    <n v="1"/>
  </r>
  <r>
    <s v="Erbel"/>
    <s v="Urszula"/>
    <n v="1"/>
    <n v="2"/>
    <n v="2"/>
    <n v="6"/>
    <n v="6"/>
    <n v="3"/>
    <n v="83"/>
    <n v="76"/>
    <n v="52"/>
    <n v="43"/>
    <n v="64"/>
    <x v="14"/>
    <n v="0"/>
    <n v="10"/>
    <n v="10"/>
    <n v="4"/>
    <n v="1"/>
  </r>
  <r>
    <s v="Kutnik"/>
    <s v="Marcin"/>
    <n v="1"/>
    <n v="6"/>
    <n v="6"/>
    <n v="3"/>
    <n v="6"/>
    <n v="4"/>
    <n v="54"/>
    <n v="50"/>
    <n v="36"/>
    <n v="23"/>
    <n v="9"/>
    <x v="81"/>
    <n v="10"/>
    <n v="4"/>
    <n v="10"/>
    <n v="6"/>
    <n v="1"/>
  </r>
  <r>
    <s v="Dabrowski"/>
    <s v="Szymon"/>
    <n v="0"/>
    <n v="3"/>
    <n v="4"/>
    <n v="6"/>
    <n v="3"/>
    <n v="5"/>
    <n v="49"/>
    <n v="31"/>
    <n v="34"/>
    <n v="22"/>
    <n v="76"/>
    <x v="166"/>
    <n v="6"/>
    <n v="10"/>
    <n v="4"/>
    <n v="8"/>
    <n v="1"/>
  </r>
  <r>
    <s v="Ciupa"/>
    <s v="Wiktoria"/>
    <n v="1"/>
    <n v="3"/>
    <n v="2"/>
    <n v="2"/>
    <n v="2"/>
    <n v="3"/>
    <n v="71"/>
    <n v="20"/>
    <n v="46"/>
    <n v="6"/>
    <n v="22"/>
    <x v="167"/>
    <n v="0"/>
    <n v="0"/>
    <n v="0"/>
    <n v="4"/>
    <n v="1"/>
  </r>
  <r>
    <s v="Michalak"/>
    <s v="Krzysztof"/>
    <n v="8"/>
    <n v="5"/>
    <n v="6"/>
    <n v="4"/>
    <n v="5"/>
    <n v="4"/>
    <n v="5"/>
    <n v="48"/>
    <n v="2"/>
    <n v="12"/>
    <n v="15"/>
    <x v="168"/>
    <n v="10"/>
    <n v="6"/>
    <n v="8"/>
    <n v="6"/>
    <n v="1"/>
  </r>
  <r>
    <s v="Mieczkowski"/>
    <s v="Krystian"/>
    <n v="7"/>
    <n v="4"/>
    <n v="3"/>
    <n v="4"/>
    <n v="6"/>
    <n v="6"/>
    <n v="27"/>
    <n v="12"/>
    <n v="19"/>
    <n v="10"/>
    <n v="66"/>
    <x v="160"/>
    <n v="4"/>
    <n v="6"/>
    <n v="10"/>
    <n v="10"/>
    <n v="1"/>
  </r>
  <r>
    <s v="Jaglowska"/>
    <s v="Natalia"/>
    <n v="6"/>
    <n v="2"/>
    <n v="5"/>
    <n v="3"/>
    <n v="5"/>
    <n v="3"/>
    <n v="95"/>
    <n v="12"/>
    <n v="76"/>
    <n v="52"/>
    <n v="36"/>
    <x v="169"/>
    <n v="8"/>
    <n v="4"/>
    <n v="8"/>
    <n v="4"/>
    <n v="1"/>
  </r>
  <r>
    <s v="Czechowska"/>
    <s v="Wiktoria"/>
    <n v="4"/>
    <n v="6"/>
    <n v="4"/>
    <n v="5"/>
    <n v="5"/>
    <n v="2"/>
    <n v="48"/>
    <n v="9"/>
    <n v="45"/>
    <n v="10"/>
    <n v="3"/>
    <x v="170"/>
    <n v="6"/>
    <n v="8"/>
    <n v="8"/>
    <n v="0"/>
    <n v="1"/>
  </r>
  <r>
    <s v="Domanski"/>
    <s v="Sebastian"/>
    <n v="2"/>
    <n v="5"/>
    <n v="2"/>
    <n v="4"/>
    <n v="4"/>
    <n v="4"/>
    <n v="46"/>
    <n v="58"/>
    <n v="72"/>
    <n v="83"/>
    <n v="48"/>
    <x v="102"/>
    <n v="0"/>
    <n v="6"/>
    <n v="6"/>
    <n v="6"/>
    <n v="1"/>
  </r>
  <r>
    <s v="Kotowska"/>
    <s v="Marianna"/>
    <n v="7"/>
    <n v="3"/>
    <n v="3"/>
    <n v="3"/>
    <n v="3"/>
    <n v="6"/>
    <n v="72"/>
    <n v="40"/>
    <n v="54"/>
    <n v="44"/>
    <n v="78"/>
    <x v="171"/>
    <n v="4"/>
    <n v="4"/>
    <n v="4"/>
    <n v="10"/>
    <n v="1"/>
  </r>
  <r>
    <s v="Nieradko"/>
    <s v="Kajetan"/>
    <n v="4"/>
    <n v="4"/>
    <n v="5"/>
    <n v="2"/>
    <n v="3"/>
    <n v="5"/>
    <n v="80"/>
    <n v="63"/>
    <n v="36"/>
    <n v="13"/>
    <n v="38"/>
    <x v="147"/>
    <n v="8"/>
    <n v="0"/>
    <n v="4"/>
    <n v="8"/>
    <n v="1"/>
  </r>
  <r>
    <s v="Mendrek"/>
    <s v="Krzysztof"/>
    <n v="7"/>
    <n v="5"/>
    <n v="3"/>
    <n v="2"/>
    <n v="5"/>
    <n v="3"/>
    <n v="89"/>
    <n v="97"/>
    <n v="66"/>
    <n v="5"/>
    <n v="68"/>
    <x v="172"/>
    <n v="4"/>
    <n v="0"/>
    <n v="8"/>
    <n v="4"/>
    <n v="1"/>
  </r>
  <r>
    <s v="Trawicki"/>
    <s v="Borys"/>
    <n v="8"/>
    <n v="3"/>
    <n v="5"/>
    <n v="3"/>
    <n v="6"/>
    <n v="6"/>
    <n v="98"/>
    <n v="27"/>
    <n v="75"/>
    <n v="69"/>
    <n v="29"/>
    <x v="173"/>
    <n v="8"/>
    <n v="4"/>
    <n v="10"/>
    <n v="10"/>
    <n v="1"/>
  </r>
  <r>
    <s v="Sobon"/>
    <s v="Filip"/>
    <n v="2"/>
    <n v="2"/>
    <n v="3"/>
    <n v="4"/>
    <n v="2"/>
    <n v="6"/>
    <n v="43"/>
    <n v="45"/>
    <n v="16"/>
    <n v="56"/>
    <n v="7"/>
    <x v="174"/>
    <n v="4"/>
    <n v="6"/>
    <n v="0"/>
    <n v="10"/>
    <n v="1"/>
  </r>
  <r>
    <s v="Cejnog"/>
    <s v="Kamila"/>
    <n v="7"/>
    <n v="6"/>
    <n v="6"/>
    <n v="2"/>
    <n v="3"/>
    <n v="6"/>
    <n v="19"/>
    <n v="5"/>
    <n v="76"/>
    <n v="74"/>
    <n v="16"/>
    <x v="128"/>
    <n v="10"/>
    <n v="0"/>
    <n v="4"/>
    <n v="10"/>
    <n v="1"/>
  </r>
  <r>
    <s v="Jazkowiec"/>
    <s v="Nadia"/>
    <n v="2"/>
    <n v="3"/>
    <n v="2"/>
    <n v="5"/>
    <n v="5"/>
    <n v="4"/>
    <n v="60"/>
    <n v="48"/>
    <n v="73"/>
    <n v="93"/>
    <n v="51"/>
    <x v="10"/>
    <n v="0"/>
    <n v="8"/>
    <n v="8"/>
    <n v="6"/>
    <n v="1"/>
  </r>
  <r>
    <s v="Jarosiewicz"/>
    <s v="Milosz"/>
    <n v="4"/>
    <n v="6"/>
    <n v="3"/>
    <n v="6"/>
    <n v="5"/>
    <n v="6"/>
    <n v="82"/>
    <n v="21"/>
    <n v="64"/>
    <n v="61"/>
    <n v="93"/>
    <x v="175"/>
    <n v="4"/>
    <n v="10"/>
    <n v="8"/>
    <n v="10"/>
    <n v="1"/>
  </r>
  <r>
    <s v="Kmiecik"/>
    <s v="Martyna"/>
    <n v="2"/>
    <n v="4"/>
    <n v="2"/>
    <n v="4"/>
    <n v="3"/>
    <n v="4"/>
    <n v="65"/>
    <n v="50"/>
    <n v="15"/>
    <n v="67"/>
    <n v="88"/>
    <x v="176"/>
    <n v="0"/>
    <n v="6"/>
    <n v="4"/>
    <n v="6"/>
    <n v="1"/>
  </r>
  <r>
    <s v="Kilanowska"/>
    <s v="Michalina"/>
    <n v="8"/>
    <n v="3"/>
    <n v="6"/>
    <n v="3"/>
    <n v="6"/>
    <n v="3"/>
    <n v="85"/>
    <n v="68"/>
    <n v="59"/>
    <n v="5"/>
    <n v="29"/>
    <x v="46"/>
    <n v="10"/>
    <n v="4"/>
    <n v="10"/>
    <n v="4"/>
    <n v="1"/>
  </r>
  <r>
    <s v="Markowiak"/>
    <s v="Leon"/>
    <n v="7"/>
    <n v="6"/>
    <n v="2"/>
    <n v="3"/>
    <n v="2"/>
    <n v="2"/>
    <n v="91"/>
    <n v="65"/>
    <n v="12"/>
    <n v="78"/>
    <n v="87"/>
    <x v="105"/>
    <n v="0"/>
    <n v="4"/>
    <n v="0"/>
    <n v="0"/>
    <n v="1"/>
  </r>
  <r>
    <s v="Sikora"/>
    <s v="Hubert"/>
    <n v="2"/>
    <n v="6"/>
    <n v="6"/>
    <n v="6"/>
    <n v="2"/>
    <n v="3"/>
    <n v="65"/>
    <n v="28"/>
    <n v="80"/>
    <n v="55"/>
    <n v="60"/>
    <x v="14"/>
    <n v="10"/>
    <n v="10"/>
    <n v="0"/>
    <n v="4"/>
    <n v="1"/>
  </r>
  <r>
    <s v="Szczuplinska"/>
    <s v="Emilia"/>
    <n v="4"/>
    <n v="4"/>
    <n v="2"/>
    <n v="3"/>
    <n v="3"/>
    <n v="5"/>
    <n v="14"/>
    <n v="4"/>
    <n v="93"/>
    <n v="36"/>
    <n v="26"/>
    <x v="161"/>
    <n v="0"/>
    <n v="4"/>
    <n v="4"/>
    <n v="8"/>
    <n v="1"/>
  </r>
  <r>
    <s v="Szubarczyk"/>
    <s v="Dawid"/>
    <n v="0"/>
    <n v="6"/>
    <n v="2"/>
    <n v="6"/>
    <n v="5"/>
    <n v="6"/>
    <n v="15"/>
    <n v="42"/>
    <n v="90"/>
    <n v="14"/>
    <n v="88"/>
    <x v="95"/>
    <n v="0"/>
    <n v="10"/>
    <n v="8"/>
    <n v="10"/>
    <n v="1"/>
  </r>
  <r>
    <s v="Krefta"/>
    <s v="Mateusz"/>
    <n v="8"/>
    <n v="5"/>
    <n v="4"/>
    <n v="4"/>
    <n v="4"/>
    <n v="3"/>
    <n v="39"/>
    <n v="45"/>
    <n v="68"/>
    <n v="26"/>
    <n v="30"/>
    <x v="177"/>
    <n v="6"/>
    <n v="6"/>
    <n v="6"/>
    <n v="4"/>
    <n v="1"/>
  </r>
  <r>
    <s v="Malinowski"/>
    <s v="Lukasz"/>
    <n v="3"/>
    <n v="6"/>
    <n v="3"/>
    <n v="4"/>
    <n v="3"/>
    <n v="5"/>
    <n v="86"/>
    <n v="46"/>
    <n v="9"/>
    <n v="68"/>
    <n v="39"/>
    <x v="70"/>
    <n v="4"/>
    <n v="6"/>
    <n v="4"/>
    <n v="8"/>
    <n v="1"/>
  </r>
  <r>
    <s v="Czerlonek"/>
    <s v="Weronika"/>
    <n v="7"/>
    <n v="4"/>
    <n v="6"/>
    <n v="6"/>
    <n v="6"/>
    <n v="2"/>
    <n v="17"/>
    <n v="16"/>
    <n v="12"/>
    <n v="54"/>
    <n v="91"/>
    <x v="143"/>
    <n v="10"/>
    <n v="10"/>
    <n v="10"/>
    <n v="0"/>
    <n v="1"/>
  </r>
  <r>
    <s v="Szostakowska"/>
    <s v="Dominika"/>
    <n v="4"/>
    <n v="2"/>
    <n v="4"/>
    <n v="3"/>
    <n v="5"/>
    <n v="2"/>
    <n v="68"/>
    <n v="87"/>
    <n v="48"/>
    <n v="54"/>
    <n v="39"/>
    <x v="152"/>
    <n v="6"/>
    <n v="4"/>
    <n v="8"/>
    <n v="0"/>
    <n v="1"/>
  </r>
  <r>
    <s v="Kaleta"/>
    <s v="Mikolaj"/>
    <n v="8"/>
    <n v="3"/>
    <n v="5"/>
    <n v="2"/>
    <n v="5"/>
    <n v="3"/>
    <n v="99"/>
    <n v="90"/>
    <n v="59"/>
    <n v="78"/>
    <n v="93"/>
    <x v="178"/>
    <n v="8"/>
    <n v="0"/>
    <n v="8"/>
    <n v="4"/>
    <n v="1"/>
  </r>
  <r>
    <s v="Kocur"/>
    <s v="Martyna"/>
    <n v="1"/>
    <n v="6"/>
    <n v="6"/>
    <n v="5"/>
    <n v="3"/>
    <n v="6"/>
    <n v="58"/>
    <n v="93"/>
    <n v="93"/>
    <n v="82"/>
    <n v="17"/>
    <x v="179"/>
    <n v="10"/>
    <n v="8"/>
    <n v="4"/>
    <n v="10"/>
    <n v="1"/>
  </r>
  <r>
    <s v="Wit"/>
    <s v="Andrzej"/>
    <n v="6"/>
    <n v="4"/>
    <n v="5"/>
    <n v="3"/>
    <n v="2"/>
    <n v="2"/>
    <n v="38"/>
    <n v="13"/>
    <n v="62"/>
    <n v="22"/>
    <n v="14"/>
    <x v="180"/>
    <n v="8"/>
    <n v="4"/>
    <n v="0"/>
    <n v="0"/>
    <n v="1"/>
  </r>
  <r>
    <s v="Rybienik"/>
    <s v="Igor"/>
    <n v="6"/>
    <n v="6"/>
    <n v="3"/>
    <n v="6"/>
    <n v="6"/>
    <n v="2"/>
    <n v="1"/>
    <n v="34"/>
    <n v="76"/>
    <n v="39"/>
    <n v="56"/>
    <x v="6"/>
    <n v="4"/>
    <n v="10"/>
    <n v="10"/>
    <n v="0"/>
    <n v="1"/>
  </r>
  <r>
    <s v="Puzlecka"/>
    <s v="Julia"/>
    <n v="3"/>
    <n v="5"/>
    <n v="3"/>
    <n v="6"/>
    <n v="2"/>
    <n v="4"/>
    <n v="91"/>
    <n v="99"/>
    <n v="61"/>
    <n v="2"/>
    <n v="52"/>
    <x v="65"/>
    <n v="4"/>
    <n v="10"/>
    <n v="0"/>
    <n v="6"/>
    <n v="1"/>
  </r>
  <r>
    <s v="Juralewicz"/>
    <s v="Mikolaj"/>
    <n v="3"/>
    <n v="4"/>
    <n v="6"/>
    <n v="2"/>
    <n v="2"/>
    <n v="4"/>
    <n v="2"/>
    <n v="85"/>
    <n v="51"/>
    <n v="87"/>
    <n v="27"/>
    <x v="8"/>
    <n v="10"/>
    <n v="0"/>
    <n v="0"/>
    <n v="6"/>
    <n v="1"/>
  </r>
  <r>
    <s v="Piwowarek"/>
    <s v="Jan"/>
    <n v="6"/>
    <n v="3"/>
    <n v="3"/>
    <n v="6"/>
    <n v="6"/>
    <n v="3"/>
    <n v="78"/>
    <n v="57"/>
    <n v="69"/>
    <n v="18"/>
    <n v="87"/>
    <x v="181"/>
    <n v="4"/>
    <n v="10"/>
    <n v="10"/>
    <n v="4"/>
    <n v="1"/>
  </r>
  <r>
    <s v="Jurczak"/>
    <s v="Mikolaj"/>
    <n v="3"/>
    <n v="5"/>
    <n v="4"/>
    <n v="5"/>
    <n v="6"/>
    <n v="4"/>
    <n v="64"/>
    <n v="35"/>
    <n v="42"/>
    <n v="54"/>
    <n v="15"/>
    <x v="69"/>
    <n v="6"/>
    <n v="8"/>
    <n v="10"/>
    <n v="6"/>
    <n v="1"/>
  </r>
  <r>
    <s v="Ogrodowczyk"/>
    <s v="Konstancja"/>
    <n v="3"/>
    <n v="2"/>
    <n v="2"/>
    <n v="4"/>
    <n v="3"/>
    <n v="5"/>
    <n v="40"/>
    <n v="28"/>
    <n v="88"/>
    <n v="11"/>
    <n v="9"/>
    <x v="182"/>
    <n v="0"/>
    <n v="6"/>
    <n v="4"/>
    <n v="8"/>
    <n v="1"/>
  </r>
  <r>
    <s v="Strojek"/>
    <s v="Filip"/>
    <n v="2"/>
    <n v="5"/>
    <n v="3"/>
    <n v="4"/>
    <n v="6"/>
    <n v="3"/>
    <n v="8"/>
    <n v="46"/>
    <n v="55"/>
    <n v="39"/>
    <n v="21"/>
    <x v="108"/>
    <n v="4"/>
    <n v="6"/>
    <n v="10"/>
    <n v="4"/>
    <n v="1"/>
  </r>
  <r>
    <s v="Zaremba"/>
    <s v="Aleksandra"/>
    <n v="2"/>
    <n v="5"/>
    <n v="3"/>
    <n v="6"/>
    <n v="3"/>
    <n v="3"/>
    <n v="86"/>
    <n v="36"/>
    <n v="76"/>
    <n v="91"/>
    <n v="19"/>
    <x v="139"/>
    <n v="4"/>
    <n v="10"/>
    <n v="4"/>
    <n v="4"/>
    <n v="1"/>
  </r>
  <r>
    <s v="Gorska"/>
    <s v="Oliwia"/>
    <n v="0"/>
    <n v="4"/>
    <n v="3"/>
    <n v="5"/>
    <n v="2"/>
    <n v="6"/>
    <n v="86"/>
    <n v="76"/>
    <n v="17"/>
    <n v="68"/>
    <n v="39"/>
    <x v="113"/>
    <n v="4"/>
    <n v="8"/>
    <n v="0"/>
    <n v="10"/>
    <n v="1"/>
  </r>
  <r>
    <s v="Garus"/>
    <s v="Paulina"/>
    <n v="8"/>
    <n v="4"/>
    <n v="5"/>
    <n v="5"/>
    <n v="4"/>
    <n v="5"/>
    <n v="7"/>
    <n v="8"/>
    <n v="77"/>
    <n v="77"/>
    <n v="21"/>
    <x v="0"/>
    <n v="8"/>
    <n v="8"/>
    <n v="6"/>
    <n v="8"/>
    <n v="1"/>
  </r>
  <r>
    <s v="Siemistkowska"/>
    <s v="Jagoda"/>
    <n v="8"/>
    <n v="2"/>
    <n v="6"/>
    <n v="4"/>
    <n v="3"/>
    <n v="2"/>
    <n v="77"/>
    <n v="98"/>
    <n v="4"/>
    <n v="85"/>
    <n v="63"/>
    <x v="183"/>
    <n v="10"/>
    <n v="6"/>
    <n v="4"/>
    <n v="0"/>
    <n v="1"/>
  </r>
  <r>
    <s v="Ulewicz"/>
    <s v="Bartosz"/>
    <n v="6"/>
    <n v="4"/>
    <n v="6"/>
    <n v="3"/>
    <n v="3"/>
    <n v="3"/>
    <n v="9"/>
    <n v="15"/>
    <n v="6"/>
    <n v="65"/>
    <n v="75"/>
    <x v="154"/>
    <n v="10"/>
    <n v="4"/>
    <n v="4"/>
    <n v="4"/>
    <n v="1"/>
  </r>
  <r>
    <s v="Tokarska"/>
    <s v="Antonia"/>
    <n v="0"/>
    <n v="5"/>
    <n v="3"/>
    <n v="3"/>
    <n v="3"/>
    <n v="5"/>
    <n v="27"/>
    <n v="30"/>
    <n v="23"/>
    <n v="16"/>
    <n v="21"/>
    <x v="184"/>
    <n v="4"/>
    <n v="4"/>
    <n v="4"/>
    <n v="8"/>
    <n v="1"/>
  </r>
  <r>
    <s v="Krupa"/>
    <s v="Mateusz"/>
    <n v="5"/>
    <n v="2"/>
    <n v="5"/>
    <n v="5"/>
    <n v="6"/>
    <n v="5"/>
    <n v="17"/>
    <n v="23"/>
    <n v="33"/>
    <n v="16"/>
    <n v="62"/>
    <x v="185"/>
    <n v="8"/>
    <n v="8"/>
    <n v="10"/>
    <n v="8"/>
    <n v="1"/>
  </r>
  <r>
    <s v="Swirk"/>
    <s v="Antonina"/>
    <n v="2"/>
    <n v="5"/>
    <n v="3"/>
    <n v="6"/>
    <n v="6"/>
    <n v="2"/>
    <n v="87"/>
    <n v="23"/>
    <n v="15"/>
    <n v="44"/>
    <n v="30"/>
    <x v="75"/>
    <n v="4"/>
    <n v="10"/>
    <n v="10"/>
    <n v="0"/>
    <n v="1"/>
  </r>
  <r>
    <s v="Kizielewicz"/>
    <s v="Michal"/>
    <n v="2"/>
    <n v="6"/>
    <n v="3"/>
    <n v="3"/>
    <n v="3"/>
    <n v="6"/>
    <n v="83"/>
    <n v="27"/>
    <n v="18"/>
    <n v="41"/>
    <n v="94"/>
    <x v="151"/>
    <n v="4"/>
    <n v="4"/>
    <n v="4"/>
    <n v="10"/>
    <n v="1"/>
  </r>
  <r>
    <s v="Kecler"/>
    <s v="Milena"/>
    <n v="5"/>
    <n v="5"/>
    <n v="5"/>
    <n v="2"/>
    <n v="4"/>
    <n v="5"/>
    <n v="35"/>
    <n v="16"/>
    <n v="94"/>
    <n v="87"/>
    <n v="38"/>
    <x v="69"/>
    <n v="8"/>
    <n v="0"/>
    <n v="6"/>
    <n v="8"/>
    <n v="1"/>
  </r>
  <r>
    <s v="Zochowska"/>
    <s v="Adriana"/>
    <n v="0"/>
    <n v="5"/>
    <n v="3"/>
    <n v="3"/>
    <n v="2"/>
    <n v="2"/>
    <n v="92"/>
    <n v="79"/>
    <n v="94"/>
    <n v="42"/>
    <n v="95"/>
    <x v="109"/>
    <n v="4"/>
    <n v="4"/>
    <n v="0"/>
    <n v="0"/>
    <n v="1"/>
  </r>
  <r>
    <s v="Kozlowska"/>
    <s v="Malgorzata"/>
    <n v="5"/>
    <n v="3"/>
    <n v="5"/>
    <n v="3"/>
    <n v="6"/>
    <n v="6"/>
    <n v="82"/>
    <n v="7"/>
    <n v="24"/>
    <n v="80"/>
    <n v="33"/>
    <x v="137"/>
    <n v="8"/>
    <n v="4"/>
    <n v="10"/>
    <n v="10"/>
    <n v="1"/>
  </r>
  <r>
    <s v="Lewandowska"/>
    <s v="Maja"/>
    <n v="6"/>
    <n v="4"/>
    <n v="6"/>
    <n v="6"/>
    <n v="4"/>
    <n v="4"/>
    <n v="94"/>
    <n v="44"/>
    <n v="96"/>
    <n v="9"/>
    <n v="97"/>
    <x v="186"/>
    <n v="10"/>
    <n v="10"/>
    <n v="6"/>
    <n v="6"/>
    <n v="1"/>
  </r>
  <r>
    <s v="Górlikowski"/>
    <s v="Patrick"/>
    <n v="3"/>
    <n v="5"/>
    <n v="3"/>
    <n v="6"/>
    <n v="4"/>
    <n v="2"/>
    <n v="32"/>
    <n v="50"/>
    <n v="94"/>
    <n v="52"/>
    <n v="100"/>
    <x v="82"/>
    <n v="4"/>
    <n v="10"/>
    <n v="6"/>
    <n v="0"/>
    <n v="1"/>
  </r>
  <r>
    <s v="Kowalska"/>
    <s v="Maria"/>
    <n v="3"/>
    <n v="2"/>
    <n v="3"/>
    <n v="5"/>
    <n v="3"/>
    <n v="6"/>
    <n v="84"/>
    <n v="53"/>
    <n v="73"/>
    <n v="7"/>
    <n v="3"/>
    <x v="187"/>
    <n v="4"/>
    <n v="8"/>
    <n v="4"/>
    <n v="10"/>
    <n v="1"/>
  </r>
  <r>
    <s v="Katende"/>
    <s v="Milena"/>
    <n v="2"/>
    <n v="2"/>
    <n v="5"/>
    <n v="5"/>
    <n v="5"/>
    <n v="4"/>
    <n v="88"/>
    <n v="37"/>
    <n v="50"/>
    <n v="19"/>
    <n v="28"/>
    <x v="188"/>
    <n v="8"/>
    <n v="8"/>
    <n v="8"/>
    <n v="6"/>
    <n v="1"/>
  </r>
  <r>
    <s v="Tokarz"/>
    <s v="Anna"/>
    <n v="7"/>
    <n v="2"/>
    <n v="3"/>
    <n v="5"/>
    <n v="5"/>
    <n v="2"/>
    <n v="26"/>
    <n v="30"/>
    <n v="96"/>
    <n v="59"/>
    <n v="28"/>
    <x v="141"/>
    <n v="4"/>
    <n v="8"/>
    <n v="8"/>
    <n v="0"/>
    <n v="1"/>
  </r>
  <r>
    <s v="Radosz"/>
    <s v="Julia"/>
    <n v="0"/>
    <n v="5"/>
    <n v="6"/>
    <n v="2"/>
    <n v="2"/>
    <n v="3"/>
    <n v="50"/>
    <n v="5"/>
    <n v="14"/>
    <n v="44"/>
    <n v="45"/>
    <x v="189"/>
    <n v="10"/>
    <n v="0"/>
    <n v="0"/>
    <n v="4"/>
    <n v="1"/>
  </r>
  <r>
    <s v="Komorowska"/>
    <s v="Michal"/>
    <n v="5"/>
    <n v="5"/>
    <n v="5"/>
    <n v="4"/>
    <n v="6"/>
    <n v="5"/>
    <n v="73"/>
    <n v="49"/>
    <n v="54"/>
    <n v="67"/>
    <n v="5"/>
    <x v="33"/>
    <n v="8"/>
    <n v="6"/>
    <n v="10"/>
    <n v="8"/>
    <n v="1"/>
  </r>
  <r>
    <s v="Zakrzewska"/>
    <s v="Olga"/>
    <n v="2"/>
    <n v="3"/>
    <n v="4"/>
    <n v="2"/>
    <n v="5"/>
    <n v="6"/>
    <n v="100"/>
    <n v="13"/>
    <n v="93"/>
    <n v="32"/>
    <n v="23"/>
    <x v="190"/>
    <n v="6"/>
    <n v="0"/>
    <n v="8"/>
    <n v="10"/>
    <n v="1"/>
  </r>
  <r>
    <s v="Zakrzewska"/>
    <s v="Ewa"/>
    <n v="6"/>
    <n v="4"/>
    <n v="4"/>
    <n v="3"/>
    <n v="2"/>
    <n v="5"/>
    <n v="52"/>
    <n v="46"/>
    <n v="54"/>
    <n v="22"/>
    <n v="42"/>
    <x v="191"/>
    <n v="6"/>
    <n v="4"/>
    <n v="0"/>
    <n v="8"/>
    <n v="1"/>
  </r>
  <r>
    <s v="Rohde"/>
    <s v="Jakub"/>
    <n v="2"/>
    <n v="5"/>
    <n v="6"/>
    <n v="4"/>
    <n v="6"/>
    <n v="3"/>
    <n v="88"/>
    <n v="14"/>
    <n v="98"/>
    <n v="46"/>
    <n v="66"/>
    <x v="11"/>
    <n v="10"/>
    <n v="6"/>
    <n v="10"/>
    <n v="4"/>
    <n v="1"/>
  </r>
  <r>
    <s v="Smoliniec"/>
    <s v="Franciszek"/>
    <n v="3"/>
    <n v="2"/>
    <n v="4"/>
    <n v="2"/>
    <n v="6"/>
    <n v="6"/>
    <n v="85"/>
    <n v="91"/>
    <n v="9"/>
    <n v="9"/>
    <n v="53"/>
    <x v="192"/>
    <n v="6"/>
    <n v="0"/>
    <n v="10"/>
    <n v="10"/>
    <n v="1"/>
  </r>
  <r>
    <s v="Paluchowski"/>
    <s v="Julian"/>
    <n v="3"/>
    <n v="4"/>
    <n v="4"/>
    <n v="4"/>
    <n v="3"/>
    <n v="3"/>
    <n v="93"/>
    <n v="12"/>
    <n v="63"/>
    <n v="3"/>
    <n v="60"/>
    <x v="104"/>
    <n v="6"/>
    <n v="6"/>
    <n v="4"/>
    <n v="4"/>
    <n v="1"/>
  </r>
  <r>
    <s v="Bialaszewski"/>
    <s v="Wiktor"/>
    <n v="0"/>
    <n v="6"/>
    <n v="3"/>
    <n v="5"/>
    <n v="6"/>
    <n v="3"/>
    <n v="67"/>
    <n v="66"/>
    <n v="56"/>
    <n v="41"/>
    <n v="26"/>
    <x v="193"/>
    <n v="4"/>
    <n v="8"/>
    <n v="10"/>
    <n v="4"/>
    <n v="1"/>
  </r>
  <r>
    <s v="Bielawski"/>
    <s v="Tymoteusz"/>
    <n v="4"/>
    <n v="5"/>
    <n v="6"/>
    <n v="5"/>
    <n v="2"/>
    <n v="4"/>
    <n v="65"/>
    <n v="75"/>
    <n v="95"/>
    <n v="100"/>
    <n v="89"/>
    <x v="194"/>
    <n v="10"/>
    <n v="8"/>
    <n v="0"/>
    <n v="6"/>
    <n v="1"/>
  </r>
  <r>
    <s v="Pawlun"/>
    <s v="Karolina"/>
    <n v="1"/>
    <n v="3"/>
    <n v="5"/>
    <n v="2"/>
    <n v="2"/>
    <n v="5"/>
    <n v="45"/>
    <n v="30"/>
    <n v="64"/>
    <n v="95"/>
    <n v="83"/>
    <x v="25"/>
    <n v="8"/>
    <n v="0"/>
    <n v="0"/>
    <n v="8"/>
    <n v="1"/>
  </r>
  <r>
    <s v="Zielinski"/>
    <s v="Mariusz"/>
    <n v="4"/>
    <n v="6"/>
    <n v="4"/>
    <n v="2"/>
    <n v="3"/>
    <n v="5"/>
    <n v="40"/>
    <n v="80"/>
    <n v="8"/>
    <n v="99"/>
    <n v="20"/>
    <x v="25"/>
    <n v="6"/>
    <n v="0"/>
    <n v="4"/>
    <n v="8"/>
    <n v="1"/>
  </r>
  <r>
    <s v="Majchrzak"/>
    <s v="Lucja"/>
    <n v="6"/>
    <n v="3"/>
    <n v="6"/>
    <n v="2"/>
    <n v="4"/>
    <n v="6"/>
    <n v="47"/>
    <n v="54"/>
    <n v="40"/>
    <n v="83"/>
    <n v="16"/>
    <x v="143"/>
    <n v="10"/>
    <n v="0"/>
    <n v="6"/>
    <n v="10"/>
    <n v="1"/>
  </r>
  <r>
    <s v="Koczakowska"/>
    <s v="Marta"/>
    <n v="3"/>
    <n v="2"/>
    <n v="4"/>
    <n v="5"/>
    <n v="4"/>
    <n v="6"/>
    <n v="99"/>
    <n v="60"/>
    <n v="96"/>
    <n v="89"/>
    <n v="29"/>
    <x v="195"/>
    <n v="6"/>
    <n v="8"/>
    <n v="6"/>
    <n v="10"/>
    <n v="1"/>
  </r>
  <r>
    <s v="Brzozowski"/>
    <s v="Wojciech"/>
    <n v="8"/>
    <n v="2"/>
    <n v="2"/>
    <n v="4"/>
    <n v="3"/>
    <n v="5"/>
    <n v="83"/>
    <n v="29"/>
    <n v="91"/>
    <n v="26"/>
    <n v="21"/>
    <x v="187"/>
    <n v="0"/>
    <n v="6"/>
    <n v="4"/>
    <n v="8"/>
    <n v="1"/>
  </r>
  <r>
    <s v="Jakubczyk"/>
    <s v="Natalia"/>
    <n v="0"/>
    <n v="4"/>
    <n v="3"/>
    <n v="6"/>
    <n v="5"/>
    <n v="5"/>
    <n v="5"/>
    <n v="26"/>
    <n v="6"/>
    <n v="82"/>
    <n v="94"/>
    <x v="146"/>
    <n v="4"/>
    <n v="10"/>
    <n v="8"/>
    <n v="8"/>
    <n v="1"/>
  </r>
  <r>
    <s v="Krol"/>
    <s v="Malgorzata"/>
    <n v="5"/>
    <n v="3"/>
    <n v="3"/>
    <n v="3"/>
    <n v="4"/>
    <n v="3"/>
    <n v="97"/>
    <n v="83"/>
    <n v="27"/>
    <n v="61"/>
    <n v="34"/>
    <x v="196"/>
    <n v="4"/>
    <n v="4"/>
    <n v="6"/>
    <n v="4"/>
    <n v="1"/>
  </r>
  <r>
    <s v="Bialy"/>
    <s v="Viktor"/>
    <n v="8"/>
    <n v="5"/>
    <n v="4"/>
    <n v="6"/>
    <n v="6"/>
    <n v="5"/>
    <n v="37"/>
    <n v="52"/>
    <n v="6"/>
    <n v="34"/>
    <n v="84"/>
    <x v="197"/>
    <n v="6"/>
    <n v="10"/>
    <n v="10"/>
    <n v="8"/>
    <n v="1"/>
  </r>
  <r>
    <s v="Drozd"/>
    <s v="Radoslaw"/>
    <n v="5"/>
    <n v="2"/>
    <n v="5"/>
    <n v="3"/>
    <n v="5"/>
    <n v="5"/>
    <n v="30"/>
    <n v="42"/>
    <n v="80"/>
    <n v="74"/>
    <n v="75"/>
    <x v="198"/>
    <n v="8"/>
    <n v="4"/>
    <n v="8"/>
    <n v="8"/>
    <n v="1"/>
  </r>
  <r>
    <s v="Srokowska"/>
    <s v="Helena"/>
    <n v="3"/>
    <n v="2"/>
    <n v="5"/>
    <n v="5"/>
    <n v="2"/>
    <n v="2"/>
    <n v="81"/>
    <n v="88"/>
    <n v="99"/>
    <n v="75"/>
    <n v="60"/>
    <x v="53"/>
    <n v="8"/>
    <n v="8"/>
    <n v="0"/>
    <n v="0"/>
    <n v="1"/>
  </r>
  <r>
    <s v="Srokowska"/>
    <s v="Iga"/>
    <n v="3"/>
    <n v="6"/>
    <n v="2"/>
    <n v="5"/>
    <n v="6"/>
    <n v="4"/>
    <n v="36"/>
    <n v="63"/>
    <n v="40"/>
    <n v="82"/>
    <n v="89"/>
    <x v="86"/>
    <n v="0"/>
    <n v="8"/>
    <n v="10"/>
    <n v="6"/>
    <n v="1"/>
  </r>
  <r>
    <s v="Cejman"/>
    <s v="Szymon"/>
    <n v="0"/>
    <n v="6"/>
    <n v="3"/>
    <n v="2"/>
    <n v="3"/>
    <n v="5"/>
    <n v="27"/>
    <n v="62"/>
    <n v="56"/>
    <n v="66"/>
    <n v="92"/>
    <x v="199"/>
    <n v="4"/>
    <n v="0"/>
    <n v="4"/>
    <n v="8"/>
    <n v="1"/>
  </r>
  <r>
    <s v="Stambuldzys"/>
    <s v="Helena"/>
    <n v="8"/>
    <n v="5"/>
    <n v="5"/>
    <n v="5"/>
    <n v="4"/>
    <n v="6"/>
    <n v="65"/>
    <n v="57"/>
    <n v="24"/>
    <n v="97"/>
    <n v="47"/>
    <x v="200"/>
    <n v="8"/>
    <n v="8"/>
    <n v="6"/>
    <n v="10"/>
    <n v="1"/>
  </r>
  <r>
    <s v="Adryan"/>
    <s v="Xawery"/>
    <n v="5"/>
    <n v="2"/>
    <n v="6"/>
    <n v="4"/>
    <n v="5"/>
    <n v="6"/>
    <n v="35"/>
    <n v="77"/>
    <n v="82"/>
    <n v="42"/>
    <n v="17"/>
    <x v="201"/>
    <n v="10"/>
    <n v="6"/>
    <n v="8"/>
    <n v="10"/>
    <n v="1"/>
  </r>
  <r>
    <s v="Kwidzinski"/>
    <s v="Marceli"/>
    <n v="3"/>
    <n v="5"/>
    <n v="5"/>
    <n v="2"/>
    <n v="3"/>
    <n v="6"/>
    <n v="47"/>
    <n v="52"/>
    <n v="43"/>
    <n v="47"/>
    <n v="3"/>
    <x v="8"/>
    <n v="8"/>
    <n v="0"/>
    <n v="4"/>
    <n v="10"/>
    <n v="1"/>
  </r>
  <r>
    <s v="Ostrowska"/>
    <s v="Kelly"/>
    <n v="5"/>
    <n v="2"/>
    <n v="6"/>
    <n v="3"/>
    <n v="3"/>
    <n v="5"/>
    <n v="69"/>
    <n v="15"/>
    <n v="39"/>
    <n v="69"/>
    <n v="39"/>
    <x v="185"/>
    <n v="10"/>
    <n v="4"/>
    <n v="4"/>
    <n v="8"/>
    <n v="1"/>
  </r>
  <r>
    <s v="Karmasz"/>
    <s v="Michal"/>
    <n v="0"/>
    <n v="3"/>
    <n v="6"/>
    <n v="4"/>
    <n v="3"/>
    <n v="6"/>
    <n v="35"/>
    <n v="41"/>
    <n v="92"/>
    <n v="96"/>
    <n v="19"/>
    <x v="202"/>
    <n v="10"/>
    <n v="6"/>
    <n v="4"/>
    <n v="10"/>
    <n v="1"/>
  </r>
  <r>
    <s v="Smiecinska"/>
    <s v="Antonina"/>
    <n v="1"/>
    <n v="6"/>
    <n v="6"/>
    <n v="5"/>
    <n v="3"/>
    <n v="6"/>
    <n v="8"/>
    <n v="17"/>
    <n v="37"/>
    <n v="10"/>
    <n v="56"/>
    <x v="125"/>
    <n v="10"/>
    <n v="8"/>
    <n v="4"/>
    <n v="10"/>
    <n v="1"/>
  </r>
  <r>
    <s v="Czecholinska"/>
    <s v="Wiktoria"/>
    <n v="2"/>
    <n v="5"/>
    <n v="6"/>
    <n v="2"/>
    <n v="5"/>
    <n v="3"/>
    <n v="44"/>
    <n v="32"/>
    <n v="4"/>
    <n v="95"/>
    <n v="55"/>
    <x v="147"/>
    <n v="10"/>
    <n v="0"/>
    <n v="8"/>
    <n v="4"/>
    <n v="1"/>
  </r>
  <r>
    <s v="PodraZka"/>
    <s v="Jakub"/>
    <n v="0"/>
    <n v="6"/>
    <n v="4"/>
    <n v="2"/>
    <n v="4"/>
    <n v="5"/>
    <n v="72"/>
    <n v="100"/>
    <n v="96"/>
    <n v="5"/>
    <n v="41"/>
    <x v="119"/>
    <n v="6"/>
    <n v="0"/>
    <n v="6"/>
    <n v="8"/>
    <n v="1"/>
  </r>
  <r>
    <s v="Kmita"/>
    <s v="Martyna"/>
    <n v="2"/>
    <n v="6"/>
    <n v="6"/>
    <n v="4"/>
    <n v="6"/>
    <n v="2"/>
    <n v="68"/>
    <n v="15"/>
    <n v="53"/>
    <n v="47"/>
    <n v="8"/>
    <x v="203"/>
    <n v="10"/>
    <n v="6"/>
    <n v="10"/>
    <n v="0"/>
    <n v="1"/>
  </r>
  <r>
    <s v="Gachewicz"/>
    <s v="Pola"/>
    <n v="0"/>
    <n v="3"/>
    <n v="5"/>
    <n v="2"/>
    <n v="3"/>
    <n v="6"/>
    <n v="33"/>
    <n v="86"/>
    <n v="90"/>
    <n v="78"/>
    <n v="15"/>
    <x v="204"/>
    <n v="8"/>
    <n v="0"/>
    <n v="4"/>
    <n v="10"/>
    <n v="1"/>
  </r>
  <r>
    <s v="Pilewski"/>
    <s v="Jan"/>
    <n v="3"/>
    <n v="2"/>
    <n v="5"/>
    <n v="3"/>
    <n v="3"/>
    <n v="4"/>
    <n v="95"/>
    <n v="25"/>
    <n v="48"/>
    <n v="27"/>
    <n v="23"/>
    <x v="56"/>
    <n v="8"/>
    <n v="4"/>
    <n v="4"/>
    <n v="6"/>
    <n v="1"/>
  </r>
  <r>
    <s v="Lewandowska"/>
    <s v="Ewa"/>
    <n v="0"/>
    <n v="4"/>
    <n v="5"/>
    <n v="6"/>
    <n v="3"/>
    <n v="5"/>
    <n v="66"/>
    <n v="31"/>
    <n v="5"/>
    <n v="9"/>
    <n v="38"/>
    <x v="205"/>
    <n v="8"/>
    <n v="10"/>
    <n v="4"/>
    <n v="8"/>
    <n v="1"/>
  </r>
  <r>
    <s v="Paliniewicz"/>
    <s v="Katarzyna"/>
    <n v="0"/>
    <n v="4"/>
    <n v="4"/>
    <n v="5"/>
    <n v="4"/>
    <n v="3"/>
    <n v="82"/>
    <n v="31"/>
    <n v="77"/>
    <n v="49"/>
    <n v="81"/>
    <x v="143"/>
    <n v="6"/>
    <n v="8"/>
    <n v="6"/>
    <n v="4"/>
    <n v="1"/>
  </r>
  <r>
    <s v="Lubinska"/>
    <s v="Magdalena"/>
    <n v="5"/>
    <n v="2"/>
    <n v="3"/>
    <n v="2"/>
    <n v="4"/>
    <n v="3"/>
    <n v="53"/>
    <n v="95"/>
    <n v="23"/>
    <n v="16"/>
    <n v="90"/>
    <x v="206"/>
    <n v="4"/>
    <n v="0"/>
    <n v="6"/>
    <n v="4"/>
    <n v="1"/>
  </r>
  <r>
    <s v="Konstanski"/>
    <s v="Michal"/>
    <n v="7"/>
    <n v="2"/>
    <n v="4"/>
    <n v="3"/>
    <n v="4"/>
    <n v="2"/>
    <n v="58"/>
    <n v="56"/>
    <n v="47"/>
    <n v="61"/>
    <n v="69"/>
    <x v="190"/>
    <n v="6"/>
    <n v="4"/>
    <n v="6"/>
    <n v="0"/>
    <n v="1"/>
  </r>
  <r>
    <s v="Hrywniak"/>
    <s v="Olaf"/>
    <n v="6"/>
    <n v="6"/>
    <n v="4"/>
    <n v="3"/>
    <n v="2"/>
    <n v="3"/>
    <n v="88"/>
    <n v="10"/>
    <n v="92"/>
    <n v="82"/>
    <n v="2"/>
    <x v="207"/>
    <n v="6"/>
    <n v="4"/>
    <n v="0"/>
    <n v="4"/>
    <n v="1"/>
  </r>
  <r>
    <s v="Warda"/>
    <s v="Bartlomiej"/>
    <n v="6"/>
    <n v="4"/>
    <n v="2"/>
    <n v="3"/>
    <n v="5"/>
    <n v="4"/>
    <n v="50"/>
    <n v="3"/>
    <n v="27"/>
    <n v="70"/>
    <n v="25"/>
    <x v="208"/>
    <n v="0"/>
    <n v="4"/>
    <n v="8"/>
    <n v="6"/>
    <n v="1"/>
  </r>
  <r>
    <s v="Dľbrowski"/>
    <s v="Stefan"/>
    <n v="8"/>
    <n v="2"/>
    <n v="5"/>
    <n v="3"/>
    <n v="2"/>
    <n v="3"/>
    <n v="93"/>
    <n v="98"/>
    <n v="43"/>
    <n v="97"/>
    <n v="90"/>
    <x v="209"/>
    <n v="8"/>
    <n v="4"/>
    <n v="0"/>
    <n v="4"/>
    <n v="1"/>
  </r>
  <r>
    <s v="Mrozek"/>
    <s v="Lena"/>
    <n v="6"/>
    <n v="4"/>
    <n v="4"/>
    <n v="5"/>
    <n v="2"/>
    <n v="4"/>
    <n v="41"/>
    <n v="62"/>
    <n v="60"/>
    <n v="18"/>
    <n v="83"/>
    <x v="210"/>
    <n v="6"/>
    <n v="8"/>
    <n v="0"/>
    <n v="6"/>
    <n v="1"/>
  </r>
  <r>
    <s v="Drapinska"/>
    <s v="Weronika"/>
    <n v="3"/>
    <n v="2"/>
    <n v="3"/>
    <n v="4"/>
    <n v="2"/>
    <n v="4"/>
    <n v="90"/>
    <n v="26"/>
    <n v="50"/>
    <n v="74"/>
    <n v="53"/>
    <x v="199"/>
    <n v="4"/>
    <n v="6"/>
    <n v="0"/>
    <n v="6"/>
    <n v="1"/>
  </r>
  <r>
    <s v="Dawidowska"/>
    <s v="Weronika"/>
    <n v="4"/>
    <n v="4"/>
    <n v="3"/>
    <n v="2"/>
    <n v="3"/>
    <n v="2"/>
    <n v="31"/>
    <n v="59"/>
    <n v="7"/>
    <n v="38"/>
    <n v="24"/>
    <x v="211"/>
    <n v="4"/>
    <n v="0"/>
    <n v="4"/>
    <n v="0"/>
    <n v="1"/>
  </r>
  <r>
    <s v="Lesiak"/>
    <s v="Maksymilian"/>
    <n v="6"/>
    <n v="6"/>
    <n v="6"/>
    <n v="2"/>
    <n v="3"/>
    <n v="2"/>
    <n v="56"/>
    <n v="34"/>
    <n v="52"/>
    <n v="30"/>
    <n v="94"/>
    <x v="85"/>
    <n v="10"/>
    <n v="0"/>
    <n v="4"/>
    <n v="0"/>
    <n v="1"/>
  </r>
  <r>
    <s v="Szarmach"/>
    <s v="Ewa"/>
    <n v="0"/>
    <n v="3"/>
    <n v="6"/>
    <n v="4"/>
    <n v="6"/>
    <n v="3"/>
    <n v="13"/>
    <n v="42"/>
    <n v="23"/>
    <n v="14"/>
    <n v="73"/>
    <x v="176"/>
    <n v="10"/>
    <n v="6"/>
    <n v="10"/>
    <n v="4"/>
    <n v="1"/>
  </r>
  <r>
    <s v="Burghard"/>
    <s v="Zofia"/>
    <n v="2"/>
    <n v="3"/>
    <n v="6"/>
    <n v="6"/>
    <n v="4"/>
    <n v="4"/>
    <n v="61"/>
    <n v="3"/>
    <n v="88"/>
    <n v="72"/>
    <n v="84"/>
    <x v="156"/>
    <n v="10"/>
    <n v="10"/>
    <n v="6"/>
    <n v="6"/>
    <n v="1"/>
  </r>
  <r>
    <s v="Michalska"/>
    <s v="Lena"/>
    <n v="6"/>
    <n v="4"/>
    <n v="4"/>
    <n v="2"/>
    <n v="4"/>
    <n v="2"/>
    <n v="30"/>
    <n v="28"/>
    <n v="30"/>
    <n v="66"/>
    <n v="98"/>
    <x v="212"/>
    <n v="6"/>
    <n v="0"/>
    <n v="6"/>
    <n v="0"/>
    <n v="1"/>
  </r>
  <r>
    <s v="Mezynska"/>
    <s v="Lena"/>
    <n v="4"/>
    <n v="4"/>
    <n v="4"/>
    <n v="6"/>
    <n v="6"/>
    <n v="2"/>
    <n v="80"/>
    <n v="75"/>
    <n v="57"/>
    <n v="43"/>
    <n v="92"/>
    <x v="213"/>
    <n v="6"/>
    <n v="10"/>
    <n v="10"/>
    <n v="0"/>
    <n v="1"/>
  </r>
  <r>
    <s v="Kaminska"/>
    <s v="Monika"/>
    <n v="2"/>
    <n v="4"/>
    <n v="5"/>
    <n v="2"/>
    <n v="5"/>
    <n v="2"/>
    <n v="26"/>
    <n v="69"/>
    <n v="46"/>
    <n v="57"/>
    <n v="91"/>
    <x v="214"/>
    <n v="8"/>
    <n v="0"/>
    <n v="8"/>
    <n v="0"/>
    <n v="1"/>
  </r>
  <r>
    <s v="Edel"/>
    <s v="Vanessa"/>
    <n v="4"/>
    <n v="3"/>
    <n v="5"/>
    <n v="5"/>
    <n v="3"/>
    <n v="3"/>
    <n v="5"/>
    <n v="44"/>
    <n v="37"/>
    <n v="5"/>
    <n v="62"/>
    <x v="19"/>
    <n v="8"/>
    <n v="8"/>
    <n v="4"/>
    <n v="4"/>
    <n v="1"/>
  </r>
  <r>
    <s v="Gadomska"/>
    <s v="Pola"/>
    <n v="6"/>
    <n v="3"/>
    <n v="5"/>
    <n v="5"/>
    <n v="2"/>
    <n v="6"/>
    <n v="56"/>
    <n v="90"/>
    <n v="35"/>
    <n v="68"/>
    <n v="48"/>
    <x v="106"/>
    <n v="8"/>
    <n v="8"/>
    <n v="0"/>
    <n v="10"/>
    <n v="1"/>
  </r>
  <r>
    <s v="Bieniasz"/>
    <s v="Zuzanna"/>
    <n v="4"/>
    <n v="3"/>
    <n v="6"/>
    <n v="2"/>
    <n v="3"/>
    <n v="3"/>
    <n v="7"/>
    <n v="15"/>
    <n v="62"/>
    <n v="9"/>
    <n v="43"/>
    <x v="27"/>
    <n v="10"/>
    <n v="0"/>
    <n v="4"/>
    <n v="4"/>
    <n v="1"/>
  </r>
  <r>
    <s v="Kozlowski"/>
    <s v="Mateusz"/>
    <n v="3"/>
    <n v="6"/>
    <n v="6"/>
    <n v="6"/>
    <n v="4"/>
    <n v="5"/>
    <n v="27"/>
    <n v="73"/>
    <n v="63"/>
    <n v="14"/>
    <n v="72"/>
    <x v="215"/>
    <n v="10"/>
    <n v="10"/>
    <n v="6"/>
    <n v="8"/>
    <n v="1"/>
  </r>
  <r>
    <s v="Karewicz"/>
    <s v="Michal"/>
    <n v="1"/>
    <n v="6"/>
    <n v="5"/>
    <n v="2"/>
    <n v="2"/>
    <n v="3"/>
    <n v="70"/>
    <n v="59"/>
    <n v="15"/>
    <n v="13"/>
    <n v="66"/>
    <x v="161"/>
    <n v="8"/>
    <n v="0"/>
    <n v="0"/>
    <n v="4"/>
    <n v="1"/>
  </r>
  <r>
    <s v="Hinca"/>
    <s v="Olaf"/>
    <n v="5"/>
    <n v="3"/>
    <n v="5"/>
    <n v="3"/>
    <n v="5"/>
    <n v="3"/>
    <n v="52"/>
    <n v="65"/>
    <n v="48"/>
    <n v="58"/>
    <n v="48"/>
    <x v="55"/>
    <n v="8"/>
    <n v="4"/>
    <n v="8"/>
    <n v="4"/>
    <n v="1"/>
  </r>
  <r>
    <s v="Mielcarz"/>
    <s v="Lena"/>
    <n v="5"/>
    <n v="2"/>
    <n v="2"/>
    <n v="2"/>
    <n v="4"/>
    <n v="2"/>
    <n v="27"/>
    <n v="64"/>
    <n v="22"/>
    <n v="32"/>
    <n v="91"/>
    <x v="216"/>
    <n v="0"/>
    <n v="0"/>
    <n v="6"/>
    <n v="0"/>
    <n v="1"/>
  </r>
  <r>
    <s v="Zebrowski"/>
    <s v="Adam"/>
    <n v="1"/>
    <n v="3"/>
    <n v="3"/>
    <n v="2"/>
    <n v="5"/>
    <n v="2"/>
    <n v="84"/>
    <n v="92"/>
    <n v="92"/>
    <n v="81"/>
    <n v="68"/>
    <x v="217"/>
    <n v="4"/>
    <n v="0"/>
    <n v="8"/>
    <n v="0"/>
    <n v="1"/>
  </r>
  <r>
    <s v="Janik"/>
    <s v="Natalia"/>
    <n v="4"/>
    <n v="5"/>
    <n v="4"/>
    <n v="4"/>
    <n v="2"/>
    <n v="6"/>
    <n v="75"/>
    <n v="22"/>
    <n v="91"/>
    <n v="31"/>
    <n v="93"/>
    <x v="60"/>
    <n v="6"/>
    <n v="6"/>
    <n v="0"/>
    <n v="10"/>
    <n v="1"/>
  </r>
  <r>
    <s v="Radziun"/>
    <s v="Jakub"/>
    <n v="2"/>
    <n v="4"/>
    <n v="4"/>
    <n v="6"/>
    <n v="5"/>
    <n v="4"/>
    <n v="35"/>
    <n v="77"/>
    <n v="81"/>
    <n v="17"/>
    <n v="27"/>
    <x v="132"/>
    <n v="6"/>
    <n v="10"/>
    <n v="8"/>
    <n v="6"/>
    <n v="1"/>
  </r>
  <r>
    <s v="Stawirej"/>
    <s v="Hanna"/>
    <n v="7"/>
    <n v="5"/>
    <n v="4"/>
    <n v="3"/>
    <n v="3"/>
    <n v="2"/>
    <n v="2"/>
    <n v="88"/>
    <n v="61"/>
    <n v="2"/>
    <n v="49"/>
    <x v="38"/>
    <n v="6"/>
    <n v="4"/>
    <n v="4"/>
    <n v="0"/>
    <n v="1"/>
  </r>
  <r>
    <s v="Brankiewicz"/>
    <s v="Anna"/>
    <n v="7"/>
    <n v="6"/>
    <n v="5"/>
    <n v="3"/>
    <n v="3"/>
    <n v="3"/>
    <n v="71"/>
    <n v="55"/>
    <n v="33"/>
    <n v="97"/>
    <n v="73"/>
    <x v="218"/>
    <n v="8"/>
    <n v="4"/>
    <n v="4"/>
    <n v="4"/>
    <n v="1"/>
  </r>
  <r>
    <s v="Wojniusz"/>
    <s v="Aleksander"/>
    <n v="5"/>
    <n v="5"/>
    <n v="6"/>
    <n v="4"/>
    <n v="5"/>
    <n v="5"/>
    <n v="53"/>
    <n v="97"/>
    <n v="28"/>
    <n v="88"/>
    <n v="87"/>
    <x v="219"/>
    <n v="10"/>
    <n v="6"/>
    <n v="8"/>
    <n v="8"/>
    <n v="1"/>
  </r>
  <r>
    <s v="Borowiec"/>
    <s v="Tymon"/>
    <n v="0"/>
    <n v="5"/>
    <n v="5"/>
    <n v="3"/>
    <n v="4"/>
    <n v="4"/>
    <n v="73"/>
    <n v="67"/>
    <n v="18"/>
    <n v="84"/>
    <n v="75"/>
    <x v="132"/>
    <n v="8"/>
    <n v="4"/>
    <n v="6"/>
    <n v="6"/>
    <n v="1"/>
  </r>
  <r>
    <s v="Kuszner"/>
    <s v="Maja"/>
    <n v="3"/>
    <n v="6"/>
    <n v="2"/>
    <n v="2"/>
    <n v="5"/>
    <n v="2"/>
    <n v="97"/>
    <n v="40"/>
    <n v="41"/>
    <n v="46"/>
    <n v="59"/>
    <x v="144"/>
    <n v="0"/>
    <n v="0"/>
    <n v="8"/>
    <n v="0"/>
    <n v="1"/>
  </r>
  <r>
    <s v="Pawlowski"/>
    <s v="Jan"/>
    <n v="7"/>
    <n v="4"/>
    <n v="4"/>
    <n v="6"/>
    <n v="5"/>
    <n v="5"/>
    <n v="10"/>
    <n v="32"/>
    <n v="73"/>
    <n v="96"/>
    <n v="29"/>
    <x v="52"/>
    <n v="6"/>
    <n v="10"/>
    <n v="8"/>
    <n v="8"/>
    <n v="1"/>
  </r>
  <r>
    <s v="Boleski"/>
    <s v="Tymon"/>
    <n v="3"/>
    <n v="2"/>
    <n v="5"/>
    <n v="5"/>
    <n v="4"/>
    <n v="5"/>
    <n v="91"/>
    <n v="53"/>
    <n v="13"/>
    <n v="58"/>
    <n v="75"/>
    <x v="220"/>
    <n v="8"/>
    <n v="8"/>
    <n v="6"/>
    <n v="8"/>
    <n v="1"/>
  </r>
  <r>
    <s v="GnieźDzinska"/>
    <s v="Patrycja"/>
    <n v="5"/>
    <n v="4"/>
    <n v="6"/>
    <n v="5"/>
    <n v="2"/>
    <n v="3"/>
    <n v="21"/>
    <n v="48"/>
    <n v="45"/>
    <n v="1"/>
    <n v="51"/>
    <x v="221"/>
    <n v="10"/>
    <n v="8"/>
    <n v="0"/>
    <n v="4"/>
    <n v="1"/>
  </r>
  <r>
    <s v="Gazarkiewicz"/>
    <s v="Paulina"/>
    <n v="2"/>
    <n v="2"/>
    <n v="5"/>
    <n v="2"/>
    <n v="4"/>
    <n v="4"/>
    <n v="83"/>
    <n v="28"/>
    <n v="43"/>
    <n v="19"/>
    <n v="83"/>
    <x v="61"/>
    <n v="8"/>
    <n v="0"/>
    <n v="6"/>
    <n v="6"/>
    <n v="1"/>
  </r>
  <r>
    <s v="Gawinkowski"/>
    <s v="Pawel"/>
    <n v="2"/>
    <n v="4"/>
    <n v="4"/>
    <n v="3"/>
    <n v="3"/>
    <n v="6"/>
    <n v="97"/>
    <n v="80"/>
    <n v="54"/>
    <n v="78"/>
    <n v="43"/>
    <x v="35"/>
    <n v="6"/>
    <n v="4"/>
    <n v="4"/>
    <n v="10"/>
    <n v="1"/>
  </r>
  <r>
    <s v="Lendzion"/>
    <s v="Maja"/>
    <n v="2"/>
    <n v="5"/>
    <n v="2"/>
    <n v="3"/>
    <n v="5"/>
    <n v="2"/>
    <n v="26"/>
    <n v="31"/>
    <n v="88"/>
    <n v="98"/>
    <n v="45"/>
    <x v="155"/>
    <n v="0"/>
    <n v="4"/>
    <n v="8"/>
    <n v="0"/>
    <n v="1"/>
  </r>
  <r>
    <s v="Skrzek"/>
    <s v="Izabela"/>
    <n v="7"/>
    <n v="6"/>
    <n v="4"/>
    <n v="5"/>
    <n v="4"/>
    <n v="3"/>
    <n v="17"/>
    <n v="54"/>
    <n v="78"/>
    <n v="68"/>
    <n v="41"/>
    <x v="47"/>
    <n v="6"/>
    <n v="8"/>
    <n v="6"/>
    <n v="4"/>
    <n v="1"/>
  </r>
  <r>
    <s v="Reda"/>
    <s v="Jakub"/>
    <n v="0"/>
    <n v="2"/>
    <n v="5"/>
    <n v="3"/>
    <n v="6"/>
    <n v="6"/>
    <n v="5"/>
    <n v="93"/>
    <n v="4"/>
    <n v="59"/>
    <n v="71"/>
    <x v="9"/>
    <n v="8"/>
    <n v="4"/>
    <n v="10"/>
    <n v="10"/>
    <n v="1"/>
  </r>
  <r>
    <s v="Krolikowska"/>
    <s v="Malgorzata"/>
    <n v="3"/>
    <n v="5"/>
    <n v="3"/>
    <n v="3"/>
    <n v="6"/>
    <n v="4"/>
    <n v="78"/>
    <n v="80"/>
    <n v="56"/>
    <n v="31"/>
    <n v="81"/>
    <x v="137"/>
    <n v="4"/>
    <n v="4"/>
    <n v="10"/>
    <n v="6"/>
    <n v="1"/>
  </r>
  <r>
    <s v="Szydlowski"/>
    <s v="Daniel"/>
    <n v="6"/>
    <n v="6"/>
    <n v="6"/>
    <n v="4"/>
    <n v="6"/>
    <n v="4"/>
    <n v="64"/>
    <n v="18"/>
    <n v="23"/>
    <n v="81"/>
    <n v="18"/>
    <x v="222"/>
    <n v="10"/>
    <n v="6"/>
    <n v="10"/>
    <n v="6"/>
    <n v="1"/>
  </r>
  <r>
    <s v="Sawicka"/>
    <s v="Julia"/>
    <n v="2"/>
    <n v="4"/>
    <n v="3"/>
    <n v="5"/>
    <n v="2"/>
    <n v="3"/>
    <n v="96"/>
    <n v="32"/>
    <n v="73"/>
    <n v="7"/>
    <n v="74"/>
    <x v="168"/>
    <n v="4"/>
    <n v="8"/>
    <n v="0"/>
    <n v="4"/>
    <n v="1"/>
  </r>
  <r>
    <s v="Jakubiak"/>
    <s v="Natalia"/>
    <n v="6"/>
    <n v="6"/>
    <n v="5"/>
    <n v="5"/>
    <n v="3"/>
    <n v="6"/>
    <n v="85"/>
    <n v="35"/>
    <n v="70"/>
    <n v="99"/>
    <n v="85"/>
    <x v="223"/>
    <n v="8"/>
    <n v="8"/>
    <n v="4"/>
    <n v="10"/>
    <n v="1"/>
  </r>
  <r>
    <s v="Maciejewski"/>
    <s v="Maciej"/>
    <n v="4"/>
    <n v="2"/>
    <n v="4"/>
    <n v="5"/>
    <n v="4"/>
    <n v="2"/>
    <n v="17"/>
    <n v="17"/>
    <n v="92"/>
    <n v="6"/>
    <n v="64"/>
    <x v="221"/>
    <n v="6"/>
    <n v="8"/>
    <n v="6"/>
    <n v="0"/>
    <n v="1"/>
  </r>
  <r>
    <s v="Kachniarz"/>
    <s v="Mikolaj"/>
    <n v="4"/>
    <n v="2"/>
    <n v="4"/>
    <n v="2"/>
    <n v="5"/>
    <n v="4"/>
    <n v="62"/>
    <n v="3"/>
    <n v="84"/>
    <n v="48"/>
    <n v="94"/>
    <x v="58"/>
    <n v="6"/>
    <n v="0"/>
    <n v="8"/>
    <n v="6"/>
    <n v="1"/>
  </r>
  <r>
    <s v="Pluzinska"/>
    <s v="Kaja"/>
    <n v="4"/>
    <n v="5"/>
    <n v="5"/>
    <n v="6"/>
    <n v="2"/>
    <n v="3"/>
    <n v="35"/>
    <n v="49"/>
    <n v="59"/>
    <n v="44"/>
    <n v="68"/>
    <x v="159"/>
    <n v="8"/>
    <n v="10"/>
    <n v="0"/>
    <n v="4"/>
    <n v="1"/>
  </r>
  <r>
    <s v="Domachowska"/>
    <s v="Weronika"/>
    <n v="7"/>
    <n v="3"/>
    <n v="6"/>
    <n v="2"/>
    <n v="6"/>
    <n v="5"/>
    <n v="20"/>
    <n v="58"/>
    <n v="93"/>
    <n v="53"/>
    <n v="35"/>
    <x v="150"/>
    <n v="10"/>
    <n v="0"/>
    <n v="10"/>
    <n v="8"/>
    <n v="1"/>
  </r>
  <r>
    <s v="Skrodzki"/>
    <s v="Gabriel"/>
    <n v="5"/>
    <n v="6"/>
    <n v="2"/>
    <n v="3"/>
    <n v="4"/>
    <n v="3"/>
    <n v="2"/>
    <n v="97"/>
    <n v="14"/>
    <n v="81"/>
    <n v="38"/>
    <x v="8"/>
    <n v="0"/>
    <n v="4"/>
    <n v="6"/>
    <n v="4"/>
    <n v="1"/>
  </r>
  <r>
    <s v="Skoropinski"/>
    <s v="Gabriel"/>
    <n v="4"/>
    <n v="6"/>
    <n v="2"/>
    <n v="6"/>
    <n v="4"/>
    <n v="5"/>
    <n v="98"/>
    <n v="42"/>
    <n v="49"/>
    <n v="83"/>
    <n v="32"/>
    <x v="222"/>
    <n v="0"/>
    <n v="10"/>
    <n v="6"/>
    <n v="8"/>
    <n v="1"/>
  </r>
  <r>
    <s v="Zak"/>
    <s v="Agata"/>
    <n v="7"/>
    <n v="5"/>
    <n v="5"/>
    <n v="4"/>
    <n v="5"/>
    <n v="6"/>
    <n v="97"/>
    <n v="45"/>
    <n v="42"/>
    <n v="25"/>
    <n v="51"/>
    <x v="224"/>
    <n v="8"/>
    <n v="6"/>
    <n v="8"/>
    <n v="10"/>
    <n v="1"/>
  </r>
  <r>
    <s v="Hildebrandt"/>
    <s v="Nikola"/>
    <n v="8"/>
    <n v="3"/>
    <n v="2"/>
    <n v="2"/>
    <n v="4"/>
    <n v="2"/>
    <n v="54"/>
    <n v="48"/>
    <n v="35"/>
    <n v="28"/>
    <n v="35"/>
    <x v="225"/>
    <n v="0"/>
    <n v="0"/>
    <n v="6"/>
    <n v="0"/>
    <n v="1"/>
  </r>
  <r>
    <s v="Papciak"/>
    <s v="Jaroslaw"/>
    <n v="5"/>
    <n v="2"/>
    <n v="6"/>
    <n v="3"/>
    <n v="2"/>
    <n v="5"/>
    <n v="35"/>
    <n v="56"/>
    <n v="6"/>
    <n v="84"/>
    <n v="54"/>
    <x v="43"/>
    <n v="10"/>
    <n v="4"/>
    <n v="0"/>
    <n v="8"/>
    <n v="1"/>
  </r>
  <r>
    <s v="Malanowski"/>
    <s v="Lukasz"/>
    <n v="0"/>
    <n v="2"/>
    <n v="5"/>
    <n v="6"/>
    <n v="6"/>
    <n v="3"/>
    <n v="36"/>
    <n v="94"/>
    <n v="52"/>
    <n v="50"/>
    <n v="57"/>
    <x v="150"/>
    <n v="8"/>
    <n v="10"/>
    <n v="10"/>
    <n v="4"/>
    <n v="1"/>
  </r>
  <r>
    <s v="Osojca"/>
    <s v="Kinga"/>
    <n v="2"/>
    <n v="3"/>
    <n v="2"/>
    <n v="2"/>
    <n v="5"/>
    <n v="6"/>
    <n v="100"/>
    <n v="48"/>
    <n v="88"/>
    <n v="48"/>
    <n v="8"/>
    <x v="166"/>
    <n v="0"/>
    <n v="0"/>
    <n v="8"/>
    <n v="10"/>
    <n v="1"/>
  </r>
  <r>
    <s v="Szulfer"/>
    <s v="Daria"/>
    <n v="1"/>
    <n v="3"/>
    <n v="4"/>
    <n v="3"/>
    <n v="5"/>
    <n v="6"/>
    <n v="89"/>
    <n v="70"/>
    <n v="58"/>
    <n v="39"/>
    <n v="43"/>
    <x v="66"/>
    <n v="6"/>
    <n v="4"/>
    <n v="8"/>
    <n v="10"/>
    <n v="1"/>
  </r>
  <r>
    <s v="Konieczka"/>
    <s v="Marta"/>
    <n v="0"/>
    <n v="6"/>
    <n v="2"/>
    <n v="2"/>
    <n v="6"/>
    <n v="2"/>
    <n v="21"/>
    <n v="80"/>
    <n v="59"/>
    <n v="35"/>
    <n v="12"/>
    <x v="226"/>
    <n v="0"/>
    <n v="0"/>
    <n v="10"/>
    <n v="0"/>
    <n v="1"/>
  </r>
  <r>
    <s v="Komasinska"/>
    <s v="Marta"/>
    <n v="1"/>
    <n v="3"/>
    <n v="2"/>
    <n v="5"/>
    <n v="4"/>
    <n v="4"/>
    <n v="38"/>
    <n v="5"/>
    <n v="69"/>
    <n v="94"/>
    <n v="25"/>
    <x v="227"/>
    <n v="0"/>
    <n v="8"/>
    <n v="6"/>
    <n v="6"/>
    <n v="1"/>
  </r>
  <r>
    <s v="Gajdecka"/>
    <s v="Paulina"/>
    <n v="8"/>
    <n v="4"/>
    <n v="5"/>
    <n v="4"/>
    <n v="5"/>
    <n v="3"/>
    <n v="24"/>
    <n v="47"/>
    <n v="99"/>
    <n v="64"/>
    <n v="11"/>
    <x v="228"/>
    <n v="8"/>
    <n v="6"/>
    <n v="8"/>
    <n v="4"/>
    <n v="1"/>
  </r>
  <r>
    <s v="Galikowska"/>
    <s v="Paulina"/>
    <n v="3"/>
    <n v="5"/>
    <n v="2"/>
    <n v="4"/>
    <n v="5"/>
    <n v="4"/>
    <n v="48"/>
    <n v="100"/>
    <n v="7"/>
    <n v="64"/>
    <n v="74"/>
    <x v="151"/>
    <n v="0"/>
    <n v="6"/>
    <n v="8"/>
    <n v="6"/>
    <n v="1"/>
  </r>
  <r>
    <s v="Piotrowski"/>
    <s v="Jan"/>
    <n v="8"/>
    <n v="3"/>
    <n v="5"/>
    <n v="2"/>
    <n v="4"/>
    <n v="6"/>
    <n v="46"/>
    <n v="88"/>
    <n v="1"/>
    <n v="49"/>
    <n v="84"/>
    <x v="47"/>
    <n v="8"/>
    <n v="0"/>
    <n v="6"/>
    <n v="10"/>
    <n v="1"/>
  </r>
  <r>
    <s v="Przestrzelski"/>
    <s v="Jakub"/>
    <n v="3"/>
    <n v="5"/>
    <n v="4"/>
    <n v="4"/>
    <n v="6"/>
    <n v="4"/>
    <n v="77"/>
    <n v="80"/>
    <n v="44"/>
    <n v="96"/>
    <n v="10"/>
    <x v="106"/>
    <n v="6"/>
    <n v="6"/>
    <n v="10"/>
    <n v="6"/>
    <n v="1"/>
  </r>
  <r>
    <s v="Schmidtke"/>
    <s v="Joanna"/>
    <n v="8"/>
    <n v="3"/>
    <n v="5"/>
    <n v="3"/>
    <n v="5"/>
    <n v="3"/>
    <n v="28"/>
    <n v="5"/>
    <n v="29"/>
    <n v="7"/>
    <n v="19"/>
    <x v="118"/>
    <n v="8"/>
    <n v="4"/>
    <n v="8"/>
    <n v="4"/>
    <n v="1"/>
  </r>
  <r>
    <s v="Romanowska"/>
    <s v="Julia"/>
    <n v="0"/>
    <n v="5"/>
    <n v="5"/>
    <n v="4"/>
    <n v="5"/>
    <n v="5"/>
    <n v="100"/>
    <n v="100"/>
    <n v="68"/>
    <n v="69"/>
    <n v="46"/>
    <x v="229"/>
    <n v="8"/>
    <n v="6"/>
    <n v="8"/>
    <n v="8"/>
    <n v="1"/>
  </r>
  <r>
    <s v="Smoliniec"/>
    <s v="Iwa"/>
    <n v="0"/>
    <n v="6"/>
    <n v="6"/>
    <n v="3"/>
    <n v="4"/>
    <n v="3"/>
    <n v="86"/>
    <n v="20"/>
    <n v="40"/>
    <n v="37"/>
    <n v="24"/>
    <x v="206"/>
    <n v="10"/>
    <n v="4"/>
    <n v="6"/>
    <n v="4"/>
    <n v="1"/>
  </r>
  <r>
    <s v="Kukulski"/>
    <s v="Mateusz"/>
    <n v="8"/>
    <n v="2"/>
    <n v="4"/>
    <n v="3"/>
    <n v="2"/>
    <n v="4"/>
    <n v="37"/>
    <n v="45"/>
    <n v="53"/>
    <n v="100"/>
    <n v="63"/>
    <x v="230"/>
    <n v="6"/>
    <n v="4"/>
    <n v="0"/>
    <n v="6"/>
    <n v="1"/>
  </r>
  <r>
    <s v="Wakuluk"/>
    <s v="Angelika"/>
    <n v="5"/>
    <n v="2"/>
    <n v="4"/>
    <n v="5"/>
    <n v="2"/>
    <n v="4"/>
    <n v="63"/>
    <n v="100"/>
    <n v="26"/>
    <n v="46"/>
    <n v="85"/>
    <x v="0"/>
    <n v="6"/>
    <n v="8"/>
    <n v="0"/>
    <n v="6"/>
    <n v="1"/>
  </r>
  <r>
    <s v="Wabiszewska"/>
    <s v="Aniela"/>
    <n v="3"/>
    <n v="3"/>
    <n v="3"/>
    <n v="6"/>
    <n v="3"/>
    <n v="2"/>
    <n v="62"/>
    <n v="92"/>
    <n v="75"/>
    <n v="30"/>
    <n v="86"/>
    <x v="172"/>
    <n v="4"/>
    <n v="10"/>
    <n v="4"/>
    <n v="0"/>
    <n v="1"/>
  </r>
  <r>
    <s v="Bialowss"/>
    <s v="Wiktor"/>
    <n v="6"/>
    <n v="4"/>
    <n v="2"/>
    <n v="4"/>
    <n v="4"/>
    <n v="6"/>
    <n v="16"/>
    <n v="19"/>
    <n v="66"/>
    <n v="96"/>
    <n v="61"/>
    <x v="230"/>
    <n v="0"/>
    <n v="6"/>
    <n v="6"/>
    <n v="10"/>
    <n v="1"/>
  </r>
  <r>
    <s v="Laskowski"/>
    <s v="Jacek"/>
    <n v="4"/>
    <n v="5"/>
    <n v="4"/>
    <n v="4"/>
    <n v="2"/>
    <n v="2"/>
    <n v="71"/>
    <n v="99"/>
    <n v="56"/>
    <n v="2"/>
    <n v="43"/>
    <x v="158"/>
    <n v="6"/>
    <n v="6"/>
    <n v="0"/>
    <n v="0"/>
    <n v="1"/>
  </r>
  <r>
    <s v="Gondek"/>
    <s v="Oliwia"/>
    <n v="8"/>
    <n v="2"/>
    <n v="6"/>
    <n v="2"/>
    <n v="6"/>
    <n v="5"/>
    <n v="62"/>
    <n v="49"/>
    <n v="45"/>
    <n v="42"/>
    <n v="53"/>
    <x v="231"/>
    <n v="10"/>
    <n v="0"/>
    <n v="10"/>
    <n v="8"/>
    <n v="1"/>
  </r>
  <r>
    <s v="Górski"/>
    <s v="Oskar"/>
    <n v="2"/>
    <n v="3"/>
    <n v="2"/>
    <n v="5"/>
    <n v="5"/>
    <n v="2"/>
    <n v="44"/>
    <n v="30"/>
    <n v="61"/>
    <n v="13"/>
    <n v="30"/>
    <x v="5"/>
    <n v="0"/>
    <n v="8"/>
    <n v="8"/>
    <n v="0"/>
    <n v="1"/>
  </r>
  <r>
    <s v="Szlage"/>
    <s v="Dominik"/>
    <n v="5"/>
    <n v="6"/>
    <n v="5"/>
    <n v="3"/>
    <n v="2"/>
    <n v="4"/>
    <n v="55"/>
    <n v="18"/>
    <n v="46"/>
    <n v="82"/>
    <n v="71"/>
    <x v="204"/>
    <n v="8"/>
    <n v="4"/>
    <n v="0"/>
    <n v="6"/>
    <n v="1"/>
  </r>
  <r>
    <s v="Stiewa"/>
    <s v="Gabriela"/>
    <n v="5"/>
    <n v="2"/>
    <n v="5"/>
    <n v="6"/>
    <n v="3"/>
    <n v="3"/>
    <n v="23"/>
    <n v="10"/>
    <n v="99"/>
    <n v="23"/>
    <n v="4"/>
    <x v="214"/>
    <n v="8"/>
    <n v="10"/>
    <n v="4"/>
    <n v="4"/>
    <n v="1"/>
  </r>
  <r>
    <s v="Janiszewska"/>
    <s v="Natalia"/>
    <n v="5"/>
    <n v="4"/>
    <n v="3"/>
    <n v="5"/>
    <n v="6"/>
    <n v="2"/>
    <n v="72"/>
    <n v="22"/>
    <n v="90"/>
    <n v="8"/>
    <n v="61"/>
    <x v="151"/>
    <n v="4"/>
    <n v="8"/>
    <n v="10"/>
    <n v="0"/>
    <n v="1"/>
  </r>
  <r>
    <s v="Orlowski"/>
    <s v="Kacper"/>
    <n v="3"/>
    <n v="3"/>
    <n v="6"/>
    <n v="2"/>
    <n v="4"/>
    <n v="6"/>
    <n v="95"/>
    <n v="18"/>
    <n v="32"/>
    <n v="67"/>
    <n v="36"/>
    <x v="230"/>
    <n v="10"/>
    <n v="0"/>
    <n v="6"/>
    <n v="10"/>
    <n v="1"/>
  </r>
  <r>
    <s v="Kulik"/>
    <s v="Marek"/>
    <n v="5"/>
    <n v="5"/>
    <n v="5"/>
    <n v="5"/>
    <n v="5"/>
    <n v="3"/>
    <n v="99"/>
    <n v="47"/>
    <n v="3"/>
    <n v="6"/>
    <n v="59"/>
    <x v="39"/>
    <n v="8"/>
    <n v="8"/>
    <n v="8"/>
    <n v="4"/>
    <n v="1"/>
  </r>
  <r>
    <s v="Szymaniak"/>
    <s v="Bianka"/>
    <n v="5"/>
    <n v="5"/>
    <n v="3"/>
    <n v="4"/>
    <n v="5"/>
    <n v="2"/>
    <n v="97"/>
    <n v="87"/>
    <n v="7"/>
    <n v="93"/>
    <n v="19"/>
    <x v="40"/>
    <n v="4"/>
    <n v="6"/>
    <n v="8"/>
    <n v="0"/>
    <n v="1"/>
  </r>
  <r>
    <s v="Soja"/>
    <s v="Filip"/>
    <n v="3"/>
    <n v="6"/>
    <n v="6"/>
    <n v="6"/>
    <n v="2"/>
    <n v="5"/>
    <n v="57"/>
    <n v="44"/>
    <n v="90"/>
    <n v="33"/>
    <n v="78"/>
    <x v="11"/>
    <n v="10"/>
    <n v="10"/>
    <n v="0"/>
    <n v="8"/>
    <n v="1"/>
  </r>
  <r>
    <s v="Macholla"/>
    <s v="Maciej"/>
    <n v="2"/>
    <n v="4"/>
    <n v="5"/>
    <n v="3"/>
    <n v="2"/>
    <n v="2"/>
    <n v="35"/>
    <n v="82"/>
    <n v="52"/>
    <n v="15"/>
    <n v="51"/>
    <x v="142"/>
    <n v="8"/>
    <n v="4"/>
    <n v="0"/>
    <n v="0"/>
    <n v="1"/>
  </r>
  <r>
    <s v="Duchcik"/>
    <s v="Victoria"/>
    <n v="1"/>
    <n v="5"/>
    <n v="5"/>
    <n v="6"/>
    <n v="4"/>
    <n v="6"/>
    <n v="19"/>
    <n v="32"/>
    <n v="74"/>
    <n v="31"/>
    <n v="58"/>
    <x v="48"/>
    <n v="8"/>
    <n v="10"/>
    <n v="6"/>
    <n v="10"/>
    <n v="1"/>
  </r>
  <r>
    <s v="Subocz"/>
    <s v="Emma"/>
    <n v="0"/>
    <n v="5"/>
    <n v="2"/>
    <n v="2"/>
    <n v="5"/>
    <n v="3"/>
    <n v="45"/>
    <n v="52"/>
    <n v="32"/>
    <n v="42"/>
    <n v="33"/>
    <x v="232"/>
    <n v="0"/>
    <n v="0"/>
    <n v="8"/>
    <n v="4"/>
    <n v="1"/>
  </r>
  <r>
    <s v="Matusiewicz"/>
    <s v="Ksawery"/>
    <n v="8"/>
    <n v="5"/>
    <n v="6"/>
    <n v="2"/>
    <n v="4"/>
    <n v="3"/>
    <n v="78"/>
    <n v="38"/>
    <n v="62"/>
    <n v="45"/>
    <n v="55"/>
    <x v="82"/>
    <n v="10"/>
    <n v="0"/>
    <n v="6"/>
    <n v="4"/>
    <n v="1"/>
  </r>
  <r>
    <s v="Czapkowski"/>
    <s v="Jaroslaw"/>
    <n v="6"/>
    <n v="4"/>
    <n v="2"/>
    <n v="6"/>
    <n v="2"/>
    <n v="6"/>
    <n v="20"/>
    <n v="92"/>
    <n v="44"/>
    <n v="89"/>
    <n v="79"/>
    <x v="116"/>
    <n v="0"/>
    <n v="10"/>
    <n v="0"/>
    <n v="10"/>
    <n v="1"/>
  </r>
  <r>
    <s v="Cudzilo"/>
    <s v="Urszula"/>
    <n v="4"/>
    <n v="2"/>
    <n v="2"/>
    <n v="4"/>
    <n v="3"/>
    <n v="3"/>
    <n v="36"/>
    <n v="79"/>
    <n v="62"/>
    <n v="8"/>
    <n v="47"/>
    <x v="38"/>
    <n v="0"/>
    <n v="6"/>
    <n v="4"/>
    <n v="4"/>
    <n v="1"/>
  </r>
  <r>
    <s v="Frost"/>
    <s v="Piotr"/>
    <n v="0"/>
    <n v="2"/>
    <n v="2"/>
    <n v="4"/>
    <n v="2"/>
    <n v="4"/>
    <n v="24"/>
    <n v="81"/>
    <n v="74"/>
    <n v="4"/>
    <n v="92"/>
    <x v="170"/>
    <n v="0"/>
    <n v="6"/>
    <n v="0"/>
    <n v="6"/>
    <n v="1"/>
  </r>
  <r>
    <s v="Tylec"/>
    <s v="Bartosz"/>
    <n v="3"/>
    <n v="3"/>
    <n v="5"/>
    <n v="6"/>
    <n v="4"/>
    <n v="3"/>
    <n v="68"/>
    <n v="76"/>
    <n v="21"/>
    <n v="59"/>
    <n v="66"/>
    <x v="86"/>
    <n v="8"/>
    <n v="10"/>
    <n v="6"/>
    <n v="4"/>
    <n v="1"/>
  </r>
  <r>
    <s v="Niewierowska"/>
    <s v="Laura"/>
    <n v="4"/>
    <n v="3"/>
    <n v="2"/>
    <n v="4"/>
    <n v="4"/>
    <n v="5"/>
    <n v="70"/>
    <n v="34"/>
    <n v="18"/>
    <n v="27"/>
    <n v="70"/>
    <x v="75"/>
    <n v="0"/>
    <n v="6"/>
    <n v="6"/>
    <n v="8"/>
    <n v="1"/>
  </r>
  <r>
    <s v="Bankowski"/>
    <s v="Wojciech"/>
    <n v="2"/>
    <n v="4"/>
    <n v="2"/>
    <n v="4"/>
    <n v="5"/>
    <n v="2"/>
    <n v="9"/>
    <n v="76"/>
    <n v="35"/>
    <n v="83"/>
    <n v="13"/>
    <x v="233"/>
    <n v="0"/>
    <n v="6"/>
    <n v="8"/>
    <n v="0"/>
    <n v="1"/>
  </r>
  <r>
    <s v="Stopinska"/>
    <s v="Gabriela"/>
    <n v="6"/>
    <n v="2"/>
    <n v="4"/>
    <n v="2"/>
    <n v="3"/>
    <n v="2"/>
    <n v="63"/>
    <n v="31"/>
    <n v="2"/>
    <n v="74"/>
    <n v="15"/>
    <x v="234"/>
    <n v="6"/>
    <n v="0"/>
    <n v="4"/>
    <n v="0"/>
    <n v="1"/>
  </r>
  <r>
    <s v="Odya"/>
    <s v="Kacper"/>
    <n v="4"/>
    <n v="6"/>
    <n v="3"/>
    <n v="5"/>
    <n v="4"/>
    <n v="4"/>
    <n v="15"/>
    <n v="57"/>
    <n v="64"/>
    <n v="60"/>
    <n v="60"/>
    <x v="28"/>
    <n v="4"/>
    <n v="8"/>
    <n v="6"/>
    <n v="6"/>
    <n v="1"/>
  </r>
  <r>
    <s v="Jaroszek"/>
    <s v="Milosz"/>
    <n v="6"/>
    <n v="4"/>
    <n v="4"/>
    <n v="2"/>
    <n v="2"/>
    <n v="2"/>
    <n v="26"/>
    <n v="6"/>
    <n v="12"/>
    <n v="71"/>
    <n v="85"/>
    <x v="235"/>
    <n v="6"/>
    <n v="0"/>
    <n v="0"/>
    <n v="0"/>
    <n v="1"/>
  </r>
  <r>
    <s v="Deszcz"/>
    <s v="Simon"/>
    <n v="5"/>
    <n v="6"/>
    <n v="2"/>
    <n v="4"/>
    <n v="4"/>
    <n v="3"/>
    <n v="3"/>
    <n v="8"/>
    <n v="22"/>
    <n v="75"/>
    <n v="52"/>
    <x v="236"/>
    <n v="0"/>
    <n v="6"/>
    <n v="6"/>
    <n v="4"/>
    <n v="1"/>
  </r>
  <r>
    <s v="Bujalski"/>
    <s v="Tobiasz"/>
    <n v="0"/>
    <n v="5"/>
    <n v="2"/>
    <n v="4"/>
    <n v="4"/>
    <n v="4"/>
    <n v="68"/>
    <n v="77"/>
    <n v="39"/>
    <n v="95"/>
    <n v="42"/>
    <x v="237"/>
    <n v="0"/>
    <n v="6"/>
    <n v="6"/>
    <n v="6"/>
    <n v="1"/>
  </r>
  <r>
    <s v="Kowalina"/>
    <s v="Mateusz"/>
    <n v="4"/>
    <n v="4"/>
    <n v="3"/>
    <n v="2"/>
    <n v="5"/>
    <n v="4"/>
    <n v="65"/>
    <n v="42"/>
    <n v="95"/>
    <n v="95"/>
    <n v="95"/>
    <x v="35"/>
    <n v="4"/>
    <n v="0"/>
    <n v="8"/>
    <n v="6"/>
    <n v="1"/>
  </r>
  <r>
    <s v="Broner"/>
    <s v="Maria"/>
    <n v="6"/>
    <n v="2"/>
    <n v="2"/>
    <n v="2"/>
    <n v="2"/>
    <n v="4"/>
    <n v="32"/>
    <n v="39"/>
    <n v="61"/>
    <n v="67"/>
    <n v="14"/>
    <x v="238"/>
    <n v="0"/>
    <n v="0"/>
    <n v="0"/>
    <n v="6"/>
    <n v="1"/>
  </r>
  <r>
    <s v="Kozlowski"/>
    <s v="Mateusz"/>
    <n v="8"/>
    <n v="3"/>
    <n v="5"/>
    <n v="6"/>
    <n v="3"/>
    <n v="5"/>
    <n v="7"/>
    <n v="96"/>
    <n v="85"/>
    <n v="8"/>
    <n v="46"/>
    <x v="239"/>
    <n v="8"/>
    <n v="10"/>
    <n v="4"/>
    <n v="8"/>
    <n v="1"/>
  </r>
  <r>
    <s v="Majsik"/>
    <s v="Lukasz"/>
    <n v="7"/>
    <n v="5"/>
    <n v="5"/>
    <n v="5"/>
    <n v="2"/>
    <n v="2"/>
    <n v="35"/>
    <n v="95"/>
    <n v="11"/>
    <n v="36"/>
    <n v="19"/>
    <x v="74"/>
    <n v="8"/>
    <n v="8"/>
    <n v="0"/>
    <n v="0"/>
    <n v="1"/>
  </r>
  <r>
    <s v="Borkowski"/>
    <s v="Tomasz"/>
    <n v="1"/>
    <n v="4"/>
    <n v="4"/>
    <n v="6"/>
    <n v="3"/>
    <n v="4"/>
    <n v="73"/>
    <n v="61"/>
    <n v="49"/>
    <n v="70"/>
    <n v="52"/>
    <x v="129"/>
    <n v="6"/>
    <n v="10"/>
    <n v="4"/>
    <n v="6"/>
    <n v="1"/>
  </r>
  <r>
    <s v="Górecki"/>
    <s v="Patryk"/>
    <n v="8"/>
    <n v="2"/>
    <n v="5"/>
    <n v="2"/>
    <n v="2"/>
    <n v="6"/>
    <n v="52"/>
    <n v="90"/>
    <n v="95"/>
    <n v="83"/>
    <n v="23"/>
    <x v="240"/>
    <n v="8"/>
    <n v="0"/>
    <n v="0"/>
    <n v="10"/>
    <n v="1"/>
  </r>
  <r>
    <s v="Zielinski"/>
    <s v="Adam"/>
    <n v="8"/>
    <n v="5"/>
    <n v="6"/>
    <n v="5"/>
    <n v="6"/>
    <n v="5"/>
    <n v="5"/>
    <n v="84"/>
    <n v="88"/>
    <n v="35"/>
    <n v="40"/>
    <x v="241"/>
    <n v="10"/>
    <n v="8"/>
    <n v="10"/>
    <n v="8"/>
    <n v="1"/>
  </r>
  <r>
    <s v="Zawisza"/>
    <s v="Agnieszka"/>
    <n v="5"/>
    <n v="4"/>
    <n v="6"/>
    <n v="2"/>
    <n v="3"/>
    <n v="4"/>
    <n v="53"/>
    <n v="57"/>
    <n v="30"/>
    <n v="7"/>
    <n v="52"/>
    <x v="205"/>
    <n v="10"/>
    <n v="0"/>
    <n v="4"/>
    <n v="6"/>
    <n v="1"/>
  </r>
  <r>
    <s v="Gerygk"/>
    <s v="Patryk"/>
    <n v="4"/>
    <n v="2"/>
    <n v="4"/>
    <n v="5"/>
    <n v="5"/>
    <n v="4"/>
    <n v="52"/>
    <n v="73"/>
    <n v="12"/>
    <n v="3"/>
    <n v="7"/>
    <x v="206"/>
    <n v="6"/>
    <n v="8"/>
    <n v="8"/>
    <n v="6"/>
    <n v="1"/>
  </r>
  <r>
    <s v="Gerono"/>
    <s v="Pawel"/>
    <n v="7"/>
    <n v="4"/>
    <n v="3"/>
    <n v="2"/>
    <n v="5"/>
    <n v="5"/>
    <n v="41"/>
    <n v="23"/>
    <n v="84"/>
    <n v="93"/>
    <n v="6"/>
    <x v="103"/>
    <n v="4"/>
    <n v="0"/>
    <n v="8"/>
    <n v="8"/>
    <n v="1"/>
  </r>
  <r>
    <s v="Dsbkowska"/>
    <s v="Weronika"/>
    <n v="3"/>
    <n v="3"/>
    <n v="4"/>
    <n v="4"/>
    <n v="5"/>
    <n v="5"/>
    <n v="44"/>
    <n v="90"/>
    <n v="71"/>
    <n v="41"/>
    <n v="60"/>
    <x v="242"/>
    <n v="6"/>
    <n v="6"/>
    <n v="8"/>
    <n v="8"/>
    <n v="1"/>
  </r>
  <r>
    <s v="Lang"/>
    <s v="Maja"/>
    <n v="0"/>
    <n v="5"/>
    <n v="2"/>
    <n v="4"/>
    <n v="2"/>
    <n v="6"/>
    <n v="27"/>
    <n v="56"/>
    <n v="54"/>
    <n v="99"/>
    <n v="27"/>
    <x v="243"/>
    <n v="0"/>
    <n v="6"/>
    <n v="0"/>
    <n v="10"/>
    <n v="1"/>
  </r>
  <r>
    <s v="Glowacz"/>
    <s v="Patryk"/>
    <n v="6"/>
    <n v="4"/>
    <n v="5"/>
    <n v="6"/>
    <n v="2"/>
    <n v="5"/>
    <n v="56"/>
    <n v="47"/>
    <n v="34"/>
    <n v="65"/>
    <n v="87"/>
    <x v="150"/>
    <n v="8"/>
    <n v="10"/>
    <n v="0"/>
    <n v="8"/>
    <n v="1"/>
  </r>
  <r>
    <s v="Olstowska"/>
    <s v="Klaudia"/>
    <n v="3"/>
    <n v="5"/>
    <n v="6"/>
    <n v="4"/>
    <n v="6"/>
    <n v="6"/>
    <n v="79"/>
    <n v="52"/>
    <n v="11"/>
    <n v="9"/>
    <n v="83"/>
    <x v="110"/>
    <n v="10"/>
    <n v="6"/>
    <n v="10"/>
    <n v="10"/>
    <n v="1"/>
  </r>
  <r>
    <s v="Kik"/>
    <s v="Michalina"/>
    <n v="6"/>
    <n v="5"/>
    <n v="5"/>
    <n v="5"/>
    <n v="4"/>
    <n v="4"/>
    <n v="34"/>
    <n v="15"/>
    <n v="40"/>
    <n v="85"/>
    <n v="52"/>
    <x v="244"/>
    <n v="8"/>
    <n v="8"/>
    <n v="6"/>
    <n v="6"/>
    <n v="1"/>
  </r>
  <r>
    <s v="Chajecki"/>
    <s v="Karol"/>
    <n v="1"/>
    <n v="3"/>
    <n v="4"/>
    <n v="6"/>
    <n v="6"/>
    <n v="3"/>
    <n v="52"/>
    <n v="36"/>
    <n v="41"/>
    <n v="96"/>
    <n v="66"/>
    <x v="245"/>
    <n v="6"/>
    <n v="10"/>
    <n v="10"/>
    <n v="4"/>
    <n v="1"/>
  </r>
  <r>
    <s v="Wizniewska"/>
    <s v="Amelia"/>
    <n v="5"/>
    <n v="4"/>
    <n v="6"/>
    <n v="5"/>
    <n v="5"/>
    <n v="3"/>
    <n v="41"/>
    <n v="35"/>
    <n v="54"/>
    <n v="14"/>
    <n v="29"/>
    <x v="151"/>
    <n v="10"/>
    <n v="8"/>
    <n v="8"/>
    <n v="4"/>
    <n v="1"/>
  </r>
  <r>
    <s v="Szewczyk"/>
    <s v="Edyta"/>
    <n v="5"/>
    <n v="3"/>
    <n v="5"/>
    <n v="5"/>
    <n v="3"/>
    <n v="2"/>
    <n v="25"/>
    <n v="24"/>
    <n v="28"/>
    <n v="21"/>
    <n v="24"/>
    <x v="246"/>
    <n v="8"/>
    <n v="8"/>
    <n v="4"/>
    <n v="0"/>
    <n v="1"/>
  </r>
  <r>
    <s v="Basek"/>
    <s v="Wiktoria"/>
    <n v="3"/>
    <n v="4"/>
    <n v="2"/>
    <n v="5"/>
    <n v="2"/>
    <n v="6"/>
    <n v="80"/>
    <n v="86"/>
    <n v="29"/>
    <n v="32"/>
    <n v="85"/>
    <x v="204"/>
    <n v="0"/>
    <n v="8"/>
    <n v="0"/>
    <n v="10"/>
    <n v="1"/>
  </r>
  <r>
    <s v="Stiburska"/>
    <s v="Gabriela"/>
    <n v="4"/>
    <n v="3"/>
    <n v="5"/>
    <n v="6"/>
    <n v="3"/>
    <n v="4"/>
    <n v="68"/>
    <n v="19"/>
    <n v="94"/>
    <n v="92"/>
    <n v="62"/>
    <x v="247"/>
    <n v="8"/>
    <n v="10"/>
    <n v="4"/>
    <n v="6"/>
    <n v="1"/>
  </r>
  <r>
    <s v="Dreger"/>
    <s v="Wanessa"/>
    <n v="4"/>
    <n v="2"/>
    <n v="5"/>
    <n v="2"/>
    <n v="5"/>
    <n v="4"/>
    <n v="74"/>
    <n v="85"/>
    <n v="21"/>
    <n v="33"/>
    <n v="9"/>
    <x v="109"/>
    <n v="8"/>
    <n v="0"/>
    <n v="8"/>
    <n v="6"/>
    <n v="1"/>
  </r>
  <r>
    <s v="Kowalska"/>
    <s v="Maria"/>
    <n v="0"/>
    <n v="2"/>
    <n v="3"/>
    <n v="5"/>
    <n v="4"/>
    <n v="6"/>
    <n v="40"/>
    <n v="46"/>
    <n v="1"/>
    <n v="98"/>
    <n v="39"/>
    <x v="160"/>
    <n v="4"/>
    <n v="8"/>
    <n v="6"/>
    <n v="10"/>
    <n v="1"/>
  </r>
  <r>
    <s v="Sorr"/>
    <s v="Iga"/>
    <n v="7"/>
    <n v="2"/>
    <n v="2"/>
    <n v="2"/>
    <n v="2"/>
    <n v="2"/>
    <n v="1"/>
    <n v="25"/>
    <n v="33"/>
    <n v="91"/>
    <n v="60"/>
    <x v="248"/>
    <n v="0"/>
    <n v="0"/>
    <n v="0"/>
    <n v="0"/>
    <n v="1"/>
  </r>
  <r>
    <s v="Marjanski"/>
    <s v="Leon"/>
    <n v="3"/>
    <n v="3"/>
    <n v="6"/>
    <n v="4"/>
    <n v="4"/>
    <n v="3"/>
    <n v="87"/>
    <n v="50"/>
    <n v="61"/>
    <n v="48"/>
    <n v="86"/>
    <x v="239"/>
    <n v="10"/>
    <n v="6"/>
    <n v="6"/>
    <n v="4"/>
    <n v="1"/>
  </r>
  <r>
    <s v="Sokolnicka"/>
    <s v="Inga"/>
    <n v="5"/>
    <n v="6"/>
    <n v="4"/>
    <n v="2"/>
    <n v="4"/>
    <n v="3"/>
    <n v="100"/>
    <n v="74"/>
    <n v="76"/>
    <n v="47"/>
    <n v="29"/>
    <x v="28"/>
    <n v="6"/>
    <n v="0"/>
    <n v="6"/>
    <n v="4"/>
    <n v="1"/>
  </r>
  <r>
    <s v="Sciebur"/>
    <s v="Damian"/>
    <n v="1"/>
    <n v="6"/>
    <n v="5"/>
    <n v="2"/>
    <n v="5"/>
    <n v="5"/>
    <n v="59"/>
    <n v="30"/>
    <n v="96"/>
    <n v="53"/>
    <n v="87"/>
    <x v="98"/>
    <n v="8"/>
    <n v="0"/>
    <n v="8"/>
    <n v="8"/>
    <n v="1"/>
  </r>
  <r>
    <s v="Polubinski"/>
    <s v="Jakub"/>
    <n v="6"/>
    <n v="2"/>
    <n v="6"/>
    <n v="4"/>
    <n v="4"/>
    <n v="6"/>
    <n v="51"/>
    <n v="98"/>
    <n v="20"/>
    <n v="37"/>
    <n v="54"/>
    <x v="249"/>
    <n v="10"/>
    <n v="6"/>
    <n v="6"/>
    <n v="10"/>
    <n v="1"/>
  </r>
  <r>
    <s v="Ogrodowczyk"/>
    <s v="Kacper"/>
    <n v="7"/>
    <n v="6"/>
    <n v="2"/>
    <n v="6"/>
    <n v="2"/>
    <n v="6"/>
    <n v="75"/>
    <n v="60"/>
    <n v="80"/>
    <n v="86"/>
    <n v="91"/>
    <x v="63"/>
    <n v="0"/>
    <n v="10"/>
    <n v="0"/>
    <n v="10"/>
    <n v="1"/>
  </r>
  <r>
    <s v="Makarski"/>
    <s v="Lukasz"/>
    <n v="5"/>
    <n v="3"/>
    <n v="2"/>
    <n v="6"/>
    <n v="2"/>
    <n v="2"/>
    <n v="28"/>
    <n v="28"/>
    <n v="14"/>
    <n v="52"/>
    <n v="35"/>
    <x v="250"/>
    <n v="0"/>
    <n v="10"/>
    <n v="0"/>
    <n v="0"/>
    <n v="1"/>
  </r>
  <r>
    <s v="Freitag"/>
    <s v="Pawel"/>
    <n v="8"/>
    <n v="3"/>
    <n v="5"/>
    <n v="5"/>
    <n v="5"/>
    <n v="6"/>
    <n v="63"/>
    <n v="66"/>
    <n v="71"/>
    <n v="11"/>
    <n v="57"/>
    <x v="3"/>
    <n v="8"/>
    <n v="8"/>
    <n v="8"/>
    <n v="10"/>
    <n v="1"/>
  </r>
  <r>
    <s v="Aftanas"/>
    <s v="Mariusz"/>
    <n v="5"/>
    <n v="5"/>
    <n v="5"/>
    <n v="5"/>
    <n v="2"/>
    <n v="6"/>
    <n v="45"/>
    <n v="94"/>
    <n v="45"/>
    <n v="100"/>
    <n v="98"/>
    <x v="241"/>
    <n v="8"/>
    <n v="8"/>
    <n v="0"/>
    <n v="10"/>
    <n v="1"/>
  </r>
  <r>
    <s v="Polonska"/>
    <s v="Justyna"/>
    <n v="6"/>
    <n v="5"/>
    <n v="4"/>
    <n v="5"/>
    <n v="6"/>
    <n v="3"/>
    <n v="90"/>
    <n v="98"/>
    <n v="10"/>
    <n v="95"/>
    <n v="63"/>
    <x v="251"/>
    <n v="6"/>
    <n v="8"/>
    <n v="10"/>
    <n v="4"/>
    <n v="1"/>
  </r>
  <r>
    <s v="Piwowarska"/>
    <s v="Kaja"/>
    <n v="7"/>
    <n v="4"/>
    <n v="6"/>
    <n v="5"/>
    <n v="4"/>
    <n v="6"/>
    <n v="3"/>
    <n v="73"/>
    <n v="19"/>
    <n v="42"/>
    <n v="88"/>
    <x v="80"/>
    <n v="10"/>
    <n v="8"/>
    <n v="6"/>
    <n v="10"/>
    <n v="1"/>
  </r>
  <r>
    <s v="Pomierska"/>
    <s v="Justyna"/>
    <n v="0"/>
    <n v="2"/>
    <n v="3"/>
    <n v="3"/>
    <n v="5"/>
    <n v="2"/>
    <n v="82"/>
    <n v="61"/>
    <n v="59"/>
    <n v="51"/>
    <n v="71"/>
    <x v="252"/>
    <n v="4"/>
    <n v="4"/>
    <n v="8"/>
    <n v="0"/>
    <n v="1"/>
  </r>
  <r>
    <s v="Kurowska"/>
    <s v="Karolina"/>
    <n v="0"/>
    <n v="5"/>
    <n v="6"/>
    <n v="4"/>
    <n v="2"/>
    <n v="6"/>
    <n v="8"/>
    <n v="13"/>
    <n v="38"/>
    <n v="1"/>
    <n v="39"/>
    <x v="64"/>
    <n v="10"/>
    <n v="6"/>
    <n v="0"/>
    <n v="10"/>
    <n v="1"/>
  </r>
  <r>
    <s v="Sulek"/>
    <s v="Fabian"/>
    <n v="4"/>
    <n v="2"/>
    <n v="4"/>
    <n v="4"/>
    <n v="4"/>
    <n v="3"/>
    <n v="25"/>
    <n v="86"/>
    <n v="7"/>
    <n v="3"/>
    <n v="94"/>
    <x v="23"/>
    <n v="6"/>
    <n v="6"/>
    <n v="6"/>
    <n v="4"/>
    <n v="1"/>
  </r>
  <r>
    <s v="Uszkiewicz"/>
    <s v="Anna"/>
    <n v="6"/>
    <n v="3"/>
    <n v="3"/>
    <n v="3"/>
    <n v="2"/>
    <n v="3"/>
    <n v="53"/>
    <n v="53"/>
    <n v="15"/>
    <n v="53"/>
    <n v="80"/>
    <x v="253"/>
    <n v="4"/>
    <n v="4"/>
    <n v="0"/>
    <n v="4"/>
    <n v="1"/>
  </r>
  <r>
    <s v="Wentland"/>
    <s v="Baniamin"/>
    <n v="3"/>
    <n v="3"/>
    <n v="4"/>
    <n v="2"/>
    <n v="6"/>
    <n v="4"/>
    <n v="22"/>
    <n v="48"/>
    <n v="26"/>
    <n v="43"/>
    <n v="10"/>
    <x v="254"/>
    <n v="6"/>
    <n v="0"/>
    <n v="10"/>
    <n v="6"/>
    <n v="1"/>
  </r>
  <r>
    <s v="Zebala"/>
    <s v="Adam"/>
    <n v="3"/>
    <n v="2"/>
    <n v="4"/>
    <n v="3"/>
    <n v="2"/>
    <n v="5"/>
    <n v="90"/>
    <n v="97"/>
    <n v="7"/>
    <n v="59"/>
    <n v="100"/>
    <x v="72"/>
    <n v="6"/>
    <n v="4"/>
    <n v="0"/>
    <n v="8"/>
    <n v="1"/>
  </r>
  <r>
    <s v="Chudzik"/>
    <s v="Wiktoria"/>
    <n v="4"/>
    <n v="2"/>
    <n v="4"/>
    <n v="5"/>
    <n v="4"/>
    <n v="2"/>
    <n v="9"/>
    <n v="47"/>
    <n v="56"/>
    <n v="89"/>
    <n v="55"/>
    <x v="255"/>
    <n v="6"/>
    <n v="8"/>
    <n v="6"/>
    <n v="0"/>
    <n v="1"/>
  </r>
  <r>
    <s v="Jedrzejewski"/>
    <s v="Mikolaj"/>
    <n v="4"/>
    <n v="2"/>
    <n v="2"/>
    <n v="6"/>
    <n v="4"/>
    <n v="3"/>
    <n v="47"/>
    <n v="8"/>
    <n v="77"/>
    <n v="85"/>
    <n v="10"/>
    <x v="206"/>
    <n v="0"/>
    <n v="10"/>
    <n v="6"/>
    <n v="4"/>
    <n v="1"/>
  </r>
  <r>
    <s v="Hajdamowicz"/>
    <s v="Nina"/>
    <n v="4"/>
    <n v="5"/>
    <n v="4"/>
    <n v="4"/>
    <n v="5"/>
    <n v="3"/>
    <n v="59"/>
    <n v="89"/>
    <n v="32"/>
    <n v="80"/>
    <n v="38"/>
    <x v="171"/>
    <n v="6"/>
    <n v="6"/>
    <n v="8"/>
    <n v="4"/>
    <n v="1"/>
  </r>
  <r>
    <s v="Ropel"/>
    <s v="Jacek"/>
    <n v="8"/>
    <n v="5"/>
    <n v="5"/>
    <n v="4"/>
    <n v="6"/>
    <n v="2"/>
    <n v="60"/>
    <n v="31"/>
    <n v="86"/>
    <n v="76"/>
    <n v="64"/>
    <x v="37"/>
    <n v="8"/>
    <n v="6"/>
    <n v="10"/>
    <n v="0"/>
    <n v="1"/>
  </r>
  <r>
    <s v="Budzynski"/>
    <s v="Tadeusz"/>
    <n v="3"/>
    <n v="4"/>
    <n v="3"/>
    <n v="5"/>
    <n v="5"/>
    <n v="5"/>
    <n v="53"/>
    <n v="78"/>
    <n v="73"/>
    <n v="89"/>
    <n v="32"/>
    <x v="80"/>
    <n v="4"/>
    <n v="8"/>
    <n v="8"/>
    <n v="8"/>
    <n v="1"/>
  </r>
  <r>
    <s v="Zbieska"/>
    <s v="Agata"/>
    <n v="0"/>
    <n v="4"/>
    <n v="2"/>
    <n v="2"/>
    <n v="2"/>
    <n v="6"/>
    <n v="88"/>
    <n v="43"/>
    <n v="91"/>
    <n v="4"/>
    <n v="78"/>
    <x v="256"/>
    <n v="0"/>
    <n v="0"/>
    <n v="0"/>
    <n v="10"/>
    <n v="1"/>
  </r>
  <r>
    <s v="Skrzynska"/>
    <s v="Izabela"/>
    <n v="1"/>
    <n v="5"/>
    <n v="4"/>
    <n v="6"/>
    <n v="4"/>
    <n v="2"/>
    <n v="4"/>
    <n v="97"/>
    <n v="75"/>
    <n v="86"/>
    <n v="10"/>
    <x v="81"/>
    <n v="6"/>
    <n v="10"/>
    <n v="6"/>
    <n v="0"/>
    <n v="1"/>
  </r>
  <r>
    <s v="Karmazyn"/>
    <s v="Mira"/>
    <n v="7"/>
    <n v="4"/>
    <n v="3"/>
    <n v="6"/>
    <n v="3"/>
    <n v="2"/>
    <n v="28"/>
    <n v="75"/>
    <n v="15"/>
    <n v="6"/>
    <n v="33"/>
    <x v="78"/>
    <n v="4"/>
    <n v="10"/>
    <n v="4"/>
    <n v="0"/>
    <n v="1"/>
  </r>
  <r>
    <s v="Bienkowska"/>
    <s v="Karolina"/>
    <n v="4"/>
    <n v="2"/>
    <n v="4"/>
    <n v="6"/>
    <n v="5"/>
    <n v="5"/>
    <n v="29"/>
    <n v="92"/>
    <n v="99"/>
    <n v="79"/>
    <n v="8"/>
    <x v="257"/>
    <n v="6"/>
    <n v="10"/>
    <n v="8"/>
    <n v="8"/>
    <n v="1"/>
  </r>
  <r>
    <s v="Chabowski"/>
    <s v="Szymon"/>
    <n v="2"/>
    <n v="5"/>
    <n v="3"/>
    <n v="2"/>
    <n v="3"/>
    <n v="6"/>
    <n v="59"/>
    <n v="29"/>
    <n v="92"/>
    <n v="96"/>
    <n v="77"/>
    <x v="163"/>
    <n v="4"/>
    <n v="0"/>
    <n v="4"/>
    <n v="10"/>
    <n v="1"/>
  </r>
  <r>
    <s v="Krol"/>
    <s v="Malgorzata"/>
    <n v="0"/>
    <n v="6"/>
    <n v="6"/>
    <n v="5"/>
    <n v="4"/>
    <n v="3"/>
    <n v="98"/>
    <n v="79"/>
    <n v="65"/>
    <n v="41"/>
    <n v="48"/>
    <x v="198"/>
    <n v="10"/>
    <n v="8"/>
    <n v="6"/>
    <n v="4"/>
    <n v="1"/>
  </r>
  <r>
    <s v="Markiewicz"/>
    <s v="Lila"/>
    <n v="2"/>
    <n v="2"/>
    <n v="6"/>
    <n v="5"/>
    <n v="6"/>
    <n v="3"/>
    <n v="74"/>
    <n v="25"/>
    <n v="78"/>
    <n v="6"/>
    <n v="69"/>
    <x v="57"/>
    <n v="10"/>
    <n v="8"/>
    <n v="10"/>
    <n v="4"/>
    <n v="1"/>
  </r>
  <r>
    <s v="Dalek"/>
    <s v="Szymon"/>
    <n v="3"/>
    <n v="2"/>
    <n v="4"/>
    <n v="5"/>
    <n v="2"/>
    <n v="5"/>
    <n v="12"/>
    <n v="96"/>
    <n v="66"/>
    <n v="17"/>
    <n v="86"/>
    <x v="73"/>
    <n v="6"/>
    <n v="8"/>
    <n v="0"/>
    <n v="8"/>
    <n v="1"/>
  </r>
  <r>
    <s v="Romanowska"/>
    <s v="Olga"/>
    <n v="3"/>
    <n v="5"/>
    <n v="5"/>
    <n v="3"/>
    <n v="2"/>
    <n v="2"/>
    <n v="53"/>
    <n v="89"/>
    <n v="16"/>
    <n v="27"/>
    <n v="62"/>
    <x v="258"/>
    <n v="8"/>
    <n v="4"/>
    <n v="0"/>
    <n v="0"/>
    <n v="1"/>
  </r>
  <r>
    <s v="Klos"/>
    <s v="Michal"/>
    <n v="4"/>
    <n v="3"/>
    <n v="6"/>
    <n v="4"/>
    <n v="6"/>
    <n v="6"/>
    <n v="90"/>
    <n v="31"/>
    <n v="75"/>
    <n v="1"/>
    <n v="58"/>
    <x v="247"/>
    <n v="10"/>
    <n v="6"/>
    <n v="10"/>
    <n v="10"/>
    <n v="1"/>
  </r>
  <r>
    <s v="Kedzierski"/>
    <s v="Michal"/>
    <n v="0"/>
    <n v="3"/>
    <n v="3"/>
    <n v="4"/>
    <n v="2"/>
    <n v="4"/>
    <n v="92"/>
    <n v="47"/>
    <n v="27"/>
    <n v="40"/>
    <n v="35"/>
    <x v="259"/>
    <n v="4"/>
    <n v="6"/>
    <n v="0"/>
    <n v="6"/>
    <n v="1"/>
  </r>
  <r>
    <s v="Irek"/>
    <s v="Olaf"/>
    <n v="6"/>
    <n v="4"/>
    <n v="3"/>
    <n v="2"/>
    <n v="3"/>
    <n v="5"/>
    <n v="57"/>
    <n v="67"/>
    <n v="51"/>
    <n v="92"/>
    <n v="72"/>
    <x v="260"/>
    <n v="4"/>
    <n v="0"/>
    <n v="4"/>
    <n v="8"/>
    <n v="1"/>
  </r>
  <r>
    <s v="Smal"/>
    <s v="Franciszek"/>
    <n v="0"/>
    <n v="6"/>
    <n v="3"/>
    <n v="6"/>
    <n v="6"/>
    <n v="4"/>
    <n v="74"/>
    <n v="60"/>
    <n v="83"/>
    <n v="39"/>
    <n v="97"/>
    <x v="261"/>
    <n v="4"/>
    <n v="10"/>
    <n v="10"/>
    <n v="6"/>
    <n v="1"/>
  </r>
  <r>
    <s v="Muczynski"/>
    <s v="Kasjan"/>
    <n v="7"/>
    <n v="6"/>
    <n v="2"/>
    <n v="3"/>
    <n v="2"/>
    <n v="3"/>
    <n v="21"/>
    <n v="16"/>
    <n v="9"/>
    <n v="49"/>
    <n v="47"/>
    <x v="262"/>
    <n v="0"/>
    <n v="4"/>
    <n v="0"/>
    <n v="4"/>
    <n v="1"/>
  </r>
  <r>
    <s v="Butajlo"/>
    <s v="Wojciech"/>
    <n v="8"/>
    <n v="3"/>
    <n v="5"/>
    <n v="6"/>
    <n v="2"/>
    <n v="4"/>
    <n v="73"/>
    <n v="70"/>
    <n v="71"/>
    <n v="84"/>
    <n v="81"/>
    <x v="178"/>
    <n v="8"/>
    <n v="10"/>
    <n v="0"/>
    <n v="6"/>
    <n v="1"/>
  </r>
  <r>
    <s v="Kass"/>
    <s v="Milena"/>
    <n v="2"/>
    <n v="4"/>
    <n v="6"/>
    <n v="4"/>
    <n v="5"/>
    <n v="2"/>
    <n v="44"/>
    <n v="8"/>
    <n v="100"/>
    <n v="54"/>
    <n v="77"/>
    <x v="263"/>
    <n v="10"/>
    <n v="6"/>
    <n v="8"/>
    <n v="0"/>
    <n v="1"/>
  </r>
  <r>
    <s v="Jenda"/>
    <s v="Mikolaj"/>
    <n v="6"/>
    <n v="3"/>
    <n v="5"/>
    <n v="4"/>
    <n v="3"/>
    <n v="2"/>
    <n v="78"/>
    <n v="17"/>
    <n v="48"/>
    <n v="42"/>
    <n v="85"/>
    <x v="187"/>
    <n v="8"/>
    <n v="6"/>
    <n v="4"/>
    <n v="0"/>
    <n v="1"/>
  </r>
  <r>
    <s v="Markowski"/>
    <s v="Kuba"/>
    <n v="0"/>
    <n v="3"/>
    <n v="6"/>
    <n v="2"/>
    <n v="5"/>
    <n v="2"/>
    <n v="72"/>
    <n v="53"/>
    <n v="43"/>
    <n v="72"/>
    <n v="52"/>
    <x v="264"/>
    <n v="10"/>
    <n v="0"/>
    <n v="8"/>
    <n v="0"/>
    <n v="1"/>
  </r>
  <r>
    <s v="Mľdry"/>
    <s v="Krzysztof"/>
    <n v="7"/>
    <n v="5"/>
    <n v="6"/>
    <n v="2"/>
    <n v="5"/>
    <n v="4"/>
    <n v="15"/>
    <n v="64"/>
    <n v="20"/>
    <n v="59"/>
    <n v="52"/>
    <x v="128"/>
    <n v="10"/>
    <n v="0"/>
    <n v="8"/>
    <n v="6"/>
    <n v="1"/>
  </r>
  <r>
    <s v="Ostwald"/>
    <s v="Katarzyna"/>
    <n v="1"/>
    <n v="2"/>
    <n v="3"/>
    <n v="3"/>
    <n v="2"/>
    <n v="6"/>
    <n v="35"/>
    <n v="20"/>
    <n v="46"/>
    <n v="84"/>
    <n v="11"/>
    <x v="182"/>
    <n v="4"/>
    <n v="4"/>
    <n v="0"/>
    <n v="10"/>
    <n v="1"/>
  </r>
  <r>
    <s v="Begdon"/>
    <s v="Zuzanna"/>
    <n v="0"/>
    <n v="2"/>
    <n v="2"/>
    <n v="5"/>
    <n v="6"/>
    <n v="2"/>
    <n v="87"/>
    <n v="18"/>
    <n v="93"/>
    <n v="62"/>
    <n v="95"/>
    <x v="65"/>
    <n v="0"/>
    <n v="8"/>
    <n v="10"/>
    <n v="0"/>
    <n v="1"/>
  </r>
  <r>
    <s v="Panfil"/>
    <s v="Julian"/>
    <n v="6"/>
    <n v="2"/>
    <n v="4"/>
    <n v="3"/>
    <n v="3"/>
    <n v="2"/>
    <n v="72"/>
    <n v="79"/>
    <n v="98"/>
    <n v="86"/>
    <n v="31"/>
    <x v="244"/>
    <n v="6"/>
    <n v="4"/>
    <n v="4"/>
    <n v="0"/>
    <n v="1"/>
  </r>
  <r>
    <s v="Wnuczynska"/>
    <s v="Alicja"/>
    <n v="3"/>
    <n v="3"/>
    <n v="3"/>
    <n v="3"/>
    <n v="5"/>
    <n v="4"/>
    <n v="71"/>
    <n v="68"/>
    <n v="38"/>
    <n v="8"/>
    <n v="98"/>
    <x v="40"/>
    <n v="4"/>
    <n v="4"/>
    <n v="8"/>
    <n v="6"/>
    <n v="1"/>
  </r>
  <r>
    <s v="Rychter"/>
    <s v="Julia"/>
    <n v="8"/>
    <n v="2"/>
    <n v="2"/>
    <n v="3"/>
    <n v="4"/>
    <n v="4"/>
    <n v="96"/>
    <n v="47"/>
    <n v="90"/>
    <n v="24"/>
    <n v="96"/>
    <x v="53"/>
    <n v="0"/>
    <n v="4"/>
    <n v="6"/>
    <n v="6"/>
    <n v="1"/>
  </r>
  <r>
    <s v="Gasinski"/>
    <s v="Pawel"/>
    <n v="3"/>
    <n v="3"/>
    <n v="3"/>
    <n v="3"/>
    <n v="4"/>
    <n v="5"/>
    <n v="18"/>
    <n v="94"/>
    <n v="29"/>
    <n v="50"/>
    <n v="54"/>
    <x v="41"/>
    <n v="4"/>
    <n v="4"/>
    <n v="6"/>
    <n v="8"/>
    <n v="1"/>
  </r>
  <r>
    <s v="Toczek"/>
    <s v="Antonina"/>
    <n v="0"/>
    <n v="5"/>
    <n v="5"/>
    <n v="6"/>
    <n v="2"/>
    <n v="5"/>
    <n v="47"/>
    <n v="34"/>
    <n v="86"/>
    <n v="56"/>
    <n v="39"/>
    <x v="204"/>
    <n v="8"/>
    <n v="10"/>
    <n v="0"/>
    <n v="8"/>
    <n v="1"/>
  </r>
  <r>
    <s v="Sokolowska"/>
    <s v="Iga"/>
    <n v="7"/>
    <n v="5"/>
    <n v="5"/>
    <n v="2"/>
    <n v="6"/>
    <n v="6"/>
    <n v="6"/>
    <n v="88"/>
    <n v="24"/>
    <n v="3"/>
    <n v="43"/>
    <x v="1"/>
    <n v="8"/>
    <n v="0"/>
    <n v="10"/>
    <n v="10"/>
    <n v="1"/>
  </r>
  <r>
    <s v="Zawizlak"/>
    <s v="Agnieszka"/>
    <n v="8"/>
    <n v="4"/>
    <n v="3"/>
    <n v="6"/>
    <n v="2"/>
    <n v="6"/>
    <n v="87"/>
    <n v="54"/>
    <n v="69"/>
    <n v="96"/>
    <n v="7"/>
    <x v="197"/>
    <n v="4"/>
    <n v="10"/>
    <n v="0"/>
    <n v="10"/>
    <n v="1"/>
  </r>
  <r>
    <s v="Golunska"/>
    <s v="Oliwia"/>
    <n v="8"/>
    <n v="3"/>
    <n v="2"/>
    <n v="4"/>
    <n v="6"/>
    <n v="6"/>
    <n v="99"/>
    <n v="51"/>
    <n v="25"/>
    <n v="89"/>
    <n v="73"/>
    <x v="67"/>
    <n v="0"/>
    <n v="6"/>
    <n v="10"/>
    <n v="10"/>
    <n v="1"/>
  </r>
  <r>
    <s v="Piskor"/>
    <s v="Kalina"/>
    <n v="0"/>
    <n v="4"/>
    <n v="6"/>
    <n v="5"/>
    <n v="2"/>
    <n v="4"/>
    <n v="72"/>
    <n v="33"/>
    <n v="40"/>
    <n v="62"/>
    <n v="19"/>
    <x v="265"/>
    <n v="10"/>
    <n v="8"/>
    <n v="0"/>
    <n v="6"/>
    <n v="1"/>
  </r>
  <r>
    <s v="Szumala"/>
    <s v="Blanka"/>
    <n v="0"/>
    <n v="4"/>
    <n v="2"/>
    <n v="6"/>
    <n v="2"/>
    <n v="5"/>
    <n v="57"/>
    <n v="88"/>
    <n v="53"/>
    <n v="42"/>
    <n v="49"/>
    <x v="214"/>
    <n v="0"/>
    <n v="10"/>
    <n v="0"/>
    <n v="8"/>
    <n v="1"/>
  </r>
  <r>
    <s v="Jakuszewska"/>
    <s v="Natalia"/>
    <n v="1"/>
    <n v="4"/>
    <n v="2"/>
    <n v="2"/>
    <n v="4"/>
    <n v="2"/>
    <n v="68"/>
    <n v="81"/>
    <n v="24"/>
    <n v="15"/>
    <n v="48"/>
    <x v="266"/>
    <n v="0"/>
    <n v="0"/>
    <n v="6"/>
    <n v="0"/>
    <n v="1"/>
  </r>
  <r>
    <s v="Jezierska"/>
    <s v="Nadia"/>
    <n v="6"/>
    <n v="4"/>
    <n v="3"/>
    <n v="2"/>
    <n v="3"/>
    <n v="3"/>
    <n v="43"/>
    <n v="36"/>
    <n v="9"/>
    <n v="88"/>
    <n v="44"/>
    <x v="267"/>
    <n v="4"/>
    <n v="0"/>
    <n v="4"/>
    <n v="4"/>
    <n v="1"/>
  </r>
  <r>
    <s v="Kisiela"/>
    <s v="Michal"/>
    <n v="2"/>
    <n v="6"/>
    <n v="2"/>
    <n v="2"/>
    <n v="3"/>
    <n v="3"/>
    <n v="69"/>
    <n v="17"/>
    <n v="84"/>
    <n v="87"/>
    <n v="56"/>
    <x v="19"/>
    <n v="0"/>
    <n v="0"/>
    <n v="4"/>
    <n v="4"/>
    <n v="1"/>
  </r>
  <r>
    <s v="Macierzynska"/>
    <s v="Magdalena"/>
    <n v="0"/>
    <n v="6"/>
    <n v="6"/>
    <n v="3"/>
    <n v="2"/>
    <n v="5"/>
    <n v="25"/>
    <n v="23"/>
    <n v="92"/>
    <n v="37"/>
    <n v="40"/>
    <x v="30"/>
    <n v="10"/>
    <n v="4"/>
    <n v="0"/>
    <n v="8"/>
    <n v="1"/>
  </r>
  <r>
    <s v="Sosnowski"/>
    <s v="Wojciech"/>
    <n v="8"/>
    <n v="4"/>
    <n v="6"/>
    <n v="4"/>
    <n v="3"/>
    <n v="2"/>
    <n v="12"/>
    <n v="56"/>
    <n v="75"/>
    <n v="76"/>
    <n v="41"/>
    <x v="69"/>
    <n v="10"/>
    <n v="6"/>
    <n v="4"/>
    <n v="0"/>
    <n v="1"/>
  </r>
  <r>
    <s v="Winiarczyk"/>
    <s v="Amelia"/>
    <n v="5"/>
    <n v="2"/>
    <n v="5"/>
    <n v="6"/>
    <n v="2"/>
    <n v="5"/>
    <n v="39"/>
    <n v="77"/>
    <n v="37"/>
    <n v="72"/>
    <n v="32"/>
    <x v="268"/>
    <n v="8"/>
    <n v="10"/>
    <n v="0"/>
    <n v="8"/>
    <n v="1"/>
  </r>
  <r>
    <s v="Bialkowski"/>
    <s v="Wiktor"/>
    <n v="1"/>
    <n v="3"/>
    <n v="5"/>
    <n v="6"/>
    <n v="2"/>
    <n v="5"/>
    <n v="53"/>
    <n v="25"/>
    <n v="62"/>
    <n v="74"/>
    <n v="81"/>
    <x v="10"/>
    <n v="8"/>
    <n v="10"/>
    <n v="0"/>
    <n v="8"/>
    <n v="1"/>
  </r>
  <r>
    <s v="Lehmann"/>
    <s v="Marcel"/>
    <n v="7"/>
    <n v="6"/>
    <n v="3"/>
    <n v="6"/>
    <n v="4"/>
    <n v="2"/>
    <n v="11"/>
    <n v="8"/>
    <n v="29"/>
    <n v="7"/>
    <n v="38"/>
    <x v="269"/>
    <n v="4"/>
    <n v="10"/>
    <n v="6"/>
    <n v="0"/>
    <n v="1"/>
  </r>
  <r>
    <s v="Gnacinski"/>
    <s v="Patryk"/>
    <n v="3"/>
    <n v="4"/>
    <n v="6"/>
    <n v="4"/>
    <n v="6"/>
    <n v="2"/>
    <n v="62"/>
    <n v="31"/>
    <n v="64"/>
    <n v="1"/>
    <n v="25"/>
    <x v="145"/>
    <n v="10"/>
    <n v="6"/>
    <n v="10"/>
    <n v="0"/>
    <n v="1"/>
  </r>
  <r>
    <s v="Marchewicz"/>
    <s v="Lucjan"/>
    <n v="4"/>
    <n v="4"/>
    <n v="6"/>
    <n v="3"/>
    <n v="2"/>
    <n v="3"/>
    <n v="24"/>
    <n v="33"/>
    <n v="90"/>
    <n v="28"/>
    <n v="23"/>
    <x v="270"/>
    <n v="10"/>
    <n v="4"/>
    <n v="0"/>
    <n v="4"/>
    <n v="1"/>
  </r>
  <r>
    <s v="Zurowski"/>
    <s v="Adam"/>
    <n v="5"/>
    <n v="6"/>
    <n v="5"/>
    <n v="6"/>
    <n v="5"/>
    <n v="4"/>
    <n v="92"/>
    <n v="67"/>
    <n v="92"/>
    <n v="79"/>
    <n v="81"/>
    <x v="54"/>
    <n v="8"/>
    <n v="10"/>
    <n v="8"/>
    <n v="6"/>
    <n v="1"/>
  </r>
  <r>
    <s v="Morawski"/>
    <s v="Klaudiusz"/>
    <n v="5"/>
    <n v="3"/>
    <n v="4"/>
    <n v="2"/>
    <n v="6"/>
    <n v="6"/>
    <n v="21"/>
    <n v="40"/>
    <n v="18"/>
    <n v="81"/>
    <n v="88"/>
    <x v="82"/>
    <n v="6"/>
    <n v="0"/>
    <n v="10"/>
    <n v="10"/>
    <n v="1"/>
  </r>
  <r>
    <s v="Sitarska"/>
    <s v="Izabella"/>
    <n v="6"/>
    <n v="2"/>
    <n v="3"/>
    <n v="6"/>
    <n v="5"/>
    <n v="4"/>
    <n v="78"/>
    <n v="1"/>
    <n v="9"/>
    <n v="33"/>
    <n v="81"/>
    <x v="188"/>
    <n v="4"/>
    <n v="10"/>
    <n v="8"/>
    <n v="6"/>
    <n v="1"/>
  </r>
  <r>
    <s v="Bianga"/>
    <s v="Zuzanna"/>
    <n v="8"/>
    <n v="2"/>
    <n v="3"/>
    <n v="4"/>
    <n v="5"/>
    <n v="4"/>
    <n v="65"/>
    <n v="19"/>
    <n v="19"/>
    <n v="8"/>
    <n v="20"/>
    <x v="153"/>
    <n v="4"/>
    <n v="6"/>
    <n v="8"/>
    <n v="6"/>
    <n v="1"/>
  </r>
  <r>
    <s v="Jank"/>
    <s v="Natalia"/>
    <n v="2"/>
    <n v="2"/>
    <n v="2"/>
    <n v="5"/>
    <n v="5"/>
    <n v="4"/>
    <n v="60"/>
    <n v="79"/>
    <n v="51"/>
    <n v="40"/>
    <n v="16"/>
    <x v="85"/>
    <n v="0"/>
    <n v="8"/>
    <n v="8"/>
    <n v="6"/>
    <n v="1"/>
  </r>
  <r>
    <s v="Janukowicz"/>
    <s v="Natalia"/>
    <n v="5"/>
    <n v="2"/>
    <n v="3"/>
    <n v="3"/>
    <n v="6"/>
    <n v="3"/>
    <n v="79"/>
    <n v="21"/>
    <n v="41"/>
    <n v="39"/>
    <n v="74"/>
    <x v="210"/>
    <n v="4"/>
    <n v="4"/>
    <n v="10"/>
    <n v="4"/>
    <n v="1"/>
  </r>
  <r>
    <s v="Richter"/>
    <s v="Julia"/>
    <n v="7"/>
    <n v="2"/>
    <n v="6"/>
    <n v="6"/>
    <n v="6"/>
    <n v="5"/>
    <n v="27"/>
    <n v="93"/>
    <n v="10"/>
    <n v="43"/>
    <n v="28"/>
    <x v="134"/>
    <n v="10"/>
    <n v="10"/>
    <n v="10"/>
    <n v="8"/>
    <n v="1"/>
  </r>
  <r>
    <s v="Zarzeczanski"/>
    <s v="Adrian"/>
    <n v="5"/>
    <n v="4"/>
    <n v="6"/>
    <n v="5"/>
    <n v="4"/>
    <n v="4"/>
    <n v="44"/>
    <n v="95"/>
    <n v="15"/>
    <n v="66"/>
    <n v="82"/>
    <x v="271"/>
    <n v="10"/>
    <n v="8"/>
    <n v="6"/>
    <n v="6"/>
    <n v="1"/>
  </r>
  <r>
    <s v="Jasik"/>
    <s v="Natalia"/>
    <n v="0"/>
    <n v="6"/>
    <n v="6"/>
    <n v="2"/>
    <n v="4"/>
    <n v="3"/>
    <n v="15"/>
    <n v="15"/>
    <n v="58"/>
    <n v="15"/>
    <n v="87"/>
    <x v="272"/>
    <n v="10"/>
    <n v="0"/>
    <n v="6"/>
    <n v="4"/>
    <n v="1"/>
  </r>
  <r>
    <s v="Krawiec"/>
    <s v="Mateusz"/>
    <n v="4"/>
    <n v="6"/>
    <n v="6"/>
    <n v="3"/>
    <n v="6"/>
    <n v="2"/>
    <n v="69"/>
    <n v="78"/>
    <n v="32"/>
    <n v="73"/>
    <n v="93"/>
    <x v="273"/>
    <n v="10"/>
    <n v="4"/>
    <n v="10"/>
    <n v="0"/>
    <n v="1"/>
  </r>
  <r>
    <s v="Olszowka"/>
    <s v="Klara"/>
    <n v="7"/>
    <n v="3"/>
    <n v="4"/>
    <n v="6"/>
    <n v="3"/>
    <n v="6"/>
    <n v="14"/>
    <n v="42"/>
    <n v="40"/>
    <n v="48"/>
    <n v="35"/>
    <x v="95"/>
    <n v="6"/>
    <n v="10"/>
    <n v="4"/>
    <n v="10"/>
    <n v="1"/>
  </r>
  <r>
    <s v="Wieruszewski"/>
    <s v="Antoni"/>
    <n v="5"/>
    <n v="2"/>
    <n v="5"/>
    <n v="6"/>
    <n v="3"/>
    <n v="3"/>
    <n v="90"/>
    <n v="70"/>
    <n v="84"/>
    <n v="62"/>
    <n v="20"/>
    <x v="274"/>
    <n v="8"/>
    <n v="10"/>
    <n v="4"/>
    <n v="4"/>
    <n v="1"/>
  </r>
  <r>
    <s v="Jarosz"/>
    <s v="Milosz"/>
    <n v="1"/>
    <n v="6"/>
    <n v="4"/>
    <n v="3"/>
    <n v="3"/>
    <n v="6"/>
    <n v="79"/>
    <n v="71"/>
    <n v="89"/>
    <n v="26"/>
    <n v="96"/>
    <x v="198"/>
    <n v="6"/>
    <n v="4"/>
    <n v="4"/>
    <n v="10"/>
    <n v="1"/>
  </r>
  <r>
    <s v="Daczkowska"/>
    <s v="Weronika"/>
    <n v="5"/>
    <n v="5"/>
    <n v="6"/>
    <n v="3"/>
    <n v="4"/>
    <n v="2"/>
    <n v="45"/>
    <n v="46"/>
    <n v="47"/>
    <n v="70"/>
    <n v="56"/>
    <x v="1"/>
    <n v="10"/>
    <n v="4"/>
    <n v="6"/>
    <n v="0"/>
    <n v="1"/>
  </r>
  <r>
    <s v="Kurowska"/>
    <s v="Paulina"/>
    <n v="6"/>
    <n v="5"/>
    <n v="6"/>
    <n v="6"/>
    <n v="5"/>
    <n v="3"/>
    <n v="100"/>
    <n v="44"/>
    <n v="54"/>
    <n v="75"/>
    <n v="64"/>
    <x v="148"/>
    <n v="10"/>
    <n v="10"/>
    <n v="8"/>
    <n v="4"/>
    <n v="1"/>
  </r>
  <r>
    <s v="Jablonski"/>
    <s v="Nikodem"/>
    <n v="5"/>
    <n v="6"/>
    <n v="5"/>
    <n v="2"/>
    <n v="2"/>
    <n v="2"/>
    <n v="74"/>
    <n v="70"/>
    <n v="43"/>
    <n v="43"/>
    <n v="37"/>
    <x v="275"/>
    <n v="8"/>
    <n v="0"/>
    <n v="0"/>
    <n v="0"/>
    <n v="1"/>
  </r>
  <r>
    <s v="Bastian"/>
    <s v="Witold"/>
    <n v="8"/>
    <n v="3"/>
    <n v="3"/>
    <n v="4"/>
    <n v="5"/>
    <n v="5"/>
    <n v="78"/>
    <n v="45"/>
    <n v="23"/>
    <n v="91"/>
    <n v="58"/>
    <x v="80"/>
    <n v="4"/>
    <n v="6"/>
    <n v="8"/>
    <n v="8"/>
    <n v="1"/>
  </r>
  <r>
    <s v="Lsczynska"/>
    <s v="Magdalena"/>
    <n v="4"/>
    <n v="5"/>
    <n v="3"/>
    <n v="6"/>
    <n v="6"/>
    <n v="3"/>
    <n v="23"/>
    <n v="16"/>
    <n v="85"/>
    <n v="82"/>
    <n v="75"/>
    <x v="245"/>
    <n v="4"/>
    <n v="10"/>
    <n v="10"/>
    <n v="4"/>
    <n v="1"/>
  </r>
  <r>
    <s v="Szubiga"/>
    <s v="Dawid"/>
    <n v="1"/>
    <n v="2"/>
    <n v="5"/>
    <n v="2"/>
    <n v="6"/>
    <n v="6"/>
    <n v="62"/>
    <n v="89"/>
    <n v="20"/>
    <n v="56"/>
    <n v="80"/>
    <x v="91"/>
    <n v="8"/>
    <n v="0"/>
    <n v="10"/>
    <n v="10"/>
    <n v="1"/>
  </r>
  <r>
    <s v="Winiarski"/>
    <s v="Antoni"/>
    <n v="6"/>
    <n v="6"/>
    <n v="5"/>
    <n v="6"/>
    <n v="2"/>
    <n v="4"/>
    <n v="22"/>
    <n v="29"/>
    <n v="31"/>
    <n v="9"/>
    <n v="56"/>
    <x v="206"/>
    <n v="8"/>
    <n v="10"/>
    <n v="0"/>
    <n v="6"/>
    <n v="1"/>
  </r>
  <r>
    <s v="Mazurowski"/>
    <s v="Ksawery"/>
    <n v="8"/>
    <n v="3"/>
    <n v="4"/>
    <n v="5"/>
    <n v="2"/>
    <n v="4"/>
    <n v="30"/>
    <n v="10"/>
    <n v="78"/>
    <n v="57"/>
    <n v="67"/>
    <x v="204"/>
    <n v="6"/>
    <n v="8"/>
    <n v="0"/>
    <n v="6"/>
    <n v="1"/>
  </r>
  <r>
    <s v="Olewnik"/>
    <s v="Klaudia"/>
    <n v="7"/>
    <n v="6"/>
    <n v="4"/>
    <n v="6"/>
    <n v="2"/>
    <n v="2"/>
    <n v="29"/>
    <n v="64"/>
    <n v="39"/>
    <n v="62"/>
    <n v="1"/>
    <x v="276"/>
    <n v="6"/>
    <n v="10"/>
    <n v="0"/>
    <n v="0"/>
    <n v="1"/>
  </r>
  <r>
    <s v="Kruz"/>
    <s v="Maja"/>
    <n v="3"/>
    <n v="2"/>
    <n v="2"/>
    <n v="3"/>
    <n v="5"/>
    <n v="4"/>
    <n v="32"/>
    <n v="80"/>
    <n v="47"/>
    <n v="98"/>
    <n v="30"/>
    <x v="131"/>
    <n v="0"/>
    <n v="4"/>
    <n v="8"/>
    <n v="6"/>
    <n v="1"/>
  </r>
  <r>
    <s v="Rutkowski"/>
    <s v="Mariusz"/>
    <n v="3"/>
    <n v="5"/>
    <n v="2"/>
    <n v="3"/>
    <n v="2"/>
    <n v="6"/>
    <n v="81"/>
    <n v="8"/>
    <n v="48"/>
    <n v="7"/>
    <n v="21"/>
    <x v="277"/>
    <n v="0"/>
    <n v="4"/>
    <n v="0"/>
    <n v="1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E5F98-6336-4436-9F82-608C7962E0AE}" name="Tabela przestawna4" cacheId="1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W7:X28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79">
        <item x="167"/>
        <item x="68"/>
        <item x="100"/>
        <item x="211"/>
        <item x="248"/>
        <item x="130"/>
        <item x="189"/>
        <item x="266"/>
        <item x="250"/>
        <item x="83"/>
        <item x="262"/>
        <item x="184"/>
        <item x="235"/>
        <item x="97"/>
        <item x="232"/>
        <item x="226"/>
        <item x="180"/>
        <item x="7"/>
        <item x="238"/>
        <item x="127"/>
        <item x="277"/>
        <item x="225"/>
        <item x="92"/>
        <item x="234"/>
        <item x="216"/>
        <item x="27"/>
        <item x="5"/>
        <item x="64"/>
        <item x="101"/>
        <item x="246"/>
        <item x="161"/>
        <item x="142"/>
        <item x="233"/>
        <item x="88"/>
        <item x="124"/>
        <item x="269"/>
        <item x="96"/>
        <item x="182"/>
        <item x="174"/>
        <item x="236"/>
        <item x="165"/>
        <item x="111"/>
        <item x="170"/>
        <item x="258"/>
        <item x="114"/>
        <item x="254"/>
        <item x="267"/>
        <item x="259"/>
        <item x="120"/>
        <item x="256"/>
        <item x="78"/>
        <item x="118"/>
        <item x="272"/>
        <item x="38"/>
        <item x="144"/>
        <item x="208"/>
        <item x="275"/>
        <item x="270"/>
        <item x="157"/>
        <item x="117"/>
        <item x="12"/>
        <item x="243"/>
        <item x="74"/>
        <item x="29"/>
        <item x="155"/>
        <item x="108"/>
        <item x="158"/>
        <item x="212"/>
        <item x="19"/>
        <item x="253"/>
        <item x="115"/>
        <item x="221"/>
        <item x="17"/>
        <item x="24"/>
        <item x="227"/>
        <item x="8"/>
        <item x="276"/>
        <item x="162"/>
        <item x="99"/>
        <item x="205"/>
        <item x="154"/>
        <item x="153"/>
        <item x="16"/>
        <item x="62"/>
        <item x="13"/>
        <item x="59"/>
        <item x="191"/>
        <item x="30"/>
        <item x="75"/>
        <item x="104"/>
        <item x="168"/>
        <item x="105"/>
        <item x="176"/>
        <item x="265"/>
        <item x="206"/>
        <item x="56"/>
        <item x="214"/>
        <item x="147"/>
        <item x="42"/>
        <item x="264"/>
        <item x="145"/>
        <item x="49"/>
        <item x="23"/>
        <item x="61"/>
        <item x="125"/>
        <item x="15"/>
        <item x="107"/>
        <item x="109"/>
        <item x="199"/>
        <item x="252"/>
        <item x="22"/>
        <item x="85"/>
        <item x="25"/>
        <item x="21"/>
        <item x="4"/>
        <item x="203"/>
        <item x="166"/>
        <item x="207"/>
        <item x="41"/>
        <item x="255"/>
        <item x="131"/>
        <item x="18"/>
        <item x="77"/>
        <item x="31"/>
        <item x="237"/>
        <item x="81"/>
        <item x="160"/>
        <item x="43"/>
        <item x="113"/>
        <item x="102"/>
        <item x="177"/>
        <item x="141"/>
        <item x="187"/>
        <item x="79"/>
        <item x="146"/>
        <item x="1"/>
        <item x="159"/>
        <item x="152"/>
        <item x="103"/>
        <item x="70"/>
        <item x="128"/>
        <item x="190"/>
        <item x="204"/>
        <item x="151"/>
        <item x="210"/>
        <item x="89"/>
        <item x="6"/>
        <item x="73"/>
        <item x="90"/>
        <item x="58"/>
        <item x="196"/>
        <item x="40"/>
        <item x="119"/>
        <item x="65"/>
        <item x="193"/>
        <item x="192"/>
        <item x="230"/>
        <item x="36"/>
        <item x="69"/>
        <item x="185"/>
        <item x="188"/>
        <item x="263"/>
        <item x="39"/>
        <item x="112"/>
        <item x="217"/>
        <item x="139"/>
        <item x="95"/>
        <item x="87"/>
        <item x="9"/>
        <item x="163"/>
        <item x="140"/>
        <item x="172"/>
        <item x="28"/>
        <item x="132"/>
        <item x="82"/>
        <item x="260"/>
        <item x="143"/>
        <item x="55"/>
        <item x="72"/>
        <item x="48"/>
        <item x="10"/>
        <item x="244"/>
        <item x="268"/>
        <item x="14"/>
        <item x="136"/>
        <item x="0"/>
        <item x="169"/>
        <item x="60"/>
        <item x="123"/>
        <item x="129"/>
        <item x="171"/>
        <item x="34"/>
        <item x="202"/>
        <item x="116"/>
        <item x="228"/>
        <item x="135"/>
        <item x="47"/>
        <item x="66"/>
        <item x="164"/>
        <item x="57"/>
        <item x="53"/>
        <item x="98"/>
        <item x="137"/>
        <item x="91"/>
        <item x="121"/>
        <item x="86"/>
        <item x="245"/>
        <item x="240"/>
        <item x="222"/>
        <item x="46"/>
        <item x="183"/>
        <item x="45"/>
        <item x="150"/>
        <item x="93"/>
        <item x="231"/>
        <item x="35"/>
        <item x="149"/>
        <item x="242"/>
        <item x="106"/>
        <item x="33"/>
        <item x="218"/>
        <item x="220"/>
        <item x="239"/>
        <item x="71"/>
        <item x="110"/>
        <item x="51"/>
        <item x="44"/>
        <item x="52"/>
        <item x="198"/>
        <item x="11"/>
        <item x="197"/>
        <item x="80"/>
        <item x="274"/>
        <item x="37"/>
        <item x="215"/>
        <item x="249"/>
        <item x="26"/>
        <item x="201"/>
        <item x="273"/>
        <item x="213"/>
        <item x="156"/>
        <item x="181"/>
        <item x="224"/>
        <item x="134"/>
        <item x="271"/>
        <item x="247"/>
        <item x="76"/>
        <item x="209"/>
        <item x="84"/>
        <item x="257"/>
        <item x="261"/>
        <item x="126"/>
        <item x="67"/>
        <item x="32"/>
        <item x="63"/>
        <item x="229"/>
        <item x="3"/>
        <item x="200"/>
        <item x="241"/>
        <item x="179"/>
        <item x="251"/>
        <item x="173"/>
        <item x="178"/>
        <item x="175"/>
        <item x="195"/>
        <item x="194"/>
        <item x="148"/>
        <item x="186"/>
        <item x="138"/>
        <item x="219"/>
        <item x="50"/>
        <item x="122"/>
        <item x="223"/>
        <item x="2"/>
        <item x="94"/>
        <item x="54"/>
        <item x="20"/>
        <item x="13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3"/>
  </rowFields>
  <rowItems count="27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 t="grand">
      <x/>
    </i>
  </rowItems>
  <colItems count="1">
    <i/>
  </colItems>
  <dataFields count="1">
    <dataField name="Suma z licz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DEBF-9F2B-4198-8F8C-372EA9F525BF}">
  <dimension ref="A1:M515"/>
  <sheetViews>
    <sheetView workbookViewId="0"/>
  </sheetViews>
  <sheetFormatPr defaultRowHeight="14.5" x14ac:dyDescent="0.35"/>
  <cols>
    <col min="1" max="1" width="13.7265625" bestFit="1" customWidth="1"/>
    <col min="2" max="2" width="11.26953125" bestFit="1" customWidth="1"/>
    <col min="3" max="3" width="12.453125" bestFit="1" customWidth="1"/>
    <col min="4" max="4" width="13.08984375" bestFit="1" customWidth="1"/>
    <col min="5" max="5" width="4.81640625" bestFit="1" customWidth="1"/>
    <col min="6" max="6" width="6.54296875" bestFit="1" customWidth="1"/>
    <col min="7" max="7" width="6.1796875" bestFit="1" customWidth="1"/>
    <col min="8" max="8" width="7.36328125" bestFit="1" customWidth="1"/>
    <col min="9" max="9" width="6.7265625" bestFit="1" customWidth="1"/>
    <col min="10" max="10" width="6.90625" bestFit="1" customWidth="1"/>
    <col min="11" max="11" width="7.81640625" bestFit="1" customWidth="1"/>
    <col min="12" max="12" width="7.1796875" bestFit="1" customWidth="1"/>
    <col min="13" max="13" width="6.08984375" bestFit="1" customWidth="1"/>
  </cols>
  <sheetData>
    <row r="1" spans="1:13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3" x14ac:dyDescent="0.3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</row>
    <row r="3" spans="1:13" x14ac:dyDescent="0.3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</row>
    <row r="4" spans="1:13" x14ac:dyDescent="0.3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</row>
    <row r="5" spans="1:13" x14ac:dyDescent="0.3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</row>
    <row r="6" spans="1:13" x14ac:dyDescent="0.3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</row>
    <row r="7" spans="1:13" x14ac:dyDescent="0.3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</row>
    <row r="8" spans="1:13" x14ac:dyDescent="0.3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</row>
    <row r="9" spans="1:13" x14ac:dyDescent="0.3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</row>
    <row r="10" spans="1:13" x14ac:dyDescent="0.3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</row>
    <row r="11" spans="1:13" x14ac:dyDescent="0.3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</row>
    <row r="12" spans="1:13" x14ac:dyDescent="0.3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</row>
    <row r="13" spans="1:13" x14ac:dyDescent="0.3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</row>
    <row r="14" spans="1:13" x14ac:dyDescent="0.3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</row>
    <row r="15" spans="1:13" x14ac:dyDescent="0.3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</row>
    <row r="16" spans="1:13" x14ac:dyDescent="0.3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</row>
    <row r="17" spans="1:13" x14ac:dyDescent="0.3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</row>
    <row r="18" spans="1:13" x14ac:dyDescent="0.3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</row>
    <row r="19" spans="1:13" x14ac:dyDescent="0.3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</row>
    <row r="20" spans="1:13" x14ac:dyDescent="0.3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</row>
    <row r="21" spans="1:13" x14ac:dyDescent="0.3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</row>
    <row r="22" spans="1:13" x14ac:dyDescent="0.3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</row>
    <row r="23" spans="1:13" x14ac:dyDescent="0.3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</row>
    <row r="24" spans="1:13" x14ac:dyDescent="0.3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</row>
    <row r="25" spans="1:13" x14ac:dyDescent="0.3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</row>
    <row r="26" spans="1:13" x14ac:dyDescent="0.3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</row>
    <row r="27" spans="1:13" x14ac:dyDescent="0.3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</row>
    <row r="28" spans="1:13" x14ac:dyDescent="0.3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</row>
    <row r="29" spans="1:13" x14ac:dyDescent="0.3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</row>
    <row r="30" spans="1:13" x14ac:dyDescent="0.3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</row>
    <row r="31" spans="1:13" x14ac:dyDescent="0.3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</row>
    <row r="32" spans="1:13" x14ac:dyDescent="0.3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</row>
    <row r="33" spans="1:13" x14ac:dyDescent="0.3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</row>
    <row r="34" spans="1:13" x14ac:dyDescent="0.3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</row>
    <row r="35" spans="1:13" x14ac:dyDescent="0.3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</row>
    <row r="36" spans="1:13" x14ac:dyDescent="0.3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</row>
    <row r="37" spans="1:13" x14ac:dyDescent="0.3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</row>
    <row r="38" spans="1:13" x14ac:dyDescent="0.3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</row>
    <row r="39" spans="1:13" x14ac:dyDescent="0.3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</row>
    <row r="40" spans="1:13" x14ac:dyDescent="0.3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</row>
    <row r="41" spans="1:13" x14ac:dyDescent="0.3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</row>
    <row r="42" spans="1:13" x14ac:dyDescent="0.3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</row>
    <row r="43" spans="1:13" x14ac:dyDescent="0.3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</row>
    <row r="44" spans="1:13" x14ac:dyDescent="0.3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</row>
    <row r="45" spans="1:13" x14ac:dyDescent="0.3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</row>
    <row r="46" spans="1:13" x14ac:dyDescent="0.3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</row>
    <row r="47" spans="1:13" x14ac:dyDescent="0.3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</row>
    <row r="48" spans="1:13" x14ac:dyDescent="0.3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</row>
    <row r="49" spans="1:13" x14ac:dyDescent="0.3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</row>
    <row r="50" spans="1:13" x14ac:dyDescent="0.3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</row>
    <row r="51" spans="1:13" x14ac:dyDescent="0.3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</row>
    <row r="52" spans="1:13" x14ac:dyDescent="0.3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</row>
    <row r="53" spans="1:13" x14ac:dyDescent="0.3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</row>
    <row r="54" spans="1:13" x14ac:dyDescent="0.3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</row>
    <row r="55" spans="1:13" x14ac:dyDescent="0.3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</row>
    <row r="56" spans="1:13" x14ac:dyDescent="0.3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</row>
    <row r="57" spans="1:13" x14ac:dyDescent="0.3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</row>
    <row r="58" spans="1:13" x14ac:dyDescent="0.3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</row>
    <row r="59" spans="1:13" x14ac:dyDescent="0.3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</row>
    <row r="60" spans="1:13" x14ac:dyDescent="0.3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</row>
    <row r="61" spans="1:13" x14ac:dyDescent="0.3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</row>
    <row r="62" spans="1:13" x14ac:dyDescent="0.3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</row>
    <row r="63" spans="1:13" x14ac:dyDescent="0.3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</row>
    <row r="64" spans="1:13" x14ac:dyDescent="0.3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</row>
    <row r="65" spans="1:13" x14ac:dyDescent="0.3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</row>
    <row r="66" spans="1:13" x14ac:dyDescent="0.3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</row>
    <row r="67" spans="1:13" x14ac:dyDescent="0.3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</row>
    <row r="68" spans="1:13" x14ac:dyDescent="0.3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</row>
    <row r="69" spans="1:13" x14ac:dyDescent="0.3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</row>
    <row r="70" spans="1:13" x14ac:dyDescent="0.3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</row>
    <row r="71" spans="1:13" x14ac:dyDescent="0.3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</row>
    <row r="72" spans="1:13" x14ac:dyDescent="0.3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</row>
    <row r="73" spans="1:13" x14ac:dyDescent="0.3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</row>
    <row r="74" spans="1:13" x14ac:dyDescent="0.3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</row>
    <row r="75" spans="1:13" x14ac:dyDescent="0.3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</row>
    <row r="76" spans="1:13" x14ac:dyDescent="0.3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</row>
    <row r="77" spans="1:13" x14ac:dyDescent="0.3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</row>
    <row r="78" spans="1:13" x14ac:dyDescent="0.3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</row>
    <row r="79" spans="1:13" x14ac:dyDescent="0.3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</row>
    <row r="80" spans="1:13" x14ac:dyDescent="0.3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</row>
    <row r="81" spans="1:13" x14ac:dyDescent="0.3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</row>
    <row r="82" spans="1:13" x14ac:dyDescent="0.3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</row>
    <row r="83" spans="1:13" x14ac:dyDescent="0.3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</row>
    <row r="84" spans="1:13" x14ac:dyDescent="0.3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</row>
    <row r="85" spans="1:13" x14ac:dyDescent="0.3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</row>
    <row r="86" spans="1:13" x14ac:dyDescent="0.3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</row>
    <row r="87" spans="1:13" x14ac:dyDescent="0.3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</row>
    <row r="88" spans="1:13" x14ac:dyDescent="0.3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</row>
    <row r="89" spans="1:13" x14ac:dyDescent="0.3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</row>
    <row r="90" spans="1:13" x14ac:dyDescent="0.3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</row>
    <row r="91" spans="1:13" x14ac:dyDescent="0.3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</row>
    <row r="92" spans="1:13" x14ac:dyDescent="0.3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</row>
    <row r="93" spans="1:13" x14ac:dyDescent="0.3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</row>
    <row r="94" spans="1:13" x14ac:dyDescent="0.3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</row>
    <row r="95" spans="1:13" x14ac:dyDescent="0.3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</row>
    <row r="96" spans="1:13" x14ac:dyDescent="0.3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</row>
    <row r="97" spans="1:13" x14ac:dyDescent="0.3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</row>
    <row r="98" spans="1:13" x14ac:dyDescent="0.3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</row>
    <row r="99" spans="1:13" x14ac:dyDescent="0.3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</row>
    <row r="100" spans="1:13" x14ac:dyDescent="0.3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</row>
    <row r="101" spans="1:13" x14ac:dyDescent="0.3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</row>
    <row r="102" spans="1:13" x14ac:dyDescent="0.3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</row>
    <row r="103" spans="1:13" x14ac:dyDescent="0.3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</row>
    <row r="104" spans="1:13" x14ac:dyDescent="0.3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</row>
    <row r="105" spans="1:13" x14ac:dyDescent="0.3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</row>
    <row r="106" spans="1:13" x14ac:dyDescent="0.3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</row>
    <row r="107" spans="1:13" x14ac:dyDescent="0.3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</row>
    <row r="108" spans="1:13" x14ac:dyDescent="0.3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</row>
    <row r="109" spans="1:13" x14ac:dyDescent="0.3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</row>
    <row r="110" spans="1:13" x14ac:dyDescent="0.3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</row>
    <row r="111" spans="1:13" x14ac:dyDescent="0.3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</row>
    <row r="112" spans="1:13" x14ac:dyDescent="0.3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</row>
    <row r="113" spans="1:13" x14ac:dyDescent="0.3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</row>
    <row r="114" spans="1:13" x14ac:dyDescent="0.3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</row>
    <row r="115" spans="1:13" x14ac:dyDescent="0.3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</row>
    <row r="116" spans="1:13" x14ac:dyDescent="0.3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</row>
    <row r="117" spans="1:13" x14ac:dyDescent="0.3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</row>
    <row r="118" spans="1:13" x14ac:dyDescent="0.3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</row>
    <row r="119" spans="1:13" x14ac:dyDescent="0.3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</row>
    <row r="120" spans="1:13" x14ac:dyDescent="0.3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</row>
    <row r="121" spans="1:13" x14ac:dyDescent="0.3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</row>
    <row r="122" spans="1:13" x14ac:dyDescent="0.3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</row>
    <row r="123" spans="1:13" x14ac:dyDescent="0.3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</row>
    <row r="124" spans="1:13" x14ac:dyDescent="0.3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</row>
    <row r="125" spans="1:13" x14ac:dyDescent="0.3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</row>
    <row r="126" spans="1:13" x14ac:dyDescent="0.3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</row>
    <row r="127" spans="1:13" x14ac:dyDescent="0.3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</row>
    <row r="128" spans="1:13" x14ac:dyDescent="0.3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</row>
    <row r="129" spans="1:13" x14ac:dyDescent="0.3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</row>
    <row r="130" spans="1:13" x14ac:dyDescent="0.3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</row>
    <row r="131" spans="1:13" x14ac:dyDescent="0.3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</row>
    <row r="132" spans="1:13" x14ac:dyDescent="0.3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</row>
    <row r="133" spans="1:13" x14ac:dyDescent="0.3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</row>
    <row r="134" spans="1:13" x14ac:dyDescent="0.3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</row>
    <row r="135" spans="1:13" x14ac:dyDescent="0.3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</row>
    <row r="136" spans="1:13" x14ac:dyDescent="0.3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</row>
    <row r="137" spans="1:13" x14ac:dyDescent="0.3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</row>
    <row r="138" spans="1:13" x14ac:dyDescent="0.3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</row>
    <row r="139" spans="1:13" x14ac:dyDescent="0.3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</row>
    <row r="140" spans="1:13" x14ac:dyDescent="0.3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</row>
    <row r="141" spans="1:13" x14ac:dyDescent="0.3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</row>
    <row r="142" spans="1:13" x14ac:dyDescent="0.3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</row>
    <row r="143" spans="1:13" x14ac:dyDescent="0.3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</row>
    <row r="144" spans="1:13" x14ac:dyDescent="0.3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</row>
    <row r="145" spans="1:13" x14ac:dyDescent="0.3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</row>
    <row r="146" spans="1:13" x14ac:dyDescent="0.3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</row>
    <row r="147" spans="1:13" x14ac:dyDescent="0.3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</row>
    <row r="148" spans="1:13" x14ac:dyDescent="0.3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</row>
    <row r="149" spans="1:13" x14ac:dyDescent="0.3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</row>
    <row r="150" spans="1:13" x14ac:dyDescent="0.3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</row>
    <row r="151" spans="1:13" x14ac:dyDescent="0.3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</row>
    <row r="152" spans="1:13" x14ac:dyDescent="0.3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</row>
    <row r="153" spans="1:13" x14ac:dyDescent="0.3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</row>
    <row r="154" spans="1:13" x14ac:dyDescent="0.3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</row>
    <row r="155" spans="1:13" x14ac:dyDescent="0.3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</row>
    <row r="156" spans="1:13" x14ac:dyDescent="0.3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</row>
    <row r="157" spans="1:13" x14ac:dyDescent="0.3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</row>
    <row r="158" spans="1:13" x14ac:dyDescent="0.3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</row>
    <row r="159" spans="1:13" x14ac:dyDescent="0.3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</row>
    <row r="160" spans="1:13" x14ac:dyDescent="0.3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</row>
    <row r="161" spans="1:13" x14ac:dyDescent="0.3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</row>
    <row r="162" spans="1:13" x14ac:dyDescent="0.3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</row>
    <row r="163" spans="1:13" x14ac:dyDescent="0.3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</row>
    <row r="164" spans="1:13" x14ac:dyDescent="0.3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</row>
    <row r="165" spans="1:13" x14ac:dyDescent="0.3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</row>
    <row r="166" spans="1:13" x14ac:dyDescent="0.3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</row>
    <row r="167" spans="1:13" x14ac:dyDescent="0.3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</row>
    <row r="168" spans="1:13" x14ac:dyDescent="0.3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</row>
    <row r="169" spans="1:13" x14ac:dyDescent="0.3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</row>
    <row r="170" spans="1:13" x14ac:dyDescent="0.3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</row>
    <row r="171" spans="1:13" x14ac:dyDescent="0.3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</row>
    <row r="172" spans="1:13" x14ac:dyDescent="0.3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</row>
    <row r="173" spans="1:13" x14ac:dyDescent="0.3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</row>
    <row r="174" spans="1:13" x14ac:dyDescent="0.3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</row>
    <row r="175" spans="1:13" x14ac:dyDescent="0.3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</row>
    <row r="176" spans="1:13" x14ac:dyDescent="0.3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</row>
    <row r="177" spans="1:13" x14ac:dyDescent="0.3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</row>
    <row r="178" spans="1:13" x14ac:dyDescent="0.3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</row>
    <row r="179" spans="1:13" x14ac:dyDescent="0.3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</row>
    <row r="180" spans="1:13" x14ac:dyDescent="0.3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</row>
    <row r="181" spans="1:13" x14ac:dyDescent="0.3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</row>
    <row r="182" spans="1:13" x14ac:dyDescent="0.3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</row>
    <row r="183" spans="1:13" x14ac:dyDescent="0.3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</row>
    <row r="184" spans="1:13" x14ac:dyDescent="0.3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</row>
    <row r="185" spans="1:13" x14ac:dyDescent="0.3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</row>
    <row r="186" spans="1:13" x14ac:dyDescent="0.3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</row>
    <row r="187" spans="1:13" x14ac:dyDescent="0.3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</row>
    <row r="188" spans="1:13" x14ac:dyDescent="0.3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</row>
    <row r="189" spans="1:13" x14ac:dyDescent="0.3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</row>
    <row r="190" spans="1:13" x14ac:dyDescent="0.3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</row>
    <row r="191" spans="1:13" x14ac:dyDescent="0.3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</row>
    <row r="192" spans="1:13" x14ac:dyDescent="0.3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</row>
    <row r="193" spans="1:13" x14ac:dyDescent="0.3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</row>
    <row r="194" spans="1:13" x14ac:dyDescent="0.3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</row>
    <row r="195" spans="1:13" x14ac:dyDescent="0.3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</row>
    <row r="196" spans="1:13" x14ac:dyDescent="0.3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</row>
    <row r="197" spans="1:13" x14ac:dyDescent="0.3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</row>
    <row r="198" spans="1:13" x14ac:dyDescent="0.3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</row>
    <row r="199" spans="1:13" x14ac:dyDescent="0.3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</row>
    <row r="200" spans="1:13" x14ac:dyDescent="0.3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</row>
    <row r="201" spans="1:13" x14ac:dyDescent="0.3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</row>
    <row r="202" spans="1:13" x14ac:dyDescent="0.3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</row>
    <row r="203" spans="1:13" x14ac:dyDescent="0.3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</row>
    <row r="204" spans="1:13" x14ac:dyDescent="0.3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</row>
    <row r="205" spans="1:13" x14ac:dyDescent="0.3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</row>
    <row r="206" spans="1:13" x14ac:dyDescent="0.3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</row>
    <row r="207" spans="1:13" x14ac:dyDescent="0.3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</row>
    <row r="208" spans="1:13" x14ac:dyDescent="0.3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</row>
    <row r="209" spans="1:13" x14ac:dyDescent="0.3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</row>
    <row r="210" spans="1:13" x14ac:dyDescent="0.3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</row>
    <row r="211" spans="1:13" x14ac:dyDescent="0.3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</row>
    <row r="212" spans="1:13" x14ac:dyDescent="0.3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</row>
    <row r="213" spans="1:13" x14ac:dyDescent="0.3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</row>
    <row r="214" spans="1:13" x14ac:dyDescent="0.3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</row>
    <row r="215" spans="1:13" x14ac:dyDescent="0.3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</row>
    <row r="216" spans="1:13" x14ac:dyDescent="0.3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</row>
    <row r="217" spans="1:13" x14ac:dyDescent="0.3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</row>
    <row r="218" spans="1:13" x14ac:dyDescent="0.3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</row>
    <row r="219" spans="1:13" x14ac:dyDescent="0.3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</row>
    <row r="220" spans="1:13" x14ac:dyDescent="0.3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</row>
    <row r="221" spans="1:13" x14ac:dyDescent="0.3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</row>
    <row r="222" spans="1:13" x14ac:dyDescent="0.3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</row>
    <row r="223" spans="1:13" x14ac:dyDescent="0.3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</row>
    <row r="224" spans="1:13" x14ac:dyDescent="0.3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</row>
    <row r="225" spans="1:13" x14ac:dyDescent="0.3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</row>
    <row r="226" spans="1:13" x14ac:dyDescent="0.3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</row>
    <row r="227" spans="1:13" x14ac:dyDescent="0.3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</row>
    <row r="228" spans="1:13" x14ac:dyDescent="0.3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</row>
    <row r="229" spans="1:13" x14ac:dyDescent="0.3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</row>
    <row r="230" spans="1:13" x14ac:dyDescent="0.3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</row>
    <row r="231" spans="1:13" x14ac:dyDescent="0.3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</row>
    <row r="232" spans="1:13" x14ac:dyDescent="0.3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</row>
    <row r="233" spans="1:13" x14ac:dyDescent="0.3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</row>
    <row r="234" spans="1:13" x14ac:dyDescent="0.3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</row>
    <row r="235" spans="1:13" x14ac:dyDescent="0.3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</row>
    <row r="236" spans="1:13" x14ac:dyDescent="0.3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</row>
    <row r="237" spans="1:13" x14ac:dyDescent="0.3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</row>
    <row r="238" spans="1:13" x14ac:dyDescent="0.3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</row>
    <row r="239" spans="1:13" x14ac:dyDescent="0.3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</row>
    <row r="240" spans="1:13" x14ac:dyDescent="0.3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</row>
    <row r="241" spans="1:13" x14ac:dyDescent="0.3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</row>
    <row r="242" spans="1:13" x14ac:dyDescent="0.3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</row>
    <row r="243" spans="1:13" x14ac:dyDescent="0.3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</row>
    <row r="244" spans="1:13" x14ac:dyDescent="0.3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</row>
    <row r="245" spans="1:13" x14ac:dyDescent="0.3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</row>
    <row r="246" spans="1:13" x14ac:dyDescent="0.3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</row>
    <row r="247" spans="1:13" x14ac:dyDescent="0.3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</row>
    <row r="248" spans="1:13" x14ac:dyDescent="0.3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</row>
    <row r="249" spans="1:13" x14ac:dyDescent="0.3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</row>
    <row r="250" spans="1:13" x14ac:dyDescent="0.3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</row>
    <row r="251" spans="1:13" x14ac:dyDescent="0.3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</row>
    <row r="252" spans="1:13" x14ac:dyDescent="0.3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</row>
    <row r="253" spans="1:13" x14ac:dyDescent="0.3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</row>
    <row r="254" spans="1:13" x14ac:dyDescent="0.3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</row>
    <row r="255" spans="1:13" x14ac:dyDescent="0.3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</row>
    <row r="256" spans="1:13" x14ac:dyDescent="0.3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</row>
    <row r="257" spans="1:13" x14ac:dyDescent="0.3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</row>
    <row r="258" spans="1:13" x14ac:dyDescent="0.3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</row>
    <row r="259" spans="1:13" x14ac:dyDescent="0.3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</row>
    <row r="260" spans="1:13" x14ac:dyDescent="0.3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</row>
    <row r="261" spans="1:13" x14ac:dyDescent="0.3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</row>
    <row r="262" spans="1:13" x14ac:dyDescent="0.3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</row>
    <row r="263" spans="1:13" x14ac:dyDescent="0.3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</row>
    <row r="264" spans="1:13" x14ac:dyDescent="0.3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</row>
    <row r="265" spans="1:13" x14ac:dyDescent="0.3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</row>
    <row r="266" spans="1:13" x14ac:dyDescent="0.3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</row>
    <row r="267" spans="1:13" x14ac:dyDescent="0.3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</row>
    <row r="268" spans="1:13" x14ac:dyDescent="0.3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</row>
    <row r="269" spans="1:13" x14ac:dyDescent="0.3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</row>
    <row r="270" spans="1:13" x14ac:dyDescent="0.3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</row>
    <row r="271" spans="1:13" x14ac:dyDescent="0.3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</row>
    <row r="272" spans="1:13" x14ac:dyDescent="0.3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</row>
    <row r="273" spans="1:13" x14ac:dyDescent="0.3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</row>
    <row r="274" spans="1:13" x14ac:dyDescent="0.3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</row>
    <row r="275" spans="1:13" x14ac:dyDescent="0.3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</row>
    <row r="276" spans="1:13" x14ac:dyDescent="0.3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</row>
    <row r="277" spans="1:13" x14ac:dyDescent="0.3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</row>
    <row r="278" spans="1:13" x14ac:dyDescent="0.3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</row>
    <row r="279" spans="1:13" x14ac:dyDescent="0.3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</row>
    <row r="280" spans="1:13" x14ac:dyDescent="0.3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</row>
    <row r="281" spans="1:13" x14ac:dyDescent="0.3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</row>
    <row r="282" spans="1:13" x14ac:dyDescent="0.3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</row>
    <row r="283" spans="1:13" x14ac:dyDescent="0.3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</row>
    <row r="284" spans="1:13" x14ac:dyDescent="0.3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</row>
    <row r="285" spans="1:13" x14ac:dyDescent="0.3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</row>
    <row r="286" spans="1:13" x14ac:dyDescent="0.3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</row>
    <row r="287" spans="1:13" x14ac:dyDescent="0.3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</row>
    <row r="288" spans="1:13" x14ac:dyDescent="0.3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</row>
    <row r="289" spans="1:13" x14ac:dyDescent="0.3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</row>
    <row r="290" spans="1:13" x14ac:dyDescent="0.3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</row>
    <row r="291" spans="1:13" x14ac:dyDescent="0.3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</row>
    <row r="292" spans="1:13" x14ac:dyDescent="0.3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</row>
    <row r="293" spans="1:13" x14ac:dyDescent="0.3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</row>
    <row r="294" spans="1:13" x14ac:dyDescent="0.3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</row>
    <row r="295" spans="1:13" x14ac:dyDescent="0.3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</row>
    <row r="296" spans="1:13" x14ac:dyDescent="0.3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</row>
    <row r="297" spans="1:13" x14ac:dyDescent="0.3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</row>
    <row r="298" spans="1:13" x14ac:dyDescent="0.3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</row>
    <row r="299" spans="1:13" x14ac:dyDescent="0.3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</row>
    <row r="300" spans="1:13" x14ac:dyDescent="0.3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</row>
    <row r="301" spans="1:13" x14ac:dyDescent="0.3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</row>
    <row r="302" spans="1:13" x14ac:dyDescent="0.3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</row>
    <row r="303" spans="1:13" x14ac:dyDescent="0.3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</row>
    <row r="304" spans="1:13" x14ac:dyDescent="0.3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</row>
    <row r="305" spans="1:13" x14ac:dyDescent="0.3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</row>
    <row r="306" spans="1:13" x14ac:dyDescent="0.3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</row>
    <row r="307" spans="1:13" x14ac:dyDescent="0.3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</row>
    <row r="308" spans="1:13" x14ac:dyDescent="0.3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</row>
    <row r="309" spans="1:13" x14ac:dyDescent="0.3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</row>
    <row r="310" spans="1:13" x14ac:dyDescent="0.3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</row>
    <row r="311" spans="1:13" x14ac:dyDescent="0.3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</row>
    <row r="312" spans="1:13" x14ac:dyDescent="0.3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</row>
    <row r="313" spans="1:13" x14ac:dyDescent="0.3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</row>
    <row r="314" spans="1:13" x14ac:dyDescent="0.3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</row>
    <row r="315" spans="1:13" x14ac:dyDescent="0.3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</row>
    <row r="316" spans="1:13" x14ac:dyDescent="0.3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</row>
    <row r="317" spans="1:13" x14ac:dyDescent="0.3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</row>
    <row r="318" spans="1:13" x14ac:dyDescent="0.3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</row>
    <row r="319" spans="1:13" x14ac:dyDescent="0.3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</row>
    <row r="320" spans="1:13" x14ac:dyDescent="0.3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</row>
    <row r="321" spans="1:13" x14ac:dyDescent="0.3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</row>
    <row r="322" spans="1:13" x14ac:dyDescent="0.3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</row>
    <row r="323" spans="1:13" x14ac:dyDescent="0.3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</row>
    <row r="324" spans="1:13" x14ac:dyDescent="0.3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</row>
    <row r="325" spans="1:13" x14ac:dyDescent="0.3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</row>
    <row r="326" spans="1:13" x14ac:dyDescent="0.3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</row>
    <row r="327" spans="1:13" x14ac:dyDescent="0.3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</row>
    <row r="328" spans="1:13" x14ac:dyDescent="0.3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</row>
    <row r="329" spans="1:13" x14ac:dyDescent="0.3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</row>
    <row r="330" spans="1:13" x14ac:dyDescent="0.3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</row>
    <row r="331" spans="1:13" x14ac:dyDescent="0.3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</row>
    <row r="332" spans="1:13" x14ac:dyDescent="0.3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</row>
    <row r="333" spans="1:13" x14ac:dyDescent="0.3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</row>
    <row r="334" spans="1:13" x14ac:dyDescent="0.3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</row>
    <row r="335" spans="1:13" x14ac:dyDescent="0.3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</row>
    <row r="336" spans="1:13" x14ac:dyDescent="0.3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</row>
    <row r="337" spans="1:13" x14ac:dyDescent="0.3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</row>
    <row r="338" spans="1:13" x14ac:dyDescent="0.3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</row>
    <row r="339" spans="1:13" x14ac:dyDescent="0.3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</row>
    <row r="340" spans="1:13" x14ac:dyDescent="0.3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</row>
    <row r="341" spans="1:13" x14ac:dyDescent="0.3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</row>
    <row r="342" spans="1:13" x14ac:dyDescent="0.3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</row>
    <row r="343" spans="1:13" x14ac:dyDescent="0.3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</row>
    <row r="344" spans="1:13" x14ac:dyDescent="0.3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</row>
    <row r="345" spans="1:13" x14ac:dyDescent="0.3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</row>
    <row r="346" spans="1:13" x14ac:dyDescent="0.3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</row>
    <row r="347" spans="1:13" x14ac:dyDescent="0.3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</row>
    <row r="348" spans="1:13" x14ac:dyDescent="0.3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</row>
    <row r="349" spans="1:13" x14ac:dyDescent="0.3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</row>
    <row r="350" spans="1:13" x14ac:dyDescent="0.3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</row>
    <row r="351" spans="1:13" x14ac:dyDescent="0.3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</row>
    <row r="352" spans="1:13" x14ac:dyDescent="0.3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</row>
    <row r="353" spans="1:13" x14ac:dyDescent="0.3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</row>
    <row r="354" spans="1:13" x14ac:dyDescent="0.3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</row>
    <row r="355" spans="1:13" x14ac:dyDescent="0.3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</row>
    <row r="356" spans="1:13" x14ac:dyDescent="0.3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</row>
    <row r="357" spans="1:13" x14ac:dyDescent="0.3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</row>
    <row r="358" spans="1:13" x14ac:dyDescent="0.3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</row>
    <row r="359" spans="1:13" x14ac:dyDescent="0.3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</row>
    <row r="360" spans="1:13" x14ac:dyDescent="0.3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</row>
    <row r="361" spans="1:13" x14ac:dyDescent="0.3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</row>
    <row r="362" spans="1:13" x14ac:dyDescent="0.3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</row>
    <row r="363" spans="1:13" x14ac:dyDescent="0.3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</row>
    <row r="364" spans="1:13" x14ac:dyDescent="0.3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</row>
    <row r="365" spans="1:13" x14ac:dyDescent="0.3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</row>
    <row r="366" spans="1:13" x14ac:dyDescent="0.3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</row>
    <row r="367" spans="1:13" x14ac:dyDescent="0.3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</row>
    <row r="368" spans="1:13" x14ac:dyDescent="0.3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</row>
    <row r="369" spans="1:13" x14ac:dyDescent="0.3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</row>
    <row r="370" spans="1:13" x14ac:dyDescent="0.3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</row>
    <row r="371" spans="1:13" x14ac:dyDescent="0.3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</row>
    <row r="372" spans="1:13" x14ac:dyDescent="0.3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</row>
    <row r="373" spans="1:13" x14ac:dyDescent="0.3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</row>
    <row r="374" spans="1:13" x14ac:dyDescent="0.3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</row>
    <row r="375" spans="1:13" x14ac:dyDescent="0.3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</row>
    <row r="376" spans="1:13" x14ac:dyDescent="0.3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</row>
    <row r="377" spans="1:13" x14ac:dyDescent="0.3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</row>
    <row r="378" spans="1:13" x14ac:dyDescent="0.3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</row>
    <row r="379" spans="1:13" x14ac:dyDescent="0.3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</row>
    <row r="380" spans="1:13" x14ac:dyDescent="0.3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</row>
    <row r="381" spans="1:13" x14ac:dyDescent="0.3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</row>
    <row r="382" spans="1:13" x14ac:dyDescent="0.3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</row>
    <row r="383" spans="1:13" x14ac:dyDescent="0.3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</row>
    <row r="384" spans="1:13" x14ac:dyDescent="0.3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</row>
    <row r="385" spans="1:13" x14ac:dyDescent="0.3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</row>
    <row r="386" spans="1:13" x14ac:dyDescent="0.3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</row>
    <row r="387" spans="1:13" x14ac:dyDescent="0.3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</row>
    <row r="388" spans="1:13" x14ac:dyDescent="0.3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</row>
    <row r="389" spans="1:13" x14ac:dyDescent="0.3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</row>
    <row r="390" spans="1:13" x14ac:dyDescent="0.3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</row>
    <row r="391" spans="1:13" x14ac:dyDescent="0.3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</row>
    <row r="392" spans="1:13" x14ac:dyDescent="0.3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</row>
    <row r="393" spans="1:13" x14ac:dyDescent="0.3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</row>
    <row r="394" spans="1:13" x14ac:dyDescent="0.3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</row>
    <row r="395" spans="1:13" x14ac:dyDescent="0.3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</row>
    <row r="396" spans="1:13" x14ac:dyDescent="0.3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</row>
    <row r="397" spans="1:13" x14ac:dyDescent="0.3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</row>
    <row r="398" spans="1:13" x14ac:dyDescent="0.3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</row>
    <row r="399" spans="1:13" x14ac:dyDescent="0.3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</row>
    <row r="400" spans="1:13" x14ac:dyDescent="0.3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</row>
    <row r="401" spans="1:13" x14ac:dyDescent="0.3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</row>
    <row r="402" spans="1:13" x14ac:dyDescent="0.3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</row>
    <row r="403" spans="1:13" x14ac:dyDescent="0.3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</row>
    <row r="404" spans="1:13" x14ac:dyDescent="0.3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</row>
    <row r="405" spans="1:13" x14ac:dyDescent="0.3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</row>
    <row r="406" spans="1:13" x14ac:dyDescent="0.3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</row>
    <row r="407" spans="1:13" x14ac:dyDescent="0.3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</row>
    <row r="408" spans="1:13" x14ac:dyDescent="0.3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</row>
    <row r="409" spans="1:13" x14ac:dyDescent="0.3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</row>
    <row r="410" spans="1:13" x14ac:dyDescent="0.3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</row>
    <row r="411" spans="1:13" x14ac:dyDescent="0.3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</row>
    <row r="412" spans="1:13" x14ac:dyDescent="0.3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</row>
    <row r="413" spans="1:13" x14ac:dyDescent="0.3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</row>
    <row r="414" spans="1:13" x14ac:dyDescent="0.3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</row>
    <row r="415" spans="1:13" x14ac:dyDescent="0.3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</row>
    <row r="416" spans="1:13" x14ac:dyDescent="0.3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</row>
    <row r="417" spans="1:13" x14ac:dyDescent="0.3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</row>
    <row r="418" spans="1:13" x14ac:dyDescent="0.3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</row>
    <row r="419" spans="1:13" x14ac:dyDescent="0.3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</row>
    <row r="420" spans="1:13" x14ac:dyDescent="0.3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</row>
    <row r="421" spans="1:13" x14ac:dyDescent="0.3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</row>
    <row r="422" spans="1:13" x14ac:dyDescent="0.3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</row>
    <row r="423" spans="1:13" x14ac:dyDescent="0.3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</row>
    <row r="424" spans="1:13" x14ac:dyDescent="0.3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</row>
    <row r="425" spans="1:13" x14ac:dyDescent="0.3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</row>
    <row r="426" spans="1:13" x14ac:dyDescent="0.3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</row>
    <row r="427" spans="1:13" x14ac:dyDescent="0.3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</row>
    <row r="428" spans="1:13" x14ac:dyDescent="0.3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</row>
    <row r="429" spans="1:13" x14ac:dyDescent="0.3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</row>
    <row r="430" spans="1:13" x14ac:dyDescent="0.3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</row>
    <row r="431" spans="1:13" x14ac:dyDescent="0.3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</row>
    <row r="432" spans="1:13" x14ac:dyDescent="0.3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</row>
    <row r="433" spans="1:13" x14ac:dyDescent="0.3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</row>
    <row r="434" spans="1:13" x14ac:dyDescent="0.3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</row>
    <row r="435" spans="1:13" x14ac:dyDescent="0.3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</row>
    <row r="436" spans="1:13" x14ac:dyDescent="0.3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</row>
    <row r="437" spans="1:13" x14ac:dyDescent="0.3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</row>
    <row r="438" spans="1:13" x14ac:dyDescent="0.3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</row>
    <row r="439" spans="1:13" x14ac:dyDescent="0.3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</row>
    <row r="440" spans="1:13" x14ac:dyDescent="0.3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</row>
    <row r="441" spans="1:13" x14ac:dyDescent="0.3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</row>
    <row r="442" spans="1:13" x14ac:dyDescent="0.3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</row>
    <row r="443" spans="1:13" x14ac:dyDescent="0.3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</row>
    <row r="444" spans="1:13" x14ac:dyDescent="0.3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</row>
    <row r="445" spans="1:13" x14ac:dyDescent="0.3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</row>
    <row r="446" spans="1:13" x14ac:dyDescent="0.3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</row>
    <row r="447" spans="1:13" x14ac:dyDescent="0.3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</row>
    <row r="448" spans="1:13" x14ac:dyDescent="0.3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</row>
    <row r="449" spans="1:13" x14ac:dyDescent="0.3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</row>
    <row r="450" spans="1:13" x14ac:dyDescent="0.3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</row>
    <row r="451" spans="1:13" x14ac:dyDescent="0.3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</row>
    <row r="452" spans="1:13" x14ac:dyDescent="0.3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</row>
    <row r="453" spans="1:13" x14ac:dyDescent="0.3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</row>
    <row r="454" spans="1:13" x14ac:dyDescent="0.3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</row>
    <row r="455" spans="1:13" x14ac:dyDescent="0.3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</row>
    <row r="456" spans="1:13" x14ac:dyDescent="0.3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</row>
    <row r="457" spans="1:13" x14ac:dyDescent="0.3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</row>
    <row r="458" spans="1:13" x14ac:dyDescent="0.3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</row>
    <row r="459" spans="1:13" x14ac:dyDescent="0.3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</row>
    <row r="460" spans="1:13" x14ac:dyDescent="0.3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</row>
    <row r="461" spans="1:13" x14ac:dyDescent="0.3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</row>
    <row r="462" spans="1:13" x14ac:dyDescent="0.3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</row>
    <row r="463" spans="1:13" x14ac:dyDescent="0.3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</row>
    <row r="464" spans="1:13" x14ac:dyDescent="0.3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</row>
    <row r="465" spans="1:13" x14ac:dyDescent="0.3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</row>
    <row r="466" spans="1:13" x14ac:dyDescent="0.3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</row>
    <row r="467" spans="1:13" x14ac:dyDescent="0.3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</row>
    <row r="468" spans="1:13" x14ac:dyDescent="0.3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</row>
    <row r="469" spans="1:13" x14ac:dyDescent="0.3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</row>
    <row r="470" spans="1:13" x14ac:dyDescent="0.3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</row>
    <row r="471" spans="1:13" x14ac:dyDescent="0.3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</row>
    <row r="472" spans="1:13" x14ac:dyDescent="0.3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</row>
    <row r="473" spans="1:13" x14ac:dyDescent="0.3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</row>
    <row r="474" spans="1:13" x14ac:dyDescent="0.3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</row>
    <row r="475" spans="1:13" x14ac:dyDescent="0.3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</row>
    <row r="476" spans="1:13" x14ac:dyDescent="0.3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</row>
    <row r="477" spans="1:13" x14ac:dyDescent="0.3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</row>
    <row r="478" spans="1:13" x14ac:dyDescent="0.3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</row>
    <row r="479" spans="1:13" x14ac:dyDescent="0.3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</row>
    <row r="480" spans="1:13" x14ac:dyDescent="0.3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</row>
    <row r="481" spans="1:13" x14ac:dyDescent="0.3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</row>
    <row r="482" spans="1:13" x14ac:dyDescent="0.3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</row>
    <row r="483" spans="1:13" x14ac:dyDescent="0.3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</row>
    <row r="484" spans="1:13" x14ac:dyDescent="0.3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</row>
    <row r="485" spans="1:13" x14ac:dyDescent="0.3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</row>
    <row r="486" spans="1:13" x14ac:dyDescent="0.3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</row>
    <row r="487" spans="1:13" x14ac:dyDescent="0.3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</row>
    <row r="488" spans="1:13" x14ac:dyDescent="0.3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</row>
    <row r="489" spans="1:13" x14ac:dyDescent="0.3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</row>
    <row r="490" spans="1:13" x14ac:dyDescent="0.3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</row>
    <row r="491" spans="1:13" x14ac:dyDescent="0.3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</row>
    <row r="492" spans="1:13" x14ac:dyDescent="0.3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</row>
    <row r="493" spans="1:13" x14ac:dyDescent="0.3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</row>
    <row r="494" spans="1:13" x14ac:dyDescent="0.3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</row>
    <row r="495" spans="1:13" x14ac:dyDescent="0.3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</row>
    <row r="496" spans="1:13" x14ac:dyDescent="0.3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</row>
    <row r="497" spans="1:13" x14ac:dyDescent="0.3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</row>
    <row r="498" spans="1:13" x14ac:dyDescent="0.3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</row>
    <row r="499" spans="1:13" x14ac:dyDescent="0.3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</row>
    <row r="500" spans="1:13" x14ac:dyDescent="0.3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</row>
    <row r="501" spans="1:13" x14ac:dyDescent="0.3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</row>
    <row r="502" spans="1:13" x14ac:dyDescent="0.3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</row>
    <row r="503" spans="1:13" x14ac:dyDescent="0.3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</row>
    <row r="504" spans="1:13" x14ac:dyDescent="0.3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</row>
    <row r="505" spans="1:13" x14ac:dyDescent="0.3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</row>
    <row r="506" spans="1:13" x14ac:dyDescent="0.3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</row>
    <row r="507" spans="1:13" x14ac:dyDescent="0.3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</row>
    <row r="508" spans="1:13" x14ac:dyDescent="0.3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</row>
    <row r="509" spans="1:13" x14ac:dyDescent="0.3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</row>
    <row r="510" spans="1:13" x14ac:dyDescent="0.3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</row>
    <row r="511" spans="1:13" x14ac:dyDescent="0.3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</row>
    <row r="512" spans="1:13" x14ac:dyDescent="0.3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</row>
    <row r="513" spans="1:13" x14ac:dyDescent="0.3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</row>
    <row r="514" spans="1:13" x14ac:dyDescent="0.3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</row>
    <row r="515" spans="1:13" x14ac:dyDescent="0.3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104C-0D13-4A07-86E1-0FBE28C602BC}">
  <sheetPr filterMode="1"/>
  <dimension ref="A1:R515"/>
  <sheetViews>
    <sheetView zoomScale="88" workbookViewId="0">
      <selection activeCell="A11" sqref="A11:B222"/>
    </sheetView>
  </sheetViews>
  <sheetFormatPr defaultRowHeight="14.5" x14ac:dyDescent="0.35"/>
  <cols>
    <col min="1" max="1" width="13.7265625" bestFit="1" customWidth="1"/>
    <col min="2" max="2" width="11.26953125" bestFit="1" customWidth="1"/>
    <col min="3" max="3" width="12.453125" bestFit="1" customWidth="1"/>
    <col min="4" max="4" width="13.08984375" bestFit="1" customWidth="1"/>
    <col min="5" max="5" width="4.81640625" bestFit="1" customWidth="1"/>
    <col min="6" max="6" width="6.54296875" bestFit="1" customWidth="1"/>
    <col min="7" max="7" width="6.1796875" bestFit="1" customWidth="1"/>
    <col min="8" max="8" width="7.36328125" bestFit="1" customWidth="1"/>
    <col min="9" max="9" width="6.7265625" bestFit="1" customWidth="1"/>
    <col min="10" max="10" width="6.90625" bestFit="1" customWidth="1"/>
    <col min="11" max="11" width="7.81640625" bestFit="1" customWidth="1"/>
    <col min="12" max="12" width="7.1796875" bestFit="1" customWidth="1"/>
    <col min="13" max="13" width="6.08984375" bestFit="1" customWidth="1"/>
    <col min="14" max="14" width="13" bestFit="1" customWidth="1"/>
    <col min="15" max="15" width="9.08984375" bestFit="1" customWidth="1"/>
    <col min="17" max="17" width="16.54296875" bestFit="1" customWidth="1"/>
    <col min="18" max="18" width="10.1796875" bestFit="1" customWidth="1"/>
    <col min="19" max="19" width="8.1796875" bestFit="1" customWidth="1"/>
    <col min="20" max="20" width="6.36328125" bestFit="1" customWidth="1"/>
    <col min="21" max="21" width="7.36328125" bestFit="1" customWidth="1"/>
    <col min="22" max="22" width="5.6328125" bestFit="1" customWidth="1"/>
    <col min="23" max="23" width="9.08984375" bestFit="1" customWidth="1"/>
    <col min="24" max="24" width="4.54296875" bestFit="1" customWidth="1"/>
    <col min="25" max="25" width="5.26953125" bestFit="1" customWidth="1"/>
    <col min="26" max="27" width="10.1796875" bestFit="1" customWidth="1"/>
    <col min="28" max="28" width="9.26953125" bestFit="1" customWidth="1"/>
    <col min="29" max="29" width="5.26953125" bestFit="1" customWidth="1"/>
    <col min="30" max="30" width="6.54296875" bestFit="1" customWidth="1"/>
    <col min="31" max="31" width="9" bestFit="1" customWidth="1"/>
    <col min="32" max="32" width="6.90625" bestFit="1" customWidth="1"/>
    <col min="33" max="33" width="7.26953125" bestFit="1" customWidth="1"/>
    <col min="34" max="34" width="7.90625" bestFit="1" customWidth="1"/>
    <col min="35" max="35" width="6" bestFit="1" customWidth="1"/>
    <col min="36" max="36" width="5.1796875" bestFit="1" customWidth="1"/>
    <col min="37" max="37" width="6.453125" bestFit="1" customWidth="1"/>
    <col min="38" max="38" width="7.453125" bestFit="1" customWidth="1"/>
    <col min="39" max="39" width="8.54296875" bestFit="1" customWidth="1"/>
    <col min="40" max="40" width="6.36328125" bestFit="1" customWidth="1"/>
    <col min="41" max="41" width="5.90625" bestFit="1" customWidth="1"/>
    <col min="42" max="42" width="8.6328125" bestFit="1" customWidth="1"/>
    <col min="43" max="43" width="9.54296875" bestFit="1" customWidth="1"/>
    <col min="44" max="44" width="7.08984375" bestFit="1" customWidth="1"/>
    <col min="45" max="46" width="6.453125" bestFit="1" customWidth="1"/>
    <col min="47" max="47" width="5.453125" bestFit="1" customWidth="1"/>
    <col min="48" max="48" width="5.90625" bestFit="1" customWidth="1"/>
    <col min="49" max="49" width="7.1796875" bestFit="1" customWidth="1"/>
    <col min="50" max="50" width="7.26953125" bestFit="1" customWidth="1"/>
    <col min="51" max="51" width="6.08984375" bestFit="1" customWidth="1"/>
    <col min="52" max="52" width="5.26953125" bestFit="1" customWidth="1"/>
    <col min="53" max="53" width="6.08984375" bestFit="1" customWidth="1"/>
    <col min="54" max="54" width="7.81640625" bestFit="1" customWidth="1"/>
    <col min="55" max="55" width="8.81640625" bestFit="1" customWidth="1"/>
    <col min="56" max="56" width="6.453125" bestFit="1" customWidth="1"/>
    <col min="57" max="57" width="5.54296875" bestFit="1" customWidth="1"/>
    <col min="58" max="58" width="5.81640625" bestFit="1" customWidth="1"/>
    <col min="59" max="59" width="6.08984375" bestFit="1" customWidth="1"/>
    <col min="60" max="60" width="4.26953125" bestFit="1" customWidth="1"/>
    <col min="61" max="61" width="6.36328125" bestFit="1" customWidth="1"/>
    <col min="62" max="62" width="4.1796875" bestFit="1" customWidth="1"/>
    <col min="63" max="63" width="9.453125" bestFit="1" customWidth="1"/>
    <col min="64" max="64" width="6.81640625" bestFit="1" customWidth="1"/>
    <col min="65" max="65" width="7.81640625" bestFit="1" customWidth="1"/>
    <col min="66" max="66" width="6.26953125" bestFit="1" customWidth="1"/>
    <col min="67" max="67" width="6.6328125" bestFit="1" customWidth="1"/>
    <col min="68" max="68" width="6.81640625" bestFit="1" customWidth="1"/>
    <col min="69" max="69" width="6.7265625" bestFit="1" customWidth="1"/>
    <col min="70" max="70" width="3.26953125" bestFit="1" customWidth="1"/>
    <col min="71" max="71" width="6.08984375" bestFit="1" customWidth="1"/>
    <col min="72" max="72" width="4.08984375" bestFit="1" customWidth="1"/>
    <col min="73" max="73" width="4.36328125" bestFit="1" customWidth="1"/>
    <col min="74" max="74" width="4.453125" bestFit="1" customWidth="1"/>
    <col min="75" max="75" width="3.81640625" bestFit="1" customWidth="1"/>
    <col min="76" max="76" width="6.7265625" bestFit="1" customWidth="1"/>
    <col min="77" max="77" width="7.1796875" bestFit="1" customWidth="1"/>
    <col min="78" max="78" width="5.26953125" bestFit="1" customWidth="1"/>
    <col min="79" max="79" width="6.54296875" bestFit="1" customWidth="1"/>
    <col min="80" max="80" width="5.6328125" bestFit="1" customWidth="1"/>
    <col min="81" max="81" width="3.54296875" bestFit="1" customWidth="1"/>
    <col min="82" max="82" width="8" bestFit="1" customWidth="1"/>
    <col min="83" max="83" width="6.7265625" bestFit="1" customWidth="1"/>
    <col min="84" max="84" width="4.453125" bestFit="1" customWidth="1"/>
    <col min="85" max="85" width="5.54296875" bestFit="1" customWidth="1"/>
    <col min="86" max="86" width="7.6328125" bestFit="1" customWidth="1"/>
    <col min="87" max="87" width="7.08984375" bestFit="1" customWidth="1"/>
    <col min="88" max="88" width="6.54296875" bestFit="1" customWidth="1"/>
    <col min="89" max="89" width="4.453125" bestFit="1" customWidth="1"/>
    <col min="90" max="90" width="7.26953125" bestFit="1" customWidth="1"/>
    <col min="91" max="91" width="5.90625" bestFit="1" customWidth="1"/>
    <col min="92" max="92" width="6.453125" bestFit="1" customWidth="1"/>
    <col min="93" max="93" width="5.1796875" bestFit="1" customWidth="1"/>
    <col min="94" max="94" width="7.7265625" bestFit="1" customWidth="1"/>
    <col min="95" max="95" width="6.36328125" bestFit="1" customWidth="1"/>
    <col min="96" max="96" width="9.1796875" bestFit="1" customWidth="1"/>
    <col min="97" max="97" width="4.7265625" bestFit="1" customWidth="1"/>
    <col min="98" max="98" width="5.36328125" bestFit="1" customWidth="1"/>
    <col min="99" max="99" width="5.08984375" bestFit="1" customWidth="1"/>
    <col min="100" max="100" width="7" bestFit="1" customWidth="1"/>
    <col min="102" max="102" width="10.08984375" bestFit="1" customWidth="1"/>
    <col min="103" max="103" width="6.26953125" bestFit="1" customWidth="1"/>
    <col min="104" max="104" width="7.7265625" bestFit="1" customWidth="1"/>
    <col min="105" max="105" width="7.6328125" bestFit="1" customWidth="1"/>
    <col min="106" max="106" width="8.453125" bestFit="1" customWidth="1"/>
    <col min="107" max="107" width="7.81640625" bestFit="1" customWidth="1"/>
    <col min="108" max="108" width="5.08984375" bestFit="1" customWidth="1"/>
    <col min="109" max="109" width="5.81640625" bestFit="1" customWidth="1"/>
    <col min="110" max="110" width="5.453125" bestFit="1" customWidth="1"/>
    <col min="111" max="111" width="4.7265625" bestFit="1" customWidth="1"/>
    <col min="112" max="112" width="4.81640625" bestFit="1" customWidth="1"/>
    <col min="113" max="113" width="3.54296875" bestFit="1" customWidth="1"/>
    <col min="114" max="114" width="5.08984375" bestFit="1" customWidth="1"/>
    <col min="115" max="115" width="6.1796875" bestFit="1" customWidth="1"/>
    <col min="116" max="116" width="5" bestFit="1" customWidth="1"/>
    <col min="117" max="118" width="6.36328125" bestFit="1" customWidth="1"/>
    <col min="119" max="119" width="10.08984375" bestFit="1" customWidth="1"/>
    <col min="120" max="120" width="5.08984375" bestFit="1" customWidth="1"/>
    <col min="121" max="121" width="11.36328125" bestFit="1" customWidth="1"/>
    <col min="122" max="122" width="10.26953125" bestFit="1" customWidth="1"/>
    <col min="123" max="123" width="6.54296875" bestFit="1" customWidth="1"/>
    <col min="124" max="124" width="7" bestFit="1" customWidth="1"/>
    <col min="125" max="125" width="6.6328125" bestFit="1" customWidth="1"/>
    <col min="126" max="126" width="8.36328125" bestFit="1" customWidth="1"/>
    <col min="127" max="127" width="6.26953125" bestFit="1" customWidth="1"/>
    <col min="128" max="128" width="5.7265625" bestFit="1" customWidth="1"/>
    <col min="129" max="129" width="8.90625" bestFit="1" customWidth="1"/>
    <col min="130" max="130" width="6.7265625" bestFit="1" customWidth="1"/>
    <col min="131" max="131" width="7.453125" bestFit="1" customWidth="1"/>
    <col min="132" max="132" width="6" bestFit="1" customWidth="1"/>
    <col min="133" max="134" width="8" bestFit="1" customWidth="1"/>
    <col min="135" max="135" width="7.7265625" bestFit="1" customWidth="1"/>
    <col min="136" max="136" width="8" bestFit="1" customWidth="1"/>
    <col min="137" max="137" width="6.36328125" bestFit="1" customWidth="1"/>
    <col min="138" max="138" width="8.90625" bestFit="1" customWidth="1"/>
    <col min="139" max="139" width="7.08984375" bestFit="1" customWidth="1"/>
    <col min="140" max="140" width="6.54296875" bestFit="1" customWidth="1"/>
    <col min="141" max="141" width="6.1796875" bestFit="1" customWidth="1"/>
    <col min="142" max="142" width="4.7265625" bestFit="1" customWidth="1"/>
    <col min="143" max="143" width="7.1796875" bestFit="1" customWidth="1"/>
    <col min="144" max="144" width="5.6328125" bestFit="1" customWidth="1"/>
    <col min="145" max="145" width="6.7265625" bestFit="1" customWidth="1"/>
    <col min="146" max="146" width="7.453125" bestFit="1" customWidth="1"/>
    <col min="147" max="147" width="8.36328125" bestFit="1" customWidth="1"/>
    <col min="148" max="148" width="6.08984375" bestFit="1" customWidth="1"/>
    <col min="149" max="149" width="4.6328125" bestFit="1" customWidth="1"/>
    <col min="150" max="150" width="4.26953125" bestFit="1" customWidth="1"/>
    <col min="151" max="151" width="4.54296875" bestFit="1" customWidth="1"/>
    <col min="152" max="152" width="6.1796875" bestFit="1" customWidth="1"/>
    <col min="153" max="153" width="6" bestFit="1" customWidth="1"/>
    <col min="154" max="154" width="6.7265625" bestFit="1" customWidth="1"/>
    <col min="155" max="155" width="5.7265625" bestFit="1" customWidth="1"/>
    <col min="156" max="156" width="6.6328125" bestFit="1" customWidth="1"/>
    <col min="157" max="157" width="7.6328125" bestFit="1" customWidth="1"/>
    <col min="158" max="158" width="6.26953125" bestFit="1" customWidth="1"/>
    <col min="159" max="159" width="5.453125" bestFit="1" customWidth="1"/>
    <col min="160" max="160" width="7" bestFit="1" customWidth="1"/>
    <col min="161" max="161" width="5.81640625" bestFit="1" customWidth="1"/>
    <col min="162" max="162" width="4.90625" bestFit="1" customWidth="1"/>
    <col min="163" max="163" width="4.453125" bestFit="1" customWidth="1"/>
    <col min="164" max="164" width="8.81640625" bestFit="1" customWidth="1"/>
    <col min="165" max="165" width="7.90625" bestFit="1" customWidth="1"/>
    <col min="166" max="166" width="6.6328125" bestFit="1" customWidth="1"/>
    <col min="167" max="167" width="8.90625" bestFit="1" customWidth="1"/>
    <col min="168" max="168" width="6" bestFit="1" customWidth="1"/>
    <col min="169" max="169" width="4.90625" bestFit="1" customWidth="1"/>
    <col min="171" max="171" width="6.1796875" bestFit="1" customWidth="1"/>
    <col min="172" max="172" width="7.26953125" bestFit="1" customWidth="1"/>
    <col min="173" max="173" width="7.6328125" bestFit="1" customWidth="1"/>
    <col min="174" max="174" width="7.08984375" bestFit="1" customWidth="1"/>
    <col min="175" max="175" width="7.1796875" bestFit="1" customWidth="1"/>
    <col min="176" max="176" width="6.54296875" bestFit="1" customWidth="1"/>
    <col min="177" max="177" width="9.90625" bestFit="1" customWidth="1"/>
    <col min="178" max="178" width="7" bestFit="1" customWidth="1"/>
    <col min="179" max="179" width="7.7265625" bestFit="1" customWidth="1"/>
    <col min="180" max="180" width="7.26953125" bestFit="1" customWidth="1"/>
    <col min="181" max="181" width="6" bestFit="1" customWidth="1"/>
    <col min="182" max="182" width="8.36328125" bestFit="1" customWidth="1"/>
    <col min="183" max="183" width="9" bestFit="1" customWidth="1"/>
    <col min="184" max="184" width="6.6328125" bestFit="1" customWidth="1"/>
    <col min="185" max="185" width="8.08984375" bestFit="1" customWidth="1"/>
    <col min="186" max="186" width="6.453125" bestFit="1" customWidth="1"/>
    <col min="187" max="187" width="8.453125" bestFit="1" customWidth="1"/>
    <col min="188" max="188" width="7" bestFit="1" customWidth="1"/>
    <col min="189" max="189" width="5" bestFit="1" customWidth="1"/>
    <col min="190" max="190" width="5.1796875" bestFit="1" customWidth="1"/>
    <col min="191" max="191" width="7.90625" bestFit="1" customWidth="1"/>
    <col min="192" max="192" width="13.54296875" bestFit="1" customWidth="1"/>
  </cols>
  <sheetData>
    <row r="1" spans="1:18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672</v>
      </c>
      <c r="O1" s="17"/>
    </row>
    <row r="2" spans="1:18" hidden="1" x14ac:dyDescent="0.3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IF(AND(C2=0,D2&gt;=5,SUM(E2:H2)/4&gt;4),1,0)</f>
        <v>0</v>
      </c>
    </row>
    <row r="3" spans="1:18" hidden="1" x14ac:dyDescent="0.3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ref="N3:N66" si="0">IF(AND(C3=0,D3&gt;=5,SUM(E3:H3)/4&gt;4),1,0)</f>
        <v>0</v>
      </c>
    </row>
    <row r="4" spans="1:18" hidden="1" x14ac:dyDescent="0.3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0</v>
      </c>
    </row>
    <row r="5" spans="1:18" hidden="1" x14ac:dyDescent="0.3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0</v>
      </c>
    </row>
    <row r="6" spans="1:18" hidden="1" x14ac:dyDescent="0.3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0</v>
      </c>
      <c r="R6" s="19"/>
    </row>
    <row r="7" spans="1:18" hidden="1" x14ac:dyDescent="0.3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0</v>
      </c>
    </row>
    <row r="8" spans="1:18" hidden="1" x14ac:dyDescent="0.3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0</v>
      </c>
    </row>
    <row r="9" spans="1:18" hidden="1" x14ac:dyDescent="0.3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0</v>
      </c>
    </row>
    <row r="10" spans="1:18" hidden="1" x14ac:dyDescent="0.3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0</v>
      </c>
    </row>
    <row r="11" spans="1:18" x14ac:dyDescent="0.35">
      <c r="A11" s="11" t="s">
        <v>40</v>
      </c>
      <c r="B11" s="12" t="s">
        <v>43</v>
      </c>
      <c r="C11" s="13">
        <v>0</v>
      </c>
      <c r="D11" s="13">
        <v>6</v>
      </c>
      <c r="E11" s="13">
        <v>3</v>
      </c>
      <c r="F11" s="13">
        <v>5</v>
      </c>
      <c r="G11" s="13">
        <v>6</v>
      </c>
      <c r="H11" s="13">
        <v>3</v>
      </c>
      <c r="I11" s="13">
        <v>67</v>
      </c>
      <c r="J11" s="13">
        <v>66</v>
      </c>
      <c r="K11" s="13">
        <v>56</v>
      </c>
      <c r="L11" s="13">
        <v>41</v>
      </c>
      <c r="M11" s="14">
        <v>26</v>
      </c>
      <c r="N11">
        <f>IF(AND(C11=0,D11&gt;=5,SUM(E11:H11)/4&gt;4),1,0)</f>
        <v>1</v>
      </c>
    </row>
    <row r="12" spans="1:18" hidden="1" x14ac:dyDescent="0.3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>IF(AND(C12=0,D12&gt;=5,SUM(E12:H12)/4&gt;4),1,0)</f>
        <v>0</v>
      </c>
    </row>
    <row r="13" spans="1:18" hidden="1" x14ac:dyDescent="0.3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>IF(AND(C13=0,D13&gt;=5,SUM(E13:H13)/4&gt;4),1,0)</f>
        <v>0</v>
      </c>
    </row>
    <row r="14" spans="1:18" hidden="1" x14ac:dyDescent="0.3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>IF(AND(C14=0,D14&gt;=5,SUM(E14:H14)/4&gt;4),1,0)</f>
        <v>0</v>
      </c>
    </row>
    <row r="15" spans="1:18" hidden="1" x14ac:dyDescent="0.3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>IF(AND(C15=0,D15&gt;=5,SUM(E15:H15)/4&gt;4),1,0)</f>
        <v>0</v>
      </c>
    </row>
    <row r="16" spans="1:18" hidden="1" x14ac:dyDescent="0.3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>IF(AND(C16=0,D16&gt;=5,SUM(E16:H16)/4&gt;4),1,0)</f>
        <v>0</v>
      </c>
    </row>
    <row r="17" spans="1:14" hidden="1" x14ac:dyDescent="0.3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>IF(AND(C17=0,D17&gt;=5,SUM(E17:H17)/4&gt;4),1,0)</f>
        <v>0</v>
      </c>
    </row>
    <row r="18" spans="1:14" hidden="1" x14ac:dyDescent="0.3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>IF(AND(C18=0,D18&gt;=5,SUM(E18:H18)/4&gt;4),1,0)</f>
        <v>0</v>
      </c>
    </row>
    <row r="19" spans="1:14" hidden="1" x14ac:dyDescent="0.3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>IF(AND(C19=0,D19&gt;=5,SUM(E19:H19)/4&gt;4),1,0)</f>
        <v>0</v>
      </c>
    </row>
    <row r="20" spans="1:14" hidden="1" x14ac:dyDescent="0.3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>IF(AND(C20=0,D20&gt;=5,SUM(E20:H20)/4&gt;4),1,0)</f>
        <v>0</v>
      </c>
    </row>
    <row r="21" spans="1:14" hidden="1" x14ac:dyDescent="0.3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>IF(AND(C21=0,D21&gt;=5,SUM(E21:H21)/4&gt;4),1,0)</f>
        <v>0</v>
      </c>
    </row>
    <row r="22" spans="1:14" hidden="1" x14ac:dyDescent="0.3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>IF(AND(C22=0,D22&gt;=5,SUM(E22:H22)/4&gt;4),1,0)</f>
        <v>0</v>
      </c>
    </row>
    <row r="23" spans="1:14" hidden="1" x14ac:dyDescent="0.3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>IF(AND(C23=0,D23&gt;=5,SUM(E23:H23)/4&gt;4),1,0)</f>
        <v>0</v>
      </c>
    </row>
    <row r="24" spans="1:14" hidden="1" x14ac:dyDescent="0.3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>IF(AND(C24=0,D24&gt;=5,SUM(E24:H24)/4&gt;4),1,0)</f>
        <v>0</v>
      </c>
    </row>
    <row r="25" spans="1:14" hidden="1" x14ac:dyDescent="0.3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>IF(AND(C25=0,D25&gt;=5,SUM(E25:H25)/4&gt;4),1,0)</f>
        <v>0</v>
      </c>
    </row>
    <row r="26" spans="1:14" hidden="1" x14ac:dyDescent="0.3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>IF(AND(C26=0,D26&gt;=5,SUM(E26:H26)/4&gt;4),1,0)</f>
        <v>0</v>
      </c>
    </row>
    <row r="27" spans="1:14" hidden="1" x14ac:dyDescent="0.3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>IF(AND(C27=0,D27&gt;=5,SUM(E27:H27)/4&gt;4),1,0)</f>
        <v>0</v>
      </c>
    </row>
    <row r="28" spans="1:14" hidden="1" x14ac:dyDescent="0.3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>IF(AND(C28=0,D28&gt;=5,SUM(E28:H28)/4&gt;4),1,0)</f>
        <v>0</v>
      </c>
    </row>
    <row r="29" spans="1:14" hidden="1" x14ac:dyDescent="0.3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>IF(AND(C29=0,D29&gt;=5,SUM(E29:H29)/4&gt;4),1,0)</f>
        <v>0</v>
      </c>
    </row>
    <row r="30" spans="1:14" hidden="1" x14ac:dyDescent="0.3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>IF(AND(C30=0,D30&gt;=5,SUM(E30:H30)/4&gt;4),1,0)</f>
        <v>0</v>
      </c>
    </row>
    <row r="31" spans="1:14" hidden="1" x14ac:dyDescent="0.3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>IF(AND(C31=0,D31&gt;=5,SUM(E31:H31)/4&gt;4),1,0)</f>
        <v>0</v>
      </c>
    </row>
    <row r="32" spans="1:14" hidden="1" x14ac:dyDescent="0.3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>IF(AND(C32=0,D32&gt;=5,SUM(E32:H32)/4&gt;4),1,0)</f>
        <v>0</v>
      </c>
    </row>
    <row r="33" spans="1:14" hidden="1" x14ac:dyDescent="0.3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>IF(AND(C33=0,D33&gt;=5,SUM(E33:H33)/4&gt;4),1,0)</f>
        <v>0</v>
      </c>
    </row>
    <row r="34" spans="1:14" hidden="1" x14ac:dyDescent="0.3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>IF(AND(C34=0,D34&gt;=5,SUM(E34:H34)/4&gt;4),1,0)</f>
        <v>0</v>
      </c>
    </row>
    <row r="35" spans="1:14" hidden="1" x14ac:dyDescent="0.3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>IF(AND(C35=0,D35&gt;=5,SUM(E35:H35)/4&gt;4),1,0)</f>
        <v>0</v>
      </c>
    </row>
    <row r="36" spans="1:14" hidden="1" x14ac:dyDescent="0.3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>IF(AND(C36=0,D36&gt;=5,SUM(E36:H36)/4&gt;4),1,0)</f>
        <v>0</v>
      </c>
    </row>
    <row r="37" spans="1:14" hidden="1" x14ac:dyDescent="0.3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>IF(AND(C37=0,D37&gt;=5,SUM(E37:H37)/4&gt;4),1,0)</f>
        <v>0</v>
      </c>
    </row>
    <row r="38" spans="1:14" hidden="1" x14ac:dyDescent="0.3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>IF(AND(C38=0,D38&gt;=5,SUM(E38:H38)/4&gt;4),1,0)</f>
        <v>0</v>
      </c>
    </row>
    <row r="39" spans="1:14" hidden="1" x14ac:dyDescent="0.3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>IF(AND(C39=0,D39&gt;=5,SUM(E39:H39)/4&gt;4),1,0)</f>
        <v>0</v>
      </c>
    </row>
    <row r="40" spans="1:14" hidden="1" x14ac:dyDescent="0.3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>IF(AND(C40=0,D40&gt;=5,SUM(E40:H40)/4&gt;4),1,0)</f>
        <v>0</v>
      </c>
    </row>
    <row r="41" spans="1:14" hidden="1" x14ac:dyDescent="0.3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>IF(AND(C41=0,D41&gt;=5,SUM(E41:H41)/4&gt;4),1,0)</f>
        <v>0</v>
      </c>
    </row>
    <row r="42" spans="1:14" hidden="1" x14ac:dyDescent="0.3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>IF(AND(C42=0,D42&gt;=5,SUM(E42:H42)/4&gt;4),1,0)</f>
        <v>0</v>
      </c>
    </row>
    <row r="43" spans="1:14" hidden="1" x14ac:dyDescent="0.3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>IF(AND(C43=0,D43&gt;=5,SUM(E43:H43)/4&gt;4),1,0)</f>
        <v>0</v>
      </c>
    </row>
    <row r="44" spans="1:14" hidden="1" x14ac:dyDescent="0.3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>IF(AND(C44=0,D44&gt;=5,SUM(E44:H44)/4&gt;4),1,0)</f>
        <v>0</v>
      </c>
    </row>
    <row r="45" spans="1:14" hidden="1" x14ac:dyDescent="0.3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>IF(AND(C45=0,D45&gt;=5,SUM(E45:H45)/4&gt;4),1,0)</f>
        <v>0</v>
      </c>
    </row>
    <row r="46" spans="1:14" hidden="1" x14ac:dyDescent="0.3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>IF(AND(C46=0,D46&gt;=5,SUM(E46:H46)/4&gt;4),1,0)</f>
        <v>0</v>
      </c>
    </row>
    <row r="47" spans="1:14" hidden="1" x14ac:dyDescent="0.3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>IF(AND(C47=0,D47&gt;=5,SUM(E47:H47)/4&gt;4),1,0)</f>
        <v>0</v>
      </c>
    </row>
    <row r="48" spans="1:14" hidden="1" x14ac:dyDescent="0.3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>IF(AND(C48=0,D48&gt;=5,SUM(E48:H48)/4&gt;4),1,0)</f>
        <v>0</v>
      </c>
    </row>
    <row r="49" spans="1:14" hidden="1" x14ac:dyDescent="0.3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>IF(AND(C49=0,D49&gt;=5,SUM(E49:H49)/4&gt;4),1,0)</f>
        <v>0</v>
      </c>
    </row>
    <row r="50" spans="1:14" hidden="1" x14ac:dyDescent="0.3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>IF(AND(C50=0,D50&gt;=5,SUM(E50:H50)/4&gt;4),1,0)</f>
        <v>0</v>
      </c>
    </row>
    <row r="51" spans="1:14" hidden="1" x14ac:dyDescent="0.3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>IF(AND(C51=0,D51&gt;=5,SUM(E51:H51)/4&gt;4),1,0)</f>
        <v>0</v>
      </c>
    </row>
    <row r="52" spans="1:14" hidden="1" x14ac:dyDescent="0.3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>IF(AND(C52=0,D52&gt;=5,SUM(E52:H52)/4&gt;4),1,0)</f>
        <v>0</v>
      </c>
    </row>
    <row r="53" spans="1:14" hidden="1" x14ac:dyDescent="0.3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>IF(AND(C53=0,D53&gt;=5,SUM(E53:H53)/4&gt;4),1,0)</f>
        <v>0</v>
      </c>
    </row>
    <row r="54" spans="1:14" hidden="1" x14ac:dyDescent="0.3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>IF(AND(C54=0,D54&gt;=5,SUM(E54:H54)/4&gt;4),1,0)</f>
        <v>0</v>
      </c>
    </row>
    <row r="55" spans="1:14" hidden="1" x14ac:dyDescent="0.3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>IF(AND(C55=0,D55&gt;=5,SUM(E55:H55)/4&gt;4),1,0)</f>
        <v>0</v>
      </c>
    </row>
    <row r="56" spans="1:14" hidden="1" x14ac:dyDescent="0.3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>IF(AND(C56=0,D56&gt;=5,SUM(E56:H56)/4&gt;4),1,0)</f>
        <v>0</v>
      </c>
    </row>
    <row r="57" spans="1:14" hidden="1" x14ac:dyDescent="0.3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>IF(AND(C57=0,D57&gt;=5,SUM(E57:H57)/4&gt;4),1,0)</f>
        <v>0</v>
      </c>
    </row>
    <row r="58" spans="1:14" hidden="1" x14ac:dyDescent="0.3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>IF(AND(C58=0,D58&gt;=5,SUM(E58:H58)/4&gt;4),1,0)</f>
        <v>0</v>
      </c>
    </row>
    <row r="59" spans="1:14" hidden="1" x14ac:dyDescent="0.3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>IF(AND(C59=0,D59&gt;=5,SUM(E59:H59)/4&gt;4),1,0)</f>
        <v>0</v>
      </c>
    </row>
    <row r="60" spans="1:14" hidden="1" x14ac:dyDescent="0.3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>IF(AND(C60=0,D60&gt;=5,SUM(E60:H60)/4&gt;4),1,0)</f>
        <v>0</v>
      </c>
    </row>
    <row r="61" spans="1:14" hidden="1" x14ac:dyDescent="0.3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>IF(AND(C61=0,D61&gt;=5,SUM(E61:H61)/4&gt;4),1,0)</f>
        <v>0</v>
      </c>
    </row>
    <row r="62" spans="1:14" hidden="1" x14ac:dyDescent="0.3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>IF(AND(C62=0,D62&gt;=5,SUM(E62:H62)/4&gt;4),1,0)</f>
        <v>0</v>
      </c>
    </row>
    <row r="63" spans="1:14" hidden="1" x14ac:dyDescent="0.3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>IF(AND(C63=0,D63&gt;=5,SUM(E63:H63)/4&gt;4),1,0)</f>
        <v>0</v>
      </c>
    </row>
    <row r="64" spans="1:14" hidden="1" x14ac:dyDescent="0.3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>IF(AND(C64=0,D64&gt;=5,SUM(E64:H64)/4&gt;4),1,0)</f>
        <v>0</v>
      </c>
    </row>
    <row r="65" spans="1:14" hidden="1" x14ac:dyDescent="0.3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>IF(AND(C65=0,D65&gt;=5,SUM(E65:H65)/4&gt;4),1,0)</f>
        <v>0</v>
      </c>
    </row>
    <row r="66" spans="1:14" hidden="1" x14ac:dyDescent="0.3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>IF(AND(C66=0,D66&gt;=5,SUM(E66:H66)/4&gt;4),1,0)</f>
        <v>0</v>
      </c>
    </row>
    <row r="67" spans="1:14" hidden="1" x14ac:dyDescent="0.3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>IF(AND(C67=0,D67&gt;=5,SUM(E67:H67)/4&gt;4),1,0)</f>
        <v>0</v>
      </c>
    </row>
    <row r="68" spans="1:14" hidden="1" x14ac:dyDescent="0.3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>IF(AND(C68=0,D68&gt;=5,SUM(E68:H68)/4&gt;4),1,0)</f>
        <v>0</v>
      </c>
    </row>
    <row r="69" spans="1:14" hidden="1" x14ac:dyDescent="0.3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>IF(AND(C69=0,D69&gt;=5,SUM(E69:H69)/4&gt;4),1,0)</f>
        <v>0</v>
      </c>
    </row>
    <row r="70" spans="1:14" hidden="1" x14ac:dyDescent="0.3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>IF(AND(C70=0,D70&gt;=5,SUM(E70:H70)/4&gt;4),1,0)</f>
        <v>0</v>
      </c>
    </row>
    <row r="71" spans="1:14" hidden="1" x14ac:dyDescent="0.3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>IF(AND(C71=0,D71&gt;=5,SUM(E71:H71)/4&gt;4),1,0)</f>
        <v>0</v>
      </c>
    </row>
    <row r="72" spans="1:14" hidden="1" x14ac:dyDescent="0.3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>IF(AND(C72=0,D72&gt;=5,SUM(E72:H72)/4&gt;4),1,0)</f>
        <v>0</v>
      </c>
    </row>
    <row r="73" spans="1:14" hidden="1" x14ac:dyDescent="0.3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>IF(AND(C73=0,D73&gt;=5,SUM(E73:H73)/4&gt;4),1,0)</f>
        <v>0</v>
      </c>
    </row>
    <row r="74" spans="1:14" hidden="1" x14ac:dyDescent="0.3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>IF(AND(C74=0,D74&gt;=5,SUM(E74:H74)/4&gt;4),1,0)</f>
        <v>0</v>
      </c>
    </row>
    <row r="75" spans="1:14" hidden="1" x14ac:dyDescent="0.3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>IF(AND(C75=0,D75&gt;=5,SUM(E75:H75)/4&gt;4),1,0)</f>
        <v>0</v>
      </c>
    </row>
    <row r="76" spans="1:14" hidden="1" x14ac:dyDescent="0.3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>IF(AND(C76=0,D76&gt;=5,SUM(E76:H76)/4&gt;4),1,0)</f>
        <v>0</v>
      </c>
    </row>
    <row r="77" spans="1:14" hidden="1" x14ac:dyDescent="0.3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>IF(AND(C77=0,D77&gt;=5,SUM(E77:H77)/4&gt;4),1,0)</f>
        <v>0</v>
      </c>
    </row>
    <row r="78" spans="1:14" hidden="1" x14ac:dyDescent="0.3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>IF(AND(C78=0,D78&gt;=5,SUM(E78:H78)/4&gt;4),1,0)</f>
        <v>0</v>
      </c>
    </row>
    <row r="79" spans="1:14" hidden="1" x14ac:dyDescent="0.3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>IF(AND(C79=0,D79&gt;=5,SUM(E79:H79)/4&gt;4),1,0)</f>
        <v>0</v>
      </c>
    </row>
    <row r="80" spans="1:14" hidden="1" x14ac:dyDescent="0.3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>IF(AND(C80=0,D80&gt;=5,SUM(E80:H80)/4&gt;4),1,0)</f>
        <v>0</v>
      </c>
    </row>
    <row r="81" spans="1:14" hidden="1" x14ac:dyDescent="0.3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>IF(AND(C81=0,D81&gt;=5,SUM(E81:H81)/4&gt;4),1,0)</f>
        <v>0</v>
      </c>
    </row>
    <row r="82" spans="1:14" x14ac:dyDescent="0.35">
      <c r="A82" s="7" t="s">
        <v>300</v>
      </c>
      <c r="B82" s="8" t="s">
        <v>242</v>
      </c>
      <c r="C82" s="9">
        <v>0</v>
      </c>
      <c r="D82" s="9">
        <v>5</v>
      </c>
      <c r="E82" s="9">
        <v>6</v>
      </c>
      <c r="F82" s="9">
        <v>4</v>
      </c>
      <c r="G82" s="9">
        <v>4</v>
      </c>
      <c r="H82" s="9">
        <v>5</v>
      </c>
      <c r="I82" s="9">
        <v>70</v>
      </c>
      <c r="J82" s="9">
        <v>42</v>
      </c>
      <c r="K82" s="9">
        <v>47</v>
      </c>
      <c r="L82" s="9">
        <v>24</v>
      </c>
      <c r="M82" s="10">
        <v>40</v>
      </c>
      <c r="N82">
        <f>IF(AND(C82=0,D82&gt;=5,SUM(E82:H82)/4&gt;4),1,0)</f>
        <v>1</v>
      </c>
    </row>
    <row r="83" spans="1:14" hidden="1" x14ac:dyDescent="0.3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>IF(AND(C83=0,D83&gt;=5,SUM(E83:H83)/4&gt;4),1,0)</f>
        <v>0</v>
      </c>
    </row>
    <row r="84" spans="1:14" hidden="1" x14ac:dyDescent="0.3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>IF(AND(C84=0,D84&gt;=5,SUM(E84:H84)/4&gt;4),1,0)</f>
        <v>0</v>
      </c>
    </row>
    <row r="85" spans="1:14" hidden="1" x14ac:dyDescent="0.3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>IF(AND(C85=0,D85&gt;=5,SUM(E85:H85)/4&gt;4),1,0)</f>
        <v>0</v>
      </c>
    </row>
    <row r="86" spans="1:14" hidden="1" x14ac:dyDescent="0.3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>IF(AND(C86=0,D86&gt;=5,SUM(E86:H86)/4&gt;4),1,0)</f>
        <v>0</v>
      </c>
    </row>
    <row r="87" spans="1:14" hidden="1" x14ac:dyDescent="0.3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>IF(AND(C87=0,D87&gt;=5,SUM(E87:H87)/4&gt;4),1,0)</f>
        <v>0</v>
      </c>
    </row>
    <row r="88" spans="1:14" hidden="1" x14ac:dyDescent="0.3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>IF(AND(C88=0,D88&gt;=5,SUM(E88:H88)/4&gt;4),1,0)</f>
        <v>0</v>
      </c>
    </row>
    <row r="89" spans="1:14" hidden="1" x14ac:dyDescent="0.3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>IF(AND(C89=0,D89&gt;=5,SUM(E89:H89)/4&gt;4),1,0)</f>
        <v>0</v>
      </c>
    </row>
    <row r="90" spans="1:14" hidden="1" x14ac:dyDescent="0.3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>IF(AND(C90=0,D90&gt;=5,SUM(E90:H90)/4&gt;4),1,0)</f>
        <v>0</v>
      </c>
    </row>
    <row r="91" spans="1:14" hidden="1" x14ac:dyDescent="0.3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>IF(AND(C91=0,D91&gt;=5,SUM(E91:H91)/4&gt;4),1,0)</f>
        <v>0</v>
      </c>
    </row>
    <row r="92" spans="1:14" hidden="1" x14ac:dyDescent="0.3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>IF(AND(C92=0,D92&gt;=5,SUM(E92:H92)/4&gt;4),1,0)</f>
        <v>0</v>
      </c>
    </row>
    <row r="93" spans="1:14" hidden="1" x14ac:dyDescent="0.3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>IF(AND(C93=0,D93&gt;=5,SUM(E93:H93)/4&gt;4),1,0)</f>
        <v>0</v>
      </c>
    </row>
    <row r="94" spans="1:14" hidden="1" x14ac:dyDescent="0.3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>IF(AND(C94=0,D94&gt;=5,SUM(E94:H94)/4&gt;4),1,0)</f>
        <v>0</v>
      </c>
    </row>
    <row r="95" spans="1:14" hidden="1" x14ac:dyDescent="0.3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>IF(AND(C95=0,D95&gt;=5,SUM(E95:H95)/4&gt;4),1,0)</f>
        <v>0</v>
      </c>
    </row>
    <row r="96" spans="1:14" hidden="1" x14ac:dyDescent="0.3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>IF(AND(C96=0,D96&gt;=5,SUM(E96:H96)/4&gt;4),1,0)</f>
        <v>0</v>
      </c>
    </row>
    <row r="97" spans="1:14" hidden="1" x14ac:dyDescent="0.3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>IF(AND(C97=0,D97&gt;=5,SUM(E97:H97)/4&gt;4),1,0)</f>
        <v>0</v>
      </c>
    </row>
    <row r="98" spans="1:14" hidden="1" x14ac:dyDescent="0.3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>IF(AND(C98=0,D98&gt;=5,SUM(E98:H98)/4&gt;4),1,0)</f>
        <v>0</v>
      </c>
    </row>
    <row r="99" spans="1:14" hidden="1" x14ac:dyDescent="0.3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>IF(AND(C99=0,D99&gt;=5,SUM(E99:H99)/4&gt;4),1,0)</f>
        <v>0</v>
      </c>
    </row>
    <row r="100" spans="1:14" hidden="1" x14ac:dyDescent="0.3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>IF(AND(C100=0,D100&gt;=5,SUM(E100:H100)/4&gt;4),1,0)</f>
        <v>0</v>
      </c>
    </row>
    <row r="101" spans="1:14" hidden="1" x14ac:dyDescent="0.3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>IF(AND(C101=0,D101&gt;=5,SUM(E101:H101)/4&gt;4),1,0)</f>
        <v>0</v>
      </c>
    </row>
    <row r="102" spans="1:14" hidden="1" x14ac:dyDescent="0.3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>IF(AND(C102=0,D102&gt;=5,SUM(E102:H102)/4&gt;4),1,0)</f>
        <v>0</v>
      </c>
    </row>
    <row r="103" spans="1:14" hidden="1" x14ac:dyDescent="0.3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>IF(AND(C103=0,D103&gt;=5,SUM(E103:H103)/4&gt;4),1,0)</f>
        <v>0</v>
      </c>
    </row>
    <row r="104" spans="1:14" hidden="1" x14ac:dyDescent="0.3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>IF(AND(C104=0,D104&gt;=5,SUM(E104:H104)/4&gt;4),1,0)</f>
        <v>0</v>
      </c>
    </row>
    <row r="105" spans="1:14" hidden="1" x14ac:dyDescent="0.3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>IF(AND(C105=0,D105&gt;=5,SUM(E105:H105)/4&gt;4),1,0)</f>
        <v>0</v>
      </c>
    </row>
    <row r="106" spans="1:14" hidden="1" x14ac:dyDescent="0.3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>IF(AND(C106=0,D106&gt;=5,SUM(E106:H106)/4&gt;4),1,0)</f>
        <v>0</v>
      </c>
    </row>
    <row r="107" spans="1:14" hidden="1" x14ac:dyDescent="0.3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>IF(AND(C107=0,D107&gt;=5,SUM(E107:H107)/4&gt;4),1,0)</f>
        <v>0</v>
      </c>
    </row>
    <row r="108" spans="1:14" hidden="1" x14ac:dyDescent="0.3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>IF(AND(C108=0,D108&gt;=5,SUM(E108:H108)/4&gt;4),1,0)</f>
        <v>0</v>
      </c>
    </row>
    <row r="109" spans="1:14" hidden="1" x14ac:dyDescent="0.3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>IF(AND(C109=0,D109&gt;=5,SUM(E109:H109)/4&gt;4),1,0)</f>
        <v>0</v>
      </c>
    </row>
    <row r="110" spans="1:14" hidden="1" x14ac:dyDescent="0.3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>IF(AND(C110=0,D110&gt;=5,SUM(E110:H110)/4&gt;4),1,0)</f>
        <v>0</v>
      </c>
    </row>
    <row r="111" spans="1:14" hidden="1" x14ac:dyDescent="0.3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>IF(AND(C111=0,D111&gt;=5,SUM(E111:H111)/4&gt;4),1,0)</f>
        <v>0</v>
      </c>
    </row>
    <row r="112" spans="1:14" hidden="1" x14ac:dyDescent="0.3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>IF(AND(C112=0,D112&gt;=5,SUM(E112:H112)/4&gt;4),1,0)</f>
        <v>0</v>
      </c>
    </row>
    <row r="113" spans="1:14" hidden="1" x14ac:dyDescent="0.3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>IF(AND(C113=0,D113&gt;=5,SUM(E113:H113)/4&gt;4),1,0)</f>
        <v>0</v>
      </c>
    </row>
    <row r="114" spans="1:14" hidden="1" x14ac:dyDescent="0.3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>IF(AND(C114=0,D114&gt;=5,SUM(E114:H114)/4&gt;4),1,0)</f>
        <v>0</v>
      </c>
    </row>
    <row r="115" spans="1:14" hidden="1" x14ac:dyDescent="0.3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>IF(AND(C115=0,D115&gt;=5,SUM(E115:H115)/4&gt;4),1,0)</f>
        <v>0</v>
      </c>
    </row>
    <row r="116" spans="1:14" hidden="1" x14ac:dyDescent="0.3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>IF(AND(C116=0,D116&gt;=5,SUM(E116:H116)/4&gt;4),1,0)</f>
        <v>0</v>
      </c>
    </row>
    <row r="117" spans="1:14" hidden="1" x14ac:dyDescent="0.3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>IF(AND(C117=0,D117&gt;=5,SUM(E117:H117)/4&gt;4),1,0)</f>
        <v>0</v>
      </c>
    </row>
    <row r="118" spans="1:14" hidden="1" x14ac:dyDescent="0.3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>IF(AND(C118=0,D118&gt;=5,SUM(E118:H118)/4&gt;4),1,0)</f>
        <v>0</v>
      </c>
    </row>
    <row r="119" spans="1:14" hidden="1" x14ac:dyDescent="0.3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>IF(AND(C119=0,D119&gt;=5,SUM(E119:H119)/4&gt;4),1,0)</f>
        <v>0</v>
      </c>
    </row>
    <row r="120" spans="1:14" hidden="1" x14ac:dyDescent="0.3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>IF(AND(C120=0,D120&gt;=5,SUM(E120:H120)/4&gt;4),1,0)</f>
        <v>0</v>
      </c>
    </row>
    <row r="121" spans="1:14" hidden="1" x14ac:dyDescent="0.3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>IF(AND(C121=0,D121&gt;=5,SUM(E121:H121)/4&gt;4),1,0)</f>
        <v>0</v>
      </c>
    </row>
    <row r="122" spans="1:14" hidden="1" x14ac:dyDescent="0.3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>IF(AND(C122=0,D122&gt;=5,SUM(E122:H122)/4&gt;4),1,0)</f>
        <v>0</v>
      </c>
    </row>
    <row r="123" spans="1:14" hidden="1" x14ac:dyDescent="0.3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>IF(AND(C123=0,D123&gt;=5,SUM(E123:H123)/4&gt;4),1,0)</f>
        <v>0</v>
      </c>
    </row>
    <row r="124" spans="1:14" hidden="1" x14ac:dyDescent="0.3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>IF(AND(C124=0,D124&gt;=5,SUM(E124:H124)/4&gt;4),1,0)</f>
        <v>0</v>
      </c>
    </row>
    <row r="125" spans="1:14" hidden="1" x14ac:dyDescent="0.3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>IF(AND(C125=0,D125&gt;=5,SUM(E125:H125)/4&gt;4),1,0)</f>
        <v>0</v>
      </c>
    </row>
    <row r="126" spans="1:14" hidden="1" x14ac:dyDescent="0.3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>IF(AND(C126=0,D126&gt;=5,SUM(E126:H126)/4&gt;4),1,0)</f>
        <v>0</v>
      </c>
    </row>
    <row r="127" spans="1:14" hidden="1" x14ac:dyDescent="0.3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>IF(AND(C127=0,D127&gt;=5,SUM(E127:H127)/4&gt;4),1,0)</f>
        <v>0</v>
      </c>
    </row>
    <row r="128" spans="1:14" hidden="1" x14ac:dyDescent="0.3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>IF(AND(C128=0,D128&gt;=5,SUM(E128:H128)/4&gt;4),1,0)</f>
        <v>0</v>
      </c>
    </row>
    <row r="129" spans="1:14" hidden="1" x14ac:dyDescent="0.3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>IF(AND(C129=0,D129&gt;=5,SUM(E129:H129)/4&gt;4),1,0)</f>
        <v>0</v>
      </c>
    </row>
    <row r="130" spans="1:14" hidden="1" x14ac:dyDescent="0.3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>IF(AND(C130=0,D130&gt;=5,SUM(E130:H130)/4&gt;4),1,0)</f>
        <v>0</v>
      </c>
    </row>
    <row r="131" spans="1:14" hidden="1" x14ac:dyDescent="0.3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>IF(AND(C131=0,D131&gt;=5,SUM(E131:H131)/4&gt;4),1,0)</f>
        <v>0</v>
      </c>
    </row>
    <row r="132" spans="1:14" hidden="1" x14ac:dyDescent="0.3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>IF(AND(C132=0,D132&gt;=5,SUM(E132:H132)/4&gt;4),1,0)</f>
        <v>0</v>
      </c>
    </row>
    <row r="133" spans="1:14" hidden="1" x14ac:dyDescent="0.3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>IF(AND(C133=0,D133&gt;=5,SUM(E133:H133)/4&gt;4),1,0)</f>
        <v>0</v>
      </c>
    </row>
    <row r="134" spans="1:14" hidden="1" x14ac:dyDescent="0.3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>IF(AND(C134=0,D134&gt;=5,SUM(E134:H134)/4&gt;4),1,0)</f>
        <v>0</v>
      </c>
    </row>
    <row r="135" spans="1:14" hidden="1" x14ac:dyDescent="0.3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>IF(AND(C135=0,D135&gt;=5,SUM(E135:H135)/4&gt;4),1,0)</f>
        <v>0</v>
      </c>
    </row>
    <row r="136" spans="1:14" hidden="1" x14ac:dyDescent="0.3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>IF(AND(C136=0,D136&gt;=5,SUM(E136:H136)/4&gt;4),1,0)</f>
        <v>0</v>
      </c>
    </row>
    <row r="137" spans="1:14" hidden="1" x14ac:dyDescent="0.3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>IF(AND(C137=0,D137&gt;=5,SUM(E137:H137)/4&gt;4),1,0)</f>
        <v>0</v>
      </c>
    </row>
    <row r="138" spans="1:14" hidden="1" x14ac:dyDescent="0.3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>IF(AND(C138=0,D138&gt;=5,SUM(E138:H138)/4&gt;4),1,0)</f>
        <v>0</v>
      </c>
    </row>
    <row r="139" spans="1:14" hidden="1" x14ac:dyDescent="0.3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>IF(AND(C139=0,D139&gt;=5,SUM(E139:H139)/4&gt;4),1,0)</f>
        <v>0</v>
      </c>
    </row>
    <row r="140" spans="1:14" hidden="1" x14ac:dyDescent="0.3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>IF(AND(C140=0,D140&gt;=5,SUM(E140:H140)/4&gt;4),1,0)</f>
        <v>0</v>
      </c>
    </row>
    <row r="141" spans="1:14" hidden="1" x14ac:dyDescent="0.3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>IF(AND(C141=0,D141&gt;=5,SUM(E141:H141)/4&gt;4),1,0)</f>
        <v>0</v>
      </c>
    </row>
    <row r="142" spans="1:14" hidden="1" x14ac:dyDescent="0.3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>IF(AND(C142=0,D142&gt;=5,SUM(E142:H142)/4&gt;4),1,0)</f>
        <v>0</v>
      </c>
    </row>
    <row r="143" spans="1:14" hidden="1" x14ac:dyDescent="0.3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>IF(AND(C143=0,D143&gt;=5,SUM(E143:H143)/4&gt;4),1,0)</f>
        <v>0</v>
      </c>
    </row>
    <row r="144" spans="1:14" hidden="1" x14ac:dyDescent="0.3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>IF(AND(C144=0,D144&gt;=5,SUM(E144:H144)/4&gt;4),1,0)</f>
        <v>0</v>
      </c>
    </row>
    <row r="145" spans="1:14" hidden="1" x14ac:dyDescent="0.3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>IF(AND(C145=0,D145&gt;=5,SUM(E145:H145)/4&gt;4),1,0)</f>
        <v>0</v>
      </c>
    </row>
    <row r="146" spans="1:14" hidden="1" x14ac:dyDescent="0.3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>IF(AND(C146=0,D146&gt;=5,SUM(E146:H146)/4&gt;4),1,0)</f>
        <v>0</v>
      </c>
    </row>
    <row r="147" spans="1:14" hidden="1" x14ac:dyDescent="0.3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>IF(AND(C147=0,D147&gt;=5,SUM(E147:H147)/4&gt;4),1,0)</f>
        <v>0</v>
      </c>
    </row>
    <row r="148" spans="1:14" hidden="1" x14ac:dyDescent="0.3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>IF(AND(C148=0,D148&gt;=5,SUM(E148:H148)/4&gt;4),1,0)</f>
        <v>0</v>
      </c>
    </row>
    <row r="149" spans="1:14" hidden="1" x14ac:dyDescent="0.3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>IF(AND(C149=0,D149&gt;=5,SUM(E149:H149)/4&gt;4),1,0)</f>
        <v>0</v>
      </c>
    </row>
    <row r="150" spans="1:14" hidden="1" x14ac:dyDescent="0.3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>IF(AND(C150=0,D150&gt;=5,SUM(E150:H150)/4&gt;4),1,0)</f>
        <v>0</v>
      </c>
    </row>
    <row r="151" spans="1:14" hidden="1" x14ac:dyDescent="0.3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>IF(AND(C151=0,D151&gt;=5,SUM(E151:H151)/4&gt;4),1,0)</f>
        <v>0</v>
      </c>
    </row>
    <row r="152" spans="1:14" hidden="1" x14ac:dyDescent="0.3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>IF(AND(C152=0,D152&gt;=5,SUM(E152:H152)/4&gt;4),1,0)</f>
        <v>0</v>
      </c>
    </row>
    <row r="153" spans="1:14" hidden="1" x14ac:dyDescent="0.3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>IF(AND(C153=0,D153&gt;=5,SUM(E153:H153)/4&gt;4),1,0)</f>
        <v>0</v>
      </c>
    </row>
    <row r="154" spans="1:14" hidden="1" x14ac:dyDescent="0.3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>IF(AND(C154=0,D154&gt;=5,SUM(E154:H154)/4&gt;4),1,0)</f>
        <v>0</v>
      </c>
    </row>
    <row r="155" spans="1:14" hidden="1" x14ac:dyDescent="0.3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>IF(AND(C155=0,D155&gt;=5,SUM(E155:H155)/4&gt;4),1,0)</f>
        <v>0</v>
      </c>
    </row>
    <row r="156" spans="1:14" hidden="1" x14ac:dyDescent="0.3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>IF(AND(C156=0,D156&gt;=5,SUM(E156:H156)/4&gt;4),1,0)</f>
        <v>0</v>
      </c>
    </row>
    <row r="157" spans="1:14" hidden="1" x14ac:dyDescent="0.3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>IF(AND(C157=0,D157&gt;=5,SUM(E157:H157)/4&gt;4),1,0)</f>
        <v>0</v>
      </c>
    </row>
    <row r="158" spans="1:14" hidden="1" x14ac:dyDescent="0.3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>IF(AND(C158=0,D158&gt;=5,SUM(E158:H158)/4&gt;4),1,0)</f>
        <v>0</v>
      </c>
    </row>
    <row r="159" spans="1:14" hidden="1" x14ac:dyDescent="0.3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>IF(AND(C159=0,D159&gt;=5,SUM(E159:H159)/4&gt;4),1,0)</f>
        <v>0</v>
      </c>
    </row>
    <row r="160" spans="1:14" hidden="1" x14ac:dyDescent="0.3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>IF(AND(C160=0,D160&gt;=5,SUM(E160:H160)/4&gt;4),1,0)</f>
        <v>0</v>
      </c>
    </row>
    <row r="161" spans="1:14" hidden="1" x14ac:dyDescent="0.3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>IF(AND(C161=0,D161&gt;=5,SUM(E161:H161)/4&gt;4),1,0)</f>
        <v>0</v>
      </c>
    </row>
    <row r="162" spans="1:14" hidden="1" x14ac:dyDescent="0.3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>IF(AND(C162=0,D162&gt;=5,SUM(E162:H162)/4&gt;4),1,0)</f>
        <v>0</v>
      </c>
    </row>
    <row r="163" spans="1:14" hidden="1" x14ac:dyDescent="0.3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>IF(AND(C163=0,D163&gt;=5,SUM(E163:H163)/4&gt;4),1,0)</f>
        <v>0</v>
      </c>
    </row>
    <row r="164" spans="1:14" hidden="1" x14ac:dyDescent="0.3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>IF(AND(C164=0,D164&gt;=5,SUM(E164:H164)/4&gt;4),1,0)</f>
        <v>0</v>
      </c>
    </row>
    <row r="165" spans="1:14" hidden="1" x14ac:dyDescent="0.3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>IF(AND(C165=0,D165&gt;=5,SUM(E165:H165)/4&gt;4),1,0)</f>
        <v>0</v>
      </c>
    </row>
    <row r="166" spans="1:14" hidden="1" x14ac:dyDescent="0.3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>IF(AND(C166=0,D166&gt;=5,SUM(E166:H166)/4&gt;4),1,0)</f>
        <v>0</v>
      </c>
    </row>
    <row r="167" spans="1:14" hidden="1" x14ac:dyDescent="0.3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>IF(AND(C167=0,D167&gt;=5,SUM(E167:H167)/4&gt;4),1,0)</f>
        <v>0</v>
      </c>
    </row>
    <row r="168" spans="1:14" hidden="1" x14ac:dyDescent="0.3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>IF(AND(C168=0,D168&gt;=5,SUM(E168:H168)/4&gt;4),1,0)</f>
        <v>0</v>
      </c>
    </row>
    <row r="169" spans="1:14" hidden="1" x14ac:dyDescent="0.3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>IF(AND(C169=0,D169&gt;=5,SUM(E169:H169)/4&gt;4),1,0)</f>
        <v>0</v>
      </c>
    </row>
    <row r="170" spans="1:14" hidden="1" x14ac:dyDescent="0.3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>IF(AND(C170=0,D170&gt;=5,SUM(E170:H170)/4&gt;4),1,0)</f>
        <v>0</v>
      </c>
    </row>
    <row r="171" spans="1:14" hidden="1" x14ac:dyDescent="0.3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>IF(AND(C171=0,D171&gt;=5,SUM(E171:H171)/4&gt;4),1,0)</f>
        <v>0</v>
      </c>
    </row>
    <row r="172" spans="1:14" hidden="1" x14ac:dyDescent="0.3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>IF(AND(C172=0,D172&gt;=5,SUM(E172:H172)/4&gt;4),1,0)</f>
        <v>0</v>
      </c>
    </row>
    <row r="173" spans="1:14" hidden="1" x14ac:dyDescent="0.3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>IF(AND(C173=0,D173&gt;=5,SUM(E173:H173)/4&gt;4),1,0)</f>
        <v>0</v>
      </c>
    </row>
    <row r="174" spans="1:14" hidden="1" x14ac:dyDescent="0.3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>IF(AND(C174=0,D174&gt;=5,SUM(E174:H174)/4&gt;4),1,0)</f>
        <v>0</v>
      </c>
    </row>
    <row r="175" spans="1:14" hidden="1" x14ac:dyDescent="0.3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>IF(AND(C175=0,D175&gt;=5,SUM(E175:H175)/4&gt;4),1,0)</f>
        <v>0</v>
      </c>
    </row>
    <row r="176" spans="1:14" hidden="1" x14ac:dyDescent="0.3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>IF(AND(C176=0,D176&gt;=5,SUM(E176:H176)/4&gt;4),1,0)</f>
        <v>0</v>
      </c>
    </row>
    <row r="177" spans="1:14" hidden="1" x14ac:dyDescent="0.3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>IF(AND(C177=0,D177&gt;=5,SUM(E177:H177)/4&gt;4),1,0)</f>
        <v>0</v>
      </c>
    </row>
    <row r="178" spans="1:14" hidden="1" x14ac:dyDescent="0.3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>IF(AND(C178=0,D178&gt;=5,SUM(E178:H178)/4&gt;4),1,0)</f>
        <v>0</v>
      </c>
    </row>
    <row r="179" spans="1:14" hidden="1" x14ac:dyDescent="0.3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>IF(AND(C179=0,D179&gt;=5,SUM(E179:H179)/4&gt;4),1,0)</f>
        <v>0</v>
      </c>
    </row>
    <row r="180" spans="1:14" hidden="1" x14ac:dyDescent="0.3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>IF(AND(C180=0,D180&gt;=5,SUM(E180:H180)/4&gt;4),1,0)</f>
        <v>0</v>
      </c>
    </row>
    <row r="181" spans="1:14" x14ac:dyDescent="0.35">
      <c r="A181" s="7" t="s">
        <v>328</v>
      </c>
      <c r="B181" s="8" t="s">
        <v>68</v>
      </c>
      <c r="C181" s="9">
        <v>0</v>
      </c>
      <c r="D181" s="9">
        <v>6</v>
      </c>
      <c r="E181" s="9">
        <v>6</v>
      </c>
      <c r="F181" s="9">
        <v>4</v>
      </c>
      <c r="G181" s="9">
        <v>4</v>
      </c>
      <c r="H181" s="9">
        <v>3</v>
      </c>
      <c r="I181" s="9">
        <v>25</v>
      </c>
      <c r="J181" s="9">
        <v>40</v>
      </c>
      <c r="K181" s="9">
        <v>61</v>
      </c>
      <c r="L181" s="9">
        <v>59</v>
      </c>
      <c r="M181" s="10">
        <v>88</v>
      </c>
      <c r="N181">
        <f>IF(AND(C181=0,D181&gt;=5,SUM(E181:H181)/4&gt;4),1,0)</f>
        <v>1</v>
      </c>
    </row>
    <row r="182" spans="1:14" hidden="1" x14ac:dyDescent="0.3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>IF(AND(C182=0,D182&gt;=5,SUM(E182:H182)/4&gt;4),1,0)</f>
        <v>0</v>
      </c>
    </row>
    <row r="183" spans="1:14" hidden="1" x14ac:dyDescent="0.3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>IF(AND(C183=0,D183&gt;=5,SUM(E183:H183)/4&gt;4),1,0)</f>
        <v>0</v>
      </c>
    </row>
    <row r="184" spans="1:14" hidden="1" x14ac:dyDescent="0.3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>IF(AND(C184=0,D184&gt;=5,SUM(E184:H184)/4&gt;4),1,0)</f>
        <v>0</v>
      </c>
    </row>
    <row r="185" spans="1:14" hidden="1" x14ac:dyDescent="0.3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>IF(AND(C185=0,D185&gt;=5,SUM(E185:H185)/4&gt;4),1,0)</f>
        <v>0</v>
      </c>
    </row>
    <row r="186" spans="1:14" hidden="1" x14ac:dyDescent="0.3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>IF(AND(C186=0,D186&gt;=5,SUM(E186:H186)/4&gt;4),1,0)</f>
        <v>0</v>
      </c>
    </row>
    <row r="187" spans="1:14" hidden="1" x14ac:dyDescent="0.3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>IF(AND(C187=0,D187&gt;=5,SUM(E187:H187)/4&gt;4),1,0)</f>
        <v>0</v>
      </c>
    </row>
    <row r="188" spans="1:14" hidden="1" x14ac:dyDescent="0.3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>IF(AND(C188=0,D188&gt;=5,SUM(E188:H188)/4&gt;4),1,0)</f>
        <v>0</v>
      </c>
    </row>
    <row r="189" spans="1:14" hidden="1" x14ac:dyDescent="0.3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>IF(AND(C189=0,D189&gt;=5,SUM(E189:H189)/4&gt;4),1,0)</f>
        <v>0</v>
      </c>
    </row>
    <row r="190" spans="1:14" hidden="1" x14ac:dyDescent="0.3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>IF(AND(C190=0,D190&gt;=5,SUM(E190:H190)/4&gt;4),1,0)</f>
        <v>0</v>
      </c>
    </row>
    <row r="191" spans="1:14" hidden="1" x14ac:dyDescent="0.3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>IF(AND(C191=0,D191&gt;=5,SUM(E191:H191)/4&gt;4),1,0)</f>
        <v>0</v>
      </c>
    </row>
    <row r="192" spans="1:14" hidden="1" x14ac:dyDescent="0.3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>IF(AND(C192=0,D192&gt;=5,SUM(E192:H192)/4&gt;4),1,0)</f>
        <v>0</v>
      </c>
    </row>
    <row r="193" spans="1:14" hidden="1" x14ac:dyDescent="0.3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>IF(AND(C193=0,D193&gt;=5,SUM(E193:H193)/4&gt;4),1,0)</f>
        <v>0</v>
      </c>
    </row>
    <row r="194" spans="1:14" hidden="1" x14ac:dyDescent="0.3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>IF(AND(C194=0,D194&gt;=5,SUM(E194:H194)/4&gt;4),1,0)</f>
        <v>0</v>
      </c>
    </row>
    <row r="195" spans="1:14" hidden="1" x14ac:dyDescent="0.3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>IF(AND(C195=0,D195&gt;=5,SUM(E195:H195)/4&gt;4),1,0)</f>
        <v>0</v>
      </c>
    </row>
    <row r="196" spans="1:14" hidden="1" x14ac:dyDescent="0.3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>IF(AND(C196=0,D196&gt;=5,SUM(E196:H196)/4&gt;4),1,0)</f>
        <v>0</v>
      </c>
    </row>
    <row r="197" spans="1:14" hidden="1" x14ac:dyDescent="0.3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>IF(AND(C197=0,D197&gt;=5,SUM(E197:H197)/4&gt;4),1,0)</f>
        <v>0</v>
      </c>
    </row>
    <row r="198" spans="1:14" hidden="1" x14ac:dyDescent="0.3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>IF(AND(C198=0,D198&gt;=5,SUM(E198:H198)/4&gt;4),1,0)</f>
        <v>0</v>
      </c>
    </row>
    <row r="199" spans="1:14" hidden="1" x14ac:dyDescent="0.3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>IF(AND(C199=0,D199&gt;=5,SUM(E199:H199)/4&gt;4),1,0)</f>
        <v>0</v>
      </c>
    </row>
    <row r="200" spans="1:14" hidden="1" x14ac:dyDescent="0.3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>IF(AND(C200=0,D200&gt;=5,SUM(E200:H200)/4&gt;4),1,0)</f>
        <v>0</v>
      </c>
    </row>
    <row r="201" spans="1:14" hidden="1" x14ac:dyDescent="0.3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>IF(AND(C201=0,D201&gt;=5,SUM(E201:H201)/4&gt;4),1,0)</f>
        <v>0</v>
      </c>
    </row>
    <row r="202" spans="1:14" x14ac:dyDescent="0.35">
      <c r="A202" s="11" t="s">
        <v>276</v>
      </c>
      <c r="B202" s="12" t="s">
        <v>180</v>
      </c>
      <c r="C202" s="13">
        <v>0</v>
      </c>
      <c r="D202" s="13">
        <v>6</v>
      </c>
      <c r="E202" s="13">
        <v>5</v>
      </c>
      <c r="F202" s="13">
        <v>6</v>
      </c>
      <c r="G202" s="13">
        <v>6</v>
      </c>
      <c r="H202" s="13">
        <v>6</v>
      </c>
      <c r="I202" s="13">
        <v>43</v>
      </c>
      <c r="J202" s="13">
        <v>3</v>
      </c>
      <c r="K202" s="13">
        <v>56</v>
      </c>
      <c r="L202" s="13">
        <v>52</v>
      </c>
      <c r="M202" s="14">
        <v>41</v>
      </c>
      <c r="N202">
        <f>IF(AND(C202=0,D202&gt;=5,SUM(E202:H202)/4&gt;4),1,0)</f>
        <v>1</v>
      </c>
    </row>
    <row r="203" spans="1:14" hidden="1" x14ac:dyDescent="0.3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>IF(AND(C203=0,D203&gt;=5,SUM(E203:H203)/4&gt;4),1,0)</f>
        <v>0</v>
      </c>
    </row>
    <row r="204" spans="1:14" hidden="1" x14ac:dyDescent="0.3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>IF(AND(C204=0,D204&gt;=5,SUM(E204:H204)/4&gt;4),1,0)</f>
        <v>0</v>
      </c>
    </row>
    <row r="205" spans="1:14" hidden="1" x14ac:dyDescent="0.3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>IF(AND(C205=0,D205&gt;=5,SUM(E205:H205)/4&gt;4),1,0)</f>
        <v>0</v>
      </c>
    </row>
    <row r="206" spans="1:14" hidden="1" x14ac:dyDescent="0.3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>IF(AND(C206=0,D206&gt;=5,SUM(E206:H206)/4&gt;4),1,0)</f>
        <v>0</v>
      </c>
    </row>
    <row r="207" spans="1:14" hidden="1" x14ac:dyDescent="0.3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>IF(AND(C207=0,D207&gt;=5,SUM(E207:H207)/4&gt;4),1,0)</f>
        <v>0</v>
      </c>
    </row>
    <row r="208" spans="1:14" hidden="1" x14ac:dyDescent="0.3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>IF(AND(C208=0,D208&gt;=5,SUM(E208:H208)/4&gt;4),1,0)</f>
        <v>0</v>
      </c>
    </row>
    <row r="209" spans="1:14" hidden="1" x14ac:dyDescent="0.3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>IF(AND(C209=0,D209&gt;=5,SUM(E209:H209)/4&gt;4),1,0)</f>
        <v>0</v>
      </c>
    </row>
    <row r="210" spans="1:14" hidden="1" x14ac:dyDescent="0.3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>IF(AND(C210=0,D210&gt;=5,SUM(E210:H210)/4&gt;4),1,0)</f>
        <v>0</v>
      </c>
    </row>
    <row r="211" spans="1:14" hidden="1" x14ac:dyDescent="0.3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>IF(AND(C211=0,D211&gt;=5,SUM(E211:H211)/4&gt;4),1,0)</f>
        <v>0</v>
      </c>
    </row>
    <row r="212" spans="1:14" hidden="1" x14ac:dyDescent="0.3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>IF(AND(C212=0,D212&gt;=5,SUM(E212:H212)/4&gt;4),1,0)</f>
        <v>0</v>
      </c>
    </row>
    <row r="213" spans="1:14" hidden="1" x14ac:dyDescent="0.3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>IF(AND(C213=0,D213&gt;=5,SUM(E213:H213)/4&gt;4),1,0)</f>
        <v>0</v>
      </c>
    </row>
    <row r="214" spans="1:14" hidden="1" x14ac:dyDescent="0.3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>IF(AND(C214=0,D214&gt;=5,SUM(E214:H214)/4&gt;4),1,0)</f>
        <v>0</v>
      </c>
    </row>
    <row r="215" spans="1:14" hidden="1" x14ac:dyDescent="0.3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>IF(AND(C215=0,D215&gt;=5,SUM(E215:H215)/4&gt;4),1,0)</f>
        <v>0</v>
      </c>
    </row>
    <row r="216" spans="1:14" hidden="1" x14ac:dyDescent="0.3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>IF(AND(C216=0,D216&gt;=5,SUM(E216:H216)/4&gt;4),1,0)</f>
        <v>0</v>
      </c>
    </row>
    <row r="217" spans="1:14" hidden="1" x14ac:dyDescent="0.3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>IF(AND(C217=0,D217&gt;=5,SUM(E217:H217)/4&gt;4),1,0)</f>
        <v>0</v>
      </c>
    </row>
    <row r="218" spans="1:14" hidden="1" x14ac:dyDescent="0.3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>IF(AND(C218=0,D218&gt;=5,SUM(E218:H218)/4&gt;4),1,0)</f>
        <v>0</v>
      </c>
    </row>
    <row r="219" spans="1:14" hidden="1" x14ac:dyDescent="0.3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>IF(AND(C219=0,D219&gt;=5,SUM(E219:H219)/4&gt;4),1,0)</f>
        <v>0</v>
      </c>
    </row>
    <row r="220" spans="1:14" hidden="1" x14ac:dyDescent="0.3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>IF(AND(C220=0,D220&gt;=5,SUM(E220:H220)/4&gt;4),1,0)</f>
        <v>0</v>
      </c>
    </row>
    <row r="221" spans="1:14" hidden="1" x14ac:dyDescent="0.3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>IF(AND(C221=0,D221&gt;=5,SUM(E221:H221)/4&gt;4),1,0)</f>
        <v>0</v>
      </c>
    </row>
    <row r="222" spans="1:14" x14ac:dyDescent="0.35">
      <c r="A222" s="7" t="s">
        <v>423</v>
      </c>
      <c r="B222" s="8" t="s">
        <v>76</v>
      </c>
      <c r="C222" s="9">
        <v>0</v>
      </c>
      <c r="D222" s="9">
        <v>6</v>
      </c>
      <c r="E222" s="9">
        <v>6</v>
      </c>
      <c r="F222" s="9">
        <v>5</v>
      </c>
      <c r="G222" s="9">
        <v>4</v>
      </c>
      <c r="H222" s="9">
        <v>3</v>
      </c>
      <c r="I222" s="9">
        <v>98</v>
      </c>
      <c r="J222" s="9">
        <v>79</v>
      </c>
      <c r="K222" s="9">
        <v>65</v>
      </c>
      <c r="L222" s="9">
        <v>41</v>
      </c>
      <c r="M222" s="10">
        <v>48</v>
      </c>
      <c r="N222">
        <f>IF(AND(C222=0,D222&gt;=5,SUM(E222:H222)/4&gt;4),1,0)</f>
        <v>1</v>
      </c>
    </row>
    <row r="223" spans="1:14" hidden="1" x14ac:dyDescent="0.3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>IF(AND(C223=0,D223&gt;=5,SUM(E223:H223)/4&gt;4),1,0)</f>
        <v>0</v>
      </c>
    </row>
    <row r="224" spans="1:14" hidden="1" x14ac:dyDescent="0.3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>IF(AND(C224=0,D224&gt;=5,SUM(E224:H224)/4&gt;4),1,0)</f>
        <v>0</v>
      </c>
    </row>
    <row r="225" spans="1:14" hidden="1" x14ac:dyDescent="0.3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>IF(AND(C225=0,D225&gt;=5,SUM(E225:H225)/4&gt;4),1,0)</f>
        <v>0</v>
      </c>
    </row>
    <row r="226" spans="1:14" hidden="1" x14ac:dyDescent="0.3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>IF(AND(C226=0,D226&gt;=5,SUM(E226:H226)/4&gt;4),1,0)</f>
        <v>0</v>
      </c>
    </row>
    <row r="227" spans="1:14" hidden="1" x14ac:dyDescent="0.3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>IF(AND(C227=0,D227&gt;=5,SUM(E227:H227)/4&gt;4),1,0)</f>
        <v>0</v>
      </c>
    </row>
    <row r="228" spans="1:14" hidden="1" x14ac:dyDescent="0.3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>IF(AND(C228=0,D228&gt;=5,SUM(E228:H228)/4&gt;4),1,0)</f>
        <v>0</v>
      </c>
    </row>
    <row r="229" spans="1:14" hidden="1" x14ac:dyDescent="0.3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>IF(AND(C229=0,D229&gt;=5,SUM(E229:H229)/4&gt;4),1,0)</f>
        <v>0</v>
      </c>
    </row>
    <row r="230" spans="1:14" hidden="1" x14ac:dyDescent="0.3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>IF(AND(C230=0,D230&gt;=5,SUM(E230:H230)/4&gt;4),1,0)</f>
        <v>0</v>
      </c>
    </row>
    <row r="231" spans="1:14" hidden="1" x14ac:dyDescent="0.3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>IF(AND(C231=0,D231&gt;=5,SUM(E231:H231)/4&gt;4),1,0)</f>
        <v>0</v>
      </c>
    </row>
    <row r="232" spans="1:14" hidden="1" x14ac:dyDescent="0.3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>IF(AND(C232=0,D232&gt;=5,SUM(E232:H232)/4&gt;4),1,0)</f>
        <v>0</v>
      </c>
    </row>
    <row r="233" spans="1:14" hidden="1" x14ac:dyDescent="0.3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>IF(AND(C233=0,D233&gt;=5,SUM(E233:H233)/4&gt;4),1,0)</f>
        <v>0</v>
      </c>
    </row>
    <row r="234" spans="1:14" hidden="1" x14ac:dyDescent="0.3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>IF(AND(C234=0,D234&gt;=5,SUM(E234:H234)/4&gt;4),1,0)</f>
        <v>0</v>
      </c>
    </row>
    <row r="235" spans="1:14" hidden="1" x14ac:dyDescent="0.3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>IF(AND(C235=0,D235&gt;=5,SUM(E235:H235)/4&gt;4),1,0)</f>
        <v>0</v>
      </c>
    </row>
    <row r="236" spans="1:14" hidden="1" x14ac:dyDescent="0.3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>IF(AND(C236=0,D236&gt;=5,SUM(E236:H236)/4&gt;4),1,0)</f>
        <v>0</v>
      </c>
    </row>
    <row r="237" spans="1:14" hidden="1" x14ac:dyDescent="0.3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>IF(AND(C237=0,D237&gt;=5,SUM(E237:H237)/4&gt;4),1,0)</f>
        <v>0</v>
      </c>
    </row>
    <row r="238" spans="1:14" hidden="1" x14ac:dyDescent="0.3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>IF(AND(C238=0,D238&gt;=5,SUM(E238:H238)/4&gt;4),1,0)</f>
        <v>0</v>
      </c>
    </row>
    <row r="239" spans="1:14" hidden="1" x14ac:dyDescent="0.3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>IF(AND(C239=0,D239&gt;=5,SUM(E239:H239)/4&gt;4),1,0)</f>
        <v>0</v>
      </c>
    </row>
    <row r="240" spans="1:14" hidden="1" x14ac:dyDescent="0.3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>IF(AND(C240=0,D240&gt;=5,SUM(E240:H240)/4&gt;4),1,0)</f>
        <v>0</v>
      </c>
    </row>
    <row r="241" spans="1:14" hidden="1" x14ac:dyDescent="0.3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>IF(AND(C241=0,D241&gt;=5,SUM(E241:H241)/4&gt;4),1,0)</f>
        <v>0</v>
      </c>
    </row>
    <row r="242" spans="1:14" hidden="1" x14ac:dyDescent="0.3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>IF(AND(C242=0,D242&gt;=5,SUM(E242:H242)/4&gt;4),1,0)</f>
        <v>0</v>
      </c>
    </row>
    <row r="243" spans="1:14" hidden="1" x14ac:dyDescent="0.3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>IF(AND(C243=0,D243&gt;=5,SUM(E243:H243)/4&gt;4),1,0)</f>
        <v>0</v>
      </c>
    </row>
    <row r="244" spans="1:14" hidden="1" x14ac:dyDescent="0.3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>IF(AND(C244=0,D244&gt;=5,SUM(E244:H244)/4&gt;4),1,0)</f>
        <v>0</v>
      </c>
    </row>
    <row r="245" spans="1:14" hidden="1" x14ac:dyDescent="0.3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>IF(AND(C245=0,D245&gt;=5,SUM(E245:H245)/4&gt;4),1,0)</f>
        <v>0</v>
      </c>
    </row>
    <row r="246" spans="1:14" hidden="1" x14ac:dyDescent="0.3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>IF(AND(C246=0,D246&gt;=5,SUM(E246:H246)/4&gt;4),1,0)</f>
        <v>0</v>
      </c>
    </row>
    <row r="247" spans="1:14" hidden="1" x14ac:dyDescent="0.3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>IF(AND(C247=0,D247&gt;=5,SUM(E247:H247)/4&gt;4),1,0)</f>
        <v>0</v>
      </c>
    </row>
    <row r="248" spans="1:14" hidden="1" x14ac:dyDescent="0.3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>IF(AND(C248=0,D248&gt;=5,SUM(E248:H248)/4&gt;4),1,0)</f>
        <v>0</v>
      </c>
    </row>
    <row r="249" spans="1:14" hidden="1" x14ac:dyDescent="0.3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>IF(AND(C249=0,D249&gt;=5,SUM(E249:H249)/4&gt;4),1,0)</f>
        <v>0</v>
      </c>
    </row>
    <row r="250" spans="1:14" x14ac:dyDescent="0.35">
      <c r="A250" s="11" t="s">
        <v>235</v>
      </c>
      <c r="B250" s="12" t="s">
        <v>110</v>
      </c>
      <c r="C250" s="13">
        <v>0</v>
      </c>
      <c r="D250" s="13">
        <v>5</v>
      </c>
      <c r="E250" s="13">
        <v>6</v>
      </c>
      <c r="F250" s="13">
        <v>4</v>
      </c>
      <c r="G250" s="13">
        <v>2</v>
      </c>
      <c r="H250" s="13">
        <v>6</v>
      </c>
      <c r="I250" s="13">
        <v>8</v>
      </c>
      <c r="J250" s="13">
        <v>13</v>
      </c>
      <c r="K250" s="13">
        <v>38</v>
      </c>
      <c r="L250" s="13">
        <v>1</v>
      </c>
      <c r="M250" s="14">
        <v>39</v>
      </c>
      <c r="N250">
        <f>IF(AND(C250=0,D250&gt;=5,SUM(E250:H250)/4&gt;4),1,0)</f>
        <v>1</v>
      </c>
    </row>
    <row r="251" spans="1:14" hidden="1" x14ac:dyDescent="0.3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>IF(AND(C251=0,D251&gt;=5,SUM(E251:H251)/4&gt;4),1,0)</f>
        <v>0</v>
      </c>
    </row>
    <row r="252" spans="1:14" hidden="1" x14ac:dyDescent="0.3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>IF(AND(C252=0,D252&gt;=5,SUM(E252:H252)/4&gt;4),1,0)</f>
        <v>0</v>
      </c>
    </row>
    <row r="253" spans="1:14" hidden="1" x14ac:dyDescent="0.3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>IF(AND(C253=0,D253&gt;=5,SUM(E253:H253)/4&gt;4),1,0)</f>
        <v>0</v>
      </c>
    </row>
    <row r="254" spans="1:14" hidden="1" x14ac:dyDescent="0.3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>IF(AND(C254=0,D254&gt;=5,SUM(E254:H254)/4&gt;4),1,0)</f>
        <v>0</v>
      </c>
    </row>
    <row r="255" spans="1:14" hidden="1" x14ac:dyDescent="0.3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>IF(AND(C255=0,D255&gt;=5,SUM(E255:H255)/4&gt;4),1,0)</f>
        <v>0</v>
      </c>
    </row>
    <row r="256" spans="1:14" hidden="1" x14ac:dyDescent="0.3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>IF(AND(C256=0,D256&gt;=5,SUM(E256:H256)/4&gt;4),1,0)</f>
        <v>0</v>
      </c>
    </row>
    <row r="257" spans="1:14" hidden="1" x14ac:dyDescent="0.3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>IF(AND(C257=0,D257&gt;=5,SUM(E257:H257)/4&gt;4),1,0)</f>
        <v>0</v>
      </c>
    </row>
    <row r="258" spans="1:14" hidden="1" x14ac:dyDescent="0.3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>IF(AND(C258=0,D258&gt;=5,SUM(E258:H258)/4&gt;4),1,0)</f>
        <v>0</v>
      </c>
    </row>
    <row r="259" spans="1:14" hidden="1" x14ac:dyDescent="0.3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>IF(AND(C259=0,D259&gt;=5,SUM(E259:H259)/4&gt;4),1,0)</f>
        <v>0</v>
      </c>
    </row>
    <row r="260" spans="1:14" hidden="1" x14ac:dyDescent="0.3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>IF(AND(C260=0,D260&gt;=5,SUM(E260:H260)/4&gt;4),1,0)</f>
        <v>0</v>
      </c>
    </row>
    <row r="261" spans="1:14" hidden="1" x14ac:dyDescent="0.3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>IF(AND(C261=0,D261&gt;=5,SUM(E261:H261)/4&gt;4),1,0)</f>
        <v>0</v>
      </c>
    </row>
    <row r="262" spans="1:14" hidden="1" x14ac:dyDescent="0.3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>IF(AND(C262=0,D262&gt;=5,SUM(E262:H262)/4&gt;4),1,0)</f>
        <v>0</v>
      </c>
    </row>
    <row r="263" spans="1:14" hidden="1" x14ac:dyDescent="0.3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>IF(AND(C263=0,D263&gt;=5,SUM(E263:H263)/4&gt;4),1,0)</f>
        <v>0</v>
      </c>
    </row>
    <row r="264" spans="1:14" hidden="1" x14ac:dyDescent="0.3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>IF(AND(C264=0,D264&gt;=5,SUM(E264:H264)/4&gt;4),1,0)</f>
        <v>0</v>
      </c>
    </row>
    <row r="265" spans="1:14" hidden="1" x14ac:dyDescent="0.3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>IF(AND(C265=0,D265&gt;=5,SUM(E265:H265)/4&gt;4),1,0)</f>
        <v>0</v>
      </c>
    </row>
    <row r="266" spans="1:14" hidden="1" x14ac:dyDescent="0.3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>IF(AND(C266=0,D266&gt;=5,SUM(E266:H266)/4&gt;4),1,0)</f>
        <v>0</v>
      </c>
    </row>
    <row r="267" spans="1:14" hidden="1" x14ac:dyDescent="0.3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>IF(AND(C267=0,D267&gt;=5,SUM(E267:H267)/4&gt;4),1,0)</f>
        <v>0</v>
      </c>
    </row>
    <row r="268" spans="1:14" hidden="1" x14ac:dyDescent="0.3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>IF(AND(C268=0,D268&gt;=5,SUM(E268:H268)/4&gt;4),1,0)</f>
        <v>0</v>
      </c>
    </row>
    <row r="269" spans="1:14" hidden="1" x14ac:dyDescent="0.3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>IF(AND(C269=0,D269&gt;=5,SUM(E269:H269)/4&gt;4),1,0)</f>
        <v>0</v>
      </c>
    </row>
    <row r="270" spans="1:14" hidden="1" x14ac:dyDescent="0.3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>IF(AND(C270=0,D270&gt;=5,SUM(E270:H270)/4&gt;4),1,0)</f>
        <v>0</v>
      </c>
    </row>
    <row r="271" spans="1:14" hidden="1" x14ac:dyDescent="0.3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>IF(AND(C271=0,D271&gt;=5,SUM(E271:H271)/4&gt;4),1,0)</f>
        <v>0</v>
      </c>
    </row>
    <row r="272" spans="1:14" hidden="1" x14ac:dyDescent="0.3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>IF(AND(C272=0,D272&gt;=5,SUM(E272:H272)/4&gt;4),1,0)</f>
        <v>0</v>
      </c>
    </row>
    <row r="273" spans="1:14" hidden="1" x14ac:dyDescent="0.3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>IF(AND(C273=0,D273&gt;=5,SUM(E273:H273)/4&gt;4),1,0)</f>
        <v>0</v>
      </c>
    </row>
    <row r="274" spans="1:14" hidden="1" x14ac:dyDescent="0.3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>IF(AND(C274=0,D274&gt;=5,SUM(E274:H274)/4&gt;4),1,0)</f>
        <v>0</v>
      </c>
    </row>
    <row r="275" spans="1:14" hidden="1" x14ac:dyDescent="0.3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>IF(AND(C275=0,D275&gt;=5,SUM(E275:H275)/4&gt;4),1,0)</f>
        <v>0</v>
      </c>
    </row>
    <row r="276" spans="1:14" hidden="1" x14ac:dyDescent="0.3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>IF(AND(C276=0,D276&gt;=5,SUM(E276:H276)/4&gt;4),1,0)</f>
        <v>0</v>
      </c>
    </row>
    <row r="277" spans="1:14" hidden="1" x14ac:dyDescent="0.3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>IF(AND(C277=0,D277&gt;=5,SUM(E277:H277)/4&gt;4),1,0)</f>
        <v>0</v>
      </c>
    </row>
    <row r="278" spans="1:14" hidden="1" x14ac:dyDescent="0.3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>IF(AND(C278=0,D278&gt;=5,SUM(E278:H278)/4&gt;4),1,0)</f>
        <v>0</v>
      </c>
    </row>
    <row r="279" spans="1:14" hidden="1" x14ac:dyDescent="0.3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>IF(AND(C279=0,D279&gt;=5,SUM(E279:H279)/4&gt;4),1,0)</f>
        <v>0</v>
      </c>
    </row>
    <row r="280" spans="1:14" hidden="1" x14ac:dyDescent="0.3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>IF(AND(C280=0,D280&gt;=5,SUM(E280:H280)/4&gt;4),1,0)</f>
        <v>0</v>
      </c>
    </row>
    <row r="281" spans="1:14" hidden="1" x14ac:dyDescent="0.3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>IF(AND(C281=0,D281&gt;=5,SUM(E281:H281)/4&gt;4),1,0)</f>
        <v>0</v>
      </c>
    </row>
    <row r="282" spans="1:14" hidden="1" x14ac:dyDescent="0.3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>IF(AND(C282=0,D282&gt;=5,SUM(E282:H282)/4&gt;4),1,0)</f>
        <v>0</v>
      </c>
    </row>
    <row r="283" spans="1:14" hidden="1" x14ac:dyDescent="0.3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>IF(AND(C283=0,D283&gt;=5,SUM(E283:H283)/4&gt;4),1,0)</f>
        <v>0</v>
      </c>
    </row>
    <row r="284" spans="1:14" hidden="1" x14ac:dyDescent="0.3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>IF(AND(C284=0,D284&gt;=5,SUM(E284:H284)/4&gt;4),1,0)</f>
        <v>0</v>
      </c>
    </row>
    <row r="285" spans="1:14" hidden="1" x14ac:dyDescent="0.3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>IF(AND(C285=0,D285&gt;=5,SUM(E285:H285)/4&gt;4),1,0)</f>
        <v>0</v>
      </c>
    </row>
    <row r="286" spans="1:14" hidden="1" x14ac:dyDescent="0.3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>IF(AND(C286=0,D286&gt;=5,SUM(E286:H286)/4&gt;4),1,0)</f>
        <v>0</v>
      </c>
    </row>
    <row r="287" spans="1:14" hidden="1" x14ac:dyDescent="0.3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>IF(AND(C287=0,D287&gt;=5,SUM(E287:H287)/4&gt;4),1,0)</f>
        <v>0</v>
      </c>
    </row>
    <row r="288" spans="1:14" hidden="1" x14ac:dyDescent="0.3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>IF(AND(C288=0,D288&gt;=5,SUM(E288:H288)/4&gt;4),1,0)</f>
        <v>0</v>
      </c>
    </row>
    <row r="289" spans="1:14" x14ac:dyDescent="0.35">
      <c r="A289" s="11" t="s">
        <v>29</v>
      </c>
      <c r="B289" s="12" t="s">
        <v>30</v>
      </c>
      <c r="C289" s="13">
        <v>0</v>
      </c>
      <c r="D289" s="13">
        <v>5</v>
      </c>
      <c r="E289" s="13">
        <v>3</v>
      </c>
      <c r="F289" s="13">
        <v>6</v>
      </c>
      <c r="G289" s="13">
        <v>6</v>
      </c>
      <c r="H289" s="13">
        <v>4</v>
      </c>
      <c r="I289" s="13">
        <v>28</v>
      </c>
      <c r="J289" s="13">
        <v>53</v>
      </c>
      <c r="K289" s="13">
        <v>38</v>
      </c>
      <c r="L289" s="13">
        <v>63</v>
      </c>
      <c r="M289" s="14">
        <v>70</v>
      </c>
      <c r="N289">
        <f>IF(AND(C289=0,D289&gt;=5,SUM(E289:H289)/4&gt;4),1,0)</f>
        <v>1</v>
      </c>
    </row>
    <row r="290" spans="1:14" hidden="1" x14ac:dyDescent="0.3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>IF(AND(C290=0,D290&gt;=5,SUM(E290:H290)/4&gt;4),1,0)</f>
        <v>0</v>
      </c>
    </row>
    <row r="291" spans="1:14" hidden="1" x14ac:dyDescent="0.3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>IF(AND(C291=0,D291&gt;=5,SUM(E291:H291)/4&gt;4),1,0)</f>
        <v>0</v>
      </c>
    </row>
    <row r="292" spans="1:14" hidden="1" x14ac:dyDescent="0.3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>IF(AND(C292=0,D292&gt;=5,SUM(E292:H292)/4&gt;4),1,0)</f>
        <v>0</v>
      </c>
    </row>
    <row r="293" spans="1:14" hidden="1" x14ac:dyDescent="0.3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>IF(AND(C293=0,D293&gt;=5,SUM(E293:H293)/4&gt;4),1,0)</f>
        <v>0</v>
      </c>
    </row>
    <row r="294" spans="1:14" hidden="1" x14ac:dyDescent="0.3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>IF(AND(C294=0,D294&gt;=5,SUM(E294:H294)/4&gt;4),1,0)</f>
        <v>0</v>
      </c>
    </row>
    <row r="295" spans="1:14" hidden="1" x14ac:dyDescent="0.3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>IF(AND(C295=0,D295&gt;=5,SUM(E295:H295)/4&gt;4),1,0)</f>
        <v>0</v>
      </c>
    </row>
    <row r="296" spans="1:14" hidden="1" x14ac:dyDescent="0.3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>IF(AND(C296=0,D296&gt;=5,SUM(E296:H296)/4&gt;4),1,0)</f>
        <v>0</v>
      </c>
    </row>
    <row r="297" spans="1:14" hidden="1" x14ac:dyDescent="0.3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>IF(AND(C297=0,D297&gt;=5,SUM(E297:H297)/4&gt;4),1,0)</f>
        <v>0</v>
      </c>
    </row>
    <row r="298" spans="1:14" hidden="1" x14ac:dyDescent="0.3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>IF(AND(C298=0,D298&gt;=5,SUM(E298:H298)/4&gt;4),1,0)</f>
        <v>0</v>
      </c>
    </row>
    <row r="299" spans="1:14" hidden="1" x14ac:dyDescent="0.3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>IF(AND(C299=0,D299&gt;=5,SUM(E299:H299)/4&gt;4),1,0)</f>
        <v>0</v>
      </c>
    </row>
    <row r="300" spans="1:14" hidden="1" x14ac:dyDescent="0.3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>IF(AND(C300=0,D300&gt;=5,SUM(E300:H300)/4&gt;4),1,0)</f>
        <v>0</v>
      </c>
    </row>
    <row r="301" spans="1:14" hidden="1" x14ac:dyDescent="0.3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>IF(AND(C301=0,D301&gt;=5,SUM(E301:H301)/4&gt;4),1,0)</f>
        <v>0</v>
      </c>
    </row>
    <row r="302" spans="1:14" hidden="1" x14ac:dyDescent="0.3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>IF(AND(C302=0,D302&gt;=5,SUM(E302:H302)/4&gt;4),1,0)</f>
        <v>0</v>
      </c>
    </row>
    <row r="303" spans="1:14" hidden="1" x14ac:dyDescent="0.3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>IF(AND(C303=0,D303&gt;=5,SUM(E303:H303)/4&gt;4),1,0)</f>
        <v>0</v>
      </c>
    </row>
    <row r="304" spans="1:14" hidden="1" x14ac:dyDescent="0.3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>IF(AND(C304=0,D304&gt;=5,SUM(E304:H304)/4&gt;4),1,0)</f>
        <v>0</v>
      </c>
    </row>
    <row r="305" spans="1:14" hidden="1" x14ac:dyDescent="0.3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>IF(AND(C305=0,D305&gt;=5,SUM(E305:H305)/4&gt;4),1,0)</f>
        <v>0</v>
      </c>
    </row>
    <row r="306" spans="1:14" hidden="1" x14ac:dyDescent="0.3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>IF(AND(C306=0,D306&gt;=5,SUM(E306:H306)/4&gt;4),1,0)</f>
        <v>0</v>
      </c>
    </row>
    <row r="307" spans="1:14" hidden="1" x14ac:dyDescent="0.3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>IF(AND(C307=0,D307&gt;=5,SUM(E307:H307)/4&gt;4),1,0)</f>
        <v>0</v>
      </c>
    </row>
    <row r="308" spans="1:14" hidden="1" x14ac:dyDescent="0.3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>IF(AND(C308=0,D308&gt;=5,SUM(E308:H308)/4&gt;4),1,0)</f>
        <v>0</v>
      </c>
    </row>
    <row r="309" spans="1:14" hidden="1" x14ac:dyDescent="0.3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>IF(AND(C309=0,D309&gt;=5,SUM(E309:H309)/4&gt;4),1,0)</f>
        <v>0</v>
      </c>
    </row>
    <row r="310" spans="1:14" hidden="1" x14ac:dyDescent="0.3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>IF(AND(C310=0,D310&gt;=5,SUM(E310:H310)/4&gt;4),1,0)</f>
        <v>0</v>
      </c>
    </row>
    <row r="311" spans="1:14" hidden="1" x14ac:dyDescent="0.3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>IF(AND(C311=0,D311&gt;=5,SUM(E311:H311)/4&gt;4),1,0)</f>
        <v>0</v>
      </c>
    </row>
    <row r="312" spans="1:14" hidden="1" x14ac:dyDescent="0.3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>IF(AND(C312=0,D312&gt;=5,SUM(E312:H312)/4&gt;4),1,0)</f>
        <v>0</v>
      </c>
    </row>
    <row r="313" spans="1:14" hidden="1" x14ac:dyDescent="0.3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>IF(AND(C313=0,D313&gt;=5,SUM(E313:H313)/4&gt;4),1,0)</f>
        <v>0</v>
      </c>
    </row>
    <row r="314" spans="1:14" hidden="1" x14ac:dyDescent="0.3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>IF(AND(C314=0,D314&gt;=5,SUM(E314:H314)/4&gt;4),1,0)</f>
        <v>0</v>
      </c>
    </row>
    <row r="315" spans="1:14" hidden="1" x14ac:dyDescent="0.3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>IF(AND(C315=0,D315&gt;=5,SUM(E315:H315)/4&gt;4),1,0)</f>
        <v>0</v>
      </c>
    </row>
    <row r="316" spans="1:14" hidden="1" x14ac:dyDescent="0.3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>IF(AND(C316=0,D316&gt;=5,SUM(E316:H316)/4&gt;4),1,0)</f>
        <v>0</v>
      </c>
    </row>
    <row r="317" spans="1:14" hidden="1" x14ac:dyDescent="0.3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>IF(AND(C317=0,D317&gt;=5,SUM(E317:H317)/4&gt;4),1,0)</f>
        <v>0</v>
      </c>
    </row>
    <row r="318" spans="1:14" hidden="1" x14ac:dyDescent="0.3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>IF(AND(C318=0,D318&gt;=5,SUM(E318:H318)/4&gt;4),1,0)</f>
        <v>0</v>
      </c>
    </row>
    <row r="319" spans="1:14" hidden="1" x14ac:dyDescent="0.3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>IF(AND(C319=0,D319&gt;=5,SUM(E319:H319)/4&gt;4),1,0)</f>
        <v>0</v>
      </c>
    </row>
    <row r="320" spans="1:14" hidden="1" x14ac:dyDescent="0.3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>IF(AND(C320=0,D320&gt;=5,SUM(E320:H320)/4&gt;4),1,0)</f>
        <v>0</v>
      </c>
    </row>
    <row r="321" spans="1:14" hidden="1" x14ac:dyDescent="0.3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>IF(AND(C321=0,D321&gt;=5,SUM(E321:H321)/4&gt;4),1,0)</f>
        <v>0</v>
      </c>
    </row>
    <row r="322" spans="1:14" hidden="1" x14ac:dyDescent="0.3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>IF(AND(C322=0,D322&gt;=5,SUM(E322:H322)/4&gt;4),1,0)</f>
        <v>0</v>
      </c>
    </row>
    <row r="323" spans="1:14" hidden="1" x14ac:dyDescent="0.3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>IF(AND(C323=0,D323&gt;=5,SUM(E323:H323)/4&gt;4),1,0)</f>
        <v>0</v>
      </c>
    </row>
    <row r="324" spans="1:14" hidden="1" x14ac:dyDescent="0.3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>IF(AND(C324=0,D324&gt;=5,SUM(E324:H324)/4&gt;4),1,0)</f>
        <v>0</v>
      </c>
    </row>
    <row r="325" spans="1:14" hidden="1" x14ac:dyDescent="0.3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>IF(AND(C325=0,D325&gt;=5,SUM(E325:H325)/4&gt;4),1,0)</f>
        <v>0</v>
      </c>
    </row>
    <row r="326" spans="1:14" hidden="1" x14ac:dyDescent="0.3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>IF(AND(C326=0,D326&gt;=5,SUM(E326:H326)/4&gt;4),1,0)</f>
        <v>0</v>
      </c>
    </row>
    <row r="327" spans="1:14" hidden="1" x14ac:dyDescent="0.3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>IF(AND(C327=0,D327&gt;=5,SUM(E327:H327)/4&gt;4),1,0)</f>
        <v>0</v>
      </c>
    </row>
    <row r="328" spans="1:14" hidden="1" x14ac:dyDescent="0.3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>IF(AND(C328=0,D328&gt;=5,SUM(E328:H328)/4&gt;4),1,0)</f>
        <v>0</v>
      </c>
    </row>
    <row r="329" spans="1:14" hidden="1" x14ac:dyDescent="0.3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>IF(AND(C329=0,D329&gt;=5,SUM(E329:H329)/4&gt;4),1,0)</f>
        <v>0</v>
      </c>
    </row>
    <row r="330" spans="1:14" hidden="1" x14ac:dyDescent="0.3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>IF(AND(C330=0,D330&gt;=5,SUM(E330:H330)/4&gt;4),1,0)</f>
        <v>0</v>
      </c>
    </row>
    <row r="331" spans="1:14" hidden="1" x14ac:dyDescent="0.3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>IF(AND(C331=0,D331&gt;=5,SUM(E331:H331)/4&gt;4),1,0)</f>
        <v>0</v>
      </c>
    </row>
    <row r="332" spans="1:14" hidden="1" x14ac:dyDescent="0.3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>IF(AND(C332=0,D332&gt;=5,SUM(E332:H332)/4&gt;4),1,0)</f>
        <v>0</v>
      </c>
    </row>
    <row r="333" spans="1:14" hidden="1" x14ac:dyDescent="0.3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>IF(AND(C333=0,D333&gt;=5,SUM(E333:H333)/4&gt;4),1,0)</f>
        <v>0</v>
      </c>
    </row>
    <row r="334" spans="1:14" hidden="1" x14ac:dyDescent="0.3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>IF(AND(C334=0,D334&gt;=5,SUM(E334:H334)/4&gt;4),1,0)</f>
        <v>0</v>
      </c>
    </row>
    <row r="335" spans="1:14" hidden="1" x14ac:dyDescent="0.3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>IF(AND(C335=0,D335&gt;=5,SUM(E335:H335)/4&gt;4),1,0)</f>
        <v>0</v>
      </c>
    </row>
    <row r="336" spans="1:14" hidden="1" x14ac:dyDescent="0.3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>IF(AND(C336=0,D336&gt;=5,SUM(E336:H336)/4&gt;4),1,0)</f>
        <v>0</v>
      </c>
    </row>
    <row r="337" spans="1:14" hidden="1" x14ac:dyDescent="0.3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>IF(AND(C337=0,D337&gt;=5,SUM(E337:H337)/4&gt;4),1,0)</f>
        <v>0</v>
      </c>
    </row>
    <row r="338" spans="1:14" hidden="1" x14ac:dyDescent="0.3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>IF(AND(C338=0,D338&gt;=5,SUM(E338:H338)/4&gt;4),1,0)</f>
        <v>0</v>
      </c>
    </row>
    <row r="339" spans="1:14" hidden="1" x14ac:dyDescent="0.3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>IF(AND(C339=0,D339&gt;=5,SUM(E339:H339)/4&gt;4),1,0)</f>
        <v>0</v>
      </c>
    </row>
    <row r="340" spans="1:14" hidden="1" x14ac:dyDescent="0.3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>IF(AND(C340=0,D340&gt;=5,SUM(E340:H340)/4&gt;4),1,0)</f>
        <v>0</v>
      </c>
    </row>
    <row r="341" spans="1:14" hidden="1" x14ac:dyDescent="0.3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>IF(AND(C341=0,D341&gt;=5,SUM(E341:H341)/4&gt;4),1,0)</f>
        <v>0</v>
      </c>
    </row>
    <row r="342" spans="1:14" hidden="1" x14ac:dyDescent="0.3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>IF(AND(C342=0,D342&gt;=5,SUM(E342:H342)/4&gt;4),1,0)</f>
        <v>0</v>
      </c>
    </row>
    <row r="343" spans="1:14" hidden="1" x14ac:dyDescent="0.3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>IF(AND(C343=0,D343&gt;=5,SUM(E343:H343)/4&gt;4),1,0)</f>
        <v>0</v>
      </c>
    </row>
    <row r="344" spans="1:14" hidden="1" x14ac:dyDescent="0.3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>IF(AND(C344=0,D344&gt;=5,SUM(E344:H344)/4&gt;4),1,0)</f>
        <v>0</v>
      </c>
    </row>
    <row r="345" spans="1:14" hidden="1" x14ac:dyDescent="0.3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>IF(AND(C345=0,D345&gt;=5,SUM(E345:H345)/4&gt;4),1,0)</f>
        <v>0</v>
      </c>
    </row>
    <row r="346" spans="1:14" hidden="1" x14ac:dyDescent="0.3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>IF(AND(C346=0,D346&gt;=5,SUM(E346:H346)/4&gt;4),1,0)</f>
        <v>0</v>
      </c>
    </row>
    <row r="347" spans="1:14" hidden="1" x14ac:dyDescent="0.3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>IF(AND(C347=0,D347&gt;=5,SUM(E347:H347)/4&gt;4),1,0)</f>
        <v>0</v>
      </c>
    </row>
    <row r="348" spans="1:14" hidden="1" x14ac:dyDescent="0.3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>IF(AND(C348=0,D348&gt;=5,SUM(E348:H348)/4&gt;4),1,0)</f>
        <v>0</v>
      </c>
    </row>
    <row r="349" spans="1:14" hidden="1" x14ac:dyDescent="0.3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>IF(AND(C349=0,D349&gt;=5,SUM(E349:H349)/4&gt;4),1,0)</f>
        <v>0</v>
      </c>
    </row>
    <row r="350" spans="1:14" hidden="1" x14ac:dyDescent="0.3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>IF(AND(C350=0,D350&gt;=5,SUM(E350:H350)/4&gt;4),1,0)</f>
        <v>0</v>
      </c>
    </row>
    <row r="351" spans="1:14" hidden="1" x14ac:dyDescent="0.3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>IF(AND(C351=0,D351&gt;=5,SUM(E351:H351)/4&gt;4),1,0)</f>
        <v>0</v>
      </c>
    </row>
    <row r="352" spans="1:14" hidden="1" x14ac:dyDescent="0.3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>IF(AND(C352=0,D352&gt;=5,SUM(E352:H352)/4&gt;4),1,0)</f>
        <v>0</v>
      </c>
    </row>
    <row r="353" spans="1:14" hidden="1" x14ac:dyDescent="0.3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>IF(AND(C353=0,D353&gt;=5,SUM(E353:H353)/4&gt;4),1,0)</f>
        <v>0</v>
      </c>
    </row>
    <row r="354" spans="1:14" hidden="1" x14ac:dyDescent="0.3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>IF(AND(C354=0,D354&gt;=5,SUM(E354:H354)/4&gt;4),1,0)</f>
        <v>0</v>
      </c>
    </row>
    <row r="355" spans="1:14" hidden="1" x14ac:dyDescent="0.3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>IF(AND(C355=0,D355&gt;=5,SUM(E355:H355)/4&gt;4),1,0)</f>
        <v>0</v>
      </c>
    </row>
    <row r="356" spans="1:14" hidden="1" x14ac:dyDescent="0.3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>IF(AND(C356=0,D356&gt;=5,SUM(E356:H356)/4&gt;4),1,0)</f>
        <v>0</v>
      </c>
    </row>
    <row r="357" spans="1:14" hidden="1" x14ac:dyDescent="0.3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>IF(AND(C357=0,D357&gt;=5,SUM(E357:H357)/4&gt;4),1,0)</f>
        <v>0</v>
      </c>
    </row>
    <row r="358" spans="1:14" hidden="1" x14ac:dyDescent="0.3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>IF(AND(C358=0,D358&gt;=5,SUM(E358:H358)/4&gt;4),1,0)</f>
        <v>0</v>
      </c>
    </row>
    <row r="359" spans="1:14" hidden="1" x14ac:dyDescent="0.3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>IF(AND(C359=0,D359&gt;=5,SUM(E359:H359)/4&gt;4),1,0)</f>
        <v>0</v>
      </c>
    </row>
    <row r="360" spans="1:14" hidden="1" x14ac:dyDescent="0.3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>IF(AND(C360=0,D360&gt;=5,SUM(E360:H360)/4&gt;4),1,0)</f>
        <v>0</v>
      </c>
    </row>
    <row r="361" spans="1:14" hidden="1" x14ac:dyDescent="0.3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>IF(AND(C361=0,D361&gt;=5,SUM(E361:H361)/4&gt;4),1,0)</f>
        <v>0</v>
      </c>
    </row>
    <row r="362" spans="1:14" hidden="1" x14ac:dyDescent="0.3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>IF(AND(C362=0,D362&gt;=5,SUM(E362:H362)/4&gt;4),1,0)</f>
        <v>0</v>
      </c>
    </row>
    <row r="363" spans="1:14" hidden="1" x14ac:dyDescent="0.3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>IF(AND(C363=0,D363&gt;=5,SUM(E363:H363)/4&gt;4),1,0)</f>
        <v>0</v>
      </c>
    </row>
    <row r="364" spans="1:14" hidden="1" x14ac:dyDescent="0.3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>IF(AND(C364=0,D364&gt;=5,SUM(E364:H364)/4&gt;4),1,0)</f>
        <v>0</v>
      </c>
    </row>
    <row r="365" spans="1:14" hidden="1" x14ac:dyDescent="0.3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>IF(AND(C365=0,D365&gt;=5,SUM(E365:H365)/4&gt;4),1,0)</f>
        <v>0</v>
      </c>
    </row>
    <row r="366" spans="1:14" hidden="1" x14ac:dyDescent="0.3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>IF(AND(C366=0,D366&gt;=5,SUM(E366:H366)/4&gt;4),1,0)</f>
        <v>0</v>
      </c>
    </row>
    <row r="367" spans="1:14" hidden="1" x14ac:dyDescent="0.3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>IF(AND(C367=0,D367&gt;=5,SUM(E367:H367)/4&gt;4),1,0)</f>
        <v>0</v>
      </c>
    </row>
    <row r="368" spans="1:14" hidden="1" x14ac:dyDescent="0.3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>IF(AND(C368=0,D368&gt;=5,SUM(E368:H368)/4&gt;4),1,0)</f>
        <v>0</v>
      </c>
    </row>
    <row r="369" spans="1:14" hidden="1" x14ac:dyDescent="0.3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>IF(AND(C369=0,D369&gt;=5,SUM(E369:H369)/4&gt;4),1,0)</f>
        <v>0</v>
      </c>
    </row>
    <row r="370" spans="1:14" hidden="1" x14ac:dyDescent="0.3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>IF(AND(C370=0,D370&gt;=5,SUM(E370:H370)/4&gt;4),1,0)</f>
        <v>0</v>
      </c>
    </row>
    <row r="371" spans="1:14" hidden="1" x14ac:dyDescent="0.3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>IF(AND(C371=0,D371&gt;=5,SUM(E371:H371)/4&gt;4),1,0)</f>
        <v>0</v>
      </c>
    </row>
    <row r="372" spans="1:14" hidden="1" x14ac:dyDescent="0.3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>IF(AND(C372=0,D372&gt;=5,SUM(E372:H372)/4&gt;4),1,0)</f>
        <v>0</v>
      </c>
    </row>
    <row r="373" spans="1:14" hidden="1" x14ac:dyDescent="0.3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>IF(AND(C373=0,D373&gt;=5,SUM(E373:H373)/4&gt;4),1,0)</f>
        <v>0</v>
      </c>
    </row>
    <row r="374" spans="1:14" hidden="1" x14ac:dyDescent="0.3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>IF(AND(C374=0,D374&gt;=5,SUM(E374:H374)/4&gt;4),1,0)</f>
        <v>0</v>
      </c>
    </row>
    <row r="375" spans="1:14" hidden="1" x14ac:dyDescent="0.3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>IF(AND(C375=0,D375&gt;=5,SUM(E375:H375)/4&gt;4),1,0)</f>
        <v>0</v>
      </c>
    </row>
    <row r="376" spans="1:14" x14ac:dyDescent="0.3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>IF(AND(C376=0,D376&gt;=5,SUM(E376:H376)/4&gt;4),1,0)</f>
        <v>1</v>
      </c>
    </row>
    <row r="377" spans="1:14" hidden="1" x14ac:dyDescent="0.3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>IF(AND(C377=0,D377&gt;=5,SUM(E377:H377)/4&gt;4),1,0)</f>
        <v>0</v>
      </c>
    </row>
    <row r="378" spans="1:14" hidden="1" x14ac:dyDescent="0.3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>IF(AND(C378=0,D378&gt;=5,SUM(E378:H378)/4&gt;4),1,0)</f>
        <v>0</v>
      </c>
    </row>
    <row r="379" spans="1:14" hidden="1" x14ac:dyDescent="0.3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>IF(AND(C379=0,D379&gt;=5,SUM(E379:H379)/4&gt;4),1,0)</f>
        <v>0</v>
      </c>
    </row>
    <row r="380" spans="1:14" hidden="1" x14ac:dyDescent="0.3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>IF(AND(C380=0,D380&gt;=5,SUM(E380:H380)/4&gt;4),1,0)</f>
        <v>0</v>
      </c>
    </row>
    <row r="381" spans="1:14" hidden="1" x14ac:dyDescent="0.3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>IF(AND(C381=0,D381&gt;=5,SUM(E381:H381)/4&gt;4),1,0)</f>
        <v>0</v>
      </c>
    </row>
    <row r="382" spans="1:14" hidden="1" x14ac:dyDescent="0.3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>IF(AND(C382=0,D382&gt;=5,SUM(E382:H382)/4&gt;4),1,0)</f>
        <v>0</v>
      </c>
    </row>
    <row r="383" spans="1:14" hidden="1" x14ac:dyDescent="0.3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>IF(AND(C383=0,D383&gt;=5,SUM(E383:H383)/4&gt;4),1,0)</f>
        <v>0</v>
      </c>
    </row>
    <row r="384" spans="1:14" hidden="1" x14ac:dyDescent="0.3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>IF(AND(C384=0,D384&gt;=5,SUM(E384:H384)/4&gt;4),1,0)</f>
        <v>0</v>
      </c>
    </row>
    <row r="385" spans="1:14" hidden="1" x14ac:dyDescent="0.3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>IF(AND(C385=0,D385&gt;=5,SUM(E385:H385)/4&gt;4),1,0)</f>
        <v>0</v>
      </c>
    </row>
    <row r="386" spans="1:14" hidden="1" x14ac:dyDescent="0.3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>IF(AND(C386=0,D386&gt;=5,SUM(E386:H386)/4&gt;4),1,0)</f>
        <v>0</v>
      </c>
    </row>
    <row r="387" spans="1:14" hidden="1" x14ac:dyDescent="0.3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>IF(AND(C387=0,D387&gt;=5,SUM(E387:H387)/4&gt;4),1,0)</f>
        <v>0</v>
      </c>
    </row>
    <row r="388" spans="1:14" hidden="1" x14ac:dyDescent="0.3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>IF(AND(C388=0,D388&gt;=5,SUM(E388:H388)/4&gt;4),1,0)</f>
        <v>0</v>
      </c>
    </row>
    <row r="389" spans="1:14" hidden="1" x14ac:dyDescent="0.3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>IF(AND(C389=0,D389&gt;=5,SUM(E389:H389)/4&gt;4),1,0)</f>
        <v>0</v>
      </c>
    </row>
    <row r="390" spans="1:14" hidden="1" x14ac:dyDescent="0.3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>IF(AND(C390=0,D390&gt;=5,SUM(E390:H390)/4&gt;4),1,0)</f>
        <v>0</v>
      </c>
    </row>
    <row r="391" spans="1:14" hidden="1" x14ac:dyDescent="0.3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>IF(AND(C391=0,D391&gt;=5,SUM(E391:H391)/4&gt;4),1,0)</f>
        <v>0</v>
      </c>
    </row>
    <row r="392" spans="1:14" hidden="1" x14ac:dyDescent="0.3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>IF(AND(C392=0,D392&gt;=5,SUM(E392:H392)/4&gt;4),1,0)</f>
        <v>0</v>
      </c>
    </row>
    <row r="393" spans="1:14" hidden="1" x14ac:dyDescent="0.3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>IF(AND(C393=0,D393&gt;=5,SUM(E393:H393)/4&gt;4),1,0)</f>
        <v>0</v>
      </c>
    </row>
    <row r="394" spans="1:14" hidden="1" x14ac:dyDescent="0.3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>IF(AND(C394=0,D394&gt;=5,SUM(E394:H394)/4&gt;4),1,0)</f>
        <v>0</v>
      </c>
    </row>
    <row r="395" spans="1:14" hidden="1" x14ac:dyDescent="0.3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>IF(AND(C395=0,D395&gt;=5,SUM(E395:H395)/4&gt;4),1,0)</f>
        <v>0</v>
      </c>
    </row>
    <row r="396" spans="1:14" hidden="1" x14ac:dyDescent="0.3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>IF(AND(C396=0,D396&gt;=5,SUM(E396:H396)/4&gt;4),1,0)</f>
        <v>0</v>
      </c>
    </row>
    <row r="397" spans="1:14" hidden="1" x14ac:dyDescent="0.3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>IF(AND(C397=0,D397&gt;=5,SUM(E397:H397)/4&gt;4),1,0)</f>
        <v>0</v>
      </c>
    </row>
    <row r="398" spans="1:14" hidden="1" x14ac:dyDescent="0.3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>IF(AND(C398=0,D398&gt;=5,SUM(E398:H398)/4&gt;4),1,0)</f>
        <v>0</v>
      </c>
    </row>
    <row r="399" spans="1:14" hidden="1" x14ac:dyDescent="0.3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>IF(AND(C399=0,D399&gt;=5,SUM(E399:H399)/4&gt;4),1,0)</f>
        <v>0</v>
      </c>
    </row>
    <row r="400" spans="1:14" hidden="1" x14ac:dyDescent="0.3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>IF(AND(C400=0,D400&gt;=5,SUM(E400:H400)/4&gt;4),1,0)</f>
        <v>0</v>
      </c>
    </row>
    <row r="401" spans="1:14" hidden="1" x14ac:dyDescent="0.3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>IF(AND(C401=0,D401&gt;=5,SUM(E401:H401)/4&gt;4),1,0)</f>
        <v>0</v>
      </c>
    </row>
    <row r="402" spans="1:14" hidden="1" x14ac:dyDescent="0.3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>IF(AND(C402=0,D402&gt;=5,SUM(E402:H402)/4&gt;4),1,0)</f>
        <v>0</v>
      </c>
    </row>
    <row r="403" spans="1:14" hidden="1" x14ac:dyDescent="0.3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>IF(AND(C403=0,D403&gt;=5,SUM(E403:H403)/4&gt;4),1,0)</f>
        <v>0</v>
      </c>
    </row>
    <row r="404" spans="1:14" hidden="1" x14ac:dyDescent="0.3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>IF(AND(C404=0,D404&gt;=5,SUM(E404:H404)/4&gt;4),1,0)</f>
        <v>0</v>
      </c>
    </row>
    <row r="405" spans="1:14" hidden="1" x14ac:dyDescent="0.3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>IF(AND(C405=0,D405&gt;=5,SUM(E405:H405)/4&gt;4),1,0)</f>
        <v>0</v>
      </c>
    </row>
    <row r="406" spans="1:14" hidden="1" x14ac:dyDescent="0.3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>IF(AND(C406=0,D406&gt;=5,SUM(E406:H406)/4&gt;4),1,0)</f>
        <v>0</v>
      </c>
    </row>
    <row r="407" spans="1:14" hidden="1" x14ac:dyDescent="0.3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>IF(AND(C407=0,D407&gt;=5,SUM(E407:H407)/4&gt;4),1,0)</f>
        <v>0</v>
      </c>
    </row>
    <row r="408" spans="1:14" hidden="1" x14ac:dyDescent="0.3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>IF(AND(C408=0,D408&gt;=5,SUM(E408:H408)/4&gt;4),1,0)</f>
        <v>0</v>
      </c>
    </row>
    <row r="409" spans="1:14" hidden="1" x14ac:dyDescent="0.3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>IF(AND(C409=0,D409&gt;=5,SUM(E409:H409)/4&gt;4),1,0)</f>
        <v>0</v>
      </c>
    </row>
    <row r="410" spans="1:14" hidden="1" x14ac:dyDescent="0.3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>IF(AND(C410=0,D410&gt;=5,SUM(E410:H410)/4&gt;4),1,0)</f>
        <v>0</v>
      </c>
    </row>
    <row r="411" spans="1:14" hidden="1" x14ac:dyDescent="0.3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>IF(AND(C411=0,D411&gt;=5,SUM(E411:H411)/4&gt;4),1,0)</f>
        <v>0</v>
      </c>
    </row>
    <row r="412" spans="1:14" hidden="1" x14ac:dyDescent="0.3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>IF(AND(C412=0,D412&gt;=5,SUM(E412:H412)/4&gt;4),1,0)</f>
        <v>0</v>
      </c>
    </row>
    <row r="413" spans="1:14" hidden="1" x14ac:dyDescent="0.3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>IF(AND(C413=0,D413&gt;=5,SUM(E413:H413)/4&gt;4),1,0)</f>
        <v>0</v>
      </c>
    </row>
    <row r="414" spans="1:14" hidden="1" x14ac:dyDescent="0.3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>IF(AND(C414=0,D414&gt;=5,SUM(E414:H414)/4&gt;4),1,0)</f>
        <v>0</v>
      </c>
    </row>
    <row r="415" spans="1:14" hidden="1" x14ac:dyDescent="0.3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>IF(AND(C415=0,D415&gt;=5,SUM(E415:H415)/4&gt;4),1,0)</f>
        <v>0</v>
      </c>
    </row>
    <row r="416" spans="1:14" hidden="1" x14ac:dyDescent="0.3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>IF(AND(C416=0,D416&gt;=5,SUM(E416:H416)/4&gt;4),1,0)</f>
        <v>0</v>
      </c>
    </row>
    <row r="417" spans="1:14" hidden="1" x14ac:dyDescent="0.3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>IF(AND(C417=0,D417&gt;=5,SUM(E417:H417)/4&gt;4),1,0)</f>
        <v>0</v>
      </c>
    </row>
    <row r="418" spans="1:14" hidden="1" x14ac:dyDescent="0.3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>IF(AND(C418=0,D418&gt;=5,SUM(E418:H418)/4&gt;4),1,0)</f>
        <v>0</v>
      </c>
    </row>
    <row r="419" spans="1:14" hidden="1" x14ac:dyDescent="0.3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>IF(AND(C419=0,D419&gt;=5,SUM(E419:H419)/4&gt;4),1,0)</f>
        <v>0</v>
      </c>
    </row>
    <row r="420" spans="1:14" hidden="1" x14ac:dyDescent="0.3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>IF(AND(C420=0,D420&gt;=5,SUM(E420:H420)/4&gt;4),1,0)</f>
        <v>0</v>
      </c>
    </row>
    <row r="421" spans="1:14" hidden="1" x14ac:dyDescent="0.3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>IF(AND(C421=0,D421&gt;=5,SUM(E421:H421)/4&gt;4),1,0)</f>
        <v>0</v>
      </c>
    </row>
    <row r="422" spans="1:14" hidden="1" x14ac:dyDescent="0.3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>IF(AND(C422=0,D422&gt;=5,SUM(E422:H422)/4&gt;4),1,0)</f>
        <v>0</v>
      </c>
    </row>
    <row r="423" spans="1:14" hidden="1" x14ac:dyDescent="0.3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>IF(AND(C423=0,D423&gt;=5,SUM(E423:H423)/4&gt;4),1,0)</f>
        <v>0</v>
      </c>
    </row>
    <row r="424" spans="1:14" hidden="1" x14ac:dyDescent="0.3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>IF(AND(C424=0,D424&gt;=5,SUM(E424:H424)/4&gt;4),1,0)</f>
        <v>0</v>
      </c>
    </row>
    <row r="425" spans="1:14" hidden="1" x14ac:dyDescent="0.3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>IF(AND(C425=0,D425&gt;=5,SUM(E425:H425)/4&gt;4),1,0)</f>
        <v>0</v>
      </c>
    </row>
    <row r="426" spans="1:14" hidden="1" x14ac:dyDescent="0.3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>IF(AND(C426=0,D426&gt;=5,SUM(E426:H426)/4&gt;4),1,0)</f>
        <v>0</v>
      </c>
    </row>
    <row r="427" spans="1:14" hidden="1" x14ac:dyDescent="0.3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>IF(AND(C427=0,D427&gt;=5,SUM(E427:H427)/4&gt;4),1,0)</f>
        <v>0</v>
      </c>
    </row>
    <row r="428" spans="1:14" hidden="1" x14ac:dyDescent="0.3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>IF(AND(C428=0,D428&gt;=5,SUM(E428:H428)/4&gt;4),1,0)</f>
        <v>0</v>
      </c>
    </row>
    <row r="429" spans="1:14" hidden="1" x14ac:dyDescent="0.3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>IF(AND(C429=0,D429&gt;=5,SUM(E429:H429)/4&gt;4),1,0)</f>
        <v>0</v>
      </c>
    </row>
    <row r="430" spans="1:14" hidden="1" x14ac:dyDescent="0.3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>IF(AND(C430=0,D430&gt;=5,SUM(E430:H430)/4&gt;4),1,0)</f>
        <v>0</v>
      </c>
    </row>
    <row r="431" spans="1:14" hidden="1" x14ac:dyDescent="0.3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>IF(AND(C431=0,D431&gt;=5,SUM(E431:H431)/4&gt;4),1,0)</f>
        <v>0</v>
      </c>
    </row>
    <row r="432" spans="1:14" hidden="1" x14ac:dyDescent="0.3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>IF(AND(C432=0,D432&gt;=5,SUM(E432:H432)/4&gt;4),1,0)</f>
        <v>0</v>
      </c>
    </row>
    <row r="433" spans="1:14" hidden="1" x14ac:dyDescent="0.3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>IF(AND(C433=0,D433&gt;=5,SUM(E433:H433)/4&gt;4),1,0)</f>
        <v>0</v>
      </c>
    </row>
    <row r="434" spans="1:14" hidden="1" x14ac:dyDescent="0.3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>IF(AND(C434=0,D434&gt;=5,SUM(E434:H434)/4&gt;4),1,0)</f>
        <v>0</v>
      </c>
    </row>
    <row r="435" spans="1:14" hidden="1" x14ac:dyDescent="0.3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>IF(AND(C435=0,D435&gt;=5,SUM(E435:H435)/4&gt;4),1,0)</f>
        <v>0</v>
      </c>
    </row>
    <row r="436" spans="1:14" hidden="1" x14ac:dyDescent="0.3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>IF(AND(C436=0,D436&gt;=5,SUM(E436:H436)/4&gt;4),1,0)</f>
        <v>0</v>
      </c>
    </row>
    <row r="437" spans="1:14" hidden="1" x14ac:dyDescent="0.3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>IF(AND(C437=0,D437&gt;=5,SUM(E437:H437)/4&gt;4),1,0)</f>
        <v>0</v>
      </c>
    </row>
    <row r="438" spans="1:14" hidden="1" x14ac:dyDescent="0.3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>IF(AND(C438=0,D438&gt;=5,SUM(E438:H438)/4&gt;4),1,0)</f>
        <v>0</v>
      </c>
    </row>
    <row r="439" spans="1:14" hidden="1" x14ac:dyDescent="0.3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>IF(AND(C439=0,D439&gt;=5,SUM(E439:H439)/4&gt;4),1,0)</f>
        <v>0</v>
      </c>
    </row>
    <row r="440" spans="1:14" hidden="1" x14ac:dyDescent="0.3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>IF(AND(C440=0,D440&gt;=5,SUM(E440:H440)/4&gt;4),1,0)</f>
        <v>0</v>
      </c>
    </row>
    <row r="441" spans="1:14" x14ac:dyDescent="0.35">
      <c r="A441" s="11" t="s">
        <v>613</v>
      </c>
      <c r="B441" s="12" t="s">
        <v>412</v>
      </c>
      <c r="C441" s="13">
        <v>0</v>
      </c>
      <c r="D441" s="13">
        <v>6</v>
      </c>
      <c r="E441" s="13">
        <v>3</v>
      </c>
      <c r="F441" s="13">
        <v>6</v>
      </c>
      <c r="G441" s="13">
        <v>6</v>
      </c>
      <c r="H441" s="13">
        <v>4</v>
      </c>
      <c r="I441" s="13">
        <v>74</v>
      </c>
      <c r="J441" s="13">
        <v>60</v>
      </c>
      <c r="K441" s="13">
        <v>83</v>
      </c>
      <c r="L441" s="13">
        <v>39</v>
      </c>
      <c r="M441" s="14">
        <v>97</v>
      </c>
      <c r="N441">
        <f>IF(AND(C441=0,D441&gt;=5,SUM(E441:H441)/4&gt;4),1,0)</f>
        <v>1</v>
      </c>
    </row>
    <row r="442" spans="1:14" hidden="1" x14ac:dyDescent="0.3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>IF(AND(C442=0,D442&gt;=5,SUM(E442:H442)/4&gt;4),1,0)</f>
        <v>0</v>
      </c>
    </row>
    <row r="443" spans="1:14" hidden="1" x14ac:dyDescent="0.3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>IF(AND(C443=0,D443&gt;=5,SUM(E443:H443)/4&gt;4),1,0)</f>
        <v>0</v>
      </c>
    </row>
    <row r="444" spans="1:14" hidden="1" x14ac:dyDescent="0.3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>IF(AND(C444=0,D444&gt;=5,SUM(E444:H444)/4&gt;4),1,0)</f>
        <v>0</v>
      </c>
    </row>
    <row r="445" spans="1:14" hidden="1" x14ac:dyDescent="0.3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>IF(AND(C445=0,D445&gt;=5,SUM(E445:H445)/4&gt;4),1,0)</f>
        <v>0</v>
      </c>
    </row>
    <row r="446" spans="1:14" hidden="1" x14ac:dyDescent="0.3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>IF(AND(C446=0,D446&gt;=5,SUM(E446:H446)/4&gt;4),1,0)</f>
        <v>0</v>
      </c>
    </row>
    <row r="447" spans="1:14" hidden="1" x14ac:dyDescent="0.3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>IF(AND(C447=0,D447&gt;=5,SUM(E447:H447)/4&gt;4),1,0)</f>
        <v>0</v>
      </c>
    </row>
    <row r="448" spans="1:14" hidden="1" x14ac:dyDescent="0.3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>IF(AND(C448=0,D448&gt;=5,SUM(E448:H448)/4&gt;4),1,0)</f>
        <v>0</v>
      </c>
    </row>
    <row r="449" spans="1:14" hidden="1" x14ac:dyDescent="0.3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>IF(AND(C449=0,D449&gt;=5,SUM(E449:H449)/4&gt;4),1,0)</f>
        <v>0</v>
      </c>
    </row>
    <row r="450" spans="1:14" hidden="1" x14ac:dyDescent="0.3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>IF(AND(C450=0,D450&gt;=5,SUM(E450:H450)/4&gt;4),1,0)</f>
        <v>0</v>
      </c>
    </row>
    <row r="451" spans="1:14" hidden="1" x14ac:dyDescent="0.3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>IF(AND(C451=0,D451&gt;=5,SUM(E451:H451)/4&gt;4),1,0)</f>
        <v>0</v>
      </c>
    </row>
    <row r="452" spans="1:14" hidden="1" x14ac:dyDescent="0.3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>IF(AND(C452=0,D452&gt;=5,SUM(E452:H452)/4&gt;4),1,0)</f>
        <v>0</v>
      </c>
    </row>
    <row r="453" spans="1:14" hidden="1" x14ac:dyDescent="0.3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>IF(AND(C453=0,D453&gt;=5,SUM(E453:H453)/4&gt;4),1,0)</f>
        <v>0</v>
      </c>
    </row>
    <row r="454" spans="1:14" hidden="1" x14ac:dyDescent="0.3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>IF(AND(C454=0,D454&gt;=5,SUM(E454:H454)/4&gt;4),1,0)</f>
        <v>0</v>
      </c>
    </row>
    <row r="455" spans="1:14" hidden="1" x14ac:dyDescent="0.3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>IF(AND(C455=0,D455&gt;=5,SUM(E455:H455)/4&gt;4),1,0)</f>
        <v>0</v>
      </c>
    </row>
    <row r="456" spans="1:14" x14ac:dyDescent="0.35">
      <c r="A456" s="7" t="s">
        <v>138</v>
      </c>
      <c r="B456" s="8" t="s">
        <v>139</v>
      </c>
      <c r="C456" s="9">
        <v>0</v>
      </c>
      <c r="D456" s="9">
        <v>6</v>
      </c>
      <c r="E456" s="9">
        <v>5</v>
      </c>
      <c r="F456" s="9">
        <v>6</v>
      </c>
      <c r="G456" s="9">
        <v>5</v>
      </c>
      <c r="H456" s="9">
        <v>6</v>
      </c>
      <c r="I456" s="9">
        <v>12</v>
      </c>
      <c r="J456" s="9">
        <v>20</v>
      </c>
      <c r="K456" s="9">
        <v>10</v>
      </c>
      <c r="L456" s="9">
        <v>73</v>
      </c>
      <c r="M456" s="10">
        <v>68</v>
      </c>
      <c r="N456">
        <f>IF(AND(C456=0,D456&gt;=5,SUM(E456:H456)/4&gt;4),1,0)</f>
        <v>1</v>
      </c>
    </row>
    <row r="457" spans="1:14" hidden="1" x14ac:dyDescent="0.3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>IF(AND(C457=0,D457&gt;=5,SUM(E457:H457)/4&gt;4),1,0)</f>
        <v>0</v>
      </c>
    </row>
    <row r="458" spans="1:14" hidden="1" x14ac:dyDescent="0.3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>IF(AND(C458=0,D458&gt;=5,SUM(E458:H458)/4&gt;4),1,0)</f>
        <v>0</v>
      </c>
    </row>
    <row r="459" spans="1:14" hidden="1" x14ac:dyDescent="0.3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>IF(AND(C459=0,D459&gt;=5,SUM(E459:H459)/4&gt;4),1,0)</f>
        <v>0</v>
      </c>
    </row>
    <row r="460" spans="1:14" hidden="1" x14ac:dyDescent="0.3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>IF(AND(C460=0,D460&gt;=5,SUM(E460:H460)/4&gt;4),1,0)</f>
        <v>0</v>
      </c>
    </row>
    <row r="461" spans="1:14" hidden="1" x14ac:dyDescent="0.3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>IF(AND(C461=0,D461&gt;=5,SUM(E461:H461)/4&gt;4),1,0)</f>
        <v>0</v>
      </c>
    </row>
    <row r="462" spans="1:14" hidden="1" x14ac:dyDescent="0.3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>IF(AND(C462=0,D462&gt;=5,SUM(E462:H462)/4&gt;4),1,0)</f>
        <v>0</v>
      </c>
    </row>
    <row r="463" spans="1:14" x14ac:dyDescent="0.35">
      <c r="A463" s="7" t="s">
        <v>364</v>
      </c>
      <c r="B463" s="8" t="s">
        <v>203</v>
      </c>
      <c r="C463" s="9">
        <v>0</v>
      </c>
      <c r="D463" s="9">
        <v>6</v>
      </c>
      <c r="E463" s="9">
        <v>2</v>
      </c>
      <c r="F463" s="9">
        <v>6</v>
      </c>
      <c r="G463" s="9">
        <v>5</v>
      </c>
      <c r="H463" s="9">
        <v>6</v>
      </c>
      <c r="I463" s="9">
        <v>15</v>
      </c>
      <c r="J463" s="9">
        <v>42</v>
      </c>
      <c r="K463" s="9">
        <v>90</v>
      </c>
      <c r="L463" s="9">
        <v>14</v>
      </c>
      <c r="M463" s="10">
        <v>88</v>
      </c>
      <c r="N463">
        <f>IF(AND(C463=0,D463&gt;=5,SUM(E463:H463)/4&gt;4),1,0)</f>
        <v>1</v>
      </c>
    </row>
    <row r="464" spans="1:14" hidden="1" x14ac:dyDescent="0.3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>IF(AND(C464=0,D464&gt;=5,SUM(E464:H464)/4&gt;4),1,0)</f>
        <v>0</v>
      </c>
    </row>
    <row r="465" spans="1:14" hidden="1" x14ac:dyDescent="0.3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>IF(AND(C465=0,D465&gt;=5,SUM(E465:H465)/4&gt;4),1,0)</f>
        <v>0</v>
      </c>
    </row>
    <row r="466" spans="1:14" hidden="1" x14ac:dyDescent="0.3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>IF(AND(C466=0,D466&gt;=5,SUM(E466:H466)/4&gt;4),1,0)</f>
        <v>0</v>
      </c>
    </row>
    <row r="467" spans="1:14" hidden="1" x14ac:dyDescent="0.3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>IF(AND(C467=0,D467&gt;=5,SUM(E467:H467)/4&gt;4),1,0)</f>
        <v>0</v>
      </c>
    </row>
    <row r="468" spans="1:14" hidden="1" x14ac:dyDescent="0.3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>IF(AND(C468=0,D468&gt;=5,SUM(E468:H468)/4&gt;4),1,0)</f>
        <v>0</v>
      </c>
    </row>
    <row r="469" spans="1:14" hidden="1" x14ac:dyDescent="0.3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>IF(AND(C469=0,D469&gt;=5,SUM(E469:H469)/4&gt;4),1,0)</f>
        <v>0</v>
      </c>
    </row>
    <row r="470" spans="1:14" hidden="1" x14ac:dyDescent="0.3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>IF(AND(C470=0,D470&gt;=5,SUM(E470:H470)/4&gt;4),1,0)</f>
        <v>0</v>
      </c>
    </row>
    <row r="471" spans="1:14" hidden="1" x14ac:dyDescent="0.3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>IF(AND(C471=0,D471&gt;=5,SUM(E471:H471)/4&gt;4),1,0)</f>
        <v>0</v>
      </c>
    </row>
    <row r="472" spans="1:14" hidden="1" x14ac:dyDescent="0.3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>IF(AND(C472=0,D472&gt;=5,SUM(E472:H472)/4&gt;4),1,0)</f>
        <v>0</v>
      </c>
    </row>
    <row r="473" spans="1:14" hidden="1" x14ac:dyDescent="0.3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>IF(AND(C473=0,D473&gt;=5,SUM(E473:H473)/4&gt;4),1,0)</f>
        <v>0</v>
      </c>
    </row>
    <row r="474" spans="1:14" hidden="1" x14ac:dyDescent="0.3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>IF(AND(C474=0,D474&gt;=5,SUM(E474:H474)/4&gt;4),1,0)</f>
        <v>0</v>
      </c>
    </row>
    <row r="475" spans="1:14" hidden="1" x14ac:dyDescent="0.3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>IF(AND(C475=0,D475&gt;=5,SUM(E475:H475)/4&gt;4),1,0)</f>
        <v>0</v>
      </c>
    </row>
    <row r="476" spans="1:14" x14ac:dyDescent="0.3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>IF(AND(C476=0,D476&gt;=5,SUM(E476:H476)/4&gt;4),1,0)</f>
        <v>1</v>
      </c>
    </row>
    <row r="477" spans="1:14" hidden="1" x14ac:dyDescent="0.3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ref="N451:N514" si="1">IF(AND(C477=0,D477&gt;=5,SUM(E477:H477)/4&gt;4),1,0)</f>
        <v>0</v>
      </c>
    </row>
    <row r="478" spans="1:14" hidden="1" x14ac:dyDescent="0.3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1"/>
        <v>0</v>
      </c>
    </row>
    <row r="479" spans="1:14" hidden="1" x14ac:dyDescent="0.3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1"/>
        <v>0</v>
      </c>
    </row>
    <row r="480" spans="1:14" hidden="1" x14ac:dyDescent="0.3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1"/>
        <v>0</v>
      </c>
    </row>
    <row r="481" spans="1:14" hidden="1" x14ac:dyDescent="0.3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1"/>
        <v>0</v>
      </c>
    </row>
    <row r="482" spans="1:14" hidden="1" x14ac:dyDescent="0.3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1"/>
        <v>0</v>
      </c>
    </row>
    <row r="483" spans="1:14" hidden="1" x14ac:dyDescent="0.3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1"/>
        <v>0</v>
      </c>
    </row>
    <row r="484" spans="1:14" hidden="1" x14ac:dyDescent="0.3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1"/>
        <v>0</v>
      </c>
    </row>
    <row r="485" spans="1:14" hidden="1" x14ac:dyDescent="0.3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1"/>
        <v>0</v>
      </c>
    </row>
    <row r="486" spans="1:14" hidden="1" x14ac:dyDescent="0.3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1"/>
        <v>0</v>
      </c>
    </row>
    <row r="487" spans="1:14" hidden="1" x14ac:dyDescent="0.3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1"/>
        <v>0</v>
      </c>
    </row>
    <row r="488" spans="1:14" hidden="1" x14ac:dyDescent="0.3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1"/>
        <v>0</v>
      </c>
    </row>
    <row r="489" spans="1:14" hidden="1" x14ac:dyDescent="0.3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1"/>
        <v>0</v>
      </c>
    </row>
    <row r="490" spans="1:14" hidden="1" x14ac:dyDescent="0.3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1"/>
        <v>0</v>
      </c>
    </row>
    <row r="491" spans="1:14" hidden="1" x14ac:dyDescent="0.3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1"/>
        <v>0</v>
      </c>
    </row>
    <row r="492" spans="1:14" hidden="1" x14ac:dyDescent="0.3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1"/>
        <v>0</v>
      </c>
    </row>
    <row r="493" spans="1:14" hidden="1" x14ac:dyDescent="0.3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1"/>
        <v>0</v>
      </c>
    </row>
    <row r="494" spans="1:14" hidden="1" x14ac:dyDescent="0.3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1"/>
        <v>0</v>
      </c>
    </row>
    <row r="495" spans="1:14" hidden="1" x14ac:dyDescent="0.3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1"/>
        <v>0</v>
      </c>
    </row>
    <row r="496" spans="1:14" hidden="1" x14ac:dyDescent="0.3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1"/>
        <v>0</v>
      </c>
    </row>
    <row r="497" spans="1:14" hidden="1" x14ac:dyDescent="0.3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1"/>
        <v>0</v>
      </c>
    </row>
    <row r="498" spans="1:14" hidden="1" x14ac:dyDescent="0.3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1"/>
        <v>0</v>
      </c>
    </row>
    <row r="499" spans="1:14" hidden="1" x14ac:dyDescent="0.3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1"/>
        <v>0</v>
      </c>
    </row>
    <row r="500" spans="1:14" hidden="1" x14ac:dyDescent="0.3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1"/>
        <v>0</v>
      </c>
    </row>
    <row r="501" spans="1:14" hidden="1" x14ac:dyDescent="0.3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1"/>
        <v>0</v>
      </c>
    </row>
    <row r="502" spans="1:14" hidden="1" x14ac:dyDescent="0.3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1"/>
        <v>0</v>
      </c>
    </row>
    <row r="503" spans="1:14" hidden="1" x14ac:dyDescent="0.3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1"/>
        <v>0</v>
      </c>
    </row>
    <row r="504" spans="1:14" hidden="1" x14ac:dyDescent="0.3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1"/>
        <v>0</v>
      </c>
    </row>
    <row r="505" spans="1:14" hidden="1" x14ac:dyDescent="0.3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1"/>
        <v>0</v>
      </c>
    </row>
    <row r="506" spans="1:14" hidden="1" x14ac:dyDescent="0.3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1"/>
        <v>0</v>
      </c>
    </row>
    <row r="507" spans="1:14" hidden="1" x14ac:dyDescent="0.3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1"/>
        <v>0</v>
      </c>
    </row>
    <row r="508" spans="1:14" hidden="1" x14ac:dyDescent="0.3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1"/>
        <v>0</v>
      </c>
    </row>
    <row r="509" spans="1:14" hidden="1" x14ac:dyDescent="0.3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1"/>
        <v>0</v>
      </c>
    </row>
    <row r="510" spans="1:14" hidden="1" x14ac:dyDescent="0.3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1"/>
        <v>0</v>
      </c>
    </row>
    <row r="511" spans="1:14" hidden="1" x14ac:dyDescent="0.3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1"/>
        <v>0</v>
      </c>
    </row>
    <row r="512" spans="1:14" hidden="1" x14ac:dyDescent="0.3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1"/>
        <v>0</v>
      </c>
    </row>
    <row r="513" spans="1:14" hidden="1" x14ac:dyDescent="0.3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1"/>
        <v>0</v>
      </c>
    </row>
    <row r="514" spans="1:14" hidden="1" x14ac:dyDescent="0.3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1"/>
        <v>0</v>
      </c>
    </row>
    <row r="515" spans="1:14" hidden="1" x14ac:dyDescent="0.3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ref="N515" si="2">IF(AND(C515=0,D515&gt;=5,SUM(E515:H515)/4&gt;4),1,0)</f>
        <v>0</v>
      </c>
    </row>
  </sheetData>
  <autoFilter ref="A1:N515" xr:uid="{11D7104C-0D13-4A07-86E1-0FBE28C602BC}">
    <filterColumn colId="13">
      <filters>
        <filter val="1"/>
      </filters>
    </filterColumn>
    <sortState xmlns:xlrd2="http://schemas.microsoft.com/office/spreadsheetml/2017/richdata2" ref="A11:N476">
      <sortCondition ref="A1:A51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FD39-093C-49AE-9E25-D6FE91C02466}">
  <sheetPr filterMode="1"/>
  <dimension ref="A1:X515"/>
  <sheetViews>
    <sheetView workbookViewId="0">
      <selection activeCell="A32" sqref="A32:B431"/>
    </sheetView>
  </sheetViews>
  <sheetFormatPr defaultRowHeight="14.5" x14ac:dyDescent="0.35"/>
  <cols>
    <col min="1" max="1" width="13.7265625" bestFit="1" customWidth="1"/>
    <col min="2" max="2" width="11.26953125" bestFit="1" customWidth="1"/>
    <col min="3" max="3" width="12.453125" bestFit="1" customWidth="1"/>
    <col min="4" max="4" width="13.08984375" bestFit="1" customWidth="1"/>
    <col min="5" max="5" width="4.81640625" bestFit="1" customWidth="1"/>
    <col min="6" max="6" width="6.54296875" bestFit="1" customWidth="1"/>
    <col min="7" max="7" width="6.1796875" bestFit="1" customWidth="1"/>
    <col min="8" max="8" width="7.36328125" bestFit="1" customWidth="1"/>
    <col min="9" max="9" width="6.7265625" bestFit="1" customWidth="1"/>
    <col min="10" max="10" width="6.90625" bestFit="1" customWidth="1"/>
    <col min="11" max="11" width="7.81640625" bestFit="1" customWidth="1"/>
    <col min="12" max="12" width="7.1796875" bestFit="1" customWidth="1"/>
    <col min="13" max="13" width="6.08984375" bestFit="1" customWidth="1"/>
    <col min="23" max="23" width="16.54296875" bestFit="1" customWidth="1"/>
    <col min="24" max="24" width="9.7265625" bestFit="1" customWidth="1"/>
  </cols>
  <sheetData>
    <row r="1" spans="1:24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675</v>
      </c>
      <c r="O1" s="17" t="s">
        <v>676</v>
      </c>
      <c r="P1" s="17" t="s">
        <v>677</v>
      </c>
      <c r="Q1" s="17" t="s">
        <v>678</v>
      </c>
      <c r="R1" s="17" t="s">
        <v>679</v>
      </c>
      <c r="S1" s="17" t="s">
        <v>680</v>
      </c>
      <c r="T1" s="17" t="s">
        <v>682</v>
      </c>
      <c r="U1" s="17" t="s">
        <v>683</v>
      </c>
    </row>
    <row r="2" spans="1:24" hidden="1" x14ac:dyDescent="0.3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C2+IF(D2=6,2,0) +SUM(O2:R2) +SUM(I2:M2)/10</f>
        <v>57</v>
      </c>
      <c r="O2">
        <f>IF(E2=2,0,IF(E2=3,4,IF(E2=4,6,IF(E2=5,8,IF(E2=6,10,0)))))</f>
        <v>6</v>
      </c>
      <c r="P2">
        <f>IF(F2=2,0,IF(F2=3,4,IF(F2=4,6,IF(F2=5,8,IF(F2=6,10,0)))))</f>
        <v>8</v>
      </c>
      <c r="Q2">
        <f>IF(G2=2,0,IF(G2=3,4,IF(G2=4,6,IF(G2=5,8,IF(G2=6,10,0)))))</f>
        <v>10</v>
      </c>
      <c r="R2">
        <f>IF(H2=2,0,IF(H2=3,4,IF(H2=4,6,IF(H2=5,8,IF(H2=6,10,0)))))</f>
        <v>10</v>
      </c>
      <c r="S2">
        <v>1</v>
      </c>
      <c r="T2">
        <v>21.5</v>
      </c>
      <c r="U2">
        <v>1</v>
      </c>
    </row>
    <row r="3" spans="1:24" hidden="1" x14ac:dyDescent="0.3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ref="N3:N66" si="0">C3+IF(D3=6,2,0) +SUM(O3:R3) +SUM(I3:M3)/10</f>
        <v>51.4</v>
      </c>
      <c r="O3">
        <f t="shared" ref="O3:O66" si="1">IF(E3=2,0,IF(E3=3,4,IF(E3=4,6,IF(E3=5,8,IF(E3=6,10,0)))))</f>
        <v>6</v>
      </c>
      <c r="P3">
        <f t="shared" ref="P3:P66" si="2">IF(F3=2,0,IF(F3=3,4,IF(F3=4,6,IF(F3=5,8,IF(F3=6,10,0)))))</f>
        <v>0</v>
      </c>
      <c r="Q3">
        <f t="shared" ref="Q3:Q66" si="3">IF(G3=2,0,IF(G3=3,4,IF(G3=4,6,IF(G3=5,8,IF(G3=6,10,0)))))</f>
        <v>8</v>
      </c>
      <c r="R3">
        <f t="shared" ref="R3:R66" si="4">IF(H3=2,0,IF(H3=3,4,IF(H3=4,6,IF(H3=5,8,IF(H3=6,10,0)))))</f>
        <v>10</v>
      </c>
      <c r="S3">
        <v>1</v>
      </c>
      <c r="T3">
        <v>27.6</v>
      </c>
      <c r="U3">
        <v>1</v>
      </c>
    </row>
    <row r="4" spans="1:24" hidden="1" x14ac:dyDescent="0.3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77.099999999999994</v>
      </c>
      <c r="O4">
        <f t="shared" si="1"/>
        <v>6</v>
      </c>
      <c r="P4">
        <f t="shared" si="2"/>
        <v>10</v>
      </c>
      <c r="Q4">
        <f t="shared" si="3"/>
        <v>10</v>
      </c>
      <c r="R4">
        <f t="shared" si="4"/>
        <v>8</v>
      </c>
      <c r="S4">
        <v>1</v>
      </c>
      <c r="T4">
        <v>27.7</v>
      </c>
      <c r="U4">
        <v>1</v>
      </c>
    </row>
    <row r="5" spans="1:24" hidden="1" x14ac:dyDescent="0.3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68.8</v>
      </c>
      <c r="O5">
        <f t="shared" si="1"/>
        <v>6</v>
      </c>
      <c r="P5">
        <f t="shared" si="2"/>
        <v>6</v>
      </c>
      <c r="Q5">
        <f t="shared" si="3"/>
        <v>4</v>
      </c>
      <c r="R5">
        <f t="shared" si="4"/>
        <v>8</v>
      </c>
      <c r="S5">
        <v>1</v>
      </c>
      <c r="T5">
        <v>27.9</v>
      </c>
      <c r="U5">
        <v>1</v>
      </c>
    </row>
    <row r="6" spans="1:24" hidden="1" x14ac:dyDescent="0.3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49</v>
      </c>
      <c r="O6">
        <f t="shared" si="1"/>
        <v>0</v>
      </c>
      <c r="P6">
        <f t="shared" si="2"/>
        <v>6</v>
      </c>
      <c r="Q6">
        <f t="shared" si="3"/>
        <v>8</v>
      </c>
      <c r="R6">
        <f t="shared" si="4"/>
        <v>6</v>
      </c>
      <c r="S6">
        <v>1</v>
      </c>
      <c r="T6">
        <v>28</v>
      </c>
      <c r="U6">
        <v>1</v>
      </c>
    </row>
    <row r="7" spans="1:24" hidden="1" x14ac:dyDescent="0.3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35.799999999999997</v>
      </c>
      <c r="O7">
        <f t="shared" si="1"/>
        <v>0</v>
      </c>
      <c r="P7">
        <f t="shared" si="2"/>
        <v>0</v>
      </c>
      <c r="Q7">
        <f t="shared" si="3"/>
        <v>0</v>
      </c>
      <c r="R7">
        <f t="shared" si="4"/>
        <v>4</v>
      </c>
      <c r="S7">
        <v>1</v>
      </c>
      <c r="T7">
        <v>28.4</v>
      </c>
      <c r="U7">
        <v>1</v>
      </c>
      <c r="W7" s="18" t="s">
        <v>673</v>
      </c>
      <c r="X7" t="s">
        <v>681</v>
      </c>
    </row>
    <row r="8" spans="1:24" hidden="1" x14ac:dyDescent="0.3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52.6</v>
      </c>
      <c r="O8">
        <f t="shared" si="1"/>
        <v>10</v>
      </c>
      <c r="P8">
        <f t="shared" si="2"/>
        <v>8</v>
      </c>
      <c r="Q8">
        <f t="shared" si="3"/>
        <v>8</v>
      </c>
      <c r="R8">
        <f t="shared" si="4"/>
        <v>0</v>
      </c>
      <c r="S8">
        <v>1</v>
      </c>
      <c r="T8">
        <v>29.8</v>
      </c>
      <c r="U8">
        <v>1</v>
      </c>
      <c r="W8" s="19">
        <v>21.5</v>
      </c>
      <c r="X8" s="1">
        <v>1</v>
      </c>
    </row>
    <row r="9" spans="1:24" hidden="1" x14ac:dyDescent="0.3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33</v>
      </c>
      <c r="O9">
        <f t="shared" si="1"/>
        <v>0</v>
      </c>
      <c r="P9">
        <f t="shared" si="2"/>
        <v>8</v>
      </c>
      <c r="Q9">
        <f t="shared" si="3"/>
        <v>8</v>
      </c>
      <c r="R9">
        <f t="shared" si="4"/>
        <v>4</v>
      </c>
      <c r="S9">
        <v>1</v>
      </c>
      <c r="T9">
        <v>30.6</v>
      </c>
      <c r="U9">
        <v>1</v>
      </c>
      <c r="W9" s="19">
        <v>27.6</v>
      </c>
      <c r="X9" s="1">
        <v>1</v>
      </c>
    </row>
    <row r="10" spans="1:24" hidden="1" x14ac:dyDescent="0.3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44.2</v>
      </c>
      <c r="O10">
        <f t="shared" si="1"/>
        <v>10</v>
      </c>
      <c r="P10">
        <f t="shared" si="2"/>
        <v>0</v>
      </c>
      <c r="Q10">
        <f t="shared" si="3"/>
        <v>4</v>
      </c>
      <c r="R10">
        <f t="shared" si="4"/>
        <v>10</v>
      </c>
      <c r="S10">
        <v>1</v>
      </c>
      <c r="T10">
        <v>30.7</v>
      </c>
      <c r="U10">
        <v>1</v>
      </c>
      <c r="W10" s="19">
        <v>27.7</v>
      </c>
      <c r="X10" s="1">
        <v>1</v>
      </c>
    </row>
    <row r="11" spans="1:24" hidden="1" x14ac:dyDescent="0.3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55.2</v>
      </c>
      <c r="O11">
        <f t="shared" si="1"/>
        <v>4</v>
      </c>
      <c r="P11">
        <f t="shared" si="2"/>
        <v>10</v>
      </c>
      <c r="Q11">
        <f t="shared" si="3"/>
        <v>10</v>
      </c>
      <c r="R11">
        <f t="shared" si="4"/>
        <v>6</v>
      </c>
      <c r="S11">
        <v>1</v>
      </c>
      <c r="T11">
        <v>31</v>
      </c>
      <c r="U11">
        <v>1</v>
      </c>
      <c r="W11" s="19">
        <v>27.9</v>
      </c>
      <c r="X11" s="1">
        <v>1</v>
      </c>
    </row>
    <row r="12" spans="1:24" hidden="1" x14ac:dyDescent="0.3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56.5</v>
      </c>
      <c r="O12">
        <f t="shared" si="1"/>
        <v>4</v>
      </c>
      <c r="P12">
        <f t="shared" si="2"/>
        <v>10</v>
      </c>
      <c r="Q12">
        <f t="shared" si="3"/>
        <v>10</v>
      </c>
      <c r="R12">
        <f t="shared" si="4"/>
        <v>0</v>
      </c>
      <c r="S12">
        <v>1</v>
      </c>
      <c r="T12">
        <v>31.2</v>
      </c>
      <c r="U12">
        <v>1</v>
      </c>
      <c r="W12" s="19">
        <v>28</v>
      </c>
      <c r="X12" s="1">
        <v>1</v>
      </c>
    </row>
    <row r="13" spans="1:24" hidden="1" x14ac:dyDescent="0.3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63.2</v>
      </c>
      <c r="O13">
        <f t="shared" si="1"/>
        <v>8</v>
      </c>
      <c r="P13">
        <f t="shared" si="2"/>
        <v>10</v>
      </c>
      <c r="Q13">
        <f t="shared" si="3"/>
        <v>4</v>
      </c>
      <c r="R13">
        <f t="shared" si="4"/>
        <v>10</v>
      </c>
      <c r="S13">
        <v>1</v>
      </c>
      <c r="T13">
        <v>31.7</v>
      </c>
      <c r="U13">
        <v>1</v>
      </c>
      <c r="W13" s="19">
        <v>28.4</v>
      </c>
      <c r="X13" s="1">
        <v>1</v>
      </c>
    </row>
    <row r="14" spans="1:24" hidden="1" x14ac:dyDescent="0.3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42.2</v>
      </c>
      <c r="O14">
        <f t="shared" si="1"/>
        <v>10</v>
      </c>
      <c r="P14">
        <f t="shared" si="2"/>
        <v>4</v>
      </c>
      <c r="Q14">
        <f t="shared" si="3"/>
        <v>4</v>
      </c>
      <c r="R14">
        <f t="shared" si="4"/>
        <v>0</v>
      </c>
      <c r="S14">
        <v>1</v>
      </c>
      <c r="T14">
        <v>32</v>
      </c>
      <c r="U14">
        <v>1</v>
      </c>
      <c r="W14" s="19">
        <v>29.8</v>
      </c>
      <c r="X14" s="1">
        <v>1</v>
      </c>
    </row>
    <row r="15" spans="1:24" hidden="1" x14ac:dyDescent="0.3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45.4</v>
      </c>
      <c r="O15">
        <f t="shared" si="1"/>
        <v>8</v>
      </c>
      <c r="P15">
        <f t="shared" si="2"/>
        <v>4</v>
      </c>
      <c r="Q15">
        <f t="shared" si="3"/>
        <v>0</v>
      </c>
      <c r="R15">
        <f t="shared" si="4"/>
        <v>10</v>
      </c>
      <c r="S15">
        <v>1</v>
      </c>
      <c r="T15">
        <v>32.299999999999997</v>
      </c>
      <c r="U15">
        <v>1</v>
      </c>
      <c r="W15" s="19">
        <v>30.6</v>
      </c>
      <c r="X15" s="1">
        <v>1</v>
      </c>
    </row>
    <row r="16" spans="1:24" hidden="1" x14ac:dyDescent="0.3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56.8</v>
      </c>
      <c r="O16">
        <f t="shared" si="1"/>
        <v>6</v>
      </c>
      <c r="P16">
        <f t="shared" si="2"/>
        <v>0</v>
      </c>
      <c r="Q16">
        <f t="shared" si="3"/>
        <v>4</v>
      </c>
      <c r="R16">
        <f t="shared" si="4"/>
        <v>8</v>
      </c>
      <c r="S16">
        <v>1</v>
      </c>
      <c r="T16">
        <v>32.4</v>
      </c>
      <c r="U16">
        <v>1</v>
      </c>
      <c r="W16" s="19">
        <v>30.7</v>
      </c>
      <c r="X16" s="1">
        <v>1</v>
      </c>
    </row>
    <row r="17" spans="1:24" hidden="1" x14ac:dyDescent="0.3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57</v>
      </c>
      <c r="O17">
        <f t="shared" si="1"/>
        <v>6</v>
      </c>
      <c r="P17">
        <f t="shared" si="2"/>
        <v>4</v>
      </c>
      <c r="Q17">
        <f t="shared" si="3"/>
        <v>6</v>
      </c>
      <c r="R17">
        <f t="shared" si="4"/>
        <v>8</v>
      </c>
      <c r="S17">
        <v>1</v>
      </c>
      <c r="T17">
        <v>32.700000000000003</v>
      </c>
      <c r="U17">
        <v>1</v>
      </c>
      <c r="W17" s="19">
        <v>31</v>
      </c>
      <c r="X17" s="1">
        <v>1</v>
      </c>
    </row>
    <row r="18" spans="1:24" hidden="1" x14ac:dyDescent="0.3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48</v>
      </c>
      <c r="O18">
        <f t="shared" si="1"/>
        <v>4</v>
      </c>
      <c r="P18">
        <f t="shared" si="2"/>
        <v>8</v>
      </c>
      <c r="Q18">
        <f t="shared" si="3"/>
        <v>10</v>
      </c>
      <c r="R18">
        <f t="shared" si="4"/>
        <v>4</v>
      </c>
      <c r="S18">
        <v>1</v>
      </c>
      <c r="T18">
        <v>32.9</v>
      </c>
      <c r="U18">
        <v>1</v>
      </c>
      <c r="W18" s="19">
        <v>31.2</v>
      </c>
      <c r="X18" s="1">
        <v>1</v>
      </c>
    </row>
    <row r="19" spans="1:24" hidden="1" x14ac:dyDescent="0.3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45.2</v>
      </c>
      <c r="O19">
        <f t="shared" si="1"/>
        <v>4</v>
      </c>
      <c r="P19">
        <f t="shared" si="2"/>
        <v>6</v>
      </c>
      <c r="Q19">
        <f t="shared" si="3"/>
        <v>10</v>
      </c>
      <c r="R19">
        <f t="shared" si="4"/>
        <v>0</v>
      </c>
      <c r="S19">
        <v>1</v>
      </c>
      <c r="T19">
        <v>33</v>
      </c>
      <c r="U19">
        <v>1</v>
      </c>
      <c r="W19" s="19">
        <v>31.7</v>
      </c>
      <c r="X19" s="1">
        <v>1</v>
      </c>
    </row>
    <row r="20" spans="1:24" hidden="1" x14ac:dyDescent="0.3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43.7</v>
      </c>
      <c r="O20">
        <f t="shared" si="1"/>
        <v>10</v>
      </c>
      <c r="P20">
        <f t="shared" si="2"/>
        <v>10</v>
      </c>
      <c r="Q20">
        <f t="shared" si="3"/>
        <v>4</v>
      </c>
      <c r="R20">
        <f t="shared" si="4"/>
        <v>0</v>
      </c>
      <c r="S20">
        <v>1</v>
      </c>
      <c r="T20">
        <v>33.299999999999997</v>
      </c>
      <c r="U20">
        <v>1</v>
      </c>
      <c r="W20" s="19">
        <v>32</v>
      </c>
      <c r="X20" s="1">
        <v>1</v>
      </c>
    </row>
    <row r="21" spans="1:24" hidden="1" x14ac:dyDescent="0.3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49.8</v>
      </c>
      <c r="O21">
        <f t="shared" si="1"/>
        <v>4</v>
      </c>
      <c r="P21">
        <f t="shared" si="2"/>
        <v>4</v>
      </c>
      <c r="Q21">
        <f t="shared" si="3"/>
        <v>4</v>
      </c>
      <c r="R21">
        <f t="shared" si="4"/>
        <v>10</v>
      </c>
      <c r="S21">
        <v>1</v>
      </c>
      <c r="T21">
        <v>33.4</v>
      </c>
      <c r="U21">
        <v>1</v>
      </c>
      <c r="W21" s="19">
        <v>32.299999999999997</v>
      </c>
      <c r="X21" s="1">
        <v>1</v>
      </c>
    </row>
    <row r="22" spans="1:24" hidden="1" x14ac:dyDescent="0.3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43.3</v>
      </c>
      <c r="O22">
        <f t="shared" si="1"/>
        <v>0</v>
      </c>
      <c r="P22">
        <f t="shared" si="2"/>
        <v>4</v>
      </c>
      <c r="Q22">
        <f t="shared" si="3"/>
        <v>4</v>
      </c>
      <c r="R22">
        <f t="shared" si="4"/>
        <v>0</v>
      </c>
      <c r="S22">
        <v>1</v>
      </c>
      <c r="T22">
        <v>33.5</v>
      </c>
      <c r="U22">
        <v>1</v>
      </c>
      <c r="W22" s="19">
        <v>32.4</v>
      </c>
      <c r="X22" s="1">
        <v>1</v>
      </c>
    </row>
    <row r="23" spans="1:24" hidden="1" x14ac:dyDescent="0.3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84.5</v>
      </c>
      <c r="O23">
        <f t="shared" si="1"/>
        <v>10</v>
      </c>
      <c r="P23">
        <f t="shared" si="2"/>
        <v>6</v>
      </c>
      <c r="Q23">
        <f t="shared" si="3"/>
        <v>10</v>
      </c>
      <c r="R23">
        <f t="shared" si="4"/>
        <v>8</v>
      </c>
      <c r="S23">
        <v>1</v>
      </c>
      <c r="T23">
        <v>34</v>
      </c>
      <c r="U23">
        <v>1</v>
      </c>
      <c r="W23" s="19">
        <v>32.700000000000003</v>
      </c>
      <c r="X23" s="1">
        <v>1</v>
      </c>
    </row>
    <row r="24" spans="1:24" hidden="1" x14ac:dyDescent="0.3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48.9</v>
      </c>
      <c r="O24">
        <f t="shared" si="1"/>
        <v>6</v>
      </c>
      <c r="P24">
        <f t="shared" si="2"/>
        <v>8</v>
      </c>
      <c r="Q24">
        <f t="shared" si="3"/>
        <v>4</v>
      </c>
      <c r="R24">
        <f t="shared" si="4"/>
        <v>6</v>
      </c>
      <c r="S24">
        <v>1</v>
      </c>
      <c r="T24">
        <v>34.200000000000003</v>
      </c>
      <c r="U24">
        <v>1</v>
      </c>
      <c r="W24" s="19">
        <v>32.9</v>
      </c>
      <c r="X24" s="1">
        <v>1</v>
      </c>
    </row>
    <row r="25" spans="1:24" hidden="1" x14ac:dyDescent="0.3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48.5</v>
      </c>
      <c r="O25">
        <f t="shared" si="1"/>
        <v>8</v>
      </c>
      <c r="P25">
        <f t="shared" si="2"/>
        <v>8</v>
      </c>
      <c r="Q25">
        <f t="shared" si="3"/>
        <v>0</v>
      </c>
      <c r="R25">
        <f t="shared" si="4"/>
        <v>10</v>
      </c>
      <c r="S25">
        <v>1</v>
      </c>
      <c r="T25">
        <v>34.5</v>
      </c>
      <c r="U25">
        <v>1</v>
      </c>
      <c r="W25" s="19">
        <v>33</v>
      </c>
      <c r="X25" s="1">
        <v>1</v>
      </c>
    </row>
    <row r="26" spans="1:24" hidden="1" x14ac:dyDescent="0.3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47.5</v>
      </c>
      <c r="O26">
        <f t="shared" si="1"/>
        <v>4</v>
      </c>
      <c r="P26">
        <f t="shared" si="2"/>
        <v>6</v>
      </c>
      <c r="Q26">
        <f t="shared" si="3"/>
        <v>0</v>
      </c>
      <c r="R26">
        <f t="shared" si="4"/>
        <v>6</v>
      </c>
      <c r="S26">
        <v>1</v>
      </c>
      <c r="T26">
        <v>34.6</v>
      </c>
      <c r="U26">
        <v>1</v>
      </c>
      <c r="W26" s="19">
        <v>33.299999999999997</v>
      </c>
      <c r="X26" s="1">
        <v>1</v>
      </c>
    </row>
    <row r="27" spans="1:24" hidden="1" x14ac:dyDescent="0.3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44</v>
      </c>
      <c r="O27">
        <f t="shared" si="1"/>
        <v>0</v>
      </c>
      <c r="P27">
        <f t="shared" si="2"/>
        <v>6</v>
      </c>
      <c r="Q27">
        <f t="shared" si="3"/>
        <v>4</v>
      </c>
      <c r="R27">
        <f t="shared" si="4"/>
        <v>10</v>
      </c>
      <c r="S27">
        <v>1</v>
      </c>
      <c r="T27">
        <v>35.6</v>
      </c>
      <c r="U27">
        <v>3</v>
      </c>
      <c r="W27" s="19">
        <v>33.4</v>
      </c>
      <c r="X27" s="1">
        <v>1</v>
      </c>
    </row>
    <row r="28" spans="1:24" hidden="1" x14ac:dyDescent="0.3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48.7</v>
      </c>
      <c r="O28">
        <f t="shared" si="1"/>
        <v>6</v>
      </c>
      <c r="P28">
        <f t="shared" si="2"/>
        <v>4</v>
      </c>
      <c r="Q28">
        <f t="shared" si="3"/>
        <v>0</v>
      </c>
      <c r="R28">
        <f t="shared" si="4"/>
        <v>4</v>
      </c>
      <c r="S28">
        <v>1</v>
      </c>
      <c r="T28">
        <v>35.799999999999997</v>
      </c>
      <c r="U28">
        <v>2</v>
      </c>
      <c r="W28" s="19">
        <v>33.5</v>
      </c>
      <c r="X28" s="1">
        <v>1</v>
      </c>
    </row>
    <row r="29" spans="1:24" hidden="1" x14ac:dyDescent="0.3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57</v>
      </c>
      <c r="O29">
        <f t="shared" si="1"/>
        <v>8</v>
      </c>
      <c r="P29">
        <f t="shared" si="2"/>
        <v>6</v>
      </c>
      <c r="Q29">
        <f t="shared" si="3"/>
        <v>0</v>
      </c>
      <c r="R29">
        <f t="shared" si="4"/>
        <v>8</v>
      </c>
      <c r="S29">
        <v>1</v>
      </c>
      <c r="T29">
        <v>35.9</v>
      </c>
      <c r="U29">
        <v>2</v>
      </c>
      <c r="W29" s="19">
        <v>34</v>
      </c>
      <c r="X29" s="1">
        <v>1</v>
      </c>
    </row>
    <row r="30" spans="1:24" hidden="1" x14ac:dyDescent="0.3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64.2</v>
      </c>
      <c r="O30">
        <f t="shared" si="1"/>
        <v>4</v>
      </c>
      <c r="P30">
        <f t="shared" si="2"/>
        <v>6</v>
      </c>
      <c r="Q30">
        <f t="shared" si="3"/>
        <v>10</v>
      </c>
      <c r="R30">
        <f t="shared" si="4"/>
        <v>10</v>
      </c>
      <c r="S30">
        <v>1</v>
      </c>
      <c r="T30">
        <v>36.1</v>
      </c>
      <c r="U30">
        <v>1</v>
      </c>
      <c r="W30" s="19">
        <v>34.200000000000003</v>
      </c>
      <c r="X30" s="1">
        <v>1</v>
      </c>
    </row>
    <row r="31" spans="1:24" hidden="1" x14ac:dyDescent="0.3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35.6</v>
      </c>
      <c r="O31">
        <f t="shared" si="1"/>
        <v>8</v>
      </c>
      <c r="P31">
        <f t="shared" si="2"/>
        <v>0</v>
      </c>
      <c r="Q31">
        <f t="shared" si="3"/>
        <v>0</v>
      </c>
      <c r="R31">
        <f t="shared" si="4"/>
        <v>8</v>
      </c>
      <c r="S31">
        <v>1</v>
      </c>
      <c r="T31">
        <v>37.200000000000003</v>
      </c>
      <c r="U31">
        <v>1</v>
      </c>
      <c r="W31" s="19">
        <v>34.5</v>
      </c>
      <c r="X31" s="1">
        <v>1</v>
      </c>
    </row>
    <row r="32" spans="1:24" x14ac:dyDescent="0.3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55.6</v>
      </c>
      <c r="O32">
        <f t="shared" si="1"/>
        <v>10</v>
      </c>
      <c r="P32">
        <f t="shared" si="2"/>
        <v>8</v>
      </c>
      <c r="Q32">
        <f t="shared" si="3"/>
        <v>10</v>
      </c>
      <c r="R32">
        <f t="shared" si="4"/>
        <v>4</v>
      </c>
      <c r="S32">
        <v>1</v>
      </c>
      <c r="T32">
        <v>37.299999999999997</v>
      </c>
      <c r="U32">
        <v>3</v>
      </c>
      <c r="W32" s="19">
        <v>34.6</v>
      </c>
      <c r="X32" s="1">
        <v>1</v>
      </c>
    </row>
    <row r="33" spans="1:24" hidden="1" x14ac:dyDescent="0.3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35.6</v>
      </c>
      <c r="O33">
        <f t="shared" si="1"/>
        <v>10</v>
      </c>
      <c r="P33">
        <f t="shared" si="2"/>
        <v>6</v>
      </c>
      <c r="Q33">
        <f t="shared" si="3"/>
        <v>6</v>
      </c>
      <c r="R33">
        <f t="shared" si="4"/>
        <v>0</v>
      </c>
      <c r="S33">
        <v>1</v>
      </c>
      <c r="T33">
        <v>37.5</v>
      </c>
      <c r="U33">
        <v>2</v>
      </c>
      <c r="W33" s="19">
        <v>35.6</v>
      </c>
      <c r="X33" s="1">
        <v>3</v>
      </c>
    </row>
    <row r="34" spans="1:24" hidden="1" x14ac:dyDescent="0.3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42.7</v>
      </c>
      <c r="O34">
        <f t="shared" si="1"/>
        <v>0</v>
      </c>
      <c r="P34">
        <f t="shared" si="2"/>
        <v>0</v>
      </c>
      <c r="Q34">
        <f t="shared" si="3"/>
        <v>0</v>
      </c>
      <c r="R34">
        <f t="shared" si="4"/>
        <v>6</v>
      </c>
      <c r="S34">
        <v>1</v>
      </c>
      <c r="T34">
        <v>37.6</v>
      </c>
      <c r="U34">
        <v>1</v>
      </c>
      <c r="W34" s="19">
        <v>35.799999999999997</v>
      </c>
      <c r="X34" s="1">
        <v>2</v>
      </c>
    </row>
    <row r="35" spans="1:24" hidden="1" x14ac:dyDescent="0.3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45.7</v>
      </c>
      <c r="O35">
        <f t="shared" si="1"/>
        <v>0</v>
      </c>
      <c r="P35">
        <f t="shared" si="2"/>
        <v>6</v>
      </c>
      <c r="Q35">
        <f t="shared" si="3"/>
        <v>6</v>
      </c>
      <c r="R35">
        <f t="shared" si="4"/>
        <v>0</v>
      </c>
      <c r="S35">
        <v>1</v>
      </c>
      <c r="T35">
        <v>37.799999999999997</v>
      </c>
      <c r="U35">
        <v>1</v>
      </c>
      <c r="W35" s="19">
        <v>35.9</v>
      </c>
      <c r="X35" s="1">
        <v>2</v>
      </c>
    </row>
    <row r="36" spans="1:24" hidden="1" x14ac:dyDescent="0.3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50</v>
      </c>
      <c r="O36">
        <f t="shared" si="1"/>
        <v>10</v>
      </c>
      <c r="P36">
        <f t="shared" si="2"/>
        <v>8</v>
      </c>
      <c r="Q36">
        <f t="shared" si="3"/>
        <v>6</v>
      </c>
      <c r="R36">
        <f t="shared" si="4"/>
        <v>8</v>
      </c>
      <c r="S36">
        <v>1</v>
      </c>
      <c r="T36">
        <v>38.200000000000003</v>
      </c>
      <c r="U36">
        <v>1</v>
      </c>
      <c r="W36" s="19">
        <v>36.1</v>
      </c>
      <c r="X36" s="1">
        <v>1</v>
      </c>
    </row>
    <row r="37" spans="1:24" hidden="1" x14ac:dyDescent="0.3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68</v>
      </c>
      <c r="O37">
        <f t="shared" si="1"/>
        <v>8</v>
      </c>
      <c r="P37">
        <f t="shared" si="2"/>
        <v>8</v>
      </c>
      <c r="Q37">
        <f t="shared" si="3"/>
        <v>10</v>
      </c>
      <c r="R37">
        <f t="shared" si="4"/>
        <v>6</v>
      </c>
      <c r="S37">
        <v>1</v>
      </c>
      <c r="T37">
        <v>38.299999999999997</v>
      </c>
      <c r="U37">
        <v>1</v>
      </c>
      <c r="W37" s="19">
        <v>37.200000000000003</v>
      </c>
      <c r="X37" s="1">
        <v>1</v>
      </c>
    </row>
    <row r="38" spans="1:24" hidden="1" x14ac:dyDescent="0.3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61.8</v>
      </c>
      <c r="O38">
        <f t="shared" si="1"/>
        <v>8</v>
      </c>
      <c r="P38">
        <f t="shared" si="2"/>
        <v>8</v>
      </c>
      <c r="Q38">
        <f t="shared" si="3"/>
        <v>8</v>
      </c>
      <c r="R38">
        <f t="shared" si="4"/>
        <v>6</v>
      </c>
      <c r="S38">
        <v>1</v>
      </c>
      <c r="T38">
        <v>38.4</v>
      </c>
      <c r="U38">
        <v>1</v>
      </c>
      <c r="W38" s="19">
        <v>37.299999999999997</v>
      </c>
      <c r="X38" s="1">
        <v>3</v>
      </c>
    </row>
    <row r="39" spans="1:24" hidden="1" x14ac:dyDescent="0.3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57.9</v>
      </c>
      <c r="O39">
        <f t="shared" si="1"/>
        <v>6</v>
      </c>
      <c r="P39">
        <f t="shared" si="2"/>
        <v>6</v>
      </c>
      <c r="Q39">
        <f t="shared" si="3"/>
        <v>6</v>
      </c>
      <c r="R39">
        <f t="shared" si="4"/>
        <v>10</v>
      </c>
      <c r="S39">
        <v>1</v>
      </c>
      <c r="T39">
        <v>38.6</v>
      </c>
      <c r="U39">
        <v>2</v>
      </c>
      <c r="W39" s="19">
        <v>37.5</v>
      </c>
      <c r="X39" s="1">
        <v>2</v>
      </c>
    </row>
    <row r="40" spans="1:24" hidden="1" x14ac:dyDescent="0.3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61.2</v>
      </c>
      <c r="O40">
        <f t="shared" si="1"/>
        <v>10</v>
      </c>
      <c r="P40">
        <f t="shared" si="2"/>
        <v>10</v>
      </c>
      <c r="Q40">
        <f t="shared" si="3"/>
        <v>8</v>
      </c>
      <c r="R40">
        <f t="shared" si="4"/>
        <v>8</v>
      </c>
      <c r="S40">
        <v>1</v>
      </c>
      <c r="T40">
        <v>38.700000000000003</v>
      </c>
      <c r="U40">
        <v>1</v>
      </c>
      <c r="W40" s="19">
        <v>37.6</v>
      </c>
      <c r="X40" s="1">
        <v>1</v>
      </c>
    </row>
    <row r="41" spans="1:24" hidden="1" x14ac:dyDescent="0.3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53.9</v>
      </c>
      <c r="O41">
        <f t="shared" si="1"/>
        <v>8</v>
      </c>
      <c r="P41">
        <f t="shared" si="2"/>
        <v>4</v>
      </c>
      <c r="Q41">
        <f t="shared" si="3"/>
        <v>4</v>
      </c>
      <c r="R41">
        <f t="shared" si="4"/>
        <v>10</v>
      </c>
      <c r="S41">
        <v>1</v>
      </c>
      <c r="T41">
        <v>39</v>
      </c>
      <c r="U41">
        <v>1</v>
      </c>
      <c r="W41" s="19">
        <v>37.799999999999997</v>
      </c>
      <c r="X41" s="1">
        <v>1</v>
      </c>
    </row>
    <row r="42" spans="1:24" hidden="1" x14ac:dyDescent="0.3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63.7</v>
      </c>
      <c r="O42">
        <f t="shared" si="1"/>
        <v>10</v>
      </c>
      <c r="P42">
        <f t="shared" si="2"/>
        <v>6</v>
      </c>
      <c r="Q42">
        <f t="shared" si="3"/>
        <v>4</v>
      </c>
      <c r="R42">
        <f t="shared" si="4"/>
        <v>4</v>
      </c>
      <c r="S42">
        <v>1</v>
      </c>
      <c r="T42">
        <v>39.1</v>
      </c>
      <c r="U42">
        <v>1</v>
      </c>
      <c r="W42" s="19">
        <v>38.200000000000003</v>
      </c>
      <c r="X42" s="1">
        <v>1</v>
      </c>
    </row>
    <row r="43" spans="1:24" hidden="1" x14ac:dyDescent="0.3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41.2</v>
      </c>
      <c r="O43">
        <f t="shared" si="1"/>
        <v>6</v>
      </c>
      <c r="P43">
        <f t="shared" si="2"/>
        <v>4</v>
      </c>
      <c r="Q43">
        <f t="shared" si="3"/>
        <v>8</v>
      </c>
      <c r="R43">
        <f t="shared" si="4"/>
        <v>0</v>
      </c>
      <c r="S43">
        <v>1</v>
      </c>
      <c r="T43">
        <v>39.4</v>
      </c>
      <c r="U43">
        <v>1</v>
      </c>
      <c r="W43" s="19">
        <v>38.299999999999997</v>
      </c>
      <c r="X43" s="1">
        <v>1</v>
      </c>
    </row>
    <row r="44" spans="1:24" hidden="1" x14ac:dyDescent="0.3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54.4</v>
      </c>
      <c r="O44">
        <f t="shared" si="1"/>
        <v>6</v>
      </c>
      <c r="P44">
        <f t="shared" si="2"/>
        <v>10</v>
      </c>
      <c r="Q44">
        <f t="shared" si="3"/>
        <v>0</v>
      </c>
      <c r="R44">
        <f t="shared" si="4"/>
        <v>10</v>
      </c>
      <c r="S44">
        <v>1</v>
      </c>
      <c r="T44">
        <v>39.5</v>
      </c>
      <c r="U44">
        <v>2</v>
      </c>
      <c r="W44" s="19">
        <v>38.4</v>
      </c>
      <c r="X44" s="1">
        <v>1</v>
      </c>
    </row>
    <row r="45" spans="1:24" hidden="1" x14ac:dyDescent="0.3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53.3</v>
      </c>
      <c r="O45">
        <f t="shared" si="1"/>
        <v>8</v>
      </c>
      <c r="P45">
        <f t="shared" si="2"/>
        <v>8</v>
      </c>
      <c r="Q45">
        <f t="shared" si="3"/>
        <v>0</v>
      </c>
      <c r="R45">
        <f t="shared" si="4"/>
        <v>0</v>
      </c>
      <c r="S45">
        <v>1</v>
      </c>
      <c r="T45">
        <v>39.700000000000003</v>
      </c>
      <c r="U45">
        <v>1</v>
      </c>
      <c r="W45" s="19">
        <v>38.6</v>
      </c>
      <c r="X45" s="1">
        <v>2</v>
      </c>
    </row>
    <row r="46" spans="1:24" hidden="1" x14ac:dyDescent="0.3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49.5</v>
      </c>
      <c r="O46">
        <f t="shared" si="1"/>
        <v>4</v>
      </c>
      <c r="P46">
        <f t="shared" si="2"/>
        <v>4</v>
      </c>
      <c r="Q46">
        <f t="shared" si="3"/>
        <v>10</v>
      </c>
      <c r="R46">
        <f t="shared" si="4"/>
        <v>10</v>
      </c>
      <c r="S46">
        <v>1</v>
      </c>
      <c r="T46">
        <v>39.799999999999997</v>
      </c>
      <c r="U46">
        <v>1</v>
      </c>
      <c r="W46" s="19">
        <v>38.700000000000003</v>
      </c>
      <c r="X46" s="1">
        <v>1</v>
      </c>
    </row>
    <row r="47" spans="1:24" hidden="1" x14ac:dyDescent="0.3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47.1</v>
      </c>
      <c r="O47">
        <f t="shared" si="1"/>
        <v>10</v>
      </c>
      <c r="P47">
        <f t="shared" si="2"/>
        <v>4</v>
      </c>
      <c r="Q47">
        <f t="shared" si="3"/>
        <v>10</v>
      </c>
      <c r="R47">
        <f t="shared" si="4"/>
        <v>4</v>
      </c>
      <c r="S47">
        <v>1</v>
      </c>
      <c r="T47">
        <v>39.9</v>
      </c>
      <c r="U47">
        <v>1</v>
      </c>
      <c r="W47" s="19">
        <v>39</v>
      </c>
      <c r="X47" s="1">
        <v>1</v>
      </c>
    </row>
    <row r="48" spans="1:24" hidden="1" x14ac:dyDescent="0.3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50.5</v>
      </c>
      <c r="O48">
        <f t="shared" si="1"/>
        <v>4</v>
      </c>
      <c r="P48">
        <f t="shared" si="2"/>
        <v>10</v>
      </c>
      <c r="Q48">
        <f t="shared" si="3"/>
        <v>6</v>
      </c>
      <c r="R48">
        <f t="shared" si="4"/>
        <v>6</v>
      </c>
      <c r="S48">
        <v>1</v>
      </c>
      <c r="T48">
        <v>40</v>
      </c>
      <c r="U48">
        <v>1</v>
      </c>
      <c r="W48" s="19">
        <v>39.1</v>
      </c>
      <c r="X48" s="1">
        <v>1</v>
      </c>
    </row>
    <row r="49" spans="1:24" hidden="1" x14ac:dyDescent="0.3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62.9</v>
      </c>
      <c r="O49">
        <f t="shared" si="1"/>
        <v>6</v>
      </c>
      <c r="P49">
        <f t="shared" si="2"/>
        <v>10</v>
      </c>
      <c r="Q49">
        <f t="shared" si="3"/>
        <v>8</v>
      </c>
      <c r="R49">
        <f t="shared" si="4"/>
        <v>4</v>
      </c>
      <c r="S49">
        <v>1</v>
      </c>
      <c r="T49">
        <v>40.1</v>
      </c>
      <c r="U49">
        <v>1</v>
      </c>
      <c r="W49" s="19">
        <v>39.4</v>
      </c>
      <c r="X49" s="1">
        <v>1</v>
      </c>
    </row>
    <row r="50" spans="1:24" hidden="1" x14ac:dyDescent="0.3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60.8</v>
      </c>
      <c r="O50">
        <f t="shared" si="1"/>
        <v>10</v>
      </c>
      <c r="P50">
        <f t="shared" si="2"/>
        <v>8</v>
      </c>
      <c r="Q50">
        <f t="shared" si="3"/>
        <v>10</v>
      </c>
      <c r="R50">
        <f t="shared" si="4"/>
        <v>4</v>
      </c>
      <c r="S50">
        <v>1</v>
      </c>
      <c r="T50">
        <v>40.299999999999997</v>
      </c>
      <c r="U50">
        <v>1</v>
      </c>
      <c r="W50" s="19">
        <v>39.5</v>
      </c>
      <c r="X50" s="1">
        <v>2</v>
      </c>
    </row>
    <row r="51" spans="1:24" hidden="1" x14ac:dyDescent="0.3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60.6</v>
      </c>
      <c r="O51">
        <f t="shared" si="1"/>
        <v>4</v>
      </c>
      <c r="P51">
        <f t="shared" si="2"/>
        <v>10</v>
      </c>
      <c r="Q51">
        <f t="shared" si="3"/>
        <v>6</v>
      </c>
      <c r="R51">
        <f t="shared" si="4"/>
        <v>8</v>
      </c>
      <c r="S51">
        <v>1</v>
      </c>
      <c r="T51">
        <v>40.4</v>
      </c>
      <c r="U51">
        <v>1</v>
      </c>
      <c r="W51" s="19">
        <v>39.700000000000003</v>
      </c>
      <c r="X51" s="1">
        <v>1</v>
      </c>
    </row>
    <row r="52" spans="1:24" hidden="1" x14ac:dyDescent="0.3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58.8</v>
      </c>
      <c r="O52">
        <f t="shared" si="1"/>
        <v>8</v>
      </c>
      <c r="P52">
        <f t="shared" si="2"/>
        <v>10</v>
      </c>
      <c r="Q52">
        <f t="shared" si="3"/>
        <v>0</v>
      </c>
      <c r="R52">
        <f t="shared" si="4"/>
        <v>6</v>
      </c>
      <c r="S52">
        <v>1</v>
      </c>
      <c r="T52">
        <v>40.700000000000003</v>
      </c>
      <c r="U52">
        <v>2</v>
      </c>
      <c r="W52" s="19">
        <v>39.799999999999997</v>
      </c>
      <c r="X52" s="1">
        <v>1</v>
      </c>
    </row>
    <row r="53" spans="1:24" hidden="1" x14ac:dyDescent="0.3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56.4</v>
      </c>
      <c r="O53">
        <f t="shared" si="1"/>
        <v>0</v>
      </c>
      <c r="P53">
        <f t="shared" si="2"/>
        <v>4</v>
      </c>
      <c r="Q53">
        <f t="shared" si="3"/>
        <v>6</v>
      </c>
      <c r="R53">
        <f t="shared" si="4"/>
        <v>4</v>
      </c>
      <c r="S53">
        <v>1</v>
      </c>
      <c r="T53">
        <v>40.799999999999997</v>
      </c>
      <c r="U53">
        <v>3</v>
      </c>
      <c r="W53" s="19">
        <v>39.9</v>
      </c>
      <c r="X53" s="1">
        <v>1</v>
      </c>
    </row>
    <row r="54" spans="1:24" hidden="1" x14ac:dyDescent="0.3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47.4</v>
      </c>
      <c r="O54">
        <f t="shared" si="1"/>
        <v>6</v>
      </c>
      <c r="P54">
        <f t="shared" si="2"/>
        <v>10</v>
      </c>
      <c r="Q54">
        <f t="shared" si="3"/>
        <v>6</v>
      </c>
      <c r="R54">
        <f t="shared" si="4"/>
        <v>6</v>
      </c>
      <c r="S54">
        <v>1</v>
      </c>
      <c r="T54">
        <v>41</v>
      </c>
      <c r="U54">
        <v>1</v>
      </c>
      <c r="W54" s="19">
        <v>40</v>
      </c>
      <c r="X54" s="1">
        <v>1</v>
      </c>
    </row>
    <row r="55" spans="1:24" hidden="1" x14ac:dyDescent="0.3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72.8</v>
      </c>
      <c r="O55">
        <f t="shared" si="1"/>
        <v>6</v>
      </c>
      <c r="P55">
        <f t="shared" si="2"/>
        <v>6</v>
      </c>
      <c r="Q55">
        <f t="shared" si="3"/>
        <v>8</v>
      </c>
      <c r="R55">
        <f t="shared" si="4"/>
        <v>10</v>
      </c>
      <c r="S55">
        <v>1</v>
      </c>
      <c r="T55">
        <v>41.2</v>
      </c>
      <c r="U55">
        <v>3</v>
      </c>
      <c r="W55" s="19">
        <v>40.1</v>
      </c>
      <c r="X55" s="1">
        <v>1</v>
      </c>
    </row>
    <row r="56" spans="1:24" hidden="1" x14ac:dyDescent="0.3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62.6</v>
      </c>
      <c r="O56">
        <f t="shared" si="1"/>
        <v>8</v>
      </c>
      <c r="P56">
        <f t="shared" si="2"/>
        <v>0</v>
      </c>
      <c r="Q56">
        <f t="shared" si="3"/>
        <v>6</v>
      </c>
      <c r="R56">
        <f t="shared" si="4"/>
        <v>10</v>
      </c>
      <c r="S56">
        <v>1</v>
      </c>
      <c r="T56">
        <v>41.3</v>
      </c>
      <c r="U56">
        <v>2</v>
      </c>
      <c r="W56" s="19">
        <v>40.299999999999997</v>
      </c>
      <c r="X56" s="1">
        <v>1</v>
      </c>
    </row>
    <row r="57" spans="1:24" hidden="1" x14ac:dyDescent="0.3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63</v>
      </c>
      <c r="O57">
        <f t="shared" si="1"/>
        <v>0</v>
      </c>
      <c r="P57">
        <f t="shared" si="2"/>
        <v>0</v>
      </c>
      <c r="Q57">
        <f t="shared" si="3"/>
        <v>10</v>
      </c>
      <c r="R57">
        <f t="shared" si="4"/>
        <v>10</v>
      </c>
      <c r="S57">
        <v>1</v>
      </c>
      <c r="T57">
        <v>41.5</v>
      </c>
      <c r="U57">
        <v>1</v>
      </c>
      <c r="W57" s="19">
        <v>40.4</v>
      </c>
      <c r="X57" s="1">
        <v>1</v>
      </c>
    </row>
    <row r="58" spans="1:24" hidden="1" x14ac:dyDescent="0.3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59.3</v>
      </c>
      <c r="O58">
        <f t="shared" si="1"/>
        <v>10</v>
      </c>
      <c r="P58">
        <f t="shared" si="2"/>
        <v>6</v>
      </c>
      <c r="Q58">
        <f t="shared" si="3"/>
        <v>10</v>
      </c>
      <c r="R58">
        <f t="shared" si="4"/>
        <v>8</v>
      </c>
      <c r="S58">
        <v>1</v>
      </c>
      <c r="T58">
        <v>41.7</v>
      </c>
      <c r="U58">
        <v>1</v>
      </c>
      <c r="W58" s="19">
        <v>40.700000000000003</v>
      </c>
      <c r="X58" s="1">
        <v>2</v>
      </c>
    </row>
    <row r="59" spans="1:24" hidden="1" x14ac:dyDescent="0.3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60.6</v>
      </c>
      <c r="O59">
        <f t="shared" si="1"/>
        <v>4</v>
      </c>
      <c r="P59">
        <f t="shared" si="2"/>
        <v>8</v>
      </c>
      <c r="Q59">
        <f t="shared" si="3"/>
        <v>8</v>
      </c>
      <c r="R59">
        <f t="shared" si="4"/>
        <v>0</v>
      </c>
      <c r="S59">
        <v>1</v>
      </c>
      <c r="T59">
        <v>41.8</v>
      </c>
      <c r="U59">
        <v>1</v>
      </c>
      <c r="W59" s="19">
        <v>40.799999999999997</v>
      </c>
      <c r="X59" s="1">
        <v>3</v>
      </c>
    </row>
    <row r="60" spans="1:24" hidden="1" x14ac:dyDescent="0.3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43.3</v>
      </c>
      <c r="O60">
        <f t="shared" si="1"/>
        <v>4</v>
      </c>
      <c r="P60">
        <f t="shared" si="2"/>
        <v>8</v>
      </c>
      <c r="Q60">
        <f t="shared" si="3"/>
        <v>6</v>
      </c>
      <c r="R60">
        <f t="shared" si="4"/>
        <v>0</v>
      </c>
      <c r="S60">
        <v>1</v>
      </c>
      <c r="T60">
        <v>42</v>
      </c>
      <c r="U60">
        <v>1</v>
      </c>
      <c r="W60" s="19">
        <v>41</v>
      </c>
      <c r="X60" s="1">
        <v>1</v>
      </c>
    </row>
    <row r="61" spans="1:24" hidden="1" x14ac:dyDescent="0.3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80.099999999999994</v>
      </c>
      <c r="O61">
        <f t="shared" si="1"/>
        <v>8</v>
      </c>
      <c r="P61">
        <f t="shared" si="2"/>
        <v>10</v>
      </c>
      <c r="Q61">
        <f t="shared" si="3"/>
        <v>10</v>
      </c>
      <c r="R61">
        <f t="shared" si="4"/>
        <v>0</v>
      </c>
      <c r="S61">
        <v>1</v>
      </c>
      <c r="T61">
        <v>42.1</v>
      </c>
      <c r="U61">
        <v>1</v>
      </c>
      <c r="W61" s="19">
        <v>41.2</v>
      </c>
      <c r="X61" s="1">
        <v>3</v>
      </c>
    </row>
    <row r="62" spans="1:24" hidden="1" x14ac:dyDescent="0.3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56.1</v>
      </c>
      <c r="O62">
        <f t="shared" si="1"/>
        <v>6</v>
      </c>
      <c r="P62">
        <f t="shared" si="2"/>
        <v>8</v>
      </c>
      <c r="Q62">
        <f t="shared" si="3"/>
        <v>0</v>
      </c>
      <c r="R62">
        <f t="shared" si="4"/>
        <v>6</v>
      </c>
      <c r="S62">
        <v>1</v>
      </c>
      <c r="T62">
        <v>42.2</v>
      </c>
      <c r="U62">
        <v>1</v>
      </c>
      <c r="W62" s="19">
        <v>41.3</v>
      </c>
      <c r="X62" s="1">
        <v>2</v>
      </c>
    </row>
    <row r="63" spans="1:24" hidden="1" x14ac:dyDescent="0.3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46.8</v>
      </c>
      <c r="O63">
        <f t="shared" si="1"/>
        <v>6</v>
      </c>
      <c r="P63">
        <f t="shared" si="2"/>
        <v>8</v>
      </c>
      <c r="Q63">
        <f t="shared" si="3"/>
        <v>8</v>
      </c>
      <c r="R63">
        <f t="shared" si="4"/>
        <v>4</v>
      </c>
      <c r="S63">
        <v>1</v>
      </c>
      <c r="T63">
        <v>42.3</v>
      </c>
      <c r="U63">
        <v>1</v>
      </c>
      <c r="W63" s="19">
        <v>41.5</v>
      </c>
      <c r="X63" s="1">
        <v>1</v>
      </c>
    </row>
    <row r="64" spans="1:24" hidden="1" x14ac:dyDescent="0.3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59.2</v>
      </c>
      <c r="O64">
        <f t="shared" si="1"/>
        <v>4</v>
      </c>
      <c r="P64">
        <f t="shared" si="2"/>
        <v>8</v>
      </c>
      <c r="Q64">
        <f t="shared" si="3"/>
        <v>6</v>
      </c>
      <c r="R64">
        <f t="shared" si="4"/>
        <v>0</v>
      </c>
      <c r="S64">
        <v>1</v>
      </c>
      <c r="T64">
        <v>42.6</v>
      </c>
      <c r="U64">
        <v>3</v>
      </c>
      <c r="W64" s="19">
        <v>41.7</v>
      </c>
      <c r="X64" s="1">
        <v>1</v>
      </c>
    </row>
    <row r="65" spans="1:24" hidden="1" x14ac:dyDescent="0.3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53.1</v>
      </c>
      <c r="O65">
        <f t="shared" si="1"/>
        <v>10</v>
      </c>
      <c r="P65">
        <f t="shared" si="2"/>
        <v>4</v>
      </c>
      <c r="Q65">
        <f t="shared" si="3"/>
        <v>6</v>
      </c>
      <c r="R65">
        <f t="shared" si="4"/>
        <v>0</v>
      </c>
      <c r="S65">
        <v>1</v>
      </c>
      <c r="T65">
        <v>42.7</v>
      </c>
      <c r="U65">
        <v>1</v>
      </c>
      <c r="W65" s="19">
        <v>41.8</v>
      </c>
      <c r="X65" s="1">
        <v>1</v>
      </c>
    </row>
    <row r="66" spans="1:24" hidden="1" x14ac:dyDescent="0.3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si="0"/>
        <v>45.5</v>
      </c>
      <c r="O66">
        <f t="shared" si="1"/>
        <v>8</v>
      </c>
      <c r="P66">
        <f t="shared" si="2"/>
        <v>6</v>
      </c>
      <c r="Q66">
        <f t="shared" si="3"/>
        <v>10</v>
      </c>
      <c r="R66">
        <f t="shared" si="4"/>
        <v>0</v>
      </c>
      <c r="S66">
        <v>1</v>
      </c>
      <c r="T66">
        <v>42.8</v>
      </c>
      <c r="U66">
        <v>2</v>
      </c>
      <c r="W66" s="19">
        <v>42</v>
      </c>
      <c r="X66" s="1">
        <v>1</v>
      </c>
    </row>
    <row r="67" spans="1:24" hidden="1" x14ac:dyDescent="0.3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ref="N67:N130" si="5">C67+IF(D67=6,2,0) +SUM(O67:R67) +SUM(I67:M67)/10</f>
        <v>57.2</v>
      </c>
      <c r="O67">
        <f t="shared" ref="O67:O130" si="6">IF(E67=2,0,IF(E67=3,4,IF(E67=4,6,IF(E67=5,8,IF(E67=6,10,0)))))</f>
        <v>8</v>
      </c>
      <c r="P67">
        <f t="shared" ref="P67:P130" si="7">IF(F67=2,0,IF(F67=3,4,IF(F67=4,6,IF(F67=5,8,IF(F67=6,10,0)))))</f>
        <v>6</v>
      </c>
      <c r="Q67">
        <f t="shared" ref="Q67:Q130" si="8">IF(G67=2,0,IF(G67=3,4,IF(G67=4,6,IF(G67=5,8,IF(G67=6,10,0)))))</f>
        <v>4</v>
      </c>
      <c r="R67">
        <f t="shared" ref="R67:R130" si="9">IF(H67=2,0,IF(H67=3,4,IF(H67=4,6,IF(H67=5,8,IF(H67=6,10,0)))))</f>
        <v>4</v>
      </c>
      <c r="S67">
        <v>1</v>
      </c>
      <c r="T67">
        <v>42.9</v>
      </c>
      <c r="U67">
        <v>2</v>
      </c>
      <c r="W67" s="19">
        <v>42.1</v>
      </c>
      <c r="X67" s="1">
        <v>1</v>
      </c>
    </row>
    <row r="68" spans="1:24" hidden="1" x14ac:dyDescent="0.3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5"/>
        <v>47.6</v>
      </c>
      <c r="O68">
        <f t="shared" si="6"/>
        <v>0</v>
      </c>
      <c r="P68">
        <f t="shared" si="7"/>
        <v>4</v>
      </c>
      <c r="Q68">
        <f t="shared" si="8"/>
        <v>10</v>
      </c>
      <c r="R68">
        <f t="shared" si="9"/>
        <v>8</v>
      </c>
      <c r="S68">
        <v>1</v>
      </c>
      <c r="T68">
        <v>43.1</v>
      </c>
      <c r="U68">
        <v>2</v>
      </c>
      <c r="W68" s="19">
        <v>42.2</v>
      </c>
      <c r="X68" s="1">
        <v>1</v>
      </c>
    </row>
    <row r="69" spans="1:24" hidden="1" x14ac:dyDescent="0.3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5"/>
        <v>45.3</v>
      </c>
      <c r="O69">
        <f t="shared" si="6"/>
        <v>8</v>
      </c>
      <c r="P69">
        <f t="shared" si="7"/>
        <v>4</v>
      </c>
      <c r="Q69">
        <f t="shared" si="8"/>
        <v>0</v>
      </c>
      <c r="R69">
        <f t="shared" si="9"/>
        <v>10</v>
      </c>
      <c r="S69">
        <v>1</v>
      </c>
      <c r="T69">
        <v>43.2</v>
      </c>
      <c r="U69">
        <v>1</v>
      </c>
      <c r="W69" s="19">
        <v>42.3</v>
      </c>
      <c r="X69" s="1">
        <v>1</v>
      </c>
    </row>
    <row r="70" spans="1:24" hidden="1" x14ac:dyDescent="0.3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5"/>
        <v>68.2</v>
      </c>
      <c r="O70">
        <f t="shared" si="6"/>
        <v>8</v>
      </c>
      <c r="P70">
        <f t="shared" si="7"/>
        <v>8</v>
      </c>
      <c r="Q70">
        <f t="shared" si="8"/>
        <v>10</v>
      </c>
      <c r="R70">
        <f t="shared" si="9"/>
        <v>4</v>
      </c>
      <c r="S70">
        <v>1</v>
      </c>
      <c r="T70">
        <v>43.3</v>
      </c>
      <c r="U70">
        <v>5</v>
      </c>
      <c r="W70" s="19">
        <v>42.6</v>
      </c>
      <c r="X70" s="1">
        <v>3</v>
      </c>
    </row>
    <row r="71" spans="1:24" hidden="1" x14ac:dyDescent="0.3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5"/>
        <v>35.9</v>
      </c>
      <c r="O71">
        <f t="shared" si="6"/>
        <v>4</v>
      </c>
      <c r="P71">
        <f t="shared" si="7"/>
        <v>0</v>
      </c>
      <c r="Q71">
        <f t="shared" si="8"/>
        <v>4</v>
      </c>
      <c r="R71">
        <f t="shared" si="9"/>
        <v>10</v>
      </c>
      <c r="S71">
        <v>1</v>
      </c>
      <c r="T71">
        <v>43.4</v>
      </c>
      <c r="U71">
        <v>1</v>
      </c>
      <c r="W71" s="19">
        <v>42.7</v>
      </c>
      <c r="X71" s="1">
        <v>1</v>
      </c>
    </row>
    <row r="72" spans="1:24" hidden="1" x14ac:dyDescent="0.3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5"/>
        <v>53.5</v>
      </c>
      <c r="O72">
        <f t="shared" si="6"/>
        <v>10</v>
      </c>
      <c r="P72">
        <f t="shared" si="7"/>
        <v>8</v>
      </c>
      <c r="Q72">
        <f t="shared" si="8"/>
        <v>0</v>
      </c>
      <c r="R72">
        <f t="shared" si="9"/>
        <v>8</v>
      </c>
      <c r="S72">
        <v>1</v>
      </c>
      <c r="T72">
        <v>43.5</v>
      </c>
      <c r="U72">
        <v>1</v>
      </c>
      <c r="W72" s="19">
        <v>42.8</v>
      </c>
      <c r="X72" s="1">
        <v>2</v>
      </c>
    </row>
    <row r="73" spans="1:24" hidden="1" x14ac:dyDescent="0.3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5"/>
        <v>58.9</v>
      </c>
      <c r="O73">
        <f t="shared" si="6"/>
        <v>8</v>
      </c>
      <c r="P73">
        <f t="shared" si="7"/>
        <v>8</v>
      </c>
      <c r="Q73">
        <f t="shared" si="8"/>
        <v>4</v>
      </c>
      <c r="R73">
        <f t="shared" si="9"/>
        <v>10</v>
      </c>
      <c r="S73">
        <v>1</v>
      </c>
      <c r="T73">
        <v>43.6</v>
      </c>
      <c r="U73">
        <v>2</v>
      </c>
      <c r="W73" s="19">
        <v>42.9</v>
      </c>
      <c r="X73" s="1">
        <v>2</v>
      </c>
    </row>
    <row r="74" spans="1:24" hidden="1" x14ac:dyDescent="0.3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5"/>
        <v>67.7</v>
      </c>
      <c r="O74">
        <f t="shared" si="6"/>
        <v>10</v>
      </c>
      <c r="P74">
        <f t="shared" si="7"/>
        <v>4</v>
      </c>
      <c r="Q74">
        <f t="shared" si="8"/>
        <v>10</v>
      </c>
      <c r="R74">
        <f t="shared" si="9"/>
        <v>0</v>
      </c>
      <c r="S74">
        <v>1</v>
      </c>
      <c r="T74">
        <v>43.7</v>
      </c>
      <c r="U74">
        <v>1</v>
      </c>
      <c r="W74" s="19">
        <v>43.1</v>
      </c>
      <c r="X74" s="1">
        <v>2</v>
      </c>
    </row>
    <row r="75" spans="1:24" hidden="1" x14ac:dyDescent="0.3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5"/>
        <v>53.5</v>
      </c>
      <c r="O75">
        <f t="shared" si="6"/>
        <v>0</v>
      </c>
      <c r="P75">
        <f t="shared" si="7"/>
        <v>10</v>
      </c>
      <c r="Q75">
        <f t="shared" si="8"/>
        <v>0</v>
      </c>
      <c r="R75">
        <f t="shared" si="9"/>
        <v>0</v>
      </c>
      <c r="S75">
        <v>1</v>
      </c>
      <c r="T75">
        <v>44</v>
      </c>
      <c r="U75">
        <v>1</v>
      </c>
      <c r="W75" s="19">
        <v>43.2</v>
      </c>
      <c r="X75" s="1">
        <v>1</v>
      </c>
    </row>
    <row r="76" spans="1:24" hidden="1" x14ac:dyDescent="0.3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5"/>
        <v>27.6</v>
      </c>
      <c r="O76">
        <f t="shared" si="6"/>
        <v>0</v>
      </c>
      <c r="P76">
        <f t="shared" si="7"/>
        <v>0</v>
      </c>
      <c r="Q76">
        <f t="shared" si="8"/>
        <v>4</v>
      </c>
      <c r="R76">
        <f t="shared" si="9"/>
        <v>8</v>
      </c>
      <c r="S76">
        <v>1</v>
      </c>
      <c r="T76">
        <v>44.1</v>
      </c>
      <c r="U76">
        <v>1</v>
      </c>
      <c r="W76" s="19">
        <v>43.3</v>
      </c>
      <c r="X76" s="1">
        <v>5</v>
      </c>
    </row>
    <row r="77" spans="1:24" hidden="1" x14ac:dyDescent="0.3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5"/>
        <v>54</v>
      </c>
      <c r="O77">
        <f t="shared" si="6"/>
        <v>0</v>
      </c>
      <c r="P77">
        <f t="shared" si="7"/>
        <v>10</v>
      </c>
      <c r="Q77">
        <f t="shared" si="8"/>
        <v>8</v>
      </c>
      <c r="R77">
        <f t="shared" si="9"/>
        <v>10</v>
      </c>
      <c r="S77">
        <v>1</v>
      </c>
      <c r="T77">
        <v>44.2</v>
      </c>
      <c r="U77">
        <v>4</v>
      </c>
      <c r="W77" s="19">
        <v>43.4</v>
      </c>
      <c r="X77" s="1">
        <v>1</v>
      </c>
    </row>
    <row r="78" spans="1:24" hidden="1" x14ac:dyDescent="0.3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5"/>
        <v>49.8</v>
      </c>
      <c r="O78">
        <f t="shared" si="6"/>
        <v>6</v>
      </c>
      <c r="P78">
        <f t="shared" si="7"/>
        <v>4</v>
      </c>
      <c r="Q78">
        <f t="shared" si="8"/>
        <v>10</v>
      </c>
      <c r="R78">
        <f t="shared" si="9"/>
        <v>10</v>
      </c>
      <c r="S78">
        <v>1</v>
      </c>
      <c r="T78">
        <v>44.5</v>
      </c>
      <c r="U78">
        <v>1</v>
      </c>
      <c r="W78" s="19">
        <v>43.5</v>
      </c>
      <c r="X78" s="1">
        <v>1</v>
      </c>
    </row>
    <row r="79" spans="1:24" hidden="1" x14ac:dyDescent="0.3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5"/>
        <v>51.8</v>
      </c>
      <c r="O79">
        <f t="shared" si="6"/>
        <v>6</v>
      </c>
      <c r="P79">
        <f t="shared" si="7"/>
        <v>8</v>
      </c>
      <c r="Q79">
        <f t="shared" si="8"/>
        <v>4</v>
      </c>
      <c r="R79">
        <f t="shared" si="9"/>
        <v>6</v>
      </c>
      <c r="S79">
        <v>1</v>
      </c>
      <c r="T79">
        <v>44.6</v>
      </c>
      <c r="U79">
        <v>1</v>
      </c>
      <c r="W79" s="19">
        <v>43.6</v>
      </c>
      <c r="X79" s="1">
        <v>2</v>
      </c>
    </row>
    <row r="80" spans="1:24" hidden="1" x14ac:dyDescent="0.3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5"/>
        <v>62.3</v>
      </c>
      <c r="O80">
        <f t="shared" si="6"/>
        <v>4</v>
      </c>
      <c r="P80">
        <f t="shared" si="7"/>
        <v>10</v>
      </c>
      <c r="Q80">
        <f t="shared" si="8"/>
        <v>4</v>
      </c>
      <c r="R80">
        <f t="shared" si="9"/>
        <v>8</v>
      </c>
      <c r="S80">
        <v>1</v>
      </c>
      <c r="T80">
        <v>44.8</v>
      </c>
      <c r="U80">
        <v>1</v>
      </c>
      <c r="W80" s="19">
        <v>43.7</v>
      </c>
      <c r="X80" s="1">
        <v>1</v>
      </c>
    </row>
    <row r="81" spans="1:24" hidden="1" x14ac:dyDescent="0.3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5"/>
        <v>48.7</v>
      </c>
      <c r="O81">
        <f t="shared" si="6"/>
        <v>0</v>
      </c>
      <c r="P81">
        <f t="shared" si="7"/>
        <v>6</v>
      </c>
      <c r="Q81">
        <f t="shared" si="8"/>
        <v>10</v>
      </c>
      <c r="R81">
        <f t="shared" si="9"/>
        <v>8</v>
      </c>
      <c r="S81">
        <v>1</v>
      </c>
      <c r="T81">
        <v>44.9</v>
      </c>
      <c r="U81">
        <v>2</v>
      </c>
      <c r="W81" s="19">
        <v>44</v>
      </c>
      <c r="X81" s="1">
        <v>1</v>
      </c>
    </row>
    <row r="82" spans="1:24" hidden="1" x14ac:dyDescent="0.3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5"/>
        <v>56.3</v>
      </c>
      <c r="O82">
        <f t="shared" si="6"/>
        <v>8</v>
      </c>
      <c r="P82">
        <f t="shared" si="7"/>
        <v>10</v>
      </c>
      <c r="Q82">
        <f t="shared" si="8"/>
        <v>8</v>
      </c>
      <c r="R82">
        <f t="shared" si="9"/>
        <v>10</v>
      </c>
      <c r="S82">
        <v>1</v>
      </c>
      <c r="T82">
        <v>45</v>
      </c>
      <c r="U82">
        <v>2</v>
      </c>
      <c r="W82" s="19">
        <v>44.1</v>
      </c>
      <c r="X82" s="1">
        <v>1</v>
      </c>
    </row>
    <row r="83" spans="1:24" hidden="1" x14ac:dyDescent="0.3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5"/>
        <v>52.7</v>
      </c>
      <c r="O83">
        <f t="shared" si="6"/>
        <v>6</v>
      </c>
      <c r="P83">
        <f t="shared" si="7"/>
        <v>0</v>
      </c>
      <c r="Q83">
        <f t="shared" si="8"/>
        <v>4</v>
      </c>
      <c r="R83">
        <f t="shared" si="9"/>
        <v>6</v>
      </c>
      <c r="S83">
        <v>1</v>
      </c>
      <c r="T83">
        <v>45.1</v>
      </c>
      <c r="U83">
        <v>2</v>
      </c>
      <c r="W83" s="19">
        <v>44.2</v>
      </c>
      <c r="X83" s="1">
        <v>4</v>
      </c>
    </row>
    <row r="84" spans="1:24" hidden="1" x14ac:dyDescent="0.3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5"/>
        <v>42.6</v>
      </c>
      <c r="O84">
        <f t="shared" si="6"/>
        <v>0</v>
      </c>
      <c r="P84">
        <f t="shared" si="7"/>
        <v>6</v>
      </c>
      <c r="Q84">
        <f t="shared" si="8"/>
        <v>4</v>
      </c>
      <c r="R84">
        <f t="shared" si="9"/>
        <v>4</v>
      </c>
      <c r="S84">
        <v>1</v>
      </c>
      <c r="T84">
        <v>45.2</v>
      </c>
      <c r="U84">
        <v>1</v>
      </c>
      <c r="W84" s="19">
        <v>44.5</v>
      </c>
      <c r="X84" s="1">
        <v>1</v>
      </c>
    </row>
    <row r="85" spans="1:24" hidden="1" x14ac:dyDescent="0.3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5"/>
        <v>45.9</v>
      </c>
      <c r="O85">
        <f t="shared" si="6"/>
        <v>0</v>
      </c>
      <c r="P85">
        <f t="shared" si="7"/>
        <v>10</v>
      </c>
      <c r="Q85">
        <f t="shared" si="8"/>
        <v>8</v>
      </c>
      <c r="R85">
        <f t="shared" si="9"/>
        <v>0</v>
      </c>
      <c r="S85">
        <v>1</v>
      </c>
      <c r="T85">
        <v>45.3</v>
      </c>
      <c r="U85">
        <v>1</v>
      </c>
      <c r="W85" s="19">
        <v>44.6</v>
      </c>
      <c r="X85" s="1">
        <v>1</v>
      </c>
    </row>
    <row r="86" spans="1:24" hidden="1" x14ac:dyDescent="0.3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5"/>
        <v>65.599999999999994</v>
      </c>
      <c r="O86">
        <f t="shared" si="6"/>
        <v>10</v>
      </c>
      <c r="P86">
        <f t="shared" si="7"/>
        <v>6</v>
      </c>
      <c r="Q86">
        <f t="shared" si="8"/>
        <v>4</v>
      </c>
      <c r="R86">
        <f t="shared" si="9"/>
        <v>10</v>
      </c>
      <c r="S86">
        <v>1</v>
      </c>
      <c r="T86">
        <v>45.4</v>
      </c>
      <c r="U86">
        <v>4</v>
      </c>
      <c r="W86" s="19">
        <v>44.8</v>
      </c>
      <c r="X86" s="1">
        <v>1</v>
      </c>
    </row>
    <row r="87" spans="1:24" hidden="1" x14ac:dyDescent="0.3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5"/>
        <v>49.9</v>
      </c>
      <c r="O87">
        <f t="shared" si="6"/>
        <v>4</v>
      </c>
      <c r="P87">
        <f t="shared" si="7"/>
        <v>8</v>
      </c>
      <c r="Q87">
        <f t="shared" si="8"/>
        <v>10</v>
      </c>
      <c r="R87">
        <f t="shared" si="9"/>
        <v>10</v>
      </c>
      <c r="S87">
        <v>1</v>
      </c>
      <c r="T87">
        <v>45.5</v>
      </c>
      <c r="U87">
        <v>1</v>
      </c>
      <c r="W87" s="19">
        <v>44.9</v>
      </c>
      <c r="X87" s="1">
        <v>2</v>
      </c>
    </row>
    <row r="88" spans="1:24" hidden="1" x14ac:dyDescent="0.3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5"/>
        <v>40.700000000000003</v>
      </c>
      <c r="O88">
        <f t="shared" si="6"/>
        <v>0</v>
      </c>
      <c r="P88">
        <f t="shared" si="7"/>
        <v>10</v>
      </c>
      <c r="Q88">
        <f t="shared" si="8"/>
        <v>4</v>
      </c>
      <c r="R88">
        <f t="shared" si="9"/>
        <v>4</v>
      </c>
      <c r="S88">
        <v>1</v>
      </c>
      <c r="T88">
        <v>45.6</v>
      </c>
      <c r="U88">
        <v>1</v>
      </c>
      <c r="W88" s="19">
        <v>45</v>
      </c>
      <c r="X88" s="1">
        <v>2</v>
      </c>
    </row>
    <row r="89" spans="1:24" hidden="1" x14ac:dyDescent="0.3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5"/>
        <v>51.2</v>
      </c>
      <c r="O89">
        <f t="shared" si="6"/>
        <v>0</v>
      </c>
      <c r="P89">
        <f t="shared" si="7"/>
        <v>10</v>
      </c>
      <c r="Q89">
        <f t="shared" si="8"/>
        <v>6</v>
      </c>
      <c r="R89">
        <f t="shared" si="9"/>
        <v>6</v>
      </c>
      <c r="S89">
        <v>1</v>
      </c>
      <c r="T89">
        <v>45.7</v>
      </c>
      <c r="U89">
        <v>3</v>
      </c>
      <c r="W89" s="19">
        <v>45.1</v>
      </c>
      <c r="X89" s="1">
        <v>2</v>
      </c>
    </row>
    <row r="90" spans="1:24" hidden="1" x14ac:dyDescent="0.3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5"/>
        <v>53.3</v>
      </c>
      <c r="O90">
        <f t="shared" si="6"/>
        <v>4</v>
      </c>
      <c r="P90">
        <f t="shared" si="7"/>
        <v>6</v>
      </c>
      <c r="Q90">
        <f t="shared" si="8"/>
        <v>4</v>
      </c>
      <c r="R90">
        <f t="shared" si="9"/>
        <v>10</v>
      </c>
      <c r="S90">
        <v>1</v>
      </c>
      <c r="T90">
        <v>45.9</v>
      </c>
      <c r="U90">
        <v>3</v>
      </c>
      <c r="W90" s="19">
        <v>45.2</v>
      </c>
      <c r="X90" s="1">
        <v>1</v>
      </c>
    </row>
    <row r="91" spans="1:24" hidden="1" x14ac:dyDescent="0.3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5"/>
        <v>63.5</v>
      </c>
      <c r="O91">
        <f t="shared" si="6"/>
        <v>10</v>
      </c>
      <c r="P91">
        <f t="shared" si="7"/>
        <v>6</v>
      </c>
      <c r="Q91">
        <f t="shared" si="8"/>
        <v>10</v>
      </c>
      <c r="R91">
        <f t="shared" si="9"/>
        <v>0</v>
      </c>
      <c r="S91">
        <v>1</v>
      </c>
      <c r="T91">
        <v>46.1</v>
      </c>
      <c r="U91">
        <v>3</v>
      </c>
      <c r="W91" s="19">
        <v>45.3</v>
      </c>
      <c r="X91" s="1">
        <v>1</v>
      </c>
    </row>
    <row r="92" spans="1:24" hidden="1" x14ac:dyDescent="0.3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5"/>
        <v>47.6</v>
      </c>
      <c r="O92">
        <f t="shared" si="6"/>
        <v>6</v>
      </c>
      <c r="P92">
        <f t="shared" si="7"/>
        <v>0</v>
      </c>
      <c r="Q92">
        <f t="shared" si="8"/>
        <v>8</v>
      </c>
      <c r="R92">
        <f t="shared" si="9"/>
        <v>10</v>
      </c>
      <c r="S92">
        <v>1</v>
      </c>
      <c r="T92">
        <v>46.2</v>
      </c>
      <c r="U92">
        <v>2</v>
      </c>
      <c r="W92" s="19">
        <v>45.4</v>
      </c>
      <c r="X92" s="1">
        <v>4</v>
      </c>
    </row>
    <row r="93" spans="1:24" hidden="1" x14ac:dyDescent="0.3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5"/>
        <v>50.2</v>
      </c>
      <c r="O93">
        <f t="shared" si="6"/>
        <v>4</v>
      </c>
      <c r="P93">
        <f t="shared" si="7"/>
        <v>8</v>
      </c>
      <c r="Q93">
        <f t="shared" si="8"/>
        <v>6</v>
      </c>
      <c r="R93">
        <f t="shared" si="9"/>
        <v>6</v>
      </c>
      <c r="S93">
        <v>1</v>
      </c>
      <c r="T93">
        <v>46.3</v>
      </c>
      <c r="U93">
        <v>3</v>
      </c>
      <c r="W93" s="19">
        <v>45.5</v>
      </c>
      <c r="X93" s="1">
        <v>1</v>
      </c>
    </row>
    <row r="94" spans="1:24" hidden="1" x14ac:dyDescent="0.3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5"/>
        <v>55.8</v>
      </c>
      <c r="O94">
        <f t="shared" si="6"/>
        <v>10</v>
      </c>
      <c r="P94">
        <f t="shared" si="7"/>
        <v>8</v>
      </c>
      <c r="Q94">
        <f t="shared" si="8"/>
        <v>6</v>
      </c>
      <c r="R94">
        <f t="shared" si="9"/>
        <v>8</v>
      </c>
      <c r="S94">
        <v>1</v>
      </c>
      <c r="T94">
        <v>46.5</v>
      </c>
      <c r="U94">
        <v>2</v>
      </c>
      <c r="W94" s="19">
        <v>45.6</v>
      </c>
      <c r="X94" s="1">
        <v>1</v>
      </c>
    </row>
    <row r="95" spans="1:24" hidden="1" x14ac:dyDescent="0.3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5"/>
        <v>56.3</v>
      </c>
      <c r="O95">
        <f t="shared" si="6"/>
        <v>10</v>
      </c>
      <c r="P95">
        <f t="shared" si="7"/>
        <v>4</v>
      </c>
      <c r="Q95">
        <f t="shared" si="8"/>
        <v>8</v>
      </c>
      <c r="R95">
        <f t="shared" si="9"/>
        <v>10</v>
      </c>
      <c r="S95">
        <v>1</v>
      </c>
      <c r="T95">
        <v>46.6</v>
      </c>
      <c r="U95">
        <v>1</v>
      </c>
      <c r="W95" s="19">
        <v>45.7</v>
      </c>
      <c r="X95" s="1">
        <v>3</v>
      </c>
    </row>
    <row r="96" spans="1:24" hidden="1" x14ac:dyDescent="0.3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5"/>
        <v>31</v>
      </c>
      <c r="O96">
        <f t="shared" si="6"/>
        <v>0</v>
      </c>
      <c r="P96">
        <f t="shared" si="7"/>
        <v>0</v>
      </c>
      <c r="Q96">
        <f t="shared" si="8"/>
        <v>4</v>
      </c>
      <c r="R96">
        <f t="shared" si="9"/>
        <v>0</v>
      </c>
      <c r="S96">
        <v>1</v>
      </c>
      <c r="T96">
        <v>46.7</v>
      </c>
      <c r="U96">
        <v>5</v>
      </c>
      <c r="W96" s="19">
        <v>45.9</v>
      </c>
      <c r="X96" s="1">
        <v>3</v>
      </c>
    </row>
    <row r="97" spans="1:24" hidden="1" x14ac:dyDescent="0.3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5"/>
        <v>66.2</v>
      </c>
      <c r="O97">
        <f t="shared" si="6"/>
        <v>10</v>
      </c>
      <c r="P97">
        <f t="shared" si="7"/>
        <v>10</v>
      </c>
      <c r="Q97">
        <f t="shared" si="8"/>
        <v>8</v>
      </c>
      <c r="R97">
        <f t="shared" si="9"/>
        <v>10</v>
      </c>
      <c r="S97">
        <v>1</v>
      </c>
      <c r="T97">
        <v>46.8</v>
      </c>
      <c r="U97">
        <v>2</v>
      </c>
      <c r="W97" s="19">
        <v>46.1</v>
      </c>
      <c r="X97" s="1">
        <v>3</v>
      </c>
    </row>
    <row r="98" spans="1:24" hidden="1" x14ac:dyDescent="0.3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5"/>
        <v>48.6</v>
      </c>
      <c r="O98">
        <f t="shared" si="6"/>
        <v>8</v>
      </c>
      <c r="P98">
        <f t="shared" si="7"/>
        <v>0</v>
      </c>
      <c r="Q98">
        <f t="shared" si="8"/>
        <v>6</v>
      </c>
      <c r="R98">
        <f t="shared" si="9"/>
        <v>10</v>
      </c>
      <c r="S98">
        <v>1</v>
      </c>
      <c r="T98">
        <v>46.9</v>
      </c>
      <c r="U98">
        <v>3</v>
      </c>
      <c r="W98" s="19">
        <v>46.2</v>
      </c>
      <c r="X98" s="1">
        <v>2</v>
      </c>
    </row>
    <row r="99" spans="1:24" hidden="1" x14ac:dyDescent="0.3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5"/>
        <v>60</v>
      </c>
      <c r="O99">
        <f t="shared" si="6"/>
        <v>4</v>
      </c>
      <c r="P99">
        <f t="shared" si="7"/>
        <v>10</v>
      </c>
      <c r="Q99">
        <f t="shared" si="8"/>
        <v>8</v>
      </c>
      <c r="R99">
        <f t="shared" si="9"/>
        <v>8</v>
      </c>
      <c r="S99">
        <v>1</v>
      </c>
      <c r="T99">
        <v>47</v>
      </c>
      <c r="U99">
        <v>3</v>
      </c>
      <c r="W99" s="19">
        <v>46.3</v>
      </c>
      <c r="X99" s="1">
        <v>3</v>
      </c>
    </row>
    <row r="100" spans="1:24" hidden="1" x14ac:dyDescent="0.3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5"/>
        <v>45.7</v>
      </c>
      <c r="O100">
        <f t="shared" si="6"/>
        <v>6</v>
      </c>
      <c r="P100">
        <f t="shared" si="7"/>
        <v>0</v>
      </c>
      <c r="Q100">
        <f t="shared" si="8"/>
        <v>8</v>
      </c>
      <c r="R100">
        <f t="shared" si="9"/>
        <v>8</v>
      </c>
      <c r="S100">
        <v>1</v>
      </c>
      <c r="T100">
        <v>47.1</v>
      </c>
      <c r="U100">
        <v>1</v>
      </c>
      <c r="W100" s="19">
        <v>46.5</v>
      </c>
      <c r="X100" s="1">
        <v>2</v>
      </c>
    </row>
    <row r="101" spans="1:24" hidden="1" x14ac:dyDescent="0.3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5"/>
        <v>55</v>
      </c>
      <c r="O101">
        <f t="shared" si="6"/>
        <v>10</v>
      </c>
      <c r="P101">
        <f t="shared" si="7"/>
        <v>0</v>
      </c>
      <c r="Q101">
        <f t="shared" si="8"/>
        <v>8</v>
      </c>
      <c r="R101">
        <f t="shared" si="9"/>
        <v>6</v>
      </c>
      <c r="S101">
        <v>1</v>
      </c>
      <c r="T101">
        <v>47.2</v>
      </c>
      <c r="U101">
        <v>1</v>
      </c>
      <c r="W101" s="19">
        <v>46.6</v>
      </c>
      <c r="X101" s="1">
        <v>1</v>
      </c>
    </row>
    <row r="102" spans="1:24" hidden="1" x14ac:dyDescent="0.3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5"/>
        <v>37.799999999999997</v>
      </c>
      <c r="O102">
        <f t="shared" si="6"/>
        <v>0</v>
      </c>
      <c r="P102">
        <f t="shared" si="7"/>
        <v>4</v>
      </c>
      <c r="Q102">
        <f t="shared" si="8"/>
        <v>0</v>
      </c>
      <c r="R102">
        <f t="shared" si="9"/>
        <v>10</v>
      </c>
      <c r="S102">
        <v>1</v>
      </c>
      <c r="T102">
        <v>47.3</v>
      </c>
      <c r="U102">
        <v>2</v>
      </c>
      <c r="W102" s="19">
        <v>46.7</v>
      </c>
      <c r="X102" s="1">
        <v>5</v>
      </c>
    </row>
    <row r="103" spans="1:24" hidden="1" x14ac:dyDescent="0.3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5"/>
        <v>52.5</v>
      </c>
      <c r="O103">
        <f t="shared" si="6"/>
        <v>4</v>
      </c>
      <c r="P103">
        <f t="shared" si="7"/>
        <v>0</v>
      </c>
      <c r="Q103">
        <f t="shared" si="8"/>
        <v>4</v>
      </c>
      <c r="R103">
        <f t="shared" si="9"/>
        <v>10</v>
      </c>
      <c r="S103">
        <v>1</v>
      </c>
      <c r="T103">
        <v>47.4</v>
      </c>
      <c r="U103">
        <v>2</v>
      </c>
      <c r="W103" s="19">
        <v>46.8</v>
      </c>
      <c r="X103" s="1">
        <v>2</v>
      </c>
    </row>
    <row r="104" spans="1:24" hidden="1" x14ac:dyDescent="0.3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5"/>
        <v>52.9</v>
      </c>
      <c r="O104">
        <f t="shared" si="6"/>
        <v>0</v>
      </c>
      <c r="P104">
        <f t="shared" si="7"/>
        <v>10</v>
      </c>
      <c r="Q104">
        <f t="shared" si="8"/>
        <v>8</v>
      </c>
      <c r="R104">
        <f t="shared" si="9"/>
        <v>4</v>
      </c>
      <c r="S104">
        <v>1</v>
      </c>
      <c r="T104">
        <v>47.5</v>
      </c>
      <c r="U104">
        <v>4</v>
      </c>
      <c r="W104" s="19">
        <v>46.9</v>
      </c>
      <c r="X104" s="1">
        <v>3</v>
      </c>
    </row>
    <row r="105" spans="1:24" hidden="1" x14ac:dyDescent="0.3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5"/>
        <v>59.7</v>
      </c>
      <c r="O105">
        <f t="shared" si="6"/>
        <v>6</v>
      </c>
      <c r="P105">
        <f t="shared" si="7"/>
        <v>4</v>
      </c>
      <c r="Q105">
        <f t="shared" si="8"/>
        <v>8</v>
      </c>
      <c r="R105">
        <f t="shared" si="9"/>
        <v>6</v>
      </c>
      <c r="S105">
        <v>1</v>
      </c>
      <c r="T105">
        <v>47.6</v>
      </c>
      <c r="U105">
        <v>3</v>
      </c>
      <c r="W105" s="19">
        <v>47</v>
      </c>
      <c r="X105" s="1">
        <v>3</v>
      </c>
    </row>
    <row r="106" spans="1:24" hidden="1" x14ac:dyDescent="0.3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5"/>
        <v>55</v>
      </c>
      <c r="O106">
        <f t="shared" si="6"/>
        <v>0</v>
      </c>
      <c r="P106">
        <f t="shared" si="7"/>
        <v>10</v>
      </c>
      <c r="Q106">
        <f t="shared" si="8"/>
        <v>10</v>
      </c>
      <c r="R106">
        <f t="shared" si="9"/>
        <v>6</v>
      </c>
      <c r="S106">
        <v>1</v>
      </c>
      <c r="T106">
        <v>47.8</v>
      </c>
      <c r="U106">
        <v>2</v>
      </c>
      <c r="W106" s="19">
        <v>47.1</v>
      </c>
      <c r="X106" s="1">
        <v>1</v>
      </c>
    </row>
    <row r="107" spans="1:24" hidden="1" x14ac:dyDescent="0.3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5"/>
        <v>34.200000000000003</v>
      </c>
      <c r="O107">
        <f t="shared" si="6"/>
        <v>0</v>
      </c>
      <c r="P107">
        <f t="shared" si="7"/>
        <v>4</v>
      </c>
      <c r="Q107">
        <f t="shared" si="8"/>
        <v>8</v>
      </c>
      <c r="R107">
        <f t="shared" si="9"/>
        <v>0</v>
      </c>
      <c r="S107">
        <v>1</v>
      </c>
      <c r="T107">
        <v>48</v>
      </c>
      <c r="U107">
        <v>2</v>
      </c>
      <c r="W107" s="19">
        <v>47.2</v>
      </c>
      <c r="X107" s="1">
        <v>1</v>
      </c>
    </row>
    <row r="108" spans="1:24" hidden="1" x14ac:dyDescent="0.3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5"/>
        <v>47.4</v>
      </c>
      <c r="O108">
        <f t="shared" si="6"/>
        <v>4</v>
      </c>
      <c r="P108">
        <f t="shared" si="7"/>
        <v>8</v>
      </c>
      <c r="Q108">
        <f t="shared" si="8"/>
        <v>0</v>
      </c>
      <c r="R108">
        <f t="shared" si="9"/>
        <v>8</v>
      </c>
      <c r="S108">
        <v>1</v>
      </c>
      <c r="T108">
        <v>48.1</v>
      </c>
      <c r="U108">
        <v>1</v>
      </c>
      <c r="W108" s="19">
        <v>47.3</v>
      </c>
      <c r="X108" s="1">
        <v>2</v>
      </c>
    </row>
    <row r="109" spans="1:24" hidden="1" x14ac:dyDescent="0.3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5"/>
        <v>61</v>
      </c>
      <c r="O109">
        <f t="shared" si="6"/>
        <v>10</v>
      </c>
      <c r="P109">
        <f t="shared" si="7"/>
        <v>0</v>
      </c>
      <c r="Q109">
        <f t="shared" si="8"/>
        <v>8</v>
      </c>
      <c r="R109">
        <f t="shared" si="9"/>
        <v>8</v>
      </c>
      <c r="S109">
        <v>1</v>
      </c>
      <c r="T109">
        <v>48.2</v>
      </c>
      <c r="U109">
        <v>3</v>
      </c>
      <c r="W109" s="19">
        <v>47.4</v>
      </c>
      <c r="X109" s="1">
        <v>2</v>
      </c>
    </row>
    <row r="110" spans="1:24" hidden="1" x14ac:dyDescent="0.3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5"/>
        <v>78.5</v>
      </c>
      <c r="O110">
        <f t="shared" si="6"/>
        <v>10</v>
      </c>
      <c r="P110">
        <f t="shared" si="7"/>
        <v>10</v>
      </c>
      <c r="Q110">
        <f t="shared" si="8"/>
        <v>10</v>
      </c>
      <c r="R110">
        <f t="shared" si="9"/>
        <v>6</v>
      </c>
      <c r="S110">
        <v>1</v>
      </c>
      <c r="T110">
        <v>48.3</v>
      </c>
      <c r="U110">
        <v>2</v>
      </c>
      <c r="W110" s="19">
        <v>47.5</v>
      </c>
      <c r="X110" s="1">
        <v>4</v>
      </c>
    </row>
    <row r="111" spans="1:24" hidden="1" x14ac:dyDescent="0.3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5"/>
        <v>51.4</v>
      </c>
      <c r="O111">
        <f t="shared" si="6"/>
        <v>6</v>
      </c>
      <c r="P111">
        <f t="shared" si="7"/>
        <v>8</v>
      </c>
      <c r="Q111">
        <f t="shared" si="8"/>
        <v>10</v>
      </c>
      <c r="R111">
        <f t="shared" si="9"/>
        <v>4</v>
      </c>
      <c r="S111">
        <v>1</v>
      </c>
      <c r="T111">
        <v>48.4</v>
      </c>
      <c r="U111">
        <v>1</v>
      </c>
      <c r="W111" s="19">
        <v>47.6</v>
      </c>
      <c r="X111" s="1">
        <v>3</v>
      </c>
    </row>
    <row r="112" spans="1:24" hidden="1" x14ac:dyDescent="0.3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5"/>
        <v>45.4</v>
      </c>
      <c r="O112">
        <f t="shared" si="6"/>
        <v>4</v>
      </c>
      <c r="P112">
        <f t="shared" si="7"/>
        <v>6</v>
      </c>
      <c r="Q112">
        <f t="shared" si="8"/>
        <v>4</v>
      </c>
      <c r="R112">
        <f t="shared" si="9"/>
        <v>6</v>
      </c>
      <c r="S112">
        <v>1</v>
      </c>
      <c r="T112">
        <v>48.5</v>
      </c>
      <c r="U112">
        <v>1</v>
      </c>
      <c r="W112" s="19">
        <v>47.8</v>
      </c>
      <c r="X112" s="1">
        <v>2</v>
      </c>
    </row>
    <row r="113" spans="1:24" hidden="1" x14ac:dyDescent="0.3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5"/>
        <v>54.9</v>
      </c>
      <c r="O113">
        <f t="shared" si="6"/>
        <v>10</v>
      </c>
      <c r="P113">
        <f t="shared" si="7"/>
        <v>0</v>
      </c>
      <c r="Q113">
        <f t="shared" si="8"/>
        <v>6</v>
      </c>
      <c r="R113">
        <f t="shared" si="9"/>
        <v>10</v>
      </c>
      <c r="S113">
        <v>1</v>
      </c>
      <c r="T113">
        <v>48.6</v>
      </c>
      <c r="U113">
        <v>5</v>
      </c>
      <c r="W113" s="19">
        <v>48</v>
      </c>
      <c r="X113" s="1">
        <v>2</v>
      </c>
    </row>
    <row r="114" spans="1:24" hidden="1" x14ac:dyDescent="0.3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5"/>
        <v>38.4</v>
      </c>
      <c r="O114">
        <f t="shared" si="6"/>
        <v>6</v>
      </c>
      <c r="P114">
        <f t="shared" si="7"/>
        <v>4</v>
      </c>
      <c r="Q114">
        <f t="shared" si="8"/>
        <v>8</v>
      </c>
      <c r="R114">
        <f t="shared" si="9"/>
        <v>0</v>
      </c>
      <c r="S114">
        <v>1</v>
      </c>
      <c r="T114">
        <v>48.7</v>
      </c>
      <c r="U114">
        <v>5</v>
      </c>
      <c r="W114" s="19">
        <v>48.1</v>
      </c>
      <c r="X114" s="1">
        <v>1</v>
      </c>
    </row>
    <row r="115" spans="1:24" hidden="1" x14ac:dyDescent="0.3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5"/>
        <v>32.299999999999997</v>
      </c>
      <c r="O115">
        <f t="shared" si="6"/>
        <v>4</v>
      </c>
      <c r="P115">
        <f t="shared" si="7"/>
        <v>10</v>
      </c>
      <c r="Q115">
        <f t="shared" si="8"/>
        <v>0</v>
      </c>
      <c r="R115">
        <f t="shared" si="9"/>
        <v>0</v>
      </c>
      <c r="S115">
        <v>1</v>
      </c>
      <c r="T115">
        <v>48.9</v>
      </c>
      <c r="U115">
        <v>2</v>
      </c>
      <c r="W115" s="19">
        <v>48.2</v>
      </c>
      <c r="X115" s="1">
        <v>3</v>
      </c>
    </row>
    <row r="116" spans="1:24" hidden="1" x14ac:dyDescent="0.3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5"/>
        <v>60.8</v>
      </c>
      <c r="O116">
        <f t="shared" si="6"/>
        <v>10</v>
      </c>
      <c r="P116">
        <f t="shared" si="7"/>
        <v>4</v>
      </c>
      <c r="Q116">
        <f t="shared" si="8"/>
        <v>10</v>
      </c>
      <c r="R116">
        <f t="shared" si="9"/>
        <v>10</v>
      </c>
      <c r="S116">
        <v>1</v>
      </c>
      <c r="T116">
        <v>49</v>
      </c>
      <c r="U116">
        <v>1</v>
      </c>
      <c r="W116" s="19">
        <v>48.3</v>
      </c>
      <c r="X116" s="1">
        <v>2</v>
      </c>
    </row>
    <row r="117" spans="1:24" hidden="1" x14ac:dyDescent="0.3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5"/>
        <v>48.9</v>
      </c>
      <c r="O117">
        <f t="shared" si="6"/>
        <v>6</v>
      </c>
      <c r="P117">
        <f t="shared" si="7"/>
        <v>4</v>
      </c>
      <c r="Q117">
        <f t="shared" si="8"/>
        <v>4</v>
      </c>
      <c r="R117">
        <f t="shared" si="9"/>
        <v>10</v>
      </c>
      <c r="S117">
        <v>1</v>
      </c>
      <c r="T117">
        <v>49.1</v>
      </c>
      <c r="U117">
        <v>1</v>
      </c>
      <c r="W117" s="19">
        <v>48.4</v>
      </c>
      <c r="X117" s="1">
        <v>1</v>
      </c>
    </row>
    <row r="118" spans="1:24" hidden="1" x14ac:dyDescent="0.3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5"/>
        <v>59.5</v>
      </c>
      <c r="O118">
        <f t="shared" si="6"/>
        <v>8</v>
      </c>
      <c r="P118">
        <f t="shared" si="7"/>
        <v>4</v>
      </c>
      <c r="Q118">
        <f t="shared" si="8"/>
        <v>8</v>
      </c>
      <c r="R118">
        <f t="shared" si="9"/>
        <v>0</v>
      </c>
      <c r="S118">
        <v>1</v>
      </c>
      <c r="T118">
        <v>49.2</v>
      </c>
      <c r="U118">
        <v>2</v>
      </c>
      <c r="W118" s="19">
        <v>48.5</v>
      </c>
      <c r="X118" s="1">
        <v>1</v>
      </c>
    </row>
    <row r="119" spans="1:24" hidden="1" x14ac:dyDescent="0.3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5"/>
        <v>44.8</v>
      </c>
      <c r="O119">
        <f t="shared" si="6"/>
        <v>10</v>
      </c>
      <c r="P119">
        <f t="shared" si="7"/>
        <v>6</v>
      </c>
      <c r="Q119">
        <f t="shared" si="8"/>
        <v>4</v>
      </c>
      <c r="R119">
        <f t="shared" si="9"/>
        <v>0</v>
      </c>
      <c r="S119">
        <v>1</v>
      </c>
      <c r="T119">
        <v>49.4</v>
      </c>
      <c r="U119">
        <v>1</v>
      </c>
      <c r="W119" s="19">
        <v>48.6</v>
      </c>
      <c r="X119" s="1">
        <v>5</v>
      </c>
    </row>
    <row r="120" spans="1:24" hidden="1" x14ac:dyDescent="0.3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5"/>
        <v>45.4</v>
      </c>
      <c r="O120">
        <f t="shared" si="6"/>
        <v>4</v>
      </c>
      <c r="P120">
        <f t="shared" si="7"/>
        <v>4</v>
      </c>
      <c r="Q120">
        <f t="shared" si="8"/>
        <v>0</v>
      </c>
      <c r="R120">
        <f t="shared" si="9"/>
        <v>10</v>
      </c>
      <c r="S120">
        <v>1</v>
      </c>
      <c r="T120">
        <v>49.5</v>
      </c>
      <c r="U120">
        <v>2</v>
      </c>
      <c r="W120" s="19">
        <v>48.7</v>
      </c>
      <c r="X120" s="1">
        <v>5</v>
      </c>
    </row>
    <row r="121" spans="1:24" hidden="1" x14ac:dyDescent="0.3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5"/>
        <v>27.7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0</v>
      </c>
      <c r="S121">
        <v>1</v>
      </c>
      <c r="T121">
        <v>49.6</v>
      </c>
      <c r="U121">
        <v>1</v>
      </c>
      <c r="W121" s="19">
        <v>48.9</v>
      </c>
      <c r="X121" s="1">
        <v>2</v>
      </c>
    </row>
    <row r="122" spans="1:24" hidden="1" x14ac:dyDescent="0.3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5"/>
        <v>36.1</v>
      </c>
      <c r="O122">
        <f t="shared" si="6"/>
        <v>4</v>
      </c>
      <c r="P122">
        <f t="shared" si="7"/>
        <v>0</v>
      </c>
      <c r="Q122">
        <f t="shared" si="8"/>
        <v>4</v>
      </c>
      <c r="R122">
        <f t="shared" si="9"/>
        <v>10</v>
      </c>
      <c r="S122">
        <v>1</v>
      </c>
      <c r="T122">
        <v>49.7</v>
      </c>
      <c r="U122">
        <v>2</v>
      </c>
      <c r="W122" s="19">
        <v>49</v>
      </c>
      <c r="X122" s="1">
        <v>1</v>
      </c>
    </row>
    <row r="123" spans="1:24" hidden="1" x14ac:dyDescent="0.3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5"/>
        <v>50.7</v>
      </c>
      <c r="O123">
        <f t="shared" si="6"/>
        <v>0</v>
      </c>
      <c r="P123">
        <f t="shared" si="7"/>
        <v>0</v>
      </c>
      <c r="Q123">
        <f t="shared" si="8"/>
        <v>6</v>
      </c>
      <c r="R123">
        <f t="shared" si="9"/>
        <v>10</v>
      </c>
      <c r="S123">
        <v>1</v>
      </c>
      <c r="T123">
        <v>49.8</v>
      </c>
      <c r="U123">
        <v>3</v>
      </c>
      <c r="W123" s="19">
        <v>49.1</v>
      </c>
      <c r="X123" s="1">
        <v>1</v>
      </c>
    </row>
    <row r="124" spans="1:24" hidden="1" x14ac:dyDescent="0.3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5"/>
        <v>48.6</v>
      </c>
      <c r="O124">
        <f t="shared" si="6"/>
        <v>0</v>
      </c>
      <c r="P124">
        <f t="shared" si="7"/>
        <v>6</v>
      </c>
      <c r="Q124">
        <f t="shared" si="8"/>
        <v>6</v>
      </c>
      <c r="R124">
        <f t="shared" si="9"/>
        <v>10</v>
      </c>
      <c r="S124">
        <v>1</v>
      </c>
      <c r="T124">
        <v>49.9</v>
      </c>
      <c r="U124">
        <v>1</v>
      </c>
      <c r="W124" s="19">
        <v>49.2</v>
      </c>
      <c r="X124" s="1">
        <v>2</v>
      </c>
    </row>
    <row r="125" spans="1:24" hidden="1" x14ac:dyDescent="0.3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5"/>
        <v>51.7</v>
      </c>
      <c r="O125">
        <f t="shared" si="6"/>
        <v>10</v>
      </c>
      <c r="P125">
        <f t="shared" si="7"/>
        <v>0</v>
      </c>
      <c r="Q125">
        <f t="shared" si="8"/>
        <v>0</v>
      </c>
      <c r="R125">
        <f t="shared" si="9"/>
        <v>6</v>
      </c>
      <c r="S125">
        <v>1</v>
      </c>
      <c r="T125">
        <v>50</v>
      </c>
      <c r="U125">
        <v>1</v>
      </c>
      <c r="W125" s="19">
        <v>49.4</v>
      </c>
      <c r="X125" s="1">
        <v>1</v>
      </c>
    </row>
    <row r="126" spans="1:24" hidden="1" x14ac:dyDescent="0.3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5"/>
        <v>46.1</v>
      </c>
      <c r="O126">
        <f t="shared" si="6"/>
        <v>8</v>
      </c>
      <c r="P126">
        <f t="shared" si="7"/>
        <v>4</v>
      </c>
      <c r="Q126">
        <f t="shared" si="8"/>
        <v>10</v>
      </c>
      <c r="R126">
        <f t="shared" si="9"/>
        <v>0</v>
      </c>
      <c r="S126">
        <v>1</v>
      </c>
      <c r="T126">
        <v>50.1</v>
      </c>
      <c r="U126">
        <v>1</v>
      </c>
      <c r="W126" s="19">
        <v>49.5</v>
      </c>
      <c r="X126" s="1">
        <v>2</v>
      </c>
    </row>
    <row r="127" spans="1:24" hidden="1" x14ac:dyDescent="0.3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5"/>
        <v>46.3</v>
      </c>
      <c r="O127">
        <f t="shared" si="6"/>
        <v>10</v>
      </c>
      <c r="P127">
        <f t="shared" si="7"/>
        <v>6</v>
      </c>
      <c r="Q127">
        <f t="shared" si="8"/>
        <v>8</v>
      </c>
      <c r="R127">
        <f t="shared" si="9"/>
        <v>0</v>
      </c>
      <c r="S127">
        <v>1</v>
      </c>
      <c r="T127">
        <v>50.2</v>
      </c>
      <c r="U127">
        <v>4</v>
      </c>
      <c r="W127" s="19">
        <v>49.6</v>
      </c>
      <c r="X127" s="1">
        <v>1</v>
      </c>
    </row>
    <row r="128" spans="1:24" hidden="1" x14ac:dyDescent="0.3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5"/>
        <v>61.7</v>
      </c>
      <c r="O128">
        <f t="shared" si="6"/>
        <v>10</v>
      </c>
      <c r="P128">
        <f t="shared" si="7"/>
        <v>4</v>
      </c>
      <c r="Q128">
        <f t="shared" si="8"/>
        <v>6</v>
      </c>
      <c r="R128">
        <f t="shared" si="9"/>
        <v>8</v>
      </c>
      <c r="S128">
        <v>1</v>
      </c>
      <c r="T128">
        <v>50.4</v>
      </c>
      <c r="U128">
        <v>3</v>
      </c>
      <c r="W128" s="19">
        <v>49.7</v>
      </c>
      <c r="X128" s="1">
        <v>2</v>
      </c>
    </row>
    <row r="129" spans="1:24" hidden="1" x14ac:dyDescent="0.3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5"/>
        <v>48.1</v>
      </c>
      <c r="O129">
        <f t="shared" si="6"/>
        <v>0</v>
      </c>
      <c r="P129">
        <f t="shared" si="7"/>
        <v>4</v>
      </c>
      <c r="Q129">
        <f t="shared" si="8"/>
        <v>8</v>
      </c>
      <c r="R129">
        <f t="shared" si="9"/>
        <v>8</v>
      </c>
      <c r="S129">
        <v>1</v>
      </c>
      <c r="T129">
        <v>50.5</v>
      </c>
      <c r="U129">
        <v>2</v>
      </c>
      <c r="W129" s="19">
        <v>49.8</v>
      </c>
      <c r="X129" s="1">
        <v>3</v>
      </c>
    </row>
    <row r="130" spans="1:24" hidden="1" x14ac:dyDescent="0.3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si="5"/>
        <v>56.5</v>
      </c>
      <c r="O130">
        <f t="shared" si="6"/>
        <v>6</v>
      </c>
      <c r="P130">
        <f t="shared" si="7"/>
        <v>0</v>
      </c>
      <c r="Q130">
        <f t="shared" si="8"/>
        <v>8</v>
      </c>
      <c r="R130">
        <f t="shared" si="9"/>
        <v>10</v>
      </c>
      <c r="S130">
        <v>1</v>
      </c>
      <c r="T130">
        <v>50.6</v>
      </c>
      <c r="U130">
        <v>2</v>
      </c>
      <c r="W130" s="19">
        <v>49.9</v>
      </c>
      <c r="X130" s="1">
        <v>1</v>
      </c>
    </row>
    <row r="131" spans="1:24" hidden="1" x14ac:dyDescent="0.3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ref="N131:N194" si="10">C131+IF(D131=6,2,0) +SUM(O131:R131) +SUM(I131:M131)/10</f>
        <v>52.7</v>
      </c>
      <c r="O131">
        <f t="shared" ref="O131:O194" si="11">IF(E131=2,0,IF(E131=3,4,IF(E131=4,6,IF(E131=5,8,IF(E131=6,10,0)))))</f>
        <v>8</v>
      </c>
      <c r="P131">
        <f t="shared" ref="P131:P194" si="12">IF(F131=2,0,IF(F131=3,4,IF(F131=4,6,IF(F131=5,8,IF(F131=6,10,0)))))</f>
        <v>4</v>
      </c>
      <c r="Q131">
        <f t="shared" ref="Q131:Q194" si="13">IF(G131=2,0,IF(G131=3,4,IF(G131=4,6,IF(G131=5,8,IF(G131=6,10,0)))))</f>
        <v>6</v>
      </c>
      <c r="R131">
        <f t="shared" ref="R131:R194" si="14">IF(H131=2,0,IF(H131=3,4,IF(H131=4,6,IF(H131=5,8,IF(H131=6,10,0)))))</f>
        <v>6</v>
      </c>
      <c r="S131">
        <v>1</v>
      </c>
      <c r="T131">
        <v>50.7</v>
      </c>
      <c r="U131">
        <v>2</v>
      </c>
      <c r="W131" s="19">
        <v>50</v>
      </c>
      <c r="X131" s="1">
        <v>1</v>
      </c>
    </row>
    <row r="132" spans="1:24" hidden="1" x14ac:dyDescent="0.3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0"/>
        <v>42.9</v>
      </c>
      <c r="O132">
        <f t="shared" si="11"/>
        <v>10</v>
      </c>
      <c r="P132">
        <f t="shared" si="12"/>
        <v>0</v>
      </c>
      <c r="Q132">
        <f t="shared" si="13"/>
        <v>8</v>
      </c>
      <c r="R132">
        <f t="shared" si="14"/>
        <v>0</v>
      </c>
      <c r="S132">
        <v>1</v>
      </c>
      <c r="T132">
        <v>50.8</v>
      </c>
      <c r="U132">
        <v>1</v>
      </c>
      <c r="W132" s="19">
        <v>50.1</v>
      </c>
      <c r="X132" s="1">
        <v>1</v>
      </c>
    </row>
    <row r="133" spans="1:24" hidden="1" x14ac:dyDescent="0.3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0"/>
        <v>48.2</v>
      </c>
      <c r="O133">
        <f t="shared" si="11"/>
        <v>6</v>
      </c>
      <c r="P133">
        <f t="shared" si="12"/>
        <v>0</v>
      </c>
      <c r="Q133">
        <f t="shared" si="13"/>
        <v>0</v>
      </c>
      <c r="R133">
        <f t="shared" si="14"/>
        <v>4</v>
      </c>
      <c r="S133">
        <v>1</v>
      </c>
      <c r="T133">
        <v>50.9</v>
      </c>
      <c r="U133">
        <v>2</v>
      </c>
      <c r="W133" s="19">
        <v>50.2</v>
      </c>
      <c r="X133" s="1">
        <v>4</v>
      </c>
    </row>
    <row r="134" spans="1:24" hidden="1" x14ac:dyDescent="0.3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0"/>
        <v>62.4</v>
      </c>
      <c r="O134">
        <f t="shared" si="11"/>
        <v>8</v>
      </c>
      <c r="P134">
        <f t="shared" si="12"/>
        <v>4</v>
      </c>
      <c r="Q134">
        <f t="shared" si="13"/>
        <v>8</v>
      </c>
      <c r="R134">
        <f t="shared" si="14"/>
        <v>4</v>
      </c>
      <c r="S134">
        <v>1</v>
      </c>
      <c r="T134">
        <v>51</v>
      </c>
      <c r="U134">
        <v>3</v>
      </c>
      <c r="W134" s="19">
        <v>50.4</v>
      </c>
      <c r="X134" s="1">
        <v>3</v>
      </c>
    </row>
    <row r="135" spans="1:24" hidden="1" x14ac:dyDescent="0.3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0"/>
        <v>39.4</v>
      </c>
      <c r="O135">
        <f t="shared" si="11"/>
        <v>0</v>
      </c>
      <c r="P135">
        <f t="shared" si="12"/>
        <v>4</v>
      </c>
      <c r="Q135">
        <f t="shared" si="13"/>
        <v>4</v>
      </c>
      <c r="R135">
        <f t="shared" si="14"/>
        <v>0</v>
      </c>
      <c r="S135">
        <v>1</v>
      </c>
      <c r="T135">
        <v>51.2</v>
      </c>
      <c r="U135">
        <v>3</v>
      </c>
      <c r="W135" s="19">
        <v>50.5</v>
      </c>
      <c r="X135" s="1">
        <v>2</v>
      </c>
    </row>
    <row r="136" spans="1:24" hidden="1" x14ac:dyDescent="0.3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0"/>
        <v>54.6</v>
      </c>
      <c r="O136">
        <f t="shared" si="11"/>
        <v>6</v>
      </c>
      <c r="P136">
        <f t="shared" si="12"/>
        <v>8</v>
      </c>
      <c r="Q136">
        <f t="shared" si="13"/>
        <v>10</v>
      </c>
      <c r="R136">
        <f t="shared" si="14"/>
        <v>6</v>
      </c>
      <c r="S136">
        <v>1</v>
      </c>
      <c r="T136">
        <v>51.3</v>
      </c>
      <c r="U136">
        <v>2</v>
      </c>
      <c r="W136" s="19">
        <v>50.6</v>
      </c>
      <c r="X136" s="1">
        <v>2</v>
      </c>
    </row>
    <row r="137" spans="1:24" hidden="1" x14ac:dyDescent="0.3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0"/>
        <v>50.6</v>
      </c>
      <c r="O137">
        <f t="shared" si="11"/>
        <v>0</v>
      </c>
      <c r="P137">
        <f t="shared" si="12"/>
        <v>6</v>
      </c>
      <c r="Q137">
        <f t="shared" si="13"/>
        <v>4</v>
      </c>
      <c r="R137">
        <f t="shared" si="14"/>
        <v>4</v>
      </c>
      <c r="S137">
        <v>1</v>
      </c>
      <c r="T137">
        <v>51.4</v>
      </c>
      <c r="U137">
        <v>4</v>
      </c>
      <c r="W137" s="19">
        <v>50.7</v>
      </c>
      <c r="X137" s="1">
        <v>2</v>
      </c>
    </row>
    <row r="138" spans="1:24" hidden="1" x14ac:dyDescent="0.3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0"/>
        <v>39.799999999999997</v>
      </c>
      <c r="O138">
        <f t="shared" si="11"/>
        <v>0</v>
      </c>
      <c r="P138">
        <f t="shared" si="12"/>
        <v>6</v>
      </c>
      <c r="Q138">
        <f t="shared" si="13"/>
        <v>8</v>
      </c>
      <c r="R138">
        <f t="shared" si="14"/>
        <v>4</v>
      </c>
      <c r="S138">
        <v>1</v>
      </c>
      <c r="T138">
        <v>51.5</v>
      </c>
      <c r="U138">
        <v>2</v>
      </c>
      <c r="W138" s="19">
        <v>50.8</v>
      </c>
      <c r="X138" s="1">
        <v>1</v>
      </c>
    </row>
    <row r="139" spans="1:24" hidden="1" x14ac:dyDescent="0.3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0"/>
        <v>43.5</v>
      </c>
      <c r="O139">
        <f t="shared" si="11"/>
        <v>0</v>
      </c>
      <c r="P139">
        <f t="shared" si="12"/>
        <v>8</v>
      </c>
      <c r="Q139">
        <f t="shared" si="13"/>
        <v>4</v>
      </c>
      <c r="R139">
        <f t="shared" si="14"/>
        <v>8</v>
      </c>
      <c r="S139">
        <v>1</v>
      </c>
      <c r="T139">
        <v>51.6</v>
      </c>
      <c r="U139">
        <v>3</v>
      </c>
      <c r="W139" s="19">
        <v>50.9</v>
      </c>
      <c r="X139" s="1">
        <v>2</v>
      </c>
    </row>
    <row r="140" spans="1:24" hidden="1" x14ac:dyDescent="0.3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0"/>
        <v>58.4</v>
      </c>
      <c r="O140">
        <f t="shared" si="11"/>
        <v>0</v>
      </c>
      <c r="P140">
        <f t="shared" si="12"/>
        <v>8</v>
      </c>
      <c r="Q140">
        <f t="shared" si="13"/>
        <v>10</v>
      </c>
      <c r="R140">
        <f t="shared" si="14"/>
        <v>8</v>
      </c>
      <c r="S140">
        <v>1</v>
      </c>
      <c r="T140">
        <v>51.7</v>
      </c>
      <c r="U140">
        <v>3</v>
      </c>
      <c r="W140" s="19">
        <v>51</v>
      </c>
      <c r="X140" s="1">
        <v>3</v>
      </c>
    </row>
    <row r="141" spans="1:24" x14ac:dyDescent="0.3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0"/>
        <v>55.6</v>
      </c>
      <c r="O141">
        <f t="shared" si="11"/>
        <v>8</v>
      </c>
      <c r="P141">
        <f t="shared" si="12"/>
        <v>4</v>
      </c>
      <c r="Q141">
        <f t="shared" si="13"/>
        <v>0</v>
      </c>
      <c r="R141">
        <f t="shared" si="14"/>
        <v>4</v>
      </c>
      <c r="S141">
        <v>1</v>
      </c>
      <c r="T141">
        <v>51.8</v>
      </c>
      <c r="U141">
        <v>3</v>
      </c>
      <c r="W141" s="19">
        <v>51.2</v>
      </c>
      <c r="X141" s="1">
        <v>3</v>
      </c>
    </row>
    <row r="142" spans="1:24" hidden="1" x14ac:dyDescent="0.3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0"/>
        <v>42.6</v>
      </c>
      <c r="O142">
        <f t="shared" si="11"/>
        <v>4</v>
      </c>
      <c r="P142">
        <f t="shared" si="12"/>
        <v>0</v>
      </c>
      <c r="Q142">
        <f t="shared" si="13"/>
        <v>4</v>
      </c>
      <c r="R142">
        <f t="shared" si="14"/>
        <v>8</v>
      </c>
      <c r="S142">
        <v>1</v>
      </c>
      <c r="T142">
        <v>52</v>
      </c>
      <c r="U142">
        <v>3</v>
      </c>
      <c r="W142" s="19">
        <v>51.3</v>
      </c>
      <c r="X142" s="1">
        <v>2</v>
      </c>
    </row>
    <row r="143" spans="1:24" hidden="1" x14ac:dyDescent="0.3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0"/>
        <v>42.1</v>
      </c>
      <c r="O143">
        <f t="shared" si="11"/>
        <v>6</v>
      </c>
      <c r="P143">
        <f t="shared" si="12"/>
        <v>4</v>
      </c>
      <c r="Q143">
        <f t="shared" si="13"/>
        <v>4</v>
      </c>
      <c r="R143">
        <f t="shared" si="14"/>
        <v>0</v>
      </c>
      <c r="S143">
        <v>1</v>
      </c>
      <c r="T143">
        <v>52.1</v>
      </c>
      <c r="U143">
        <v>2</v>
      </c>
      <c r="W143" s="19">
        <v>51.4</v>
      </c>
      <c r="X143" s="1">
        <v>4</v>
      </c>
    </row>
    <row r="144" spans="1:24" hidden="1" x14ac:dyDescent="0.3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0"/>
        <v>40.799999999999997</v>
      </c>
      <c r="O144">
        <f t="shared" si="11"/>
        <v>0</v>
      </c>
      <c r="P144">
        <f t="shared" si="12"/>
        <v>0</v>
      </c>
      <c r="Q144">
        <f t="shared" si="13"/>
        <v>6</v>
      </c>
      <c r="R144">
        <f t="shared" si="14"/>
        <v>8</v>
      </c>
      <c r="S144">
        <v>1</v>
      </c>
      <c r="T144">
        <v>52.2</v>
      </c>
      <c r="U144">
        <v>5</v>
      </c>
      <c r="W144" s="19">
        <v>51.5</v>
      </c>
      <c r="X144" s="1">
        <v>2</v>
      </c>
    </row>
    <row r="145" spans="1:24" hidden="1" x14ac:dyDescent="0.3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0"/>
        <v>53.4</v>
      </c>
      <c r="O145">
        <f t="shared" si="11"/>
        <v>0</v>
      </c>
      <c r="P145">
        <f t="shared" si="12"/>
        <v>4</v>
      </c>
      <c r="Q145">
        <f t="shared" si="13"/>
        <v>8</v>
      </c>
      <c r="R145">
        <f t="shared" si="14"/>
        <v>10</v>
      </c>
      <c r="S145">
        <v>1</v>
      </c>
      <c r="T145">
        <v>52.3</v>
      </c>
      <c r="U145">
        <v>5</v>
      </c>
      <c r="W145" s="19">
        <v>51.6</v>
      </c>
      <c r="X145" s="1">
        <v>3</v>
      </c>
    </row>
    <row r="146" spans="1:24" hidden="1" x14ac:dyDescent="0.3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0"/>
        <v>40.299999999999997</v>
      </c>
      <c r="O146">
        <f t="shared" si="11"/>
        <v>4</v>
      </c>
      <c r="P146">
        <f t="shared" si="12"/>
        <v>0</v>
      </c>
      <c r="Q146">
        <f t="shared" si="13"/>
        <v>4</v>
      </c>
      <c r="R146">
        <f t="shared" si="14"/>
        <v>6</v>
      </c>
      <c r="S146">
        <v>1</v>
      </c>
      <c r="T146">
        <v>52.4</v>
      </c>
      <c r="U146">
        <v>2</v>
      </c>
      <c r="W146" s="19">
        <v>51.7</v>
      </c>
      <c r="X146" s="1">
        <v>3</v>
      </c>
    </row>
    <row r="147" spans="1:24" hidden="1" x14ac:dyDescent="0.3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0"/>
        <v>59.7</v>
      </c>
      <c r="O147">
        <f t="shared" si="11"/>
        <v>10</v>
      </c>
      <c r="P147">
        <f t="shared" si="12"/>
        <v>10</v>
      </c>
      <c r="Q147">
        <f t="shared" si="13"/>
        <v>4</v>
      </c>
      <c r="R147">
        <f t="shared" si="14"/>
        <v>6</v>
      </c>
      <c r="S147">
        <v>1</v>
      </c>
      <c r="T147">
        <v>52.5</v>
      </c>
      <c r="U147">
        <v>1</v>
      </c>
      <c r="W147" s="19">
        <v>51.8</v>
      </c>
      <c r="X147" s="1">
        <v>3</v>
      </c>
    </row>
    <row r="148" spans="1:24" hidden="1" x14ac:dyDescent="0.3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0"/>
        <v>59.8</v>
      </c>
      <c r="O148">
        <f t="shared" si="11"/>
        <v>0</v>
      </c>
      <c r="P148">
        <f t="shared" si="12"/>
        <v>8</v>
      </c>
      <c r="Q148">
        <f t="shared" si="13"/>
        <v>6</v>
      </c>
      <c r="R148">
        <f t="shared" si="14"/>
        <v>4</v>
      </c>
      <c r="S148">
        <v>1</v>
      </c>
      <c r="T148">
        <v>52.6</v>
      </c>
      <c r="U148">
        <v>2</v>
      </c>
      <c r="W148" s="19">
        <v>52</v>
      </c>
      <c r="X148" s="1">
        <v>3</v>
      </c>
    </row>
    <row r="149" spans="1:24" hidden="1" x14ac:dyDescent="0.3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0"/>
        <v>47.5</v>
      </c>
      <c r="O149">
        <f t="shared" si="11"/>
        <v>8</v>
      </c>
      <c r="P149">
        <f t="shared" si="12"/>
        <v>0</v>
      </c>
      <c r="Q149">
        <f t="shared" si="13"/>
        <v>4</v>
      </c>
      <c r="R149">
        <f t="shared" si="14"/>
        <v>0</v>
      </c>
      <c r="S149">
        <v>1</v>
      </c>
      <c r="T149">
        <v>52.7</v>
      </c>
      <c r="U149">
        <v>3</v>
      </c>
      <c r="W149" s="19">
        <v>52.1</v>
      </c>
      <c r="X149" s="1">
        <v>2</v>
      </c>
    </row>
    <row r="150" spans="1:24" hidden="1" x14ac:dyDescent="0.3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0"/>
        <v>63.2</v>
      </c>
      <c r="O150">
        <f t="shared" si="11"/>
        <v>10</v>
      </c>
      <c r="P150">
        <f t="shared" si="12"/>
        <v>4</v>
      </c>
      <c r="Q150">
        <f t="shared" si="13"/>
        <v>10</v>
      </c>
      <c r="R150">
        <f t="shared" si="14"/>
        <v>0</v>
      </c>
      <c r="S150">
        <v>1</v>
      </c>
      <c r="T150">
        <v>52.9</v>
      </c>
      <c r="U150">
        <v>1</v>
      </c>
      <c r="W150" s="19">
        <v>52.2</v>
      </c>
      <c r="X150" s="1">
        <v>5</v>
      </c>
    </row>
    <row r="151" spans="1:24" hidden="1" x14ac:dyDescent="0.3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0"/>
        <v>55.2</v>
      </c>
      <c r="O151">
        <f t="shared" si="11"/>
        <v>6</v>
      </c>
      <c r="P151">
        <f t="shared" si="12"/>
        <v>6</v>
      </c>
      <c r="Q151">
        <f t="shared" si="13"/>
        <v>8</v>
      </c>
      <c r="R151">
        <f t="shared" si="14"/>
        <v>8</v>
      </c>
      <c r="S151">
        <v>1</v>
      </c>
      <c r="T151">
        <v>53.1</v>
      </c>
      <c r="U151">
        <v>2</v>
      </c>
      <c r="W151" s="19">
        <v>52.3</v>
      </c>
      <c r="X151" s="1">
        <v>5</v>
      </c>
    </row>
    <row r="152" spans="1:24" hidden="1" x14ac:dyDescent="0.3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0"/>
        <v>68.2</v>
      </c>
      <c r="O152">
        <f t="shared" si="11"/>
        <v>10</v>
      </c>
      <c r="P152">
        <f t="shared" si="12"/>
        <v>10</v>
      </c>
      <c r="Q152">
        <f t="shared" si="13"/>
        <v>0</v>
      </c>
      <c r="R152">
        <f t="shared" si="14"/>
        <v>8</v>
      </c>
      <c r="S152">
        <v>1</v>
      </c>
      <c r="T152">
        <v>53.2</v>
      </c>
      <c r="U152">
        <v>1</v>
      </c>
      <c r="W152" s="19">
        <v>52.4</v>
      </c>
      <c r="X152" s="1">
        <v>2</v>
      </c>
    </row>
    <row r="153" spans="1:24" hidden="1" x14ac:dyDescent="0.3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0"/>
        <v>74.099999999999994</v>
      </c>
      <c r="O153">
        <f t="shared" si="11"/>
        <v>10</v>
      </c>
      <c r="P153">
        <f t="shared" si="12"/>
        <v>6</v>
      </c>
      <c r="Q153">
        <f t="shared" si="13"/>
        <v>6</v>
      </c>
      <c r="R153">
        <f t="shared" si="14"/>
        <v>8</v>
      </c>
      <c r="S153">
        <v>1</v>
      </c>
      <c r="T153">
        <v>53.3</v>
      </c>
      <c r="U153">
        <v>4</v>
      </c>
      <c r="W153" s="19">
        <v>52.5</v>
      </c>
      <c r="X153" s="1">
        <v>1</v>
      </c>
    </row>
    <row r="154" spans="1:24" hidden="1" x14ac:dyDescent="0.3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0"/>
        <v>57.3</v>
      </c>
      <c r="O154">
        <f t="shared" si="11"/>
        <v>8</v>
      </c>
      <c r="P154">
        <f t="shared" si="12"/>
        <v>4</v>
      </c>
      <c r="Q154">
        <f t="shared" si="13"/>
        <v>8</v>
      </c>
      <c r="R154">
        <f t="shared" si="14"/>
        <v>6</v>
      </c>
      <c r="S154">
        <v>1</v>
      </c>
      <c r="T154">
        <v>53.4</v>
      </c>
      <c r="U154">
        <v>2</v>
      </c>
      <c r="W154" s="19">
        <v>52.6</v>
      </c>
      <c r="X154" s="1">
        <v>2</v>
      </c>
    </row>
    <row r="155" spans="1:24" hidden="1" x14ac:dyDescent="0.3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0"/>
        <v>38.200000000000003</v>
      </c>
      <c r="O155">
        <f t="shared" si="11"/>
        <v>6</v>
      </c>
      <c r="P155">
        <f t="shared" si="12"/>
        <v>4</v>
      </c>
      <c r="Q155">
        <f t="shared" si="13"/>
        <v>4</v>
      </c>
      <c r="R155">
        <f t="shared" si="14"/>
        <v>0</v>
      </c>
      <c r="S155">
        <v>1</v>
      </c>
      <c r="T155">
        <v>53.5</v>
      </c>
      <c r="U155">
        <v>5</v>
      </c>
      <c r="W155" s="19">
        <v>52.7</v>
      </c>
      <c r="X155" s="1">
        <v>3</v>
      </c>
    </row>
    <row r="156" spans="1:24" hidden="1" x14ac:dyDescent="0.3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0"/>
        <v>47.8</v>
      </c>
      <c r="O156">
        <f t="shared" si="11"/>
        <v>6</v>
      </c>
      <c r="P156">
        <f t="shared" si="12"/>
        <v>0</v>
      </c>
      <c r="Q156">
        <f t="shared" si="13"/>
        <v>6</v>
      </c>
      <c r="R156">
        <f t="shared" si="14"/>
        <v>0</v>
      </c>
      <c r="S156">
        <v>1</v>
      </c>
      <c r="T156">
        <v>53.6</v>
      </c>
      <c r="U156">
        <v>1</v>
      </c>
      <c r="W156" s="19">
        <v>52.9</v>
      </c>
      <c r="X156" s="1">
        <v>1</v>
      </c>
    </row>
    <row r="157" spans="1:24" hidden="1" x14ac:dyDescent="0.3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0"/>
        <v>67.400000000000006</v>
      </c>
      <c r="O157">
        <f t="shared" si="11"/>
        <v>10</v>
      </c>
      <c r="P157">
        <f t="shared" si="12"/>
        <v>8</v>
      </c>
      <c r="Q157">
        <f t="shared" si="13"/>
        <v>10</v>
      </c>
      <c r="R157">
        <f t="shared" si="14"/>
        <v>6</v>
      </c>
      <c r="S157">
        <v>1</v>
      </c>
      <c r="T157">
        <v>53.7</v>
      </c>
      <c r="U157">
        <v>1</v>
      </c>
      <c r="W157" s="19">
        <v>53.1</v>
      </c>
      <c r="X157" s="1">
        <v>2</v>
      </c>
    </row>
    <row r="158" spans="1:24" hidden="1" x14ac:dyDescent="0.3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0"/>
        <v>33.4</v>
      </c>
      <c r="O158">
        <f t="shared" si="11"/>
        <v>10</v>
      </c>
      <c r="P158">
        <f t="shared" si="12"/>
        <v>0</v>
      </c>
      <c r="Q158">
        <f t="shared" si="13"/>
        <v>0</v>
      </c>
      <c r="R158">
        <f t="shared" si="14"/>
        <v>8</v>
      </c>
      <c r="S158">
        <v>1</v>
      </c>
      <c r="T158">
        <v>53.8</v>
      </c>
      <c r="U158">
        <v>3</v>
      </c>
      <c r="W158" s="19">
        <v>53.2</v>
      </c>
      <c r="X158" s="1">
        <v>1</v>
      </c>
    </row>
    <row r="159" spans="1:24" hidden="1" x14ac:dyDescent="0.3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0"/>
        <v>52</v>
      </c>
      <c r="O159">
        <f t="shared" si="11"/>
        <v>4</v>
      </c>
      <c r="P159">
        <f t="shared" si="12"/>
        <v>4</v>
      </c>
      <c r="Q159">
        <f t="shared" si="13"/>
        <v>4</v>
      </c>
      <c r="R159">
        <f t="shared" si="14"/>
        <v>10</v>
      </c>
      <c r="S159">
        <v>1</v>
      </c>
      <c r="T159">
        <v>53.9</v>
      </c>
      <c r="U159">
        <v>1</v>
      </c>
      <c r="W159" s="19">
        <v>53.3</v>
      </c>
      <c r="X159" s="1">
        <v>4</v>
      </c>
    </row>
    <row r="160" spans="1:24" x14ac:dyDescent="0.3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0"/>
        <v>55.6</v>
      </c>
      <c r="O160">
        <f t="shared" si="11"/>
        <v>10</v>
      </c>
      <c r="P160">
        <f t="shared" si="12"/>
        <v>10</v>
      </c>
      <c r="Q160">
        <f t="shared" si="13"/>
        <v>0</v>
      </c>
      <c r="R160">
        <f t="shared" si="14"/>
        <v>4</v>
      </c>
      <c r="S160">
        <v>1</v>
      </c>
      <c r="T160">
        <v>54</v>
      </c>
      <c r="U160">
        <v>5</v>
      </c>
      <c r="W160" s="19">
        <v>53.4</v>
      </c>
      <c r="X160" s="1">
        <v>2</v>
      </c>
    </row>
    <row r="161" spans="1:24" hidden="1" x14ac:dyDescent="0.3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0"/>
        <v>57.5</v>
      </c>
      <c r="O161">
        <f t="shared" si="11"/>
        <v>10</v>
      </c>
      <c r="P161">
        <f t="shared" si="12"/>
        <v>6</v>
      </c>
      <c r="Q161">
        <f t="shared" si="13"/>
        <v>4</v>
      </c>
      <c r="R161">
        <f t="shared" si="14"/>
        <v>10</v>
      </c>
      <c r="S161">
        <v>1</v>
      </c>
      <c r="T161">
        <v>54.1</v>
      </c>
      <c r="U161">
        <v>2</v>
      </c>
      <c r="W161" s="19">
        <v>53.5</v>
      </c>
      <c r="X161" s="1">
        <v>5</v>
      </c>
    </row>
    <row r="162" spans="1:24" hidden="1" x14ac:dyDescent="0.3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0"/>
        <v>28.4</v>
      </c>
      <c r="O162">
        <f t="shared" si="11"/>
        <v>10</v>
      </c>
      <c r="P162">
        <f t="shared" si="12"/>
        <v>6</v>
      </c>
      <c r="Q162">
        <f t="shared" si="13"/>
        <v>0</v>
      </c>
      <c r="R162">
        <f t="shared" si="14"/>
        <v>0</v>
      </c>
      <c r="S162">
        <v>1</v>
      </c>
      <c r="T162">
        <v>54.2</v>
      </c>
      <c r="U162">
        <v>2</v>
      </c>
      <c r="W162" s="19">
        <v>53.6</v>
      </c>
      <c r="X162" s="1">
        <v>1</v>
      </c>
    </row>
    <row r="163" spans="1:24" hidden="1" x14ac:dyDescent="0.3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0"/>
        <v>51.2</v>
      </c>
      <c r="O163">
        <f t="shared" si="11"/>
        <v>4</v>
      </c>
      <c r="P163">
        <f t="shared" si="12"/>
        <v>0</v>
      </c>
      <c r="Q163">
        <f t="shared" si="13"/>
        <v>10</v>
      </c>
      <c r="R163">
        <f t="shared" si="14"/>
        <v>0</v>
      </c>
      <c r="S163">
        <v>1</v>
      </c>
      <c r="T163">
        <v>54.3</v>
      </c>
      <c r="U163">
        <v>1</v>
      </c>
      <c r="W163" s="19">
        <v>53.7</v>
      </c>
      <c r="X163" s="1">
        <v>1</v>
      </c>
    </row>
    <row r="164" spans="1:24" hidden="1" x14ac:dyDescent="0.3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0"/>
        <v>49.7</v>
      </c>
      <c r="O164">
        <f t="shared" si="11"/>
        <v>10</v>
      </c>
      <c r="P164">
        <f t="shared" si="12"/>
        <v>8</v>
      </c>
      <c r="Q164">
        <f t="shared" si="13"/>
        <v>4</v>
      </c>
      <c r="R164">
        <f t="shared" si="14"/>
        <v>0</v>
      </c>
      <c r="S164">
        <v>1</v>
      </c>
      <c r="T164">
        <v>54.4</v>
      </c>
      <c r="U164">
        <v>2</v>
      </c>
      <c r="W164" s="19">
        <v>53.8</v>
      </c>
      <c r="X164" s="1">
        <v>3</v>
      </c>
    </row>
    <row r="165" spans="1:24" hidden="1" x14ac:dyDescent="0.3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0"/>
        <v>45.4</v>
      </c>
      <c r="O165">
        <f t="shared" si="11"/>
        <v>8</v>
      </c>
      <c r="P165">
        <f t="shared" si="12"/>
        <v>0</v>
      </c>
      <c r="Q165">
        <f t="shared" si="13"/>
        <v>4</v>
      </c>
      <c r="R165">
        <f t="shared" si="14"/>
        <v>4</v>
      </c>
      <c r="S165">
        <v>1</v>
      </c>
      <c r="T165">
        <v>54.6</v>
      </c>
      <c r="U165">
        <v>1</v>
      </c>
      <c r="W165" s="19">
        <v>53.9</v>
      </c>
      <c r="X165" s="1">
        <v>1</v>
      </c>
    </row>
    <row r="166" spans="1:24" x14ac:dyDescent="0.3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0"/>
        <v>55.6</v>
      </c>
      <c r="O166">
        <f t="shared" si="11"/>
        <v>8</v>
      </c>
      <c r="P166">
        <f t="shared" si="12"/>
        <v>0</v>
      </c>
      <c r="Q166">
        <f t="shared" si="13"/>
        <v>10</v>
      </c>
      <c r="R166">
        <f t="shared" si="14"/>
        <v>0</v>
      </c>
      <c r="S166">
        <v>1</v>
      </c>
      <c r="T166">
        <v>54.7</v>
      </c>
      <c r="U166">
        <v>1</v>
      </c>
      <c r="W166" s="19">
        <v>54</v>
      </c>
      <c r="X166" s="1">
        <v>5</v>
      </c>
    </row>
    <row r="167" spans="1:24" hidden="1" x14ac:dyDescent="0.3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0"/>
        <v>55.7</v>
      </c>
      <c r="O167">
        <f t="shared" si="11"/>
        <v>10</v>
      </c>
      <c r="P167">
        <f t="shared" si="12"/>
        <v>4</v>
      </c>
      <c r="Q167">
        <f t="shared" si="13"/>
        <v>4</v>
      </c>
      <c r="R167">
        <f t="shared" si="14"/>
        <v>8</v>
      </c>
      <c r="S167">
        <v>1</v>
      </c>
      <c r="T167">
        <v>54.8</v>
      </c>
      <c r="U167">
        <v>2</v>
      </c>
      <c r="W167" s="19">
        <v>54.1</v>
      </c>
      <c r="X167" s="1">
        <v>2</v>
      </c>
    </row>
    <row r="168" spans="1:24" hidden="1" x14ac:dyDescent="0.3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0"/>
        <v>54</v>
      </c>
      <c r="O168">
        <f t="shared" si="11"/>
        <v>10</v>
      </c>
      <c r="P168">
        <f t="shared" si="12"/>
        <v>10</v>
      </c>
      <c r="Q168">
        <f t="shared" si="13"/>
        <v>6</v>
      </c>
      <c r="R168">
        <f t="shared" si="14"/>
        <v>6</v>
      </c>
      <c r="S168">
        <v>1</v>
      </c>
      <c r="T168">
        <v>54.9</v>
      </c>
      <c r="U168">
        <v>4</v>
      </c>
      <c r="W168" s="19">
        <v>54.2</v>
      </c>
      <c r="X168" s="1">
        <v>2</v>
      </c>
    </row>
    <row r="169" spans="1:24" hidden="1" x14ac:dyDescent="0.3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0"/>
        <v>84.6</v>
      </c>
      <c r="O169">
        <f t="shared" si="11"/>
        <v>10</v>
      </c>
      <c r="P169">
        <f t="shared" si="12"/>
        <v>10</v>
      </c>
      <c r="Q169">
        <f t="shared" si="13"/>
        <v>10</v>
      </c>
      <c r="R169">
        <f t="shared" si="14"/>
        <v>10</v>
      </c>
      <c r="S169">
        <v>1</v>
      </c>
      <c r="T169">
        <v>55</v>
      </c>
      <c r="U169">
        <v>2</v>
      </c>
      <c r="W169" s="19">
        <v>54.3</v>
      </c>
      <c r="X169" s="1">
        <v>1</v>
      </c>
    </row>
    <row r="170" spans="1:24" hidden="1" x14ac:dyDescent="0.3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0"/>
        <v>65.099999999999994</v>
      </c>
      <c r="O170">
        <f t="shared" si="11"/>
        <v>8</v>
      </c>
      <c r="P170">
        <f t="shared" si="12"/>
        <v>8</v>
      </c>
      <c r="Q170">
        <f t="shared" si="13"/>
        <v>8</v>
      </c>
      <c r="R170">
        <f t="shared" si="14"/>
        <v>10</v>
      </c>
      <c r="S170">
        <v>1</v>
      </c>
      <c r="T170">
        <v>55.2</v>
      </c>
      <c r="U170">
        <v>4</v>
      </c>
      <c r="W170" s="19">
        <v>54.4</v>
      </c>
      <c r="X170" s="1">
        <v>2</v>
      </c>
    </row>
    <row r="171" spans="1:24" hidden="1" x14ac:dyDescent="0.3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0"/>
        <v>55.2</v>
      </c>
      <c r="O171">
        <f t="shared" si="11"/>
        <v>8</v>
      </c>
      <c r="P171">
        <f t="shared" si="12"/>
        <v>6</v>
      </c>
      <c r="Q171">
        <f t="shared" si="13"/>
        <v>8</v>
      </c>
      <c r="R171">
        <f t="shared" si="14"/>
        <v>10</v>
      </c>
      <c r="S171">
        <v>1</v>
      </c>
      <c r="T171">
        <v>55.3</v>
      </c>
      <c r="U171">
        <v>2</v>
      </c>
      <c r="W171" s="19">
        <v>54.6</v>
      </c>
      <c r="X171" s="1">
        <v>1</v>
      </c>
    </row>
    <row r="172" spans="1:24" hidden="1" x14ac:dyDescent="0.3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0"/>
        <v>58.6</v>
      </c>
      <c r="O172">
        <f t="shared" si="11"/>
        <v>4</v>
      </c>
      <c r="P172">
        <f t="shared" si="12"/>
        <v>6</v>
      </c>
      <c r="Q172">
        <f t="shared" si="13"/>
        <v>10</v>
      </c>
      <c r="R172">
        <f t="shared" si="14"/>
        <v>10</v>
      </c>
      <c r="S172">
        <v>1</v>
      </c>
      <c r="T172">
        <v>55.4</v>
      </c>
      <c r="U172">
        <v>1</v>
      </c>
      <c r="W172" s="19">
        <v>54.7</v>
      </c>
      <c r="X172" s="1">
        <v>1</v>
      </c>
    </row>
    <row r="173" spans="1:24" hidden="1" x14ac:dyDescent="0.3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0"/>
        <v>49.8</v>
      </c>
      <c r="O173">
        <f t="shared" si="11"/>
        <v>8</v>
      </c>
      <c r="P173">
        <f t="shared" si="12"/>
        <v>4</v>
      </c>
      <c r="Q173">
        <f t="shared" si="13"/>
        <v>4</v>
      </c>
      <c r="R173">
        <f t="shared" si="14"/>
        <v>0</v>
      </c>
      <c r="S173">
        <v>1</v>
      </c>
      <c r="T173">
        <v>55.5</v>
      </c>
      <c r="U173">
        <v>2</v>
      </c>
      <c r="W173" s="19">
        <v>54.8</v>
      </c>
      <c r="X173" s="1">
        <v>2</v>
      </c>
    </row>
    <row r="174" spans="1:24" hidden="1" x14ac:dyDescent="0.3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0"/>
        <v>54.9</v>
      </c>
      <c r="O174">
        <f t="shared" si="11"/>
        <v>8</v>
      </c>
      <c r="P174">
        <f t="shared" si="12"/>
        <v>4</v>
      </c>
      <c r="Q174">
        <f t="shared" si="13"/>
        <v>6</v>
      </c>
      <c r="R174">
        <f t="shared" si="14"/>
        <v>6</v>
      </c>
      <c r="S174">
        <v>1</v>
      </c>
      <c r="T174">
        <v>55.6</v>
      </c>
      <c r="U174">
        <v>6</v>
      </c>
      <c r="W174" s="19">
        <v>54.9</v>
      </c>
      <c r="X174" s="1">
        <v>4</v>
      </c>
    </row>
    <row r="175" spans="1:24" hidden="1" x14ac:dyDescent="0.3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0"/>
        <v>56.9</v>
      </c>
      <c r="O175">
        <f t="shared" si="11"/>
        <v>10</v>
      </c>
      <c r="P175">
        <f t="shared" si="12"/>
        <v>6</v>
      </c>
      <c r="Q175">
        <f t="shared" si="13"/>
        <v>10</v>
      </c>
      <c r="R175">
        <f t="shared" si="14"/>
        <v>8</v>
      </c>
      <c r="S175">
        <v>1</v>
      </c>
      <c r="T175">
        <v>55.7</v>
      </c>
      <c r="U175">
        <v>3</v>
      </c>
      <c r="W175" s="19">
        <v>55</v>
      </c>
      <c r="X175" s="1">
        <v>2</v>
      </c>
    </row>
    <row r="176" spans="1:24" hidden="1" x14ac:dyDescent="0.3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0"/>
        <v>46.1</v>
      </c>
      <c r="O176">
        <f t="shared" si="11"/>
        <v>6</v>
      </c>
      <c r="P176">
        <f t="shared" si="12"/>
        <v>10</v>
      </c>
      <c r="Q176">
        <f t="shared" si="13"/>
        <v>6</v>
      </c>
      <c r="R176">
        <f t="shared" si="14"/>
        <v>6</v>
      </c>
      <c r="S176">
        <v>1</v>
      </c>
      <c r="T176">
        <v>55.8</v>
      </c>
      <c r="U176">
        <v>4</v>
      </c>
      <c r="W176" s="19">
        <v>55.2</v>
      </c>
      <c r="X176" s="1">
        <v>4</v>
      </c>
    </row>
    <row r="177" spans="1:24" hidden="1" x14ac:dyDescent="0.3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0"/>
        <v>48.7</v>
      </c>
      <c r="O177">
        <f t="shared" si="11"/>
        <v>0</v>
      </c>
      <c r="P177">
        <f t="shared" si="12"/>
        <v>0</v>
      </c>
      <c r="Q177">
        <f t="shared" si="13"/>
        <v>10</v>
      </c>
      <c r="R177">
        <f t="shared" si="14"/>
        <v>10</v>
      </c>
      <c r="S177">
        <v>1</v>
      </c>
      <c r="T177">
        <v>55.9</v>
      </c>
      <c r="U177">
        <v>1</v>
      </c>
      <c r="W177" s="19">
        <v>55.3</v>
      </c>
      <c r="X177" s="1">
        <v>2</v>
      </c>
    </row>
    <row r="178" spans="1:24" hidden="1" x14ac:dyDescent="0.3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0"/>
        <v>56.4</v>
      </c>
      <c r="O178">
        <f t="shared" si="11"/>
        <v>8</v>
      </c>
      <c r="P178">
        <f t="shared" si="12"/>
        <v>4</v>
      </c>
      <c r="Q178">
        <f t="shared" si="13"/>
        <v>4</v>
      </c>
      <c r="R178">
        <f t="shared" si="14"/>
        <v>6</v>
      </c>
      <c r="S178">
        <v>1</v>
      </c>
      <c r="T178">
        <v>56</v>
      </c>
      <c r="U178">
        <v>4</v>
      </c>
      <c r="W178" s="19">
        <v>55.4</v>
      </c>
      <c r="X178" s="1">
        <v>1</v>
      </c>
    </row>
    <row r="179" spans="1:24" hidden="1" x14ac:dyDescent="0.3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0"/>
        <v>59.6</v>
      </c>
      <c r="O179">
        <f t="shared" si="11"/>
        <v>6</v>
      </c>
      <c r="P179">
        <f t="shared" si="12"/>
        <v>10</v>
      </c>
      <c r="Q179">
        <f t="shared" si="13"/>
        <v>10</v>
      </c>
      <c r="R179">
        <f t="shared" si="14"/>
        <v>6</v>
      </c>
      <c r="S179">
        <v>1</v>
      </c>
      <c r="T179">
        <v>56.1</v>
      </c>
      <c r="U179">
        <v>2</v>
      </c>
      <c r="W179" s="19">
        <v>55.5</v>
      </c>
      <c r="X179" s="1">
        <v>2</v>
      </c>
    </row>
    <row r="180" spans="1:24" hidden="1" x14ac:dyDescent="0.3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0"/>
        <v>72.2</v>
      </c>
      <c r="O180">
        <f t="shared" si="11"/>
        <v>6</v>
      </c>
      <c r="P180">
        <f t="shared" si="12"/>
        <v>10</v>
      </c>
      <c r="Q180">
        <f t="shared" si="13"/>
        <v>8</v>
      </c>
      <c r="R180">
        <f t="shared" si="14"/>
        <v>4</v>
      </c>
      <c r="S180">
        <v>1</v>
      </c>
      <c r="T180">
        <v>56.3</v>
      </c>
      <c r="U180">
        <v>4</v>
      </c>
      <c r="W180" s="19">
        <v>55.6</v>
      </c>
      <c r="X180" s="1">
        <v>6</v>
      </c>
    </row>
    <row r="181" spans="1:24" hidden="1" x14ac:dyDescent="0.3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0"/>
        <v>59.5</v>
      </c>
      <c r="O181">
        <f t="shared" si="11"/>
        <v>8</v>
      </c>
      <c r="P181">
        <f t="shared" si="12"/>
        <v>10</v>
      </c>
      <c r="Q181">
        <f t="shared" si="13"/>
        <v>10</v>
      </c>
      <c r="R181">
        <f t="shared" si="14"/>
        <v>10</v>
      </c>
      <c r="S181">
        <v>1</v>
      </c>
      <c r="T181">
        <v>56.4</v>
      </c>
      <c r="U181">
        <v>4</v>
      </c>
      <c r="W181" s="19">
        <v>55.7</v>
      </c>
      <c r="X181" s="1">
        <v>3</v>
      </c>
    </row>
    <row r="182" spans="1:24" hidden="1" x14ac:dyDescent="0.3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0"/>
        <v>54.8</v>
      </c>
      <c r="O182">
        <f t="shared" si="11"/>
        <v>6</v>
      </c>
      <c r="P182">
        <f t="shared" si="12"/>
        <v>4</v>
      </c>
      <c r="Q182">
        <f t="shared" si="13"/>
        <v>10</v>
      </c>
      <c r="R182">
        <f t="shared" si="14"/>
        <v>10</v>
      </c>
      <c r="S182">
        <v>1</v>
      </c>
      <c r="T182">
        <v>56.5</v>
      </c>
      <c r="U182">
        <v>4</v>
      </c>
      <c r="W182" s="19">
        <v>55.8</v>
      </c>
      <c r="X182" s="1">
        <v>4</v>
      </c>
    </row>
    <row r="183" spans="1:24" hidden="1" x14ac:dyDescent="0.3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0"/>
        <v>55.4</v>
      </c>
      <c r="O183">
        <f t="shared" si="11"/>
        <v>0</v>
      </c>
      <c r="P183">
        <f t="shared" si="12"/>
        <v>8</v>
      </c>
      <c r="Q183">
        <f t="shared" si="13"/>
        <v>8</v>
      </c>
      <c r="R183">
        <f t="shared" si="14"/>
        <v>8</v>
      </c>
      <c r="S183">
        <v>1</v>
      </c>
      <c r="T183">
        <v>56.6</v>
      </c>
      <c r="U183">
        <v>2</v>
      </c>
      <c r="W183" s="19">
        <v>55.9</v>
      </c>
      <c r="X183" s="1">
        <v>1</v>
      </c>
    </row>
    <row r="184" spans="1:24" hidden="1" x14ac:dyDescent="0.3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0"/>
        <v>50.9</v>
      </c>
      <c r="O184">
        <f t="shared" si="11"/>
        <v>0</v>
      </c>
      <c r="P184">
        <f t="shared" si="12"/>
        <v>6</v>
      </c>
      <c r="Q184">
        <f t="shared" si="13"/>
        <v>8</v>
      </c>
      <c r="R184">
        <f t="shared" si="14"/>
        <v>0</v>
      </c>
      <c r="S184">
        <v>1</v>
      </c>
      <c r="T184">
        <v>56.7</v>
      </c>
      <c r="U184">
        <v>1</v>
      </c>
      <c r="W184" s="19">
        <v>56</v>
      </c>
      <c r="X184" s="1">
        <v>4</v>
      </c>
    </row>
    <row r="185" spans="1:24" hidden="1" x14ac:dyDescent="0.3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0"/>
        <v>51.2</v>
      </c>
      <c r="O185">
        <f t="shared" si="11"/>
        <v>6</v>
      </c>
      <c r="P185">
        <f t="shared" si="12"/>
        <v>0</v>
      </c>
      <c r="Q185">
        <f t="shared" si="13"/>
        <v>10</v>
      </c>
      <c r="R185">
        <f t="shared" si="14"/>
        <v>8</v>
      </c>
      <c r="S185">
        <v>1</v>
      </c>
      <c r="T185">
        <v>56.8</v>
      </c>
      <c r="U185">
        <v>3</v>
      </c>
      <c r="W185" s="19">
        <v>56.1</v>
      </c>
      <c r="X185" s="1">
        <v>2</v>
      </c>
    </row>
    <row r="186" spans="1:24" hidden="1" x14ac:dyDescent="0.3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0"/>
        <v>37.5</v>
      </c>
      <c r="O186">
        <f t="shared" si="11"/>
        <v>10</v>
      </c>
      <c r="P186">
        <f t="shared" si="12"/>
        <v>6</v>
      </c>
      <c r="Q186">
        <f t="shared" si="13"/>
        <v>4</v>
      </c>
      <c r="R186">
        <f t="shared" si="14"/>
        <v>0</v>
      </c>
      <c r="S186">
        <v>1</v>
      </c>
      <c r="T186">
        <v>56.9</v>
      </c>
      <c r="U186">
        <v>1</v>
      </c>
      <c r="W186" s="19">
        <v>56.3</v>
      </c>
      <c r="X186" s="1">
        <v>4</v>
      </c>
    </row>
    <row r="187" spans="1:24" hidden="1" x14ac:dyDescent="0.3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0"/>
        <v>43.3</v>
      </c>
      <c r="O187">
        <f t="shared" si="11"/>
        <v>4</v>
      </c>
      <c r="P187">
        <f t="shared" si="12"/>
        <v>10</v>
      </c>
      <c r="Q187">
        <f t="shared" si="13"/>
        <v>0</v>
      </c>
      <c r="R187">
        <f t="shared" si="14"/>
        <v>4</v>
      </c>
      <c r="S187">
        <v>1</v>
      </c>
      <c r="T187">
        <v>57</v>
      </c>
      <c r="U187">
        <v>5</v>
      </c>
      <c r="W187" s="19">
        <v>56.4</v>
      </c>
      <c r="X187" s="1">
        <v>4</v>
      </c>
    </row>
    <row r="188" spans="1:24" hidden="1" x14ac:dyDescent="0.3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0"/>
        <v>56</v>
      </c>
      <c r="O188">
        <f t="shared" si="11"/>
        <v>4</v>
      </c>
      <c r="P188">
        <f t="shared" si="12"/>
        <v>0</v>
      </c>
      <c r="Q188">
        <f t="shared" si="13"/>
        <v>10</v>
      </c>
      <c r="R188">
        <f t="shared" si="14"/>
        <v>10</v>
      </c>
      <c r="S188">
        <v>1</v>
      </c>
      <c r="T188">
        <v>57.1</v>
      </c>
      <c r="U188">
        <v>1</v>
      </c>
      <c r="W188" s="19">
        <v>56.5</v>
      </c>
      <c r="X188" s="1">
        <v>4</v>
      </c>
    </row>
    <row r="189" spans="1:24" hidden="1" x14ac:dyDescent="0.3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0"/>
        <v>41.3</v>
      </c>
      <c r="O189">
        <f t="shared" si="11"/>
        <v>6</v>
      </c>
      <c r="P189">
        <f t="shared" si="12"/>
        <v>6</v>
      </c>
      <c r="Q189">
        <f t="shared" si="13"/>
        <v>0</v>
      </c>
      <c r="R189">
        <f t="shared" si="14"/>
        <v>8</v>
      </c>
      <c r="S189">
        <v>1</v>
      </c>
      <c r="T189">
        <v>57.2</v>
      </c>
      <c r="U189">
        <v>3</v>
      </c>
      <c r="W189" s="19">
        <v>56.6</v>
      </c>
      <c r="X189" s="1">
        <v>2</v>
      </c>
    </row>
    <row r="190" spans="1:24" hidden="1" x14ac:dyDescent="0.3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0"/>
        <v>47.3</v>
      </c>
      <c r="O190">
        <f t="shared" si="11"/>
        <v>10</v>
      </c>
      <c r="P190">
        <f t="shared" si="12"/>
        <v>4</v>
      </c>
      <c r="Q190">
        <f t="shared" si="13"/>
        <v>0</v>
      </c>
      <c r="R190">
        <f t="shared" si="14"/>
        <v>0</v>
      </c>
      <c r="S190">
        <v>1</v>
      </c>
      <c r="T190">
        <v>57.3</v>
      </c>
      <c r="U190">
        <v>1</v>
      </c>
      <c r="W190" s="19">
        <v>56.7</v>
      </c>
      <c r="X190" s="1">
        <v>1</v>
      </c>
    </row>
    <row r="191" spans="1:24" hidden="1" x14ac:dyDescent="0.3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0"/>
        <v>51.3</v>
      </c>
      <c r="O191">
        <f t="shared" si="11"/>
        <v>4</v>
      </c>
      <c r="P191">
        <f t="shared" si="12"/>
        <v>10</v>
      </c>
      <c r="Q191">
        <f t="shared" si="13"/>
        <v>0</v>
      </c>
      <c r="R191">
        <f t="shared" si="14"/>
        <v>8</v>
      </c>
      <c r="S191">
        <v>1</v>
      </c>
      <c r="T191">
        <v>57.5</v>
      </c>
      <c r="U191">
        <v>2</v>
      </c>
      <c r="W191" s="19">
        <v>56.8</v>
      </c>
      <c r="X191" s="1">
        <v>3</v>
      </c>
    </row>
    <row r="192" spans="1:24" hidden="1" x14ac:dyDescent="0.3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0"/>
        <v>56.3</v>
      </c>
      <c r="O192">
        <f t="shared" si="11"/>
        <v>6</v>
      </c>
      <c r="P192">
        <f t="shared" si="12"/>
        <v>10</v>
      </c>
      <c r="Q192">
        <f t="shared" si="13"/>
        <v>8</v>
      </c>
      <c r="R192">
        <f t="shared" si="14"/>
        <v>0</v>
      </c>
      <c r="S192">
        <v>1</v>
      </c>
      <c r="T192">
        <v>57.8</v>
      </c>
      <c r="U192">
        <v>2</v>
      </c>
      <c r="W192" s="19">
        <v>56.9</v>
      </c>
      <c r="X192" s="1">
        <v>1</v>
      </c>
    </row>
    <row r="193" spans="1:24" hidden="1" x14ac:dyDescent="0.3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0"/>
        <v>47</v>
      </c>
      <c r="O193">
        <f t="shared" si="11"/>
        <v>6</v>
      </c>
      <c r="P193">
        <f t="shared" si="12"/>
        <v>4</v>
      </c>
      <c r="Q193">
        <f t="shared" si="13"/>
        <v>10</v>
      </c>
      <c r="R193">
        <f t="shared" si="14"/>
        <v>4</v>
      </c>
      <c r="S193">
        <v>1</v>
      </c>
      <c r="T193">
        <v>57.9</v>
      </c>
      <c r="U193">
        <v>1</v>
      </c>
      <c r="W193" s="19">
        <v>57</v>
      </c>
      <c r="X193" s="1">
        <v>5</v>
      </c>
    </row>
    <row r="194" spans="1:24" hidden="1" x14ac:dyDescent="0.3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si="10"/>
        <v>51.8</v>
      </c>
      <c r="O194">
        <f t="shared" si="11"/>
        <v>8</v>
      </c>
      <c r="P194">
        <f t="shared" si="12"/>
        <v>0</v>
      </c>
      <c r="Q194">
        <f t="shared" si="13"/>
        <v>8</v>
      </c>
      <c r="R194">
        <f t="shared" si="14"/>
        <v>0</v>
      </c>
      <c r="S194">
        <v>1</v>
      </c>
      <c r="T194">
        <v>58.3</v>
      </c>
      <c r="U194">
        <v>1</v>
      </c>
      <c r="W194" s="19">
        <v>57.1</v>
      </c>
      <c r="X194" s="1">
        <v>1</v>
      </c>
    </row>
    <row r="195" spans="1:24" hidden="1" x14ac:dyDescent="0.3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ref="N195:N258" si="15">C195+IF(D195=6,2,0) +SUM(O195:R195) +SUM(I195:M195)/10</f>
        <v>65.599999999999994</v>
      </c>
      <c r="O195">
        <f t="shared" ref="O195:O258" si="16">IF(E195=2,0,IF(E195=3,4,IF(E195=4,6,IF(E195=5,8,IF(E195=6,10,0)))))</f>
        <v>6</v>
      </c>
      <c r="P195">
        <f t="shared" ref="P195:P258" si="17">IF(F195=2,0,IF(F195=3,4,IF(F195=4,6,IF(F195=5,8,IF(F195=6,10,0)))))</f>
        <v>8</v>
      </c>
      <c r="Q195">
        <f t="shared" ref="Q195:Q258" si="18">IF(G195=2,0,IF(G195=3,4,IF(G195=4,6,IF(G195=5,8,IF(G195=6,10,0)))))</f>
        <v>6</v>
      </c>
      <c r="R195">
        <f t="shared" ref="R195:R258" si="19">IF(H195=2,0,IF(H195=3,4,IF(H195=4,6,IF(H195=5,8,IF(H195=6,10,0)))))</f>
        <v>10</v>
      </c>
      <c r="S195">
        <v>1</v>
      </c>
      <c r="T195">
        <v>58.4</v>
      </c>
      <c r="U195">
        <v>2</v>
      </c>
      <c r="W195" s="19">
        <v>57.2</v>
      </c>
      <c r="X195" s="1">
        <v>3</v>
      </c>
    </row>
    <row r="196" spans="1:24" hidden="1" x14ac:dyDescent="0.3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15"/>
        <v>71.7</v>
      </c>
      <c r="O196">
        <f t="shared" si="16"/>
        <v>6</v>
      </c>
      <c r="P196">
        <f t="shared" si="17"/>
        <v>10</v>
      </c>
      <c r="Q196">
        <f t="shared" si="18"/>
        <v>10</v>
      </c>
      <c r="R196">
        <f t="shared" si="19"/>
        <v>8</v>
      </c>
      <c r="S196">
        <v>1</v>
      </c>
      <c r="T196">
        <v>58.5</v>
      </c>
      <c r="U196">
        <v>1</v>
      </c>
      <c r="W196" s="19">
        <v>57.3</v>
      </c>
      <c r="X196" s="1">
        <v>1</v>
      </c>
    </row>
    <row r="197" spans="1:24" hidden="1" x14ac:dyDescent="0.3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15"/>
        <v>59.8</v>
      </c>
      <c r="O197">
        <f t="shared" si="16"/>
        <v>4</v>
      </c>
      <c r="P197">
        <f t="shared" si="17"/>
        <v>6</v>
      </c>
      <c r="Q197">
        <f t="shared" si="18"/>
        <v>4</v>
      </c>
      <c r="R197">
        <f t="shared" si="19"/>
        <v>8</v>
      </c>
      <c r="S197">
        <v>1</v>
      </c>
      <c r="T197">
        <v>58.6</v>
      </c>
      <c r="U197">
        <v>1</v>
      </c>
      <c r="W197" s="19">
        <v>57.5</v>
      </c>
      <c r="X197" s="1">
        <v>2</v>
      </c>
    </row>
    <row r="198" spans="1:24" hidden="1" x14ac:dyDescent="0.3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15"/>
        <v>61.3</v>
      </c>
      <c r="O198">
        <f t="shared" si="16"/>
        <v>10</v>
      </c>
      <c r="P198">
        <f t="shared" si="17"/>
        <v>6</v>
      </c>
      <c r="Q198">
        <f t="shared" si="18"/>
        <v>8</v>
      </c>
      <c r="R198">
        <f t="shared" si="19"/>
        <v>10</v>
      </c>
      <c r="S198">
        <v>1</v>
      </c>
      <c r="T198">
        <v>58.8</v>
      </c>
      <c r="U198">
        <v>3</v>
      </c>
      <c r="W198" s="19">
        <v>57.8</v>
      </c>
      <c r="X198" s="1">
        <v>2</v>
      </c>
    </row>
    <row r="199" spans="1:24" hidden="1" x14ac:dyDescent="0.3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15"/>
        <v>48</v>
      </c>
      <c r="O199">
        <f t="shared" si="16"/>
        <v>0</v>
      </c>
      <c r="P199">
        <f t="shared" si="17"/>
        <v>10</v>
      </c>
      <c r="Q199">
        <f t="shared" si="18"/>
        <v>8</v>
      </c>
      <c r="R199">
        <f t="shared" si="19"/>
        <v>4</v>
      </c>
      <c r="S199">
        <v>1</v>
      </c>
      <c r="T199">
        <v>58.9</v>
      </c>
      <c r="U199">
        <v>2</v>
      </c>
      <c r="W199" s="19">
        <v>57.9</v>
      </c>
      <c r="X199" s="1">
        <v>1</v>
      </c>
    </row>
    <row r="200" spans="1:24" hidden="1" x14ac:dyDescent="0.3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15"/>
        <v>46.3</v>
      </c>
      <c r="O200">
        <f t="shared" si="16"/>
        <v>4</v>
      </c>
      <c r="P200">
        <f t="shared" si="17"/>
        <v>0</v>
      </c>
      <c r="Q200">
        <f t="shared" si="18"/>
        <v>8</v>
      </c>
      <c r="R200">
        <f t="shared" si="19"/>
        <v>6</v>
      </c>
      <c r="S200">
        <v>1</v>
      </c>
      <c r="T200">
        <v>59</v>
      </c>
      <c r="U200">
        <v>1</v>
      </c>
      <c r="W200" s="19">
        <v>58.3</v>
      </c>
      <c r="X200" s="1">
        <v>1</v>
      </c>
    </row>
    <row r="201" spans="1:24" hidden="1" x14ac:dyDescent="0.3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15"/>
        <v>60.9</v>
      </c>
      <c r="O201">
        <f t="shared" si="16"/>
        <v>10</v>
      </c>
      <c r="P201">
        <f t="shared" si="17"/>
        <v>6</v>
      </c>
      <c r="Q201">
        <f t="shared" si="18"/>
        <v>6</v>
      </c>
      <c r="R201">
        <f t="shared" si="19"/>
        <v>4</v>
      </c>
      <c r="S201">
        <v>1</v>
      </c>
      <c r="T201">
        <v>59.2</v>
      </c>
      <c r="U201">
        <v>2</v>
      </c>
      <c r="W201" s="19">
        <v>58.4</v>
      </c>
      <c r="X201" s="1">
        <v>2</v>
      </c>
    </row>
    <row r="202" spans="1:24" hidden="1" x14ac:dyDescent="0.3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15"/>
        <v>52.3</v>
      </c>
      <c r="O202">
        <f t="shared" si="16"/>
        <v>10</v>
      </c>
      <c r="P202">
        <f t="shared" si="17"/>
        <v>6</v>
      </c>
      <c r="Q202">
        <f t="shared" si="18"/>
        <v>6</v>
      </c>
      <c r="R202">
        <f t="shared" si="19"/>
        <v>8</v>
      </c>
      <c r="S202">
        <v>1</v>
      </c>
      <c r="T202">
        <v>59.3</v>
      </c>
      <c r="U202">
        <v>3</v>
      </c>
      <c r="W202" s="19">
        <v>58.5</v>
      </c>
      <c r="X202" s="1">
        <v>1</v>
      </c>
    </row>
    <row r="203" spans="1:24" hidden="1" x14ac:dyDescent="0.3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15"/>
        <v>51.6</v>
      </c>
      <c r="O203">
        <f t="shared" si="16"/>
        <v>8</v>
      </c>
      <c r="P203">
        <f t="shared" si="17"/>
        <v>6</v>
      </c>
      <c r="Q203">
        <f t="shared" si="18"/>
        <v>6</v>
      </c>
      <c r="R203">
        <f t="shared" si="19"/>
        <v>8</v>
      </c>
      <c r="S203">
        <v>1</v>
      </c>
      <c r="T203">
        <v>59.5</v>
      </c>
      <c r="U203">
        <v>3</v>
      </c>
      <c r="W203" s="19">
        <v>58.6</v>
      </c>
      <c r="X203" s="1">
        <v>1</v>
      </c>
    </row>
    <row r="204" spans="1:24" hidden="1" x14ac:dyDescent="0.3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15"/>
        <v>53.5</v>
      </c>
      <c r="O204">
        <f t="shared" si="16"/>
        <v>6</v>
      </c>
      <c r="P204">
        <f t="shared" si="17"/>
        <v>10</v>
      </c>
      <c r="Q204">
        <f t="shared" si="18"/>
        <v>4</v>
      </c>
      <c r="R204">
        <f t="shared" si="19"/>
        <v>0</v>
      </c>
      <c r="S204">
        <v>1</v>
      </c>
      <c r="T204">
        <v>59.6</v>
      </c>
      <c r="U204">
        <v>3</v>
      </c>
      <c r="W204" s="19">
        <v>58.8</v>
      </c>
      <c r="X204" s="1">
        <v>3</v>
      </c>
    </row>
    <row r="205" spans="1:24" hidden="1" x14ac:dyDescent="0.3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15"/>
        <v>45.1</v>
      </c>
      <c r="O205">
        <f t="shared" si="16"/>
        <v>4</v>
      </c>
      <c r="P205">
        <f t="shared" si="17"/>
        <v>8</v>
      </c>
      <c r="Q205">
        <f t="shared" si="18"/>
        <v>8</v>
      </c>
      <c r="R205">
        <f t="shared" si="19"/>
        <v>0</v>
      </c>
      <c r="S205">
        <v>1</v>
      </c>
      <c r="T205">
        <v>59.7</v>
      </c>
      <c r="U205">
        <v>3</v>
      </c>
      <c r="W205" s="19">
        <v>58.9</v>
      </c>
      <c r="X205" s="1">
        <v>2</v>
      </c>
    </row>
    <row r="206" spans="1:24" hidden="1" x14ac:dyDescent="0.3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15"/>
        <v>57.2</v>
      </c>
      <c r="O206">
        <f t="shared" si="16"/>
        <v>10</v>
      </c>
      <c r="P206">
        <f t="shared" si="17"/>
        <v>8</v>
      </c>
      <c r="Q206">
        <f t="shared" si="18"/>
        <v>0</v>
      </c>
      <c r="R206">
        <f t="shared" si="19"/>
        <v>10</v>
      </c>
      <c r="S206">
        <v>1</v>
      </c>
      <c r="T206">
        <v>59.8</v>
      </c>
      <c r="U206">
        <v>3</v>
      </c>
      <c r="W206" s="19">
        <v>59</v>
      </c>
      <c r="X206" s="1">
        <v>1</v>
      </c>
    </row>
    <row r="207" spans="1:24" hidden="1" x14ac:dyDescent="0.3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15"/>
        <v>45</v>
      </c>
      <c r="O207">
        <f t="shared" si="16"/>
        <v>6</v>
      </c>
      <c r="P207">
        <f t="shared" si="17"/>
        <v>6</v>
      </c>
      <c r="Q207">
        <f t="shared" si="18"/>
        <v>6</v>
      </c>
      <c r="R207">
        <f t="shared" si="19"/>
        <v>4</v>
      </c>
      <c r="S207">
        <v>1</v>
      </c>
      <c r="T207">
        <v>60</v>
      </c>
      <c r="U207">
        <v>3</v>
      </c>
      <c r="W207" s="19">
        <v>59.2</v>
      </c>
      <c r="X207" s="1">
        <v>2</v>
      </c>
    </row>
    <row r="208" spans="1:24" hidden="1" x14ac:dyDescent="0.3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15"/>
        <v>51.7</v>
      </c>
      <c r="O208">
        <f t="shared" si="16"/>
        <v>6</v>
      </c>
      <c r="P208">
        <f t="shared" si="17"/>
        <v>4</v>
      </c>
      <c r="Q208">
        <f t="shared" si="18"/>
        <v>10</v>
      </c>
      <c r="R208">
        <f t="shared" si="19"/>
        <v>0</v>
      </c>
      <c r="S208">
        <v>1</v>
      </c>
      <c r="T208">
        <v>60.1</v>
      </c>
      <c r="U208">
        <v>2</v>
      </c>
      <c r="W208" s="19">
        <v>59.3</v>
      </c>
      <c r="X208" s="1">
        <v>3</v>
      </c>
    </row>
    <row r="209" spans="1:24" hidden="1" x14ac:dyDescent="0.3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15"/>
        <v>47.5</v>
      </c>
      <c r="O209">
        <f t="shared" si="16"/>
        <v>0</v>
      </c>
      <c r="P209">
        <f t="shared" si="17"/>
        <v>0</v>
      </c>
      <c r="Q209">
        <f t="shared" si="18"/>
        <v>10</v>
      </c>
      <c r="R209">
        <f t="shared" si="19"/>
        <v>6</v>
      </c>
      <c r="S209">
        <v>1</v>
      </c>
      <c r="T209">
        <v>60.3</v>
      </c>
      <c r="U209">
        <v>1</v>
      </c>
      <c r="W209" s="19">
        <v>59.5</v>
      </c>
      <c r="X209" s="1">
        <v>3</v>
      </c>
    </row>
    <row r="210" spans="1:24" hidden="1" x14ac:dyDescent="0.3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15"/>
        <v>42.8</v>
      </c>
      <c r="O210">
        <f t="shared" si="16"/>
        <v>8</v>
      </c>
      <c r="P210">
        <f t="shared" si="17"/>
        <v>8</v>
      </c>
      <c r="Q210">
        <f t="shared" si="18"/>
        <v>4</v>
      </c>
      <c r="R210">
        <f t="shared" si="19"/>
        <v>0</v>
      </c>
      <c r="S210">
        <v>1</v>
      </c>
      <c r="T210">
        <v>60.4</v>
      </c>
      <c r="U210">
        <v>2</v>
      </c>
      <c r="W210" s="19">
        <v>59.6</v>
      </c>
      <c r="X210" s="1">
        <v>3</v>
      </c>
    </row>
    <row r="211" spans="1:24" hidden="1" x14ac:dyDescent="0.3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15"/>
        <v>64.8</v>
      </c>
      <c r="O211">
        <f t="shared" si="16"/>
        <v>6</v>
      </c>
      <c r="P211">
        <f t="shared" si="17"/>
        <v>8</v>
      </c>
      <c r="Q211">
        <f t="shared" si="18"/>
        <v>10</v>
      </c>
      <c r="R211">
        <f t="shared" si="19"/>
        <v>6</v>
      </c>
      <c r="S211">
        <v>1</v>
      </c>
      <c r="T211">
        <v>60.6</v>
      </c>
      <c r="U211">
        <v>3</v>
      </c>
      <c r="W211" s="19">
        <v>59.7</v>
      </c>
      <c r="X211" s="1">
        <v>3</v>
      </c>
    </row>
    <row r="212" spans="1:24" hidden="1" x14ac:dyDescent="0.3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15"/>
        <v>42</v>
      </c>
      <c r="O212">
        <f t="shared" si="16"/>
        <v>0</v>
      </c>
      <c r="P212">
        <f t="shared" si="17"/>
        <v>4</v>
      </c>
      <c r="Q212">
        <f t="shared" si="18"/>
        <v>10</v>
      </c>
      <c r="R212">
        <f t="shared" si="19"/>
        <v>8</v>
      </c>
      <c r="S212">
        <v>1</v>
      </c>
      <c r="T212">
        <v>60.7</v>
      </c>
      <c r="U212">
        <v>1</v>
      </c>
      <c r="W212" s="19">
        <v>59.8</v>
      </c>
      <c r="X212" s="1">
        <v>3</v>
      </c>
    </row>
    <row r="213" spans="1:24" hidden="1" x14ac:dyDescent="0.3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15"/>
        <v>43.1</v>
      </c>
      <c r="O213">
        <f t="shared" si="16"/>
        <v>10</v>
      </c>
      <c r="P213">
        <f t="shared" si="17"/>
        <v>0</v>
      </c>
      <c r="Q213">
        <f t="shared" si="18"/>
        <v>0</v>
      </c>
      <c r="R213">
        <f t="shared" si="19"/>
        <v>6</v>
      </c>
      <c r="S213">
        <v>1</v>
      </c>
      <c r="T213">
        <v>60.8</v>
      </c>
      <c r="U213">
        <v>2</v>
      </c>
      <c r="W213" s="19">
        <v>60</v>
      </c>
      <c r="X213" s="1">
        <v>3</v>
      </c>
    </row>
    <row r="214" spans="1:24" hidden="1" x14ac:dyDescent="0.3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15"/>
        <v>61.7</v>
      </c>
      <c r="O214">
        <f t="shared" si="16"/>
        <v>8</v>
      </c>
      <c r="P214">
        <f t="shared" si="17"/>
        <v>8</v>
      </c>
      <c r="Q214">
        <f t="shared" si="18"/>
        <v>4</v>
      </c>
      <c r="R214">
        <f t="shared" si="19"/>
        <v>6</v>
      </c>
      <c r="S214">
        <v>1</v>
      </c>
      <c r="T214">
        <v>60.9</v>
      </c>
      <c r="U214">
        <v>4</v>
      </c>
      <c r="W214" s="19">
        <v>60.1</v>
      </c>
      <c r="X214" s="1">
        <v>2</v>
      </c>
    </row>
    <row r="215" spans="1:24" hidden="1" x14ac:dyDescent="0.3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15"/>
        <v>50.2</v>
      </c>
      <c r="O215">
        <f t="shared" si="16"/>
        <v>0</v>
      </c>
      <c r="P215">
        <f t="shared" si="17"/>
        <v>10</v>
      </c>
      <c r="Q215">
        <f t="shared" si="18"/>
        <v>10</v>
      </c>
      <c r="R215">
        <f t="shared" si="19"/>
        <v>8</v>
      </c>
      <c r="S215">
        <v>1</v>
      </c>
      <c r="T215">
        <v>61</v>
      </c>
      <c r="U215">
        <v>1</v>
      </c>
      <c r="W215" s="19">
        <v>60.3</v>
      </c>
      <c r="X215" s="1">
        <v>1</v>
      </c>
    </row>
    <row r="216" spans="1:24" hidden="1" x14ac:dyDescent="0.3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15"/>
        <v>51.5</v>
      </c>
      <c r="O216">
        <f t="shared" si="16"/>
        <v>8</v>
      </c>
      <c r="P216">
        <f t="shared" si="17"/>
        <v>4</v>
      </c>
      <c r="Q216">
        <f t="shared" si="18"/>
        <v>8</v>
      </c>
      <c r="R216">
        <f t="shared" si="19"/>
        <v>0</v>
      </c>
      <c r="S216">
        <v>1</v>
      </c>
      <c r="T216">
        <v>61.1</v>
      </c>
      <c r="U216">
        <v>1</v>
      </c>
      <c r="W216" s="19">
        <v>60.4</v>
      </c>
      <c r="X216" s="1">
        <v>2</v>
      </c>
    </row>
    <row r="217" spans="1:24" hidden="1" x14ac:dyDescent="0.3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15"/>
        <v>50.4</v>
      </c>
      <c r="O217">
        <f t="shared" si="16"/>
        <v>0</v>
      </c>
      <c r="P217">
        <f t="shared" si="17"/>
        <v>8</v>
      </c>
      <c r="Q217">
        <f t="shared" si="18"/>
        <v>10</v>
      </c>
      <c r="R217">
        <f t="shared" si="19"/>
        <v>4</v>
      </c>
      <c r="S217">
        <v>1</v>
      </c>
      <c r="T217">
        <v>61.2</v>
      </c>
      <c r="U217">
        <v>3</v>
      </c>
      <c r="W217" s="19">
        <v>60.6</v>
      </c>
      <c r="X217" s="1">
        <v>3</v>
      </c>
    </row>
    <row r="218" spans="1:24" hidden="1" x14ac:dyDescent="0.3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15"/>
        <v>51.6</v>
      </c>
      <c r="O218">
        <f t="shared" si="16"/>
        <v>0</v>
      </c>
      <c r="P218">
        <f t="shared" si="17"/>
        <v>6</v>
      </c>
      <c r="Q218">
        <f t="shared" si="18"/>
        <v>8</v>
      </c>
      <c r="R218">
        <f t="shared" si="19"/>
        <v>10</v>
      </c>
      <c r="S218">
        <v>1</v>
      </c>
      <c r="T218">
        <v>61.3</v>
      </c>
      <c r="U218">
        <v>1</v>
      </c>
      <c r="W218" s="19">
        <v>60.7</v>
      </c>
      <c r="X218" s="1">
        <v>1</v>
      </c>
    </row>
    <row r="219" spans="1:24" hidden="1" x14ac:dyDescent="0.3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15"/>
        <v>37.299999999999997</v>
      </c>
      <c r="O219">
        <f t="shared" si="16"/>
        <v>4</v>
      </c>
      <c r="P219">
        <f t="shared" si="17"/>
        <v>0</v>
      </c>
      <c r="Q219">
        <f t="shared" si="18"/>
        <v>6</v>
      </c>
      <c r="R219">
        <f t="shared" si="19"/>
        <v>6</v>
      </c>
      <c r="S219">
        <v>1</v>
      </c>
      <c r="T219">
        <v>61.6</v>
      </c>
      <c r="U219">
        <v>1</v>
      </c>
      <c r="W219" s="19">
        <v>60.8</v>
      </c>
      <c r="X219" s="1">
        <v>2</v>
      </c>
    </row>
    <row r="220" spans="1:24" hidden="1" x14ac:dyDescent="0.3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15"/>
        <v>56.4</v>
      </c>
      <c r="O220">
        <f t="shared" si="16"/>
        <v>4</v>
      </c>
      <c r="P220">
        <f t="shared" si="17"/>
        <v>0</v>
      </c>
      <c r="Q220">
        <f t="shared" si="18"/>
        <v>10</v>
      </c>
      <c r="R220">
        <f t="shared" si="19"/>
        <v>8</v>
      </c>
      <c r="S220">
        <v>1</v>
      </c>
      <c r="T220">
        <v>61.7</v>
      </c>
      <c r="U220">
        <v>4</v>
      </c>
      <c r="W220" s="19">
        <v>60.9</v>
      </c>
      <c r="X220" s="1">
        <v>4</v>
      </c>
    </row>
    <row r="221" spans="1:24" hidden="1" x14ac:dyDescent="0.3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15"/>
        <v>44.6</v>
      </c>
      <c r="O221">
        <f t="shared" si="16"/>
        <v>4</v>
      </c>
      <c r="P221">
        <f t="shared" si="17"/>
        <v>8</v>
      </c>
      <c r="Q221">
        <f t="shared" si="18"/>
        <v>0</v>
      </c>
      <c r="R221">
        <f t="shared" si="19"/>
        <v>6</v>
      </c>
      <c r="S221">
        <v>1</v>
      </c>
      <c r="T221">
        <v>61.8</v>
      </c>
      <c r="U221">
        <v>2</v>
      </c>
      <c r="W221" s="19">
        <v>61</v>
      </c>
      <c r="X221" s="1">
        <v>1</v>
      </c>
    </row>
    <row r="222" spans="1:24" hidden="1" x14ac:dyDescent="0.3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15"/>
        <v>55.3</v>
      </c>
      <c r="O222">
        <f t="shared" si="16"/>
        <v>10</v>
      </c>
      <c r="P222">
        <f t="shared" si="17"/>
        <v>6</v>
      </c>
      <c r="Q222">
        <f t="shared" si="18"/>
        <v>6</v>
      </c>
      <c r="R222">
        <f t="shared" si="19"/>
        <v>4</v>
      </c>
      <c r="S222">
        <v>1</v>
      </c>
      <c r="T222">
        <v>61.9</v>
      </c>
      <c r="U222">
        <v>1</v>
      </c>
      <c r="W222" s="19">
        <v>61.1</v>
      </c>
      <c r="X222" s="1">
        <v>1</v>
      </c>
    </row>
    <row r="223" spans="1:24" hidden="1" x14ac:dyDescent="0.3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15"/>
        <v>40.799999999999997</v>
      </c>
      <c r="O223">
        <f t="shared" si="16"/>
        <v>4</v>
      </c>
      <c r="P223">
        <f t="shared" si="17"/>
        <v>4</v>
      </c>
      <c r="Q223">
        <f t="shared" si="18"/>
        <v>4</v>
      </c>
      <c r="R223">
        <f t="shared" si="19"/>
        <v>0</v>
      </c>
      <c r="S223">
        <v>1</v>
      </c>
      <c r="T223">
        <v>62</v>
      </c>
      <c r="U223">
        <v>1</v>
      </c>
      <c r="W223" s="19">
        <v>61.2</v>
      </c>
      <c r="X223" s="1">
        <v>3</v>
      </c>
    </row>
    <row r="224" spans="1:24" hidden="1" x14ac:dyDescent="0.3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15"/>
        <v>48.6</v>
      </c>
      <c r="O224">
        <f t="shared" si="16"/>
        <v>8</v>
      </c>
      <c r="P224">
        <f t="shared" si="17"/>
        <v>0</v>
      </c>
      <c r="Q224">
        <f t="shared" si="18"/>
        <v>8</v>
      </c>
      <c r="R224">
        <f t="shared" si="19"/>
        <v>6</v>
      </c>
      <c r="S224">
        <v>1</v>
      </c>
      <c r="T224">
        <v>62.2</v>
      </c>
      <c r="U224">
        <v>2</v>
      </c>
      <c r="W224" s="19">
        <v>61.3</v>
      </c>
      <c r="X224" s="1">
        <v>1</v>
      </c>
    </row>
    <row r="225" spans="1:24" hidden="1" x14ac:dyDescent="0.3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15"/>
        <v>59.8</v>
      </c>
      <c r="O225">
        <f t="shared" si="16"/>
        <v>4</v>
      </c>
      <c r="P225">
        <f t="shared" si="17"/>
        <v>0</v>
      </c>
      <c r="Q225">
        <f t="shared" si="18"/>
        <v>10</v>
      </c>
      <c r="R225">
        <f t="shared" si="19"/>
        <v>8</v>
      </c>
      <c r="S225">
        <v>1</v>
      </c>
      <c r="T225">
        <v>62.3</v>
      </c>
      <c r="U225">
        <v>1</v>
      </c>
      <c r="W225" s="19">
        <v>61.6</v>
      </c>
      <c r="X225" s="1">
        <v>1</v>
      </c>
    </row>
    <row r="226" spans="1:24" hidden="1" x14ac:dyDescent="0.3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15"/>
        <v>59</v>
      </c>
      <c r="O226">
        <f t="shared" si="16"/>
        <v>6</v>
      </c>
      <c r="P226">
        <f t="shared" si="17"/>
        <v>10</v>
      </c>
      <c r="Q226">
        <f t="shared" si="18"/>
        <v>6</v>
      </c>
      <c r="R226">
        <f t="shared" si="19"/>
        <v>8</v>
      </c>
      <c r="S226">
        <v>1</v>
      </c>
      <c r="T226">
        <v>62.4</v>
      </c>
      <c r="U226">
        <v>2</v>
      </c>
      <c r="W226" s="19">
        <v>61.7</v>
      </c>
      <c r="X226" s="1">
        <v>4</v>
      </c>
    </row>
    <row r="227" spans="1:24" hidden="1" x14ac:dyDescent="0.3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15"/>
        <v>39.1</v>
      </c>
      <c r="O227">
        <f t="shared" si="16"/>
        <v>0</v>
      </c>
      <c r="P227">
        <f t="shared" si="17"/>
        <v>6</v>
      </c>
      <c r="Q227">
        <f t="shared" si="18"/>
        <v>6</v>
      </c>
      <c r="R227">
        <f t="shared" si="19"/>
        <v>0</v>
      </c>
      <c r="S227">
        <v>1</v>
      </c>
      <c r="T227">
        <v>62.6</v>
      </c>
      <c r="U227">
        <v>1</v>
      </c>
      <c r="W227" s="19">
        <v>61.8</v>
      </c>
      <c r="X227" s="1">
        <v>2</v>
      </c>
    </row>
    <row r="228" spans="1:24" hidden="1" x14ac:dyDescent="0.3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15"/>
        <v>56.8</v>
      </c>
      <c r="O228">
        <f t="shared" si="16"/>
        <v>0</v>
      </c>
      <c r="P228">
        <f t="shared" si="17"/>
        <v>10</v>
      </c>
      <c r="Q228">
        <f t="shared" si="18"/>
        <v>10</v>
      </c>
      <c r="R228">
        <f t="shared" si="19"/>
        <v>4</v>
      </c>
      <c r="S228">
        <v>1</v>
      </c>
      <c r="T228">
        <v>62.9</v>
      </c>
      <c r="U228">
        <v>1</v>
      </c>
      <c r="W228" s="19">
        <v>61.9</v>
      </c>
      <c r="X228" s="1">
        <v>1</v>
      </c>
    </row>
    <row r="229" spans="1:24" hidden="1" x14ac:dyDescent="0.3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15"/>
        <v>50.2</v>
      </c>
      <c r="O229">
        <f t="shared" si="16"/>
        <v>10</v>
      </c>
      <c r="P229">
        <f t="shared" si="17"/>
        <v>4</v>
      </c>
      <c r="Q229">
        <f t="shared" si="18"/>
        <v>10</v>
      </c>
      <c r="R229">
        <f t="shared" si="19"/>
        <v>6</v>
      </c>
      <c r="S229">
        <v>1</v>
      </c>
      <c r="T229">
        <v>63</v>
      </c>
      <c r="U229">
        <v>2</v>
      </c>
      <c r="W229" s="19">
        <v>62</v>
      </c>
      <c r="X229" s="1">
        <v>1</v>
      </c>
    </row>
    <row r="230" spans="1:24" hidden="1" x14ac:dyDescent="0.3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15"/>
        <v>49.2</v>
      </c>
      <c r="O230">
        <f t="shared" si="16"/>
        <v>6</v>
      </c>
      <c r="P230">
        <f t="shared" si="17"/>
        <v>10</v>
      </c>
      <c r="Q230">
        <f t="shared" si="18"/>
        <v>4</v>
      </c>
      <c r="R230">
        <f t="shared" si="19"/>
        <v>8</v>
      </c>
      <c r="S230">
        <v>1</v>
      </c>
      <c r="T230">
        <v>63.1</v>
      </c>
      <c r="U230">
        <v>3</v>
      </c>
      <c r="W230" s="19">
        <v>62.2</v>
      </c>
      <c r="X230" s="1">
        <v>2</v>
      </c>
    </row>
    <row r="231" spans="1:24" hidden="1" x14ac:dyDescent="0.3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15"/>
        <v>21.5</v>
      </c>
      <c r="O231">
        <f t="shared" si="16"/>
        <v>0</v>
      </c>
      <c r="P231">
        <f t="shared" si="17"/>
        <v>0</v>
      </c>
      <c r="Q231">
        <f t="shared" si="18"/>
        <v>0</v>
      </c>
      <c r="R231">
        <f t="shared" si="19"/>
        <v>4</v>
      </c>
      <c r="S231">
        <v>1</v>
      </c>
      <c r="T231">
        <v>63.2</v>
      </c>
      <c r="U231">
        <v>4</v>
      </c>
      <c r="W231" s="19">
        <v>62.3</v>
      </c>
      <c r="X231" s="1">
        <v>1</v>
      </c>
    </row>
    <row r="232" spans="1:24" hidden="1" x14ac:dyDescent="0.3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15"/>
        <v>46.2</v>
      </c>
      <c r="O232">
        <f t="shared" si="16"/>
        <v>10</v>
      </c>
      <c r="P232">
        <f t="shared" si="17"/>
        <v>6</v>
      </c>
      <c r="Q232">
        <f t="shared" si="18"/>
        <v>8</v>
      </c>
      <c r="R232">
        <f t="shared" si="19"/>
        <v>6</v>
      </c>
      <c r="S232">
        <v>1</v>
      </c>
      <c r="T232">
        <v>63.3</v>
      </c>
      <c r="U232">
        <v>2</v>
      </c>
      <c r="W232" s="19">
        <v>62.4</v>
      </c>
      <c r="X232" s="1">
        <v>2</v>
      </c>
    </row>
    <row r="233" spans="1:24" hidden="1" x14ac:dyDescent="0.3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15"/>
        <v>50.4</v>
      </c>
      <c r="O233">
        <f t="shared" si="16"/>
        <v>4</v>
      </c>
      <c r="P233">
        <f t="shared" si="17"/>
        <v>6</v>
      </c>
      <c r="Q233">
        <f t="shared" si="18"/>
        <v>10</v>
      </c>
      <c r="R233">
        <f t="shared" si="19"/>
        <v>10</v>
      </c>
      <c r="S233">
        <v>1</v>
      </c>
      <c r="T233">
        <v>63.5</v>
      </c>
      <c r="U233">
        <v>4</v>
      </c>
      <c r="W233" s="19">
        <v>62.6</v>
      </c>
      <c r="X233" s="1">
        <v>1</v>
      </c>
    </row>
    <row r="234" spans="1:24" hidden="1" x14ac:dyDescent="0.3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15"/>
        <v>57.1</v>
      </c>
      <c r="O234">
        <f t="shared" si="16"/>
        <v>8</v>
      </c>
      <c r="P234">
        <f t="shared" si="17"/>
        <v>4</v>
      </c>
      <c r="Q234">
        <f t="shared" si="18"/>
        <v>8</v>
      </c>
      <c r="R234">
        <f t="shared" si="19"/>
        <v>4</v>
      </c>
      <c r="S234">
        <v>1</v>
      </c>
      <c r="T234">
        <v>63.6</v>
      </c>
      <c r="U234">
        <v>1</v>
      </c>
      <c r="W234" s="19">
        <v>62.9</v>
      </c>
      <c r="X234" s="1">
        <v>1</v>
      </c>
    </row>
    <row r="235" spans="1:24" hidden="1" x14ac:dyDescent="0.3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15"/>
        <v>39.5</v>
      </c>
      <c r="O235">
        <f t="shared" si="16"/>
        <v>6</v>
      </c>
      <c r="P235">
        <f t="shared" si="17"/>
        <v>8</v>
      </c>
      <c r="Q235">
        <f t="shared" si="18"/>
        <v>8</v>
      </c>
      <c r="R235">
        <f t="shared" si="19"/>
        <v>0</v>
      </c>
      <c r="S235">
        <v>1</v>
      </c>
      <c r="T235">
        <v>63.7</v>
      </c>
      <c r="U235">
        <v>2</v>
      </c>
      <c r="W235" s="19">
        <v>63</v>
      </c>
      <c r="X235" s="1">
        <v>2</v>
      </c>
    </row>
    <row r="236" spans="1:24" hidden="1" x14ac:dyDescent="0.3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15"/>
        <v>50.7</v>
      </c>
      <c r="O236">
        <f t="shared" si="16"/>
        <v>0</v>
      </c>
      <c r="P236">
        <f t="shared" si="17"/>
        <v>6</v>
      </c>
      <c r="Q236">
        <f t="shared" si="18"/>
        <v>6</v>
      </c>
      <c r="R236">
        <f t="shared" si="19"/>
        <v>6</v>
      </c>
      <c r="S236">
        <v>1</v>
      </c>
      <c r="T236">
        <v>63.9</v>
      </c>
      <c r="U236">
        <v>1</v>
      </c>
      <c r="W236" s="19">
        <v>63.1</v>
      </c>
      <c r="X236" s="1">
        <v>3</v>
      </c>
    </row>
    <row r="237" spans="1:24" hidden="1" x14ac:dyDescent="0.3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15"/>
        <v>57.8</v>
      </c>
      <c r="O237">
        <f t="shared" si="16"/>
        <v>4</v>
      </c>
      <c r="P237">
        <f t="shared" si="17"/>
        <v>4</v>
      </c>
      <c r="Q237">
        <f t="shared" si="18"/>
        <v>4</v>
      </c>
      <c r="R237">
        <f t="shared" si="19"/>
        <v>10</v>
      </c>
      <c r="S237">
        <v>1</v>
      </c>
      <c r="T237">
        <v>64</v>
      </c>
      <c r="U237">
        <v>1</v>
      </c>
      <c r="W237" s="19">
        <v>63.2</v>
      </c>
      <c r="X237" s="1">
        <v>4</v>
      </c>
    </row>
    <row r="238" spans="1:24" hidden="1" x14ac:dyDescent="0.3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15"/>
        <v>47</v>
      </c>
      <c r="O238">
        <f t="shared" si="16"/>
        <v>8</v>
      </c>
      <c r="P238">
        <f t="shared" si="17"/>
        <v>0</v>
      </c>
      <c r="Q238">
        <f t="shared" si="18"/>
        <v>4</v>
      </c>
      <c r="R238">
        <f t="shared" si="19"/>
        <v>8</v>
      </c>
      <c r="S238">
        <v>1</v>
      </c>
      <c r="T238">
        <v>64.2</v>
      </c>
      <c r="U238">
        <v>1</v>
      </c>
      <c r="W238" s="19">
        <v>63.3</v>
      </c>
      <c r="X238" s="1">
        <v>2</v>
      </c>
    </row>
    <row r="239" spans="1:24" hidden="1" x14ac:dyDescent="0.3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15"/>
        <v>55.5</v>
      </c>
      <c r="O239">
        <f t="shared" si="16"/>
        <v>4</v>
      </c>
      <c r="P239">
        <f t="shared" si="17"/>
        <v>0</v>
      </c>
      <c r="Q239">
        <f t="shared" si="18"/>
        <v>8</v>
      </c>
      <c r="R239">
        <f t="shared" si="19"/>
        <v>4</v>
      </c>
      <c r="S239">
        <v>1</v>
      </c>
      <c r="T239">
        <v>64.3</v>
      </c>
      <c r="U239">
        <v>1</v>
      </c>
      <c r="W239" s="19">
        <v>63.5</v>
      </c>
      <c r="X239" s="1">
        <v>4</v>
      </c>
    </row>
    <row r="240" spans="1:24" hidden="1" x14ac:dyDescent="0.3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15"/>
        <v>69.8</v>
      </c>
      <c r="O240">
        <f t="shared" si="16"/>
        <v>8</v>
      </c>
      <c r="P240">
        <f t="shared" si="17"/>
        <v>4</v>
      </c>
      <c r="Q240">
        <f t="shared" si="18"/>
        <v>10</v>
      </c>
      <c r="R240">
        <f t="shared" si="19"/>
        <v>10</v>
      </c>
      <c r="S240">
        <v>1</v>
      </c>
      <c r="T240">
        <v>64.5</v>
      </c>
      <c r="U240">
        <v>1</v>
      </c>
      <c r="W240" s="19">
        <v>63.6</v>
      </c>
      <c r="X240" s="1">
        <v>1</v>
      </c>
    </row>
    <row r="241" spans="1:24" hidden="1" x14ac:dyDescent="0.3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15"/>
        <v>38.700000000000003</v>
      </c>
      <c r="O241">
        <f t="shared" si="16"/>
        <v>4</v>
      </c>
      <c r="P241">
        <f t="shared" si="17"/>
        <v>6</v>
      </c>
      <c r="Q241">
        <f t="shared" si="18"/>
        <v>0</v>
      </c>
      <c r="R241">
        <f t="shared" si="19"/>
        <v>10</v>
      </c>
      <c r="S241">
        <v>1</v>
      </c>
      <c r="T241">
        <v>64.7</v>
      </c>
      <c r="U241">
        <v>1</v>
      </c>
      <c r="W241" s="19">
        <v>63.7</v>
      </c>
      <c r="X241" s="1">
        <v>2</v>
      </c>
    </row>
    <row r="242" spans="1:24" hidden="1" x14ac:dyDescent="0.3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15"/>
        <v>52</v>
      </c>
      <c r="O242">
        <f t="shared" si="16"/>
        <v>10</v>
      </c>
      <c r="P242">
        <f t="shared" si="17"/>
        <v>0</v>
      </c>
      <c r="Q242">
        <f t="shared" si="18"/>
        <v>4</v>
      </c>
      <c r="R242">
        <f t="shared" si="19"/>
        <v>10</v>
      </c>
      <c r="S242">
        <v>1</v>
      </c>
      <c r="T242">
        <v>64.8</v>
      </c>
      <c r="U242">
        <v>2</v>
      </c>
      <c r="W242" s="19">
        <v>63.9</v>
      </c>
      <c r="X242" s="1">
        <v>1</v>
      </c>
    </row>
    <row r="243" spans="1:24" hidden="1" x14ac:dyDescent="0.3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15"/>
        <v>56.5</v>
      </c>
      <c r="O243">
        <f t="shared" si="16"/>
        <v>0</v>
      </c>
      <c r="P243">
        <f t="shared" si="17"/>
        <v>8</v>
      </c>
      <c r="Q243">
        <f t="shared" si="18"/>
        <v>8</v>
      </c>
      <c r="R243">
        <f t="shared" si="19"/>
        <v>6</v>
      </c>
      <c r="S243">
        <v>1</v>
      </c>
      <c r="T243">
        <v>64.900000000000006</v>
      </c>
      <c r="U243">
        <v>1</v>
      </c>
      <c r="W243" s="19">
        <v>64</v>
      </c>
      <c r="X243" s="1">
        <v>1</v>
      </c>
    </row>
    <row r="244" spans="1:24" hidden="1" x14ac:dyDescent="0.3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15"/>
        <v>70.099999999999994</v>
      </c>
      <c r="O244">
        <f t="shared" si="16"/>
        <v>4</v>
      </c>
      <c r="P244">
        <f t="shared" si="17"/>
        <v>10</v>
      </c>
      <c r="Q244">
        <f t="shared" si="18"/>
        <v>8</v>
      </c>
      <c r="R244">
        <f t="shared" si="19"/>
        <v>10</v>
      </c>
      <c r="S244">
        <v>1</v>
      </c>
      <c r="T244">
        <v>65</v>
      </c>
      <c r="U244">
        <v>1</v>
      </c>
      <c r="W244" s="19">
        <v>64.2</v>
      </c>
      <c r="X244" s="1">
        <v>1</v>
      </c>
    </row>
    <row r="245" spans="1:24" hidden="1" x14ac:dyDescent="0.3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15"/>
        <v>46.5</v>
      </c>
      <c r="O245">
        <f t="shared" si="16"/>
        <v>0</v>
      </c>
      <c r="P245">
        <f t="shared" si="17"/>
        <v>6</v>
      </c>
      <c r="Q245">
        <f t="shared" si="18"/>
        <v>4</v>
      </c>
      <c r="R245">
        <f t="shared" si="19"/>
        <v>6</v>
      </c>
      <c r="S245">
        <v>1</v>
      </c>
      <c r="T245">
        <v>65.099999999999994</v>
      </c>
      <c r="U245">
        <v>2</v>
      </c>
      <c r="W245" s="19">
        <v>64.3</v>
      </c>
      <c r="X245" s="1">
        <v>1</v>
      </c>
    </row>
    <row r="246" spans="1:24" hidden="1" x14ac:dyDescent="0.3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15"/>
        <v>60.6</v>
      </c>
      <c r="O246">
        <f t="shared" si="16"/>
        <v>10</v>
      </c>
      <c r="P246">
        <f t="shared" si="17"/>
        <v>4</v>
      </c>
      <c r="Q246">
        <f t="shared" si="18"/>
        <v>10</v>
      </c>
      <c r="R246">
        <f t="shared" si="19"/>
        <v>4</v>
      </c>
      <c r="S246">
        <v>1</v>
      </c>
      <c r="T246">
        <v>65.2</v>
      </c>
      <c r="U246">
        <v>1</v>
      </c>
      <c r="W246" s="19">
        <v>64.5</v>
      </c>
      <c r="X246" s="1">
        <v>1</v>
      </c>
    </row>
    <row r="247" spans="1:24" hidden="1" x14ac:dyDescent="0.3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15"/>
        <v>46.3</v>
      </c>
      <c r="O247">
        <f t="shared" si="16"/>
        <v>0</v>
      </c>
      <c r="P247">
        <f t="shared" si="17"/>
        <v>4</v>
      </c>
      <c r="Q247">
        <f t="shared" si="18"/>
        <v>0</v>
      </c>
      <c r="R247">
        <f t="shared" si="19"/>
        <v>0</v>
      </c>
      <c r="S247">
        <v>1</v>
      </c>
      <c r="T247">
        <v>65.5</v>
      </c>
      <c r="U247">
        <v>2</v>
      </c>
      <c r="W247" s="19">
        <v>64.7</v>
      </c>
      <c r="X247" s="1">
        <v>1</v>
      </c>
    </row>
    <row r="248" spans="1:24" hidden="1" x14ac:dyDescent="0.3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15"/>
        <v>56.8</v>
      </c>
      <c r="O248">
        <f t="shared" si="16"/>
        <v>10</v>
      </c>
      <c r="P248">
        <f t="shared" si="17"/>
        <v>10</v>
      </c>
      <c r="Q248">
        <f t="shared" si="18"/>
        <v>0</v>
      </c>
      <c r="R248">
        <f t="shared" si="19"/>
        <v>4</v>
      </c>
      <c r="S248">
        <v>1</v>
      </c>
      <c r="T248">
        <v>65.599999999999994</v>
      </c>
      <c r="U248">
        <v>2</v>
      </c>
      <c r="W248" s="19">
        <v>64.8</v>
      </c>
      <c r="X248" s="1">
        <v>2</v>
      </c>
    </row>
    <row r="249" spans="1:24" hidden="1" x14ac:dyDescent="0.3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15"/>
        <v>37.299999999999997</v>
      </c>
      <c r="O249">
        <f t="shared" si="16"/>
        <v>0</v>
      </c>
      <c r="P249">
        <f t="shared" si="17"/>
        <v>4</v>
      </c>
      <c r="Q249">
        <f t="shared" si="18"/>
        <v>4</v>
      </c>
      <c r="R249">
        <f t="shared" si="19"/>
        <v>8</v>
      </c>
      <c r="S249">
        <v>1</v>
      </c>
      <c r="T249">
        <v>66.099999999999994</v>
      </c>
      <c r="U249">
        <v>1</v>
      </c>
      <c r="W249" s="19">
        <v>64.900000000000006</v>
      </c>
      <c r="X249" s="1">
        <v>1</v>
      </c>
    </row>
    <row r="250" spans="1:24" hidden="1" x14ac:dyDescent="0.3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15"/>
        <v>54.9</v>
      </c>
      <c r="O250">
        <f t="shared" si="16"/>
        <v>0</v>
      </c>
      <c r="P250">
        <f t="shared" si="17"/>
        <v>10</v>
      </c>
      <c r="Q250">
        <f t="shared" si="18"/>
        <v>8</v>
      </c>
      <c r="R250">
        <f t="shared" si="19"/>
        <v>10</v>
      </c>
      <c r="S250">
        <v>1</v>
      </c>
      <c r="T250">
        <v>66.2</v>
      </c>
      <c r="U250">
        <v>1</v>
      </c>
      <c r="W250" s="19">
        <v>65</v>
      </c>
      <c r="X250" s="1">
        <v>1</v>
      </c>
    </row>
    <row r="251" spans="1:24" hidden="1" x14ac:dyDescent="0.3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15"/>
        <v>50.8</v>
      </c>
      <c r="O251">
        <f t="shared" si="16"/>
        <v>6</v>
      </c>
      <c r="P251">
        <f t="shared" si="17"/>
        <v>6</v>
      </c>
      <c r="Q251">
        <f t="shared" si="18"/>
        <v>6</v>
      </c>
      <c r="R251">
        <f t="shared" si="19"/>
        <v>4</v>
      </c>
      <c r="S251">
        <v>1</v>
      </c>
      <c r="T251">
        <v>66.7</v>
      </c>
      <c r="U251">
        <v>1</v>
      </c>
      <c r="W251" s="19">
        <v>65.099999999999994</v>
      </c>
      <c r="X251" s="1">
        <v>2</v>
      </c>
    </row>
    <row r="252" spans="1:24" hidden="1" x14ac:dyDescent="0.3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15"/>
        <v>51.8</v>
      </c>
      <c r="O252">
        <f t="shared" si="16"/>
        <v>4</v>
      </c>
      <c r="P252">
        <f t="shared" si="17"/>
        <v>6</v>
      </c>
      <c r="Q252">
        <f t="shared" si="18"/>
        <v>4</v>
      </c>
      <c r="R252">
        <f t="shared" si="19"/>
        <v>8</v>
      </c>
      <c r="S252">
        <v>1</v>
      </c>
      <c r="T252">
        <v>67.3</v>
      </c>
      <c r="U252">
        <v>1</v>
      </c>
      <c r="W252" s="19">
        <v>65.2</v>
      </c>
      <c r="X252" s="1">
        <v>1</v>
      </c>
    </row>
    <row r="253" spans="1:24" hidden="1" x14ac:dyDescent="0.3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15"/>
        <v>56</v>
      </c>
      <c r="O253">
        <f t="shared" si="16"/>
        <v>10</v>
      </c>
      <c r="P253">
        <f t="shared" si="17"/>
        <v>10</v>
      </c>
      <c r="Q253">
        <f t="shared" si="18"/>
        <v>10</v>
      </c>
      <c r="R253">
        <f t="shared" si="19"/>
        <v>0</v>
      </c>
      <c r="S253">
        <v>1</v>
      </c>
      <c r="T253">
        <v>67.400000000000006</v>
      </c>
      <c r="U253">
        <v>1</v>
      </c>
      <c r="W253" s="19">
        <v>65.5</v>
      </c>
      <c r="X253" s="1">
        <v>2</v>
      </c>
    </row>
    <row r="254" spans="1:24" hidden="1" x14ac:dyDescent="0.3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15"/>
        <v>51.6</v>
      </c>
      <c r="O254">
        <f t="shared" si="16"/>
        <v>6</v>
      </c>
      <c r="P254">
        <f t="shared" si="17"/>
        <v>4</v>
      </c>
      <c r="Q254">
        <f t="shared" si="18"/>
        <v>8</v>
      </c>
      <c r="R254">
        <f t="shared" si="19"/>
        <v>0</v>
      </c>
      <c r="S254">
        <v>1</v>
      </c>
      <c r="T254">
        <v>67.7</v>
      </c>
      <c r="U254">
        <v>2</v>
      </c>
      <c r="W254" s="19">
        <v>65.599999999999994</v>
      </c>
      <c r="X254" s="1">
        <v>2</v>
      </c>
    </row>
    <row r="255" spans="1:24" hidden="1" x14ac:dyDescent="0.3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15"/>
        <v>69.900000000000006</v>
      </c>
      <c r="O255">
        <f t="shared" si="16"/>
        <v>8</v>
      </c>
      <c r="P255">
        <f t="shared" si="17"/>
        <v>0</v>
      </c>
      <c r="Q255">
        <f t="shared" si="18"/>
        <v>8</v>
      </c>
      <c r="R255">
        <f t="shared" si="19"/>
        <v>4</v>
      </c>
      <c r="S255">
        <v>1</v>
      </c>
      <c r="T255">
        <v>68</v>
      </c>
      <c r="U255">
        <v>1</v>
      </c>
      <c r="W255" s="19">
        <v>66.099999999999994</v>
      </c>
      <c r="X255" s="1">
        <v>1</v>
      </c>
    </row>
    <row r="256" spans="1:24" hidden="1" x14ac:dyDescent="0.3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15"/>
        <v>69.3</v>
      </c>
      <c r="O256">
        <f t="shared" si="16"/>
        <v>10</v>
      </c>
      <c r="P256">
        <f t="shared" si="17"/>
        <v>8</v>
      </c>
      <c r="Q256">
        <f t="shared" si="18"/>
        <v>4</v>
      </c>
      <c r="R256">
        <f t="shared" si="19"/>
        <v>10</v>
      </c>
      <c r="S256">
        <v>1</v>
      </c>
      <c r="T256">
        <v>68.2</v>
      </c>
      <c r="U256">
        <v>3</v>
      </c>
      <c r="W256" s="19">
        <v>66.2</v>
      </c>
      <c r="X256" s="1">
        <v>1</v>
      </c>
    </row>
    <row r="257" spans="1:24" hidden="1" x14ac:dyDescent="0.3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15"/>
        <v>32.9</v>
      </c>
      <c r="O257">
        <f t="shared" si="16"/>
        <v>8</v>
      </c>
      <c r="P257">
        <f t="shared" si="17"/>
        <v>4</v>
      </c>
      <c r="Q257">
        <f t="shared" si="18"/>
        <v>0</v>
      </c>
      <c r="R257">
        <f t="shared" si="19"/>
        <v>0</v>
      </c>
      <c r="S257">
        <v>1</v>
      </c>
      <c r="T257">
        <v>68.3</v>
      </c>
      <c r="U257">
        <v>1</v>
      </c>
      <c r="W257" s="19">
        <v>66.7</v>
      </c>
      <c r="X257" s="1">
        <v>1</v>
      </c>
    </row>
    <row r="258" spans="1:24" hidden="1" x14ac:dyDescent="0.3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si="15"/>
        <v>52.6</v>
      </c>
      <c r="O258">
        <f t="shared" si="16"/>
        <v>4</v>
      </c>
      <c r="P258">
        <f t="shared" si="17"/>
        <v>10</v>
      </c>
      <c r="Q258">
        <f t="shared" si="18"/>
        <v>10</v>
      </c>
      <c r="R258">
        <f t="shared" si="19"/>
        <v>0</v>
      </c>
      <c r="S258">
        <v>1</v>
      </c>
      <c r="T258">
        <v>68.8</v>
      </c>
      <c r="U258">
        <v>2</v>
      </c>
      <c r="W258" s="19">
        <v>67.3</v>
      </c>
      <c r="X258" s="1">
        <v>1</v>
      </c>
    </row>
    <row r="259" spans="1:24" hidden="1" x14ac:dyDescent="0.3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ref="N259:N322" si="20">C259+IF(D259=6,2,0) +SUM(O259:R259) +SUM(I259:M259)/10</f>
        <v>53.5</v>
      </c>
      <c r="O259">
        <f t="shared" ref="O259:O322" si="21">IF(E259=2,0,IF(E259=3,4,IF(E259=4,6,IF(E259=5,8,IF(E259=6,10,0)))))</f>
        <v>4</v>
      </c>
      <c r="P259">
        <f t="shared" ref="P259:P322" si="22">IF(F259=2,0,IF(F259=3,4,IF(F259=4,6,IF(F259=5,8,IF(F259=6,10,0)))))</f>
        <v>10</v>
      </c>
      <c r="Q259">
        <f t="shared" ref="Q259:Q322" si="23">IF(G259=2,0,IF(G259=3,4,IF(G259=4,6,IF(G259=5,8,IF(G259=6,10,0)))))</f>
        <v>0</v>
      </c>
      <c r="R259">
        <f t="shared" ref="R259:R322" si="24">IF(H259=2,0,IF(H259=3,4,IF(H259=4,6,IF(H259=5,8,IF(H259=6,10,0)))))</f>
        <v>6</v>
      </c>
      <c r="S259">
        <v>1</v>
      </c>
      <c r="T259">
        <v>69</v>
      </c>
      <c r="U259">
        <v>1</v>
      </c>
      <c r="W259" s="19">
        <v>67.400000000000006</v>
      </c>
      <c r="X259" s="1">
        <v>1</v>
      </c>
    </row>
    <row r="260" spans="1:24" hidden="1" x14ac:dyDescent="0.3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20"/>
        <v>44.2</v>
      </c>
      <c r="O260">
        <f t="shared" si="21"/>
        <v>10</v>
      </c>
      <c r="P260">
        <f t="shared" si="22"/>
        <v>0</v>
      </c>
      <c r="Q260">
        <f t="shared" si="23"/>
        <v>0</v>
      </c>
      <c r="R260">
        <f t="shared" si="24"/>
        <v>6</v>
      </c>
      <c r="S260">
        <v>1</v>
      </c>
      <c r="T260">
        <v>69.2</v>
      </c>
      <c r="U260">
        <v>2</v>
      </c>
      <c r="W260" s="19">
        <v>67.7</v>
      </c>
      <c r="X260" s="1">
        <v>2</v>
      </c>
    </row>
    <row r="261" spans="1:24" hidden="1" x14ac:dyDescent="0.3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20"/>
        <v>64.900000000000006</v>
      </c>
      <c r="O261">
        <f t="shared" si="21"/>
        <v>4</v>
      </c>
      <c r="P261">
        <f t="shared" si="22"/>
        <v>10</v>
      </c>
      <c r="Q261">
        <f t="shared" si="23"/>
        <v>10</v>
      </c>
      <c r="R261">
        <f t="shared" si="24"/>
        <v>4</v>
      </c>
      <c r="S261">
        <v>1</v>
      </c>
      <c r="T261">
        <v>69.3</v>
      </c>
      <c r="U261">
        <v>1</v>
      </c>
      <c r="W261" s="19">
        <v>68</v>
      </c>
      <c r="X261" s="1">
        <v>1</v>
      </c>
    </row>
    <row r="262" spans="1:24" hidden="1" x14ac:dyDescent="0.3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20"/>
        <v>54</v>
      </c>
      <c r="O262">
        <f t="shared" si="21"/>
        <v>6</v>
      </c>
      <c r="P262">
        <f t="shared" si="22"/>
        <v>8</v>
      </c>
      <c r="Q262">
        <f t="shared" si="23"/>
        <v>10</v>
      </c>
      <c r="R262">
        <f t="shared" si="24"/>
        <v>6</v>
      </c>
      <c r="S262">
        <v>1</v>
      </c>
      <c r="T262">
        <v>69.599999999999994</v>
      </c>
      <c r="U262">
        <v>1</v>
      </c>
      <c r="W262" s="19">
        <v>68.2</v>
      </c>
      <c r="X262" s="1">
        <v>3</v>
      </c>
    </row>
    <row r="263" spans="1:24" hidden="1" x14ac:dyDescent="0.3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20"/>
        <v>38.6</v>
      </c>
      <c r="O263">
        <f t="shared" si="21"/>
        <v>0</v>
      </c>
      <c r="P263">
        <f t="shared" si="22"/>
        <v>6</v>
      </c>
      <c r="Q263">
        <f t="shared" si="23"/>
        <v>4</v>
      </c>
      <c r="R263">
        <f t="shared" si="24"/>
        <v>8</v>
      </c>
      <c r="S263">
        <v>1</v>
      </c>
      <c r="T263">
        <v>69.8</v>
      </c>
      <c r="U263">
        <v>1</v>
      </c>
      <c r="W263" s="19">
        <v>68.3</v>
      </c>
      <c r="X263" s="1">
        <v>1</v>
      </c>
    </row>
    <row r="264" spans="1:24" hidden="1" x14ac:dyDescent="0.3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20"/>
        <v>42.9</v>
      </c>
      <c r="O264">
        <f t="shared" si="21"/>
        <v>4</v>
      </c>
      <c r="P264">
        <f t="shared" si="22"/>
        <v>6</v>
      </c>
      <c r="Q264">
        <f t="shared" si="23"/>
        <v>10</v>
      </c>
      <c r="R264">
        <f t="shared" si="24"/>
        <v>4</v>
      </c>
      <c r="S264">
        <v>1</v>
      </c>
      <c r="T264">
        <v>69.900000000000006</v>
      </c>
      <c r="U264">
        <v>2</v>
      </c>
      <c r="W264" s="19">
        <v>68.8</v>
      </c>
      <c r="X264" s="1">
        <v>2</v>
      </c>
    </row>
    <row r="265" spans="1:24" hidden="1" x14ac:dyDescent="0.3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20"/>
        <v>54.8</v>
      </c>
      <c r="O265">
        <f t="shared" si="21"/>
        <v>4</v>
      </c>
      <c r="P265">
        <f t="shared" si="22"/>
        <v>10</v>
      </c>
      <c r="Q265">
        <f t="shared" si="23"/>
        <v>4</v>
      </c>
      <c r="R265">
        <f t="shared" si="24"/>
        <v>4</v>
      </c>
      <c r="S265">
        <v>1</v>
      </c>
      <c r="T265">
        <v>70.099999999999994</v>
      </c>
      <c r="U265">
        <v>1</v>
      </c>
      <c r="W265" s="19">
        <v>69</v>
      </c>
      <c r="X265" s="1">
        <v>1</v>
      </c>
    </row>
    <row r="266" spans="1:24" hidden="1" x14ac:dyDescent="0.3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20"/>
        <v>50.6</v>
      </c>
      <c r="O266">
        <f t="shared" si="21"/>
        <v>4</v>
      </c>
      <c r="P266">
        <f t="shared" si="22"/>
        <v>8</v>
      </c>
      <c r="Q266">
        <f t="shared" si="23"/>
        <v>0</v>
      </c>
      <c r="R266">
        <f t="shared" si="24"/>
        <v>10</v>
      </c>
      <c r="S266">
        <v>1</v>
      </c>
      <c r="T266">
        <v>70.3</v>
      </c>
      <c r="U266">
        <v>1</v>
      </c>
      <c r="W266" s="19">
        <v>69.2</v>
      </c>
      <c r="X266" s="1">
        <v>2</v>
      </c>
    </row>
    <row r="267" spans="1:24" hidden="1" x14ac:dyDescent="0.3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20"/>
        <v>57</v>
      </c>
      <c r="O267">
        <f t="shared" si="21"/>
        <v>8</v>
      </c>
      <c r="P267">
        <f t="shared" si="22"/>
        <v>8</v>
      </c>
      <c r="Q267">
        <f t="shared" si="23"/>
        <v>6</v>
      </c>
      <c r="R267">
        <f t="shared" si="24"/>
        <v>8</v>
      </c>
      <c r="S267">
        <v>1</v>
      </c>
      <c r="T267">
        <v>70.400000000000006</v>
      </c>
      <c r="U267">
        <v>1</v>
      </c>
      <c r="W267" s="19">
        <v>69.3</v>
      </c>
      <c r="X267" s="1">
        <v>1</v>
      </c>
    </row>
    <row r="268" spans="1:24" hidden="1" x14ac:dyDescent="0.3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20"/>
        <v>60.7</v>
      </c>
      <c r="O268">
        <f t="shared" si="21"/>
        <v>10</v>
      </c>
      <c r="P268">
        <f t="shared" si="22"/>
        <v>6</v>
      </c>
      <c r="Q268">
        <f t="shared" si="23"/>
        <v>4</v>
      </c>
      <c r="R268">
        <f t="shared" si="24"/>
        <v>0</v>
      </c>
      <c r="S268">
        <v>1</v>
      </c>
      <c r="T268">
        <v>71.7</v>
      </c>
      <c r="U268">
        <v>2</v>
      </c>
      <c r="W268" s="19">
        <v>69.599999999999994</v>
      </c>
      <c r="X268" s="1">
        <v>1</v>
      </c>
    </row>
    <row r="269" spans="1:24" hidden="1" x14ac:dyDescent="0.3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20"/>
        <v>45</v>
      </c>
      <c r="O269">
        <f t="shared" si="21"/>
        <v>10</v>
      </c>
      <c r="P269">
        <f t="shared" si="22"/>
        <v>4</v>
      </c>
      <c r="Q269">
        <f t="shared" si="23"/>
        <v>4</v>
      </c>
      <c r="R269">
        <f t="shared" si="24"/>
        <v>4</v>
      </c>
      <c r="S269">
        <v>1</v>
      </c>
      <c r="T269">
        <v>72</v>
      </c>
      <c r="U269">
        <v>1</v>
      </c>
      <c r="W269" s="19">
        <v>69.8</v>
      </c>
      <c r="X269" s="1">
        <v>1</v>
      </c>
    </row>
    <row r="270" spans="1:24" hidden="1" x14ac:dyDescent="0.3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20"/>
        <v>31.7</v>
      </c>
      <c r="O270">
        <f t="shared" si="21"/>
        <v>4</v>
      </c>
      <c r="P270">
        <f t="shared" si="22"/>
        <v>4</v>
      </c>
      <c r="Q270">
        <f t="shared" si="23"/>
        <v>4</v>
      </c>
      <c r="R270">
        <f t="shared" si="24"/>
        <v>8</v>
      </c>
      <c r="S270">
        <v>1</v>
      </c>
      <c r="T270">
        <v>72.2</v>
      </c>
      <c r="U270">
        <v>1</v>
      </c>
      <c r="W270" s="19">
        <v>69.900000000000006</v>
      </c>
      <c r="X270" s="1">
        <v>2</v>
      </c>
    </row>
    <row r="271" spans="1:24" hidden="1" x14ac:dyDescent="0.3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20"/>
        <v>54.1</v>
      </c>
      <c r="O271">
        <f t="shared" si="21"/>
        <v>8</v>
      </c>
      <c r="P271">
        <f t="shared" si="22"/>
        <v>8</v>
      </c>
      <c r="Q271">
        <f t="shared" si="23"/>
        <v>10</v>
      </c>
      <c r="R271">
        <f t="shared" si="24"/>
        <v>8</v>
      </c>
      <c r="S271">
        <v>1</v>
      </c>
      <c r="T271">
        <v>72.3</v>
      </c>
      <c r="U271">
        <v>1</v>
      </c>
      <c r="W271" s="19">
        <v>70.099999999999994</v>
      </c>
      <c r="X271" s="1">
        <v>1</v>
      </c>
    </row>
    <row r="272" spans="1:24" hidden="1" x14ac:dyDescent="0.3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20"/>
        <v>45.9</v>
      </c>
      <c r="O272">
        <f t="shared" si="21"/>
        <v>4</v>
      </c>
      <c r="P272">
        <f t="shared" si="22"/>
        <v>10</v>
      </c>
      <c r="Q272">
        <f t="shared" si="23"/>
        <v>10</v>
      </c>
      <c r="R272">
        <f t="shared" si="24"/>
        <v>0</v>
      </c>
      <c r="S272">
        <v>1</v>
      </c>
      <c r="T272">
        <v>72.8</v>
      </c>
      <c r="U272">
        <v>1</v>
      </c>
      <c r="W272" s="19">
        <v>70.3</v>
      </c>
      <c r="X272" s="1">
        <v>1</v>
      </c>
    </row>
    <row r="273" spans="1:24" hidden="1" x14ac:dyDescent="0.3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20"/>
        <v>52.3</v>
      </c>
      <c r="O273">
        <f t="shared" si="21"/>
        <v>4</v>
      </c>
      <c r="P273">
        <f t="shared" si="22"/>
        <v>4</v>
      </c>
      <c r="Q273">
        <f t="shared" si="23"/>
        <v>4</v>
      </c>
      <c r="R273">
        <f t="shared" si="24"/>
        <v>10</v>
      </c>
      <c r="S273">
        <v>1</v>
      </c>
      <c r="T273">
        <v>74.099999999999994</v>
      </c>
      <c r="U273">
        <v>1</v>
      </c>
      <c r="W273" s="19">
        <v>70.400000000000006</v>
      </c>
      <c r="X273" s="1">
        <v>1</v>
      </c>
    </row>
    <row r="274" spans="1:24" hidden="1" x14ac:dyDescent="0.3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20"/>
        <v>54</v>
      </c>
      <c r="O274">
        <f t="shared" si="21"/>
        <v>8</v>
      </c>
      <c r="P274">
        <f t="shared" si="22"/>
        <v>0</v>
      </c>
      <c r="Q274">
        <f t="shared" si="23"/>
        <v>6</v>
      </c>
      <c r="R274">
        <f t="shared" si="24"/>
        <v>8</v>
      </c>
      <c r="S274">
        <v>1</v>
      </c>
      <c r="T274">
        <v>75.400000000000006</v>
      </c>
      <c r="U274">
        <v>1</v>
      </c>
      <c r="W274" s="19">
        <v>71.7</v>
      </c>
      <c r="X274" s="1">
        <v>2</v>
      </c>
    </row>
    <row r="275" spans="1:24" hidden="1" x14ac:dyDescent="0.3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20"/>
        <v>48.2</v>
      </c>
      <c r="O275">
        <f t="shared" si="21"/>
        <v>4</v>
      </c>
      <c r="P275">
        <f t="shared" si="22"/>
        <v>4</v>
      </c>
      <c r="Q275">
        <f t="shared" si="23"/>
        <v>0</v>
      </c>
      <c r="R275">
        <f t="shared" si="24"/>
        <v>0</v>
      </c>
      <c r="S275">
        <v>1</v>
      </c>
      <c r="T275">
        <v>77.099999999999994</v>
      </c>
      <c r="U275">
        <v>1</v>
      </c>
      <c r="W275" s="19">
        <v>72</v>
      </c>
      <c r="X275" s="1">
        <v>1</v>
      </c>
    </row>
    <row r="276" spans="1:24" hidden="1" x14ac:dyDescent="0.3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20"/>
        <v>59.6</v>
      </c>
      <c r="O276">
        <f t="shared" si="21"/>
        <v>8</v>
      </c>
      <c r="P276">
        <f t="shared" si="22"/>
        <v>4</v>
      </c>
      <c r="Q276">
        <f t="shared" si="23"/>
        <v>10</v>
      </c>
      <c r="R276">
        <f t="shared" si="24"/>
        <v>10</v>
      </c>
      <c r="S276">
        <v>1</v>
      </c>
      <c r="T276">
        <v>78.5</v>
      </c>
      <c r="U276">
        <v>1</v>
      </c>
      <c r="W276" s="19">
        <v>72.2</v>
      </c>
      <c r="X276" s="1">
        <v>1</v>
      </c>
    </row>
    <row r="277" spans="1:24" hidden="1" x14ac:dyDescent="0.3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20"/>
        <v>72</v>
      </c>
      <c r="O277">
        <f t="shared" si="21"/>
        <v>10</v>
      </c>
      <c r="P277">
        <f t="shared" si="22"/>
        <v>10</v>
      </c>
      <c r="Q277">
        <f t="shared" si="23"/>
        <v>6</v>
      </c>
      <c r="R277">
        <f t="shared" si="24"/>
        <v>6</v>
      </c>
      <c r="S277">
        <v>1</v>
      </c>
      <c r="T277">
        <v>80.099999999999994</v>
      </c>
      <c r="U277">
        <v>2</v>
      </c>
      <c r="W277" s="19">
        <v>72.3</v>
      </c>
      <c r="X277" s="1">
        <v>1</v>
      </c>
    </row>
    <row r="278" spans="1:24" hidden="1" x14ac:dyDescent="0.3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20"/>
        <v>55.8</v>
      </c>
      <c r="O278">
        <f t="shared" si="21"/>
        <v>4</v>
      </c>
      <c r="P278">
        <f t="shared" si="22"/>
        <v>10</v>
      </c>
      <c r="Q278">
        <f t="shared" si="23"/>
        <v>6</v>
      </c>
      <c r="R278">
        <f t="shared" si="24"/>
        <v>0</v>
      </c>
      <c r="S278">
        <v>1</v>
      </c>
      <c r="T278">
        <v>84.5</v>
      </c>
      <c r="U278">
        <v>1</v>
      </c>
      <c r="W278" s="19">
        <v>72.8</v>
      </c>
      <c r="X278" s="1">
        <v>1</v>
      </c>
    </row>
    <row r="279" spans="1:24" hidden="1" x14ac:dyDescent="0.3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20"/>
        <v>51</v>
      </c>
      <c r="O279">
        <f t="shared" si="21"/>
        <v>4</v>
      </c>
      <c r="P279">
        <f t="shared" si="22"/>
        <v>8</v>
      </c>
      <c r="Q279">
        <f t="shared" si="23"/>
        <v>4</v>
      </c>
      <c r="R279">
        <f t="shared" si="24"/>
        <v>10</v>
      </c>
      <c r="S279">
        <v>1</v>
      </c>
      <c r="T279">
        <v>84.6</v>
      </c>
      <c r="U279">
        <v>1</v>
      </c>
      <c r="W279" s="19">
        <v>74.099999999999994</v>
      </c>
      <c r="X279" s="1">
        <v>1</v>
      </c>
    </row>
    <row r="280" spans="1:24" hidden="1" x14ac:dyDescent="0.3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20"/>
        <v>54.2</v>
      </c>
      <c r="O280">
        <f t="shared" si="21"/>
        <v>8</v>
      </c>
      <c r="P280">
        <f t="shared" si="22"/>
        <v>8</v>
      </c>
      <c r="Q280">
        <f t="shared" si="23"/>
        <v>8</v>
      </c>
      <c r="R280">
        <f t="shared" si="24"/>
        <v>6</v>
      </c>
      <c r="S280">
        <v>1</v>
      </c>
      <c r="W280" s="19">
        <v>75.400000000000006</v>
      </c>
      <c r="X280" s="1">
        <v>1</v>
      </c>
    </row>
    <row r="281" spans="1:24" hidden="1" x14ac:dyDescent="0.3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20"/>
        <v>50.9</v>
      </c>
      <c r="O281">
        <f t="shared" si="21"/>
        <v>4</v>
      </c>
      <c r="P281">
        <f t="shared" si="22"/>
        <v>8</v>
      </c>
      <c r="Q281">
        <f t="shared" si="23"/>
        <v>8</v>
      </c>
      <c r="R281">
        <f t="shared" si="24"/>
        <v>0</v>
      </c>
      <c r="S281">
        <v>1</v>
      </c>
      <c r="W281" s="19">
        <v>77.099999999999994</v>
      </c>
      <c r="X281" s="1">
        <v>1</v>
      </c>
    </row>
    <row r="282" spans="1:24" hidden="1" x14ac:dyDescent="0.3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20"/>
        <v>29.8</v>
      </c>
      <c r="O282">
        <f t="shared" si="21"/>
        <v>10</v>
      </c>
      <c r="P282">
        <f t="shared" si="22"/>
        <v>0</v>
      </c>
      <c r="Q282">
        <f t="shared" si="23"/>
        <v>0</v>
      </c>
      <c r="R282">
        <f t="shared" si="24"/>
        <v>4</v>
      </c>
      <c r="S282">
        <v>1</v>
      </c>
      <c r="W282" s="19">
        <v>78.5</v>
      </c>
      <c r="X282" s="1">
        <v>1</v>
      </c>
    </row>
    <row r="283" spans="1:24" hidden="1" x14ac:dyDescent="0.3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20"/>
        <v>61.8</v>
      </c>
      <c r="O283">
        <f t="shared" si="21"/>
        <v>8</v>
      </c>
      <c r="P283">
        <f t="shared" si="22"/>
        <v>6</v>
      </c>
      <c r="Q283">
        <f t="shared" si="23"/>
        <v>10</v>
      </c>
      <c r="R283">
        <f t="shared" si="24"/>
        <v>8</v>
      </c>
      <c r="S283">
        <v>1</v>
      </c>
      <c r="W283" s="19">
        <v>80.099999999999994</v>
      </c>
      <c r="X283" s="1">
        <v>2</v>
      </c>
    </row>
    <row r="284" spans="1:24" hidden="1" x14ac:dyDescent="0.3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20"/>
        <v>52.1</v>
      </c>
      <c r="O284">
        <f t="shared" si="21"/>
        <v>6</v>
      </c>
      <c r="P284">
        <f t="shared" si="22"/>
        <v>0</v>
      </c>
      <c r="Q284">
        <f t="shared" si="23"/>
        <v>8</v>
      </c>
      <c r="R284">
        <f t="shared" si="24"/>
        <v>10</v>
      </c>
      <c r="S284">
        <v>1</v>
      </c>
      <c r="W284" s="19">
        <v>84.5</v>
      </c>
      <c r="X284" s="1">
        <v>1</v>
      </c>
    </row>
    <row r="285" spans="1:24" hidden="1" x14ac:dyDescent="0.3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20"/>
        <v>45.6</v>
      </c>
      <c r="O285">
        <f t="shared" si="21"/>
        <v>6</v>
      </c>
      <c r="P285">
        <f t="shared" si="22"/>
        <v>4</v>
      </c>
      <c r="Q285">
        <f t="shared" si="23"/>
        <v>0</v>
      </c>
      <c r="R285">
        <f t="shared" si="24"/>
        <v>8</v>
      </c>
      <c r="S285">
        <v>1</v>
      </c>
      <c r="W285" s="19">
        <v>84.6</v>
      </c>
      <c r="X285" s="1">
        <v>1</v>
      </c>
    </row>
    <row r="286" spans="1:24" hidden="1" x14ac:dyDescent="0.3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20"/>
        <v>63.2</v>
      </c>
      <c r="O286">
        <f t="shared" si="21"/>
        <v>10</v>
      </c>
      <c r="P286">
        <f t="shared" si="22"/>
        <v>6</v>
      </c>
      <c r="Q286">
        <f t="shared" si="23"/>
        <v>10</v>
      </c>
      <c r="R286">
        <f t="shared" si="24"/>
        <v>4</v>
      </c>
      <c r="S286">
        <v>1</v>
      </c>
      <c r="W286" s="19" t="s">
        <v>674</v>
      </c>
      <c r="X286" s="1">
        <v>514</v>
      </c>
    </row>
    <row r="287" spans="1:24" hidden="1" x14ac:dyDescent="0.3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20"/>
        <v>53.7</v>
      </c>
      <c r="O287">
        <f t="shared" si="21"/>
        <v>6</v>
      </c>
      <c r="P287">
        <f t="shared" si="22"/>
        <v>0</v>
      </c>
      <c r="Q287">
        <f t="shared" si="23"/>
        <v>10</v>
      </c>
      <c r="R287">
        <f t="shared" si="24"/>
        <v>10</v>
      </c>
      <c r="S287">
        <v>1</v>
      </c>
    </row>
    <row r="288" spans="1:24" hidden="1" x14ac:dyDescent="0.3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20"/>
        <v>46.1</v>
      </c>
      <c r="O288">
        <f t="shared" si="21"/>
        <v>6</v>
      </c>
      <c r="P288">
        <f t="shared" si="22"/>
        <v>6</v>
      </c>
      <c r="Q288">
        <f t="shared" si="23"/>
        <v>4</v>
      </c>
      <c r="R288">
        <f t="shared" si="24"/>
        <v>4</v>
      </c>
      <c r="S288">
        <v>1</v>
      </c>
    </row>
    <row r="289" spans="1:19" hidden="1" x14ac:dyDescent="0.3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20"/>
        <v>53.6</v>
      </c>
      <c r="O289">
        <f t="shared" si="21"/>
        <v>4</v>
      </c>
      <c r="P289">
        <f t="shared" si="22"/>
        <v>8</v>
      </c>
      <c r="Q289">
        <f t="shared" si="23"/>
        <v>10</v>
      </c>
      <c r="R289">
        <f t="shared" si="24"/>
        <v>4</v>
      </c>
      <c r="S289">
        <v>1</v>
      </c>
    </row>
    <row r="290" spans="1:19" hidden="1" x14ac:dyDescent="0.3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20"/>
        <v>70.400000000000006</v>
      </c>
      <c r="O290">
        <f t="shared" si="21"/>
        <v>10</v>
      </c>
      <c r="P290">
        <f t="shared" si="22"/>
        <v>8</v>
      </c>
      <c r="Q290">
        <f t="shared" si="23"/>
        <v>0</v>
      </c>
      <c r="R290">
        <f t="shared" si="24"/>
        <v>6</v>
      </c>
      <c r="S290">
        <v>1</v>
      </c>
    </row>
    <row r="291" spans="1:19" hidden="1" x14ac:dyDescent="0.3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20"/>
        <v>48.7</v>
      </c>
      <c r="O291">
        <f t="shared" si="21"/>
        <v>8</v>
      </c>
      <c r="P291">
        <f t="shared" si="22"/>
        <v>0</v>
      </c>
      <c r="Q291">
        <f t="shared" si="23"/>
        <v>0</v>
      </c>
      <c r="R291">
        <f t="shared" si="24"/>
        <v>8</v>
      </c>
      <c r="S291">
        <v>1</v>
      </c>
    </row>
    <row r="292" spans="1:19" hidden="1" x14ac:dyDescent="0.3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20"/>
        <v>48.7</v>
      </c>
      <c r="O292">
        <f t="shared" si="21"/>
        <v>6</v>
      </c>
      <c r="P292">
        <f t="shared" si="22"/>
        <v>0</v>
      </c>
      <c r="Q292">
        <f t="shared" si="23"/>
        <v>4</v>
      </c>
      <c r="R292">
        <f t="shared" si="24"/>
        <v>8</v>
      </c>
      <c r="S292">
        <v>1</v>
      </c>
    </row>
    <row r="293" spans="1:19" hidden="1" x14ac:dyDescent="0.3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20"/>
        <v>56</v>
      </c>
      <c r="O293">
        <f t="shared" si="21"/>
        <v>10</v>
      </c>
      <c r="P293">
        <f t="shared" si="22"/>
        <v>0</v>
      </c>
      <c r="Q293">
        <f t="shared" si="23"/>
        <v>6</v>
      </c>
      <c r="R293">
        <f t="shared" si="24"/>
        <v>10</v>
      </c>
      <c r="S293">
        <v>1</v>
      </c>
    </row>
    <row r="294" spans="1:19" hidden="1" x14ac:dyDescent="0.3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20"/>
        <v>70.3</v>
      </c>
      <c r="O294">
        <f t="shared" si="21"/>
        <v>6</v>
      </c>
      <c r="P294">
        <f t="shared" si="22"/>
        <v>8</v>
      </c>
      <c r="Q294">
        <f t="shared" si="23"/>
        <v>6</v>
      </c>
      <c r="R294">
        <f t="shared" si="24"/>
        <v>10</v>
      </c>
      <c r="S294">
        <v>1</v>
      </c>
    </row>
    <row r="295" spans="1:19" hidden="1" x14ac:dyDescent="0.3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20"/>
        <v>51</v>
      </c>
      <c r="O295">
        <f t="shared" si="21"/>
        <v>0</v>
      </c>
      <c r="P295">
        <f t="shared" si="22"/>
        <v>6</v>
      </c>
      <c r="Q295">
        <f t="shared" si="23"/>
        <v>4</v>
      </c>
      <c r="R295">
        <f t="shared" si="24"/>
        <v>8</v>
      </c>
      <c r="S295">
        <v>1</v>
      </c>
    </row>
    <row r="296" spans="1:19" hidden="1" x14ac:dyDescent="0.3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20"/>
        <v>51.3</v>
      </c>
      <c r="O296">
        <f t="shared" si="21"/>
        <v>4</v>
      </c>
      <c r="P296">
        <f t="shared" si="22"/>
        <v>10</v>
      </c>
      <c r="Q296">
        <f t="shared" si="23"/>
        <v>8</v>
      </c>
      <c r="R296">
        <f t="shared" si="24"/>
        <v>8</v>
      </c>
      <c r="S296">
        <v>1</v>
      </c>
    </row>
    <row r="297" spans="1:19" hidden="1" x14ac:dyDescent="0.3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20"/>
        <v>53.2</v>
      </c>
      <c r="O297">
        <f t="shared" si="21"/>
        <v>4</v>
      </c>
      <c r="P297">
        <f t="shared" si="22"/>
        <v>4</v>
      </c>
      <c r="Q297">
        <f t="shared" si="23"/>
        <v>6</v>
      </c>
      <c r="R297">
        <f t="shared" si="24"/>
        <v>4</v>
      </c>
      <c r="S297">
        <v>1</v>
      </c>
    </row>
    <row r="298" spans="1:19" hidden="1" x14ac:dyDescent="0.3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20"/>
        <v>63.3</v>
      </c>
      <c r="O298">
        <f t="shared" si="21"/>
        <v>6</v>
      </c>
      <c r="P298">
        <f t="shared" si="22"/>
        <v>10</v>
      </c>
      <c r="Q298">
        <f t="shared" si="23"/>
        <v>10</v>
      </c>
      <c r="R298">
        <f t="shared" si="24"/>
        <v>8</v>
      </c>
      <c r="S298">
        <v>1</v>
      </c>
    </row>
    <row r="299" spans="1:19" hidden="1" x14ac:dyDescent="0.3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20"/>
        <v>63.1</v>
      </c>
      <c r="O299">
        <f t="shared" si="21"/>
        <v>8</v>
      </c>
      <c r="P299">
        <f t="shared" si="22"/>
        <v>4</v>
      </c>
      <c r="Q299">
        <f t="shared" si="23"/>
        <v>8</v>
      </c>
      <c r="R299">
        <f t="shared" si="24"/>
        <v>8</v>
      </c>
      <c r="S299">
        <v>1</v>
      </c>
    </row>
    <row r="300" spans="1:19" hidden="1" x14ac:dyDescent="0.3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20"/>
        <v>59.3</v>
      </c>
      <c r="O300">
        <f t="shared" si="21"/>
        <v>8</v>
      </c>
      <c r="P300">
        <f t="shared" si="22"/>
        <v>8</v>
      </c>
      <c r="Q300">
        <f t="shared" si="23"/>
        <v>0</v>
      </c>
      <c r="R300">
        <f t="shared" si="24"/>
        <v>0</v>
      </c>
      <c r="S300">
        <v>1</v>
      </c>
    </row>
    <row r="301" spans="1:19" hidden="1" x14ac:dyDescent="0.3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20"/>
        <v>60</v>
      </c>
      <c r="O301">
        <f t="shared" si="21"/>
        <v>0</v>
      </c>
      <c r="P301">
        <f t="shared" si="22"/>
        <v>8</v>
      </c>
      <c r="Q301">
        <f t="shared" si="23"/>
        <v>10</v>
      </c>
      <c r="R301">
        <f t="shared" si="24"/>
        <v>6</v>
      </c>
      <c r="S301">
        <v>1</v>
      </c>
    </row>
    <row r="302" spans="1:19" hidden="1" x14ac:dyDescent="0.3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20"/>
        <v>48.3</v>
      </c>
      <c r="O302">
        <f t="shared" si="21"/>
        <v>4</v>
      </c>
      <c r="P302">
        <f t="shared" si="22"/>
        <v>0</v>
      </c>
      <c r="Q302">
        <f t="shared" si="23"/>
        <v>4</v>
      </c>
      <c r="R302">
        <f t="shared" si="24"/>
        <v>8</v>
      </c>
      <c r="S302">
        <v>1</v>
      </c>
    </row>
    <row r="303" spans="1:19" hidden="1" x14ac:dyDescent="0.3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20"/>
        <v>69</v>
      </c>
      <c r="O303">
        <f t="shared" si="21"/>
        <v>8</v>
      </c>
      <c r="P303">
        <f t="shared" si="22"/>
        <v>8</v>
      </c>
      <c r="Q303">
        <f t="shared" si="23"/>
        <v>6</v>
      </c>
      <c r="R303">
        <f t="shared" si="24"/>
        <v>10</v>
      </c>
      <c r="S303">
        <v>1</v>
      </c>
    </row>
    <row r="304" spans="1:19" hidden="1" x14ac:dyDescent="0.3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20"/>
        <v>64.3</v>
      </c>
      <c r="O304">
        <f t="shared" si="21"/>
        <v>10</v>
      </c>
      <c r="P304">
        <f t="shared" si="22"/>
        <v>6</v>
      </c>
      <c r="Q304">
        <f t="shared" si="23"/>
        <v>8</v>
      </c>
      <c r="R304">
        <f t="shared" si="24"/>
        <v>10</v>
      </c>
      <c r="S304">
        <v>1</v>
      </c>
    </row>
    <row r="305" spans="1:19" hidden="1" x14ac:dyDescent="0.3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20"/>
        <v>44.2</v>
      </c>
      <c r="O305">
        <f t="shared" si="21"/>
        <v>8</v>
      </c>
      <c r="P305">
        <f t="shared" si="22"/>
        <v>0</v>
      </c>
      <c r="Q305">
        <f t="shared" si="23"/>
        <v>4</v>
      </c>
      <c r="R305">
        <f t="shared" si="24"/>
        <v>10</v>
      </c>
      <c r="S305">
        <v>1</v>
      </c>
    </row>
    <row r="306" spans="1:19" hidden="1" x14ac:dyDescent="0.3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20"/>
        <v>54.1</v>
      </c>
      <c r="O306">
        <f t="shared" si="21"/>
        <v>10</v>
      </c>
      <c r="P306">
        <f t="shared" si="22"/>
        <v>4</v>
      </c>
      <c r="Q306">
        <f t="shared" si="23"/>
        <v>4</v>
      </c>
      <c r="R306">
        <f t="shared" si="24"/>
        <v>8</v>
      </c>
      <c r="S306">
        <v>1</v>
      </c>
    </row>
    <row r="307" spans="1:19" hidden="1" x14ac:dyDescent="0.3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20"/>
        <v>58.3</v>
      </c>
      <c r="O307">
        <f t="shared" si="21"/>
        <v>10</v>
      </c>
      <c r="P307">
        <f t="shared" si="22"/>
        <v>6</v>
      </c>
      <c r="Q307">
        <f t="shared" si="23"/>
        <v>4</v>
      </c>
      <c r="R307">
        <f t="shared" si="24"/>
        <v>10</v>
      </c>
      <c r="S307">
        <v>1</v>
      </c>
    </row>
    <row r="308" spans="1:19" hidden="1" x14ac:dyDescent="0.3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20"/>
        <v>47.8</v>
      </c>
      <c r="O308">
        <f t="shared" si="21"/>
        <v>10</v>
      </c>
      <c r="P308">
        <f t="shared" si="22"/>
        <v>8</v>
      </c>
      <c r="Q308">
        <f t="shared" si="23"/>
        <v>4</v>
      </c>
      <c r="R308">
        <f t="shared" si="24"/>
        <v>10</v>
      </c>
      <c r="S308">
        <v>1</v>
      </c>
    </row>
    <row r="309" spans="1:19" hidden="1" x14ac:dyDescent="0.3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20"/>
        <v>47</v>
      </c>
      <c r="O309">
        <f t="shared" si="21"/>
        <v>10</v>
      </c>
      <c r="P309">
        <f t="shared" si="22"/>
        <v>0</v>
      </c>
      <c r="Q309">
        <f t="shared" si="23"/>
        <v>8</v>
      </c>
      <c r="R309">
        <f t="shared" si="24"/>
        <v>4</v>
      </c>
      <c r="S309">
        <v>1</v>
      </c>
    </row>
    <row r="310" spans="1:19" hidden="1" x14ac:dyDescent="0.3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20"/>
        <v>53.4</v>
      </c>
      <c r="O310">
        <f t="shared" si="21"/>
        <v>6</v>
      </c>
      <c r="P310">
        <f t="shared" si="22"/>
        <v>0</v>
      </c>
      <c r="Q310">
        <f t="shared" si="23"/>
        <v>6</v>
      </c>
      <c r="R310">
        <f t="shared" si="24"/>
        <v>8</v>
      </c>
      <c r="S310">
        <v>1</v>
      </c>
    </row>
    <row r="311" spans="1:19" hidden="1" x14ac:dyDescent="0.3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20"/>
        <v>49.1</v>
      </c>
      <c r="O311">
        <f t="shared" si="21"/>
        <v>10</v>
      </c>
      <c r="P311">
        <f t="shared" si="22"/>
        <v>6</v>
      </c>
      <c r="Q311">
        <f t="shared" si="23"/>
        <v>10</v>
      </c>
      <c r="R311">
        <f t="shared" si="24"/>
        <v>0</v>
      </c>
      <c r="S311">
        <v>1</v>
      </c>
    </row>
    <row r="312" spans="1:19" hidden="1" x14ac:dyDescent="0.3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20"/>
        <v>52.2</v>
      </c>
      <c r="O312">
        <f t="shared" si="21"/>
        <v>8</v>
      </c>
      <c r="P312">
        <f t="shared" si="22"/>
        <v>0</v>
      </c>
      <c r="Q312">
        <f t="shared" si="23"/>
        <v>4</v>
      </c>
      <c r="R312">
        <f t="shared" si="24"/>
        <v>10</v>
      </c>
      <c r="S312">
        <v>1</v>
      </c>
    </row>
    <row r="313" spans="1:19" hidden="1" x14ac:dyDescent="0.3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20"/>
        <v>46.8</v>
      </c>
      <c r="O313">
        <f t="shared" si="21"/>
        <v>8</v>
      </c>
      <c r="P313">
        <f t="shared" si="22"/>
        <v>4</v>
      </c>
      <c r="Q313">
        <f t="shared" si="23"/>
        <v>4</v>
      </c>
      <c r="R313">
        <f t="shared" si="24"/>
        <v>6</v>
      </c>
      <c r="S313">
        <v>1</v>
      </c>
    </row>
    <row r="314" spans="1:19" hidden="1" x14ac:dyDescent="0.3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20"/>
        <v>44.9</v>
      </c>
      <c r="O314">
        <f t="shared" si="21"/>
        <v>8</v>
      </c>
      <c r="P314">
        <f t="shared" si="22"/>
        <v>10</v>
      </c>
      <c r="Q314">
        <f t="shared" si="23"/>
        <v>4</v>
      </c>
      <c r="R314">
        <f t="shared" si="24"/>
        <v>8</v>
      </c>
      <c r="S314">
        <v>1</v>
      </c>
    </row>
    <row r="315" spans="1:19" hidden="1" x14ac:dyDescent="0.3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20"/>
        <v>56</v>
      </c>
      <c r="O315">
        <f t="shared" si="21"/>
        <v>6</v>
      </c>
      <c r="P315">
        <f t="shared" si="22"/>
        <v>8</v>
      </c>
      <c r="Q315">
        <f t="shared" si="23"/>
        <v>6</v>
      </c>
      <c r="R315">
        <f t="shared" si="24"/>
        <v>4</v>
      </c>
      <c r="S315">
        <v>1</v>
      </c>
    </row>
    <row r="316" spans="1:19" hidden="1" x14ac:dyDescent="0.3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20"/>
        <v>46.7</v>
      </c>
      <c r="O316">
        <f t="shared" si="21"/>
        <v>4</v>
      </c>
      <c r="P316">
        <f t="shared" si="22"/>
        <v>0</v>
      </c>
      <c r="Q316">
        <f t="shared" si="23"/>
        <v>6</v>
      </c>
      <c r="R316">
        <f t="shared" si="24"/>
        <v>4</v>
      </c>
      <c r="S316">
        <v>1</v>
      </c>
    </row>
    <row r="317" spans="1:19" hidden="1" x14ac:dyDescent="0.3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20"/>
        <v>52.1</v>
      </c>
      <c r="O317">
        <f t="shared" si="21"/>
        <v>6</v>
      </c>
      <c r="P317">
        <f t="shared" si="22"/>
        <v>4</v>
      </c>
      <c r="Q317">
        <f t="shared" si="23"/>
        <v>6</v>
      </c>
      <c r="R317">
        <f t="shared" si="24"/>
        <v>0</v>
      </c>
      <c r="S317">
        <v>1</v>
      </c>
    </row>
    <row r="318" spans="1:19" hidden="1" x14ac:dyDescent="0.3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20"/>
        <v>49.4</v>
      </c>
      <c r="O318">
        <f t="shared" si="21"/>
        <v>6</v>
      </c>
      <c r="P318">
        <f t="shared" si="22"/>
        <v>4</v>
      </c>
      <c r="Q318">
        <f t="shared" si="23"/>
        <v>0</v>
      </c>
      <c r="R318">
        <f t="shared" si="24"/>
        <v>4</v>
      </c>
      <c r="S318">
        <v>1</v>
      </c>
    </row>
    <row r="319" spans="1:19" hidden="1" x14ac:dyDescent="0.3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20"/>
        <v>41.5</v>
      </c>
      <c r="O319">
        <f t="shared" si="21"/>
        <v>0</v>
      </c>
      <c r="P319">
        <f t="shared" si="22"/>
        <v>4</v>
      </c>
      <c r="Q319">
        <f t="shared" si="23"/>
        <v>8</v>
      </c>
      <c r="R319">
        <f t="shared" si="24"/>
        <v>6</v>
      </c>
      <c r="S319">
        <v>1</v>
      </c>
    </row>
    <row r="320" spans="1:19" hidden="1" x14ac:dyDescent="0.3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20"/>
        <v>66.099999999999994</v>
      </c>
      <c r="O320">
        <f t="shared" si="21"/>
        <v>8</v>
      </c>
      <c r="P320">
        <f t="shared" si="22"/>
        <v>4</v>
      </c>
      <c r="Q320">
        <f t="shared" si="23"/>
        <v>0</v>
      </c>
      <c r="R320">
        <f t="shared" si="24"/>
        <v>4</v>
      </c>
      <c r="S320">
        <v>1</v>
      </c>
    </row>
    <row r="321" spans="1:19" hidden="1" x14ac:dyDescent="0.3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20"/>
        <v>52.4</v>
      </c>
      <c r="O321">
        <f t="shared" si="21"/>
        <v>6</v>
      </c>
      <c r="P321">
        <f t="shared" si="22"/>
        <v>8</v>
      </c>
      <c r="Q321">
        <f t="shared" si="23"/>
        <v>0</v>
      </c>
      <c r="R321">
        <f t="shared" si="24"/>
        <v>6</v>
      </c>
      <c r="S321">
        <v>1</v>
      </c>
    </row>
    <row r="322" spans="1:19" hidden="1" x14ac:dyDescent="0.3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si="20"/>
        <v>48.3</v>
      </c>
      <c r="O322">
        <f t="shared" si="21"/>
        <v>4</v>
      </c>
      <c r="P322">
        <f t="shared" si="22"/>
        <v>6</v>
      </c>
      <c r="Q322">
        <f t="shared" si="23"/>
        <v>0</v>
      </c>
      <c r="R322">
        <f t="shared" si="24"/>
        <v>6</v>
      </c>
      <c r="S322">
        <v>1</v>
      </c>
    </row>
    <row r="323" spans="1:19" hidden="1" x14ac:dyDescent="0.3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ref="N323:N386" si="25">C323+IF(D323=6,2,0) +SUM(O323:R323) +SUM(I323:M323)/10</f>
        <v>27.9</v>
      </c>
      <c r="O323">
        <f t="shared" ref="O323:O386" si="26">IF(E323=2,0,IF(E323=3,4,IF(E323=4,6,IF(E323=5,8,IF(E323=6,10,0)))))</f>
        <v>4</v>
      </c>
      <c r="P323">
        <f t="shared" ref="P323:P386" si="27">IF(F323=2,0,IF(F323=3,4,IF(F323=4,6,IF(F323=5,8,IF(F323=6,10,0)))))</f>
        <v>0</v>
      </c>
      <c r="Q323">
        <f t="shared" ref="Q323:Q386" si="28">IF(G323=2,0,IF(G323=3,4,IF(G323=4,6,IF(G323=5,8,IF(G323=6,10,0)))))</f>
        <v>4</v>
      </c>
      <c r="R323">
        <f t="shared" ref="R323:R386" si="29">IF(H323=2,0,IF(H323=3,4,IF(H323=4,6,IF(H323=5,8,IF(H323=6,10,0)))))</f>
        <v>0</v>
      </c>
      <c r="S323">
        <v>1</v>
      </c>
    </row>
    <row r="324" spans="1:19" hidden="1" x14ac:dyDescent="0.3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25"/>
        <v>48.6</v>
      </c>
      <c r="O324">
        <f t="shared" si="26"/>
        <v>10</v>
      </c>
      <c r="P324">
        <f t="shared" si="27"/>
        <v>0</v>
      </c>
      <c r="Q324">
        <f t="shared" si="28"/>
        <v>4</v>
      </c>
      <c r="R324">
        <f t="shared" si="29"/>
        <v>0</v>
      </c>
      <c r="S324">
        <v>1</v>
      </c>
    </row>
    <row r="325" spans="1:19" hidden="1" x14ac:dyDescent="0.3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25"/>
        <v>46.5</v>
      </c>
      <c r="O325">
        <f t="shared" si="26"/>
        <v>10</v>
      </c>
      <c r="P325">
        <f t="shared" si="27"/>
        <v>6</v>
      </c>
      <c r="Q325">
        <f t="shared" si="28"/>
        <v>10</v>
      </c>
      <c r="R325">
        <f t="shared" si="29"/>
        <v>4</v>
      </c>
      <c r="S325">
        <v>1</v>
      </c>
    </row>
    <row r="326" spans="1:19" hidden="1" x14ac:dyDescent="0.3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25"/>
        <v>64.8</v>
      </c>
      <c r="O326">
        <f t="shared" si="26"/>
        <v>10</v>
      </c>
      <c r="P326">
        <f t="shared" si="27"/>
        <v>10</v>
      </c>
      <c r="Q326">
        <f t="shared" si="28"/>
        <v>6</v>
      </c>
      <c r="R326">
        <f t="shared" si="29"/>
        <v>6</v>
      </c>
      <c r="S326">
        <v>1</v>
      </c>
    </row>
    <row r="327" spans="1:19" hidden="1" x14ac:dyDescent="0.3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25"/>
        <v>43.2</v>
      </c>
      <c r="O327">
        <f t="shared" si="26"/>
        <v>6</v>
      </c>
      <c r="P327">
        <f t="shared" si="27"/>
        <v>0</v>
      </c>
      <c r="Q327">
        <f t="shared" si="28"/>
        <v>6</v>
      </c>
      <c r="R327">
        <f t="shared" si="29"/>
        <v>0</v>
      </c>
      <c r="S327">
        <v>1</v>
      </c>
    </row>
    <row r="328" spans="1:19" hidden="1" x14ac:dyDescent="0.3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25"/>
        <v>64.7</v>
      </c>
      <c r="O328">
        <f t="shared" si="26"/>
        <v>6</v>
      </c>
      <c r="P328">
        <f t="shared" si="27"/>
        <v>10</v>
      </c>
      <c r="Q328">
        <f t="shared" si="28"/>
        <v>10</v>
      </c>
      <c r="R328">
        <f t="shared" si="29"/>
        <v>0</v>
      </c>
      <c r="S328">
        <v>1</v>
      </c>
    </row>
    <row r="329" spans="1:19" hidden="1" x14ac:dyDescent="0.3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25"/>
        <v>46.9</v>
      </c>
      <c r="O329">
        <f t="shared" si="26"/>
        <v>8</v>
      </c>
      <c r="P329">
        <f t="shared" si="27"/>
        <v>0</v>
      </c>
      <c r="Q329">
        <f t="shared" si="28"/>
        <v>8</v>
      </c>
      <c r="R329">
        <f t="shared" si="29"/>
        <v>0</v>
      </c>
      <c r="S329">
        <v>1</v>
      </c>
    </row>
    <row r="330" spans="1:19" hidden="1" x14ac:dyDescent="0.3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25"/>
        <v>43.3</v>
      </c>
      <c r="O330">
        <f t="shared" si="26"/>
        <v>8</v>
      </c>
      <c r="P330">
        <f t="shared" si="27"/>
        <v>8</v>
      </c>
      <c r="Q330">
        <f t="shared" si="28"/>
        <v>4</v>
      </c>
      <c r="R330">
        <f t="shared" si="29"/>
        <v>4</v>
      </c>
      <c r="S330">
        <v>1</v>
      </c>
    </row>
    <row r="331" spans="1:19" hidden="1" x14ac:dyDescent="0.3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25"/>
        <v>61.7</v>
      </c>
      <c r="O331">
        <f t="shared" si="26"/>
        <v>8</v>
      </c>
      <c r="P331">
        <f t="shared" si="27"/>
        <v>8</v>
      </c>
      <c r="Q331">
        <f t="shared" si="28"/>
        <v>0</v>
      </c>
      <c r="R331">
        <f t="shared" si="29"/>
        <v>10</v>
      </c>
      <c r="S331">
        <v>1</v>
      </c>
    </row>
    <row r="332" spans="1:19" hidden="1" x14ac:dyDescent="0.3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25"/>
        <v>35.6</v>
      </c>
      <c r="O332">
        <f t="shared" si="26"/>
        <v>10</v>
      </c>
      <c r="P332">
        <f t="shared" si="27"/>
        <v>0</v>
      </c>
      <c r="Q332">
        <f t="shared" si="28"/>
        <v>4</v>
      </c>
      <c r="R332">
        <f t="shared" si="29"/>
        <v>4</v>
      </c>
      <c r="S332">
        <v>1</v>
      </c>
    </row>
    <row r="333" spans="1:19" hidden="1" x14ac:dyDescent="0.3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25"/>
        <v>63.9</v>
      </c>
      <c r="O333">
        <f t="shared" si="26"/>
        <v>10</v>
      </c>
      <c r="P333">
        <f t="shared" si="27"/>
        <v>10</v>
      </c>
      <c r="Q333">
        <f t="shared" si="28"/>
        <v>6</v>
      </c>
      <c r="R333">
        <f t="shared" si="29"/>
        <v>8</v>
      </c>
      <c r="S333">
        <v>1</v>
      </c>
    </row>
    <row r="334" spans="1:19" hidden="1" x14ac:dyDescent="0.3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25"/>
        <v>37.299999999999997</v>
      </c>
      <c r="O334">
        <f t="shared" si="26"/>
        <v>8</v>
      </c>
      <c r="P334">
        <f t="shared" si="27"/>
        <v>0</v>
      </c>
      <c r="Q334">
        <f t="shared" si="28"/>
        <v>0</v>
      </c>
      <c r="R334">
        <f t="shared" si="29"/>
        <v>4</v>
      </c>
      <c r="S334">
        <v>1</v>
      </c>
    </row>
    <row r="335" spans="1:19" hidden="1" x14ac:dyDescent="0.3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25"/>
        <v>56.1</v>
      </c>
      <c r="O335">
        <f t="shared" si="26"/>
        <v>8</v>
      </c>
      <c r="P335">
        <f t="shared" si="27"/>
        <v>4</v>
      </c>
      <c r="Q335">
        <f t="shared" si="28"/>
        <v>8</v>
      </c>
      <c r="R335">
        <f t="shared" si="29"/>
        <v>4</v>
      </c>
      <c r="S335">
        <v>1</v>
      </c>
    </row>
    <row r="336" spans="1:19" hidden="1" x14ac:dyDescent="0.3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25"/>
        <v>34.6</v>
      </c>
      <c r="O336">
        <f t="shared" si="26"/>
        <v>0</v>
      </c>
      <c r="P336">
        <f t="shared" si="27"/>
        <v>0</v>
      </c>
      <c r="Q336">
        <f t="shared" si="28"/>
        <v>6</v>
      </c>
      <c r="R336">
        <f t="shared" si="29"/>
        <v>0</v>
      </c>
      <c r="S336">
        <v>1</v>
      </c>
    </row>
    <row r="337" spans="1:19" hidden="1" x14ac:dyDescent="0.3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25"/>
        <v>54.7</v>
      </c>
      <c r="O337">
        <f t="shared" si="26"/>
        <v>4</v>
      </c>
      <c r="P337">
        <f t="shared" si="27"/>
        <v>0</v>
      </c>
      <c r="Q337">
        <f t="shared" si="28"/>
        <v>8</v>
      </c>
      <c r="R337">
        <f t="shared" si="29"/>
        <v>0</v>
      </c>
      <c r="S337">
        <v>1</v>
      </c>
    </row>
    <row r="338" spans="1:19" hidden="1" x14ac:dyDescent="0.3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25"/>
        <v>57.2</v>
      </c>
      <c r="O338">
        <f t="shared" si="26"/>
        <v>6</v>
      </c>
      <c r="P338">
        <f t="shared" si="27"/>
        <v>6</v>
      </c>
      <c r="Q338">
        <f t="shared" si="28"/>
        <v>0</v>
      </c>
      <c r="R338">
        <f t="shared" si="29"/>
        <v>10</v>
      </c>
      <c r="S338">
        <v>1</v>
      </c>
    </row>
    <row r="339" spans="1:19" hidden="1" x14ac:dyDescent="0.3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25"/>
        <v>55.7</v>
      </c>
      <c r="O339">
        <f t="shared" si="26"/>
        <v>6</v>
      </c>
      <c r="P339">
        <f t="shared" si="27"/>
        <v>10</v>
      </c>
      <c r="Q339">
        <f t="shared" si="28"/>
        <v>8</v>
      </c>
      <c r="R339">
        <f t="shared" si="29"/>
        <v>6</v>
      </c>
      <c r="S339">
        <v>1</v>
      </c>
    </row>
    <row r="340" spans="1:19" hidden="1" x14ac:dyDescent="0.3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25"/>
        <v>41.2</v>
      </c>
      <c r="O340">
        <f t="shared" si="26"/>
        <v>6</v>
      </c>
      <c r="P340">
        <f t="shared" si="27"/>
        <v>4</v>
      </c>
      <c r="Q340">
        <f t="shared" si="28"/>
        <v>4</v>
      </c>
      <c r="R340">
        <f t="shared" si="29"/>
        <v>0</v>
      </c>
      <c r="S340">
        <v>1</v>
      </c>
    </row>
    <row r="341" spans="1:19" hidden="1" x14ac:dyDescent="0.3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25"/>
        <v>61.9</v>
      </c>
      <c r="O341">
        <f t="shared" si="26"/>
        <v>8</v>
      </c>
      <c r="P341">
        <f t="shared" si="27"/>
        <v>4</v>
      </c>
      <c r="Q341">
        <f t="shared" si="28"/>
        <v>4</v>
      </c>
      <c r="R341">
        <f t="shared" si="29"/>
        <v>4</v>
      </c>
      <c r="S341">
        <v>1</v>
      </c>
    </row>
    <row r="342" spans="1:19" hidden="1" x14ac:dyDescent="0.3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25"/>
        <v>72.3</v>
      </c>
      <c r="O342">
        <f t="shared" si="26"/>
        <v>10</v>
      </c>
      <c r="P342">
        <f t="shared" si="27"/>
        <v>6</v>
      </c>
      <c r="Q342">
        <f t="shared" si="28"/>
        <v>8</v>
      </c>
      <c r="R342">
        <f t="shared" si="29"/>
        <v>8</v>
      </c>
      <c r="S342">
        <v>1</v>
      </c>
    </row>
    <row r="343" spans="1:19" hidden="1" x14ac:dyDescent="0.3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25"/>
        <v>55.7</v>
      </c>
      <c r="O343">
        <f t="shared" si="26"/>
        <v>8</v>
      </c>
      <c r="P343">
        <f t="shared" si="27"/>
        <v>4</v>
      </c>
      <c r="Q343">
        <f t="shared" si="28"/>
        <v>6</v>
      </c>
      <c r="R343">
        <f t="shared" si="29"/>
        <v>6</v>
      </c>
      <c r="S343">
        <v>1</v>
      </c>
    </row>
    <row r="344" spans="1:19" hidden="1" x14ac:dyDescent="0.3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25"/>
        <v>41.3</v>
      </c>
      <c r="O344">
        <f t="shared" si="26"/>
        <v>0</v>
      </c>
      <c r="P344">
        <f t="shared" si="27"/>
        <v>0</v>
      </c>
      <c r="Q344">
        <f t="shared" si="28"/>
        <v>8</v>
      </c>
      <c r="R344">
        <f t="shared" si="29"/>
        <v>0</v>
      </c>
      <c r="S344">
        <v>1</v>
      </c>
    </row>
    <row r="345" spans="1:19" hidden="1" x14ac:dyDescent="0.3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25"/>
        <v>63</v>
      </c>
      <c r="O345">
        <f t="shared" si="26"/>
        <v>6</v>
      </c>
      <c r="P345">
        <f t="shared" si="27"/>
        <v>10</v>
      </c>
      <c r="Q345">
        <f t="shared" si="28"/>
        <v>8</v>
      </c>
      <c r="R345">
        <f t="shared" si="29"/>
        <v>8</v>
      </c>
      <c r="S345">
        <v>1</v>
      </c>
    </row>
    <row r="346" spans="1:19" hidden="1" x14ac:dyDescent="0.3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25"/>
        <v>62</v>
      </c>
      <c r="O346">
        <f t="shared" si="26"/>
        <v>8</v>
      </c>
      <c r="P346">
        <f t="shared" si="27"/>
        <v>8</v>
      </c>
      <c r="Q346">
        <f t="shared" si="28"/>
        <v>6</v>
      </c>
      <c r="R346">
        <f t="shared" si="29"/>
        <v>8</v>
      </c>
      <c r="S346">
        <v>1</v>
      </c>
    </row>
    <row r="347" spans="1:19" hidden="1" x14ac:dyDescent="0.3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25"/>
        <v>43.6</v>
      </c>
      <c r="O347">
        <f t="shared" si="26"/>
        <v>10</v>
      </c>
      <c r="P347">
        <f t="shared" si="27"/>
        <v>8</v>
      </c>
      <c r="Q347">
        <f t="shared" si="28"/>
        <v>0</v>
      </c>
      <c r="R347">
        <f t="shared" si="29"/>
        <v>4</v>
      </c>
      <c r="S347">
        <v>1</v>
      </c>
    </row>
    <row r="348" spans="1:19" hidden="1" x14ac:dyDescent="0.3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25"/>
        <v>47.6</v>
      </c>
      <c r="O348">
        <f t="shared" si="26"/>
        <v>8</v>
      </c>
      <c r="P348">
        <f t="shared" si="27"/>
        <v>0</v>
      </c>
      <c r="Q348">
        <f t="shared" si="28"/>
        <v>6</v>
      </c>
      <c r="R348">
        <f t="shared" si="29"/>
        <v>6</v>
      </c>
      <c r="S348">
        <v>1</v>
      </c>
    </row>
    <row r="349" spans="1:19" hidden="1" x14ac:dyDescent="0.3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25"/>
        <v>61.2</v>
      </c>
      <c r="O349">
        <f t="shared" si="26"/>
        <v>6</v>
      </c>
      <c r="P349">
        <f t="shared" si="27"/>
        <v>4</v>
      </c>
      <c r="Q349">
        <f t="shared" si="28"/>
        <v>4</v>
      </c>
      <c r="R349">
        <f t="shared" si="29"/>
        <v>10</v>
      </c>
      <c r="S349">
        <v>1</v>
      </c>
    </row>
    <row r="350" spans="1:19" hidden="1" x14ac:dyDescent="0.3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25"/>
        <v>42.8</v>
      </c>
      <c r="O350">
        <f t="shared" si="26"/>
        <v>0</v>
      </c>
      <c r="P350">
        <f t="shared" si="27"/>
        <v>4</v>
      </c>
      <c r="Q350">
        <f t="shared" si="28"/>
        <v>8</v>
      </c>
      <c r="R350">
        <f t="shared" si="29"/>
        <v>0</v>
      </c>
      <c r="S350">
        <v>1</v>
      </c>
    </row>
    <row r="351" spans="1:19" hidden="1" x14ac:dyDescent="0.3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25"/>
        <v>58.8</v>
      </c>
      <c r="O351">
        <f t="shared" si="26"/>
        <v>6</v>
      </c>
      <c r="P351">
        <f t="shared" si="27"/>
        <v>8</v>
      </c>
      <c r="Q351">
        <f t="shared" si="28"/>
        <v>6</v>
      </c>
      <c r="R351">
        <f t="shared" si="29"/>
        <v>4</v>
      </c>
      <c r="S351">
        <v>1</v>
      </c>
    </row>
    <row r="352" spans="1:19" hidden="1" x14ac:dyDescent="0.3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25"/>
        <v>55.2</v>
      </c>
      <c r="O352">
        <f t="shared" si="26"/>
        <v>8</v>
      </c>
      <c r="P352">
        <f t="shared" si="27"/>
        <v>4</v>
      </c>
      <c r="Q352">
        <f t="shared" si="28"/>
        <v>10</v>
      </c>
      <c r="R352">
        <f t="shared" si="29"/>
        <v>10</v>
      </c>
      <c r="S352">
        <v>1</v>
      </c>
    </row>
    <row r="353" spans="1:19" hidden="1" x14ac:dyDescent="0.3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25"/>
        <v>59.6</v>
      </c>
      <c r="O353">
        <f t="shared" si="26"/>
        <v>4</v>
      </c>
      <c r="P353">
        <f t="shared" si="27"/>
        <v>4</v>
      </c>
      <c r="Q353">
        <f t="shared" si="28"/>
        <v>10</v>
      </c>
      <c r="R353">
        <f t="shared" si="29"/>
        <v>6</v>
      </c>
      <c r="S353">
        <v>1</v>
      </c>
    </row>
    <row r="354" spans="1:19" hidden="1" x14ac:dyDescent="0.3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25"/>
        <v>60.4</v>
      </c>
      <c r="O354">
        <f t="shared" si="26"/>
        <v>10</v>
      </c>
      <c r="P354">
        <f t="shared" si="27"/>
        <v>6</v>
      </c>
      <c r="Q354">
        <f t="shared" si="28"/>
        <v>10</v>
      </c>
      <c r="R354">
        <f t="shared" si="29"/>
        <v>6</v>
      </c>
      <c r="S354">
        <v>1</v>
      </c>
    </row>
    <row r="355" spans="1:19" hidden="1" x14ac:dyDescent="0.3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25"/>
        <v>46.2</v>
      </c>
      <c r="O355">
        <f t="shared" si="26"/>
        <v>4</v>
      </c>
      <c r="P355">
        <f t="shared" si="27"/>
        <v>8</v>
      </c>
      <c r="Q355">
        <f t="shared" si="28"/>
        <v>0</v>
      </c>
      <c r="R355">
        <f t="shared" si="29"/>
        <v>4</v>
      </c>
      <c r="S355">
        <v>1</v>
      </c>
    </row>
    <row r="356" spans="1:19" hidden="1" x14ac:dyDescent="0.3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25"/>
        <v>75.400000000000006</v>
      </c>
      <c r="O356">
        <f t="shared" si="26"/>
        <v>8</v>
      </c>
      <c r="P356">
        <f t="shared" si="27"/>
        <v>8</v>
      </c>
      <c r="Q356">
        <f t="shared" si="28"/>
        <v>4</v>
      </c>
      <c r="R356">
        <f t="shared" si="29"/>
        <v>10</v>
      </c>
      <c r="S356">
        <v>1</v>
      </c>
    </row>
    <row r="357" spans="1:19" hidden="1" x14ac:dyDescent="0.3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25"/>
        <v>43.6</v>
      </c>
      <c r="O357">
        <f t="shared" si="26"/>
        <v>6</v>
      </c>
      <c r="P357">
        <f t="shared" si="27"/>
        <v>8</v>
      </c>
      <c r="Q357">
        <f t="shared" si="28"/>
        <v>6</v>
      </c>
      <c r="R357">
        <f t="shared" si="29"/>
        <v>0</v>
      </c>
      <c r="S357">
        <v>1</v>
      </c>
    </row>
    <row r="358" spans="1:19" hidden="1" x14ac:dyDescent="0.3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25"/>
        <v>53.1</v>
      </c>
      <c r="O358">
        <f t="shared" si="26"/>
        <v>6</v>
      </c>
      <c r="P358">
        <f t="shared" si="27"/>
        <v>0</v>
      </c>
      <c r="Q358">
        <f t="shared" si="28"/>
        <v>8</v>
      </c>
      <c r="R358">
        <f t="shared" si="29"/>
        <v>6</v>
      </c>
      <c r="S358">
        <v>1</v>
      </c>
    </row>
    <row r="359" spans="1:19" hidden="1" x14ac:dyDescent="0.3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25"/>
        <v>51.5</v>
      </c>
      <c r="O359">
        <f t="shared" si="26"/>
        <v>8</v>
      </c>
      <c r="P359">
        <f t="shared" si="27"/>
        <v>10</v>
      </c>
      <c r="Q359">
        <f t="shared" si="28"/>
        <v>0</v>
      </c>
      <c r="R359">
        <f t="shared" si="29"/>
        <v>4</v>
      </c>
      <c r="S359">
        <v>1</v>
      </c>
    </row>
    <row r="360" spans="1:19" hidden="1" x14ac:dyDescent="0.3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25"/>
        <v>60.9</v>
      </c>
      <c r="O360">
        <f t="shared" si="26"/>
        <v>10</v>
      </c>
      <c r="P360">
        <f t="shared" si="27"/>
        <v>0</v>
      </c>
      <c r="Q360">
        <f t="shared" si="28"/>
        <v>10</v>
      </c>
      <c r="R360">
        <f t="shared" si="29"/>
        <v>8</v>
      </c>
      <c r="S360">
        <v>1</v>
      </c>
    </row>
    <row r="361" spans="1:19" hidden="1" x14ac:dyDescent="0.3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25"/>
        <v>44.2</v>
      </c>
      <c r="O361">
        <f t="shared" si="26"/>
        <v>0</v>
      </c>
      <c r="P361">
        <f t="shared" si="27"/>
        <v>4</v>
      </c>
      <c r="Q361">
        <f t="shared" si="28"/>
        <v>6</v>
      </c>
      <c r="R361">
        <f t="shared" si="29"/>
        <v>4</v>
      </c>
      <c r="S361">
        <v>1</v>
      </c>
    </row>
    <row r="362" spans="1:19" hidden="1" x14ac:dyDescent="0.3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25"/>
        <v>60.4</v>
      </c>
      <c r="O362">
        <f t="shared" si="26"/>
        <v>0</v>
      </c>
      <c r="P362">
        <f t="shared" si="27"/>
        <v>10</v>
      </c>
      <c r="Q362">
        <f t="shared" si="28"/>
        <v>6</v>
      </c>
      <c r="R362">
        <f t="shared" si="29"/>
        <v>8</v>
      </c>
      <c r="S362">
        <v>1</v>
      </c>
    </row>
    <row r="363" spans="1:19" hidden="1" x14ac:dyDescent="0.3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25"/>
        <v>65</v>
      </c>
      <c r="O363">
        <f t="shared" si="26"/>
        <v>8</v>
      </c>
      <c r="P363">
        <f t="shared" si="27"/>
        <v>6</v>
      </c>
      <c r="Q363">
        <f t="shared" si="28"/>
        <v>8</v>
      </c>
      <c r="R363">
        <f t="shared" si="29"/>
        <v>10</v>
      </c>
      <c r="S363">
        <v>1</v>
      </c>
    </row>
    <row r="364" spans="1:19" hidden="1" x14ac:dyDescent="0.3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25"/>
        <v>34</v>
      </c>
      <c r="O364">
        <f t="shared" si="26"/>
        <v>0</v>
      </c>
      <c r="P364">
        <f t="shared" si="27"/>
        <v>0</v>
      </c>
      <c r="Q364">
        <f t="shared" si="28"/>
        <v>6</v>
      </c>
      <c r="R364">
        <f t="shared" si="29"/>
        <v>0</v>
      </c>
      <c r="S364">
        <v>1</v>
      </c>
    </row>
    <row r="365" spans="1:19" hidden="1" x14ac:dyDescent="0.3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25"/>
        <v>50.5</v>
      </c>
      <c r="O365">
        <f t="shared" si="26"/>
        <v>10</v>
      </c>
      <c r="P365">
        <f t="shared" si="27"/>
        <v>4</v>
      </c>
      <c r="Q365">
        <f t="shared" si="28"/>
        <v>0</v>
      </c>
      <c r="R365">
        <f t="shared" si="29"/>
        <v>8</v>
      </c>
      <c r="S365">
        <v>1</v>
      </c>
    </row>
    <row r="366" spans="1:19" hidden="1" x14ac:dyDescent="0.3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25"/>
        <v>60.9</v>
      </c>
      <c r="O366">
        <f t="shared" si="26"/>
        <v>8</v>
      </c>
      <c r="P366">
        <f t="shared" si="27"/>
        <v>10</v>
      </c>
      <c r="Q366">
        <f t="shared" si="28"/>
        <v>10</v>
      </c>
      <c r="R366">
        <f t="shared" si="29"/>
        <v>4</v>
      </c>
      <c r="S366">
        <v>1</v>
      </c>
    </row>
    <row r="367" spans="1:19" hidden="1" x14ac:dyDescent="0.3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25"/>
        <v>49.2</v>
      </c>
      <c r="O367">
        <f t="shared" si="26"/>
        <v>0</v>
      </c>
      <c r="P367">
        <f t="shared" si="27"/>
        <v>0</v>
      </c>
      <c r="Q367">
        <f t="shared" si="28"/>
        <v>8</v>
      </c>
      <c r="R367">
        <f t="shared" si="29"/>
        <v>10</v>
      </c>
      <c r="S367">
        <v>1</v>
      </c>
    </row>
    <row r="368" spans="1:19" hidden="1" x14ac:dyDescent="0.3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25"/>
        <v>58.9</v>
      </c>
      <c r="O368">
        <f t="shared" si="26"/>
        <v>6</v>
      </c>
      <c r="P368">
        <f t="shared" si="27"/>
        <v>4</v>
      </c>
      <c r="Q368">
        <f t="shared" si="28"/>
        <v>8</v>
      </c>
      <c r="R368">
        <f t="shared" si="29"/>
        <v>10</v>
      </c>
      <c r="S368">
        <v>1</v>
      </c>
    </row>
    <row r="369" spans="1:19" hidden="1" x14ac:dyDescent="0.3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25"/>
        <v>32.700000000000003</v>
      </c>
      <c r="O369">
        <f t="shared" si="26"/>
        <v>0</v>
      </c>
      <c r="P369">
        <f t="shared" si="27"/>
        <v>0</v>
      </c>
      <c r="Q369">
        <f t="shared" si="28"/>
        <v>10</v>
      </c>
      <c r="R369">
        <f t="shared" si="29"/>
        <v>0</v>
      </c>
      <c r="S369">
        <v>1</v>
      </c>
    </row>
    <row r="370" spans="1:19" hidden="1" x14ac:dyDescent="0.3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25"/>
        <v>44.1</v>
      </c>
      <c r="O370">
        <f t="shared" si="26"/>
        <v>0</v>
      </c>
      <c r="P370">
        <f t="shared" si="27"/>
        <v>8</v>
      </c>
      <c r="Q370">
        <f t="shared" si="28"/>
        <v>6</v>
      </c>
      <c r="R370">
        <f t="shared" si="29"/>
        <v>6</v>
      </c>
      <c r="S370">
        <v>1</v>
      </c>
    </row>
    <row r="371" spans="1:19" hidden="1" x14ac:dyDescent="0.3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25"/>
        <v>58.5</v>
      </c>
      <c r="O371">
        <f t="shared" si="26"/>
        <v>8</v>
      </c>
      <c r="P371">
        <f t="shared" si="27"/>
        <v>6</v>
      </c>
      <c r="Q371">
        <f t="shared" si="28"/>
        <v>8</v>
      </c>
      <c r="R371">
        <f t="shared" si="29"/>
        <v>4</v>
      </c>
      <c r="S371">
        <v>1</v>
      </c>
    </row>
    <row r="372" spans="1:19" hidden="1" x14ac:dyDescent="0.3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25"/>
        <v>52.3</v>
      </c>
      <c r="O372">
        <f t="shared" si="26"/>
        <v>0</v>
      </c>
      <c r="P372">
        <f t="shared" si="27"/>
        <v>6</v>
      </c>
      <c r="Q372">
        <f t="shared" si="28"/>
        <v>8</v>
      </c>
      <c r="R372">
        <f t="shared" si="29"/>
        <v>6</v>
      </c>
      <c r="S372">
        <v>1</v>
      </c>
    </row>
    <row r="373" spans="1:19" hidden="1" x14ac:dyDescent="0.3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25"/>
        <v>58.8</v>
      </c>
      <c r="O373">
        <f t="shared" si="26"/>
        <v>8</v>
      </c>
      <c r="P373">
        <f t="shared" si="27"/>
        <v>0</v>
      </c>
      <c r="Q373">
        <f t="shared" si="28"/>
        <v>6</v>
      </c>
      <c r="R373">
        <f t="shared" si="29"/>
        <v>10</v>
      </c>
      <c r="S373">
        <v>1</v>
      </c>
    </row>
    <row r="374" spans="1:19" hidden="1" x14ac:dyDescent="0.3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25"/>
        <v>61.7</v>
      </c>
      <c r="O374">
        <f t="shared" si="26"/>
        <v>6</v>
      </c>
      <c r="P374">
        <f t="shared" si="27"/>
        <v>6</v>
      </c>
      <c r="Q374">
        <f t="shared" si="28"/>
        <v>10</v>
      </c>
      <c r="R374">
        <f t="shared" si="29"/>
        <v>6</v>
      </c>
      <c r="S374">
        <v>1</v>
      </c>
    </row>
    <row r="375" spans="1:19" hidden="1" x14ac:dyDescent="0.3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25"/>
        <v>40.799999999999997</v>
      </c>
      <c r="O375">
        <f t="shared" si="26"/>
        <v>8</v>
      </c>
      <c r="P375">
        <f t="shared" si="27"/>
        <v>4</v>
      </c>
      <c r="Q375">
        <f t="shared" si="28"/>
        <v>8</v>
      </c>
      <c r="R375">
        <f t="shared" si="29"/>
        <v>4</v>
      </c>
      <c r="S375">
        <v>1</v>
      </c>
    </row>
    <row r="376" spans="1:19" hidden="1" x14ac:dyDescent="0.3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25"/>
        <v>68.3</v>
      </c>
      <c r="O376">
        <f t="shared" si="26"/>
        <v>8</v>
      </c>
      <c r="P376">
        <f t="shared" si="27"/>
        <v>6</v>
      </c>
      <c r="Q376">
        <f t="shared" si="28"/>
        <v>8</v>
      </c>
      <c r="R376">
        <f t="shared" si="29"/>
        <v>8</v>
      </c>
      <c r="S376">
        <v>1</v>
      </c>
    </row>
    <row r="377" spans="1:19" hidden="1" x14ac:dyDescent="0.3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25"/>
        <v>46.7</v>
      </c>
      <c r="O377">
        <f t="shared" si="26"/>
        <v>10</v>
      </c>
      <c r="P377">
        <f t="shared" si="27"/>
        <v>4</v>
      </c>
      <c r="Q377">
        <f t="shared" si="28"/>
        <v>6</v>
      </c>
      <c r="R377">
        <f t="shared" si="29"/>
        <v>4</v>
      </c>
      <c r="S377">
        <v>1</v>
      </c>
    </row>
    <row r="378" spans="1:19" hidden="1" x14ac:dyDescent="0.3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25"/>
        <v>53.8</v>
      </c>
      <c r="O378">
        <f t="shared" si="26"/>
        <v>6</v>
      </c>
      <c r="P378">
        <f t="shared" si="27"/>
        <v>4</v>
      </c>
      <c r="Q378">
        <f t="shared" si="28"/>
        <v>0</v>
      </c>
      <c r="R378">
        <f t="shared" si="29"/>
        <v>6</v>
      </c>
      <c r="S378">
        <v>1</v>
      </c>
    </row>
    <row r="379" spans="1:19" hidden="1" x14ac:dyDescent="0.3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25"/>
        <v>57</v>
      </c>
      <c r="O379">
        <f t="shared" si="26"/>
        <v>6</v>
      </c>
      <c r="P379">
        <f t="shared" si="27"/>
        <v>8</v>
      </c>
      <c r="Q379">
        <f t="shared" si="28"/>
        <v>0</v>
      </c>
      <c r="R379">
        <f t="shared" si="29"/>
        <v>6</v>
      </c>
      <c r="S379">
        <v>1</v>
      </c>
    </row>
    <row r="380" spans="1:19" hidden="1" x14ac:dyDescent="0.3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25"/>
        <v>55.5</v>
      </c>
      <c r="O380">
        <f t="shared" si="26"/>
        <v>4</v>
      </c>
      <c r="P380">
        <f t="shared" si="27"/>
        <v>10</v>
      </c>
      <c r="Q380">
        <f t="shared" si="28"/>
        <v>4</v>
      </c>
      <c r="R380">
        <f t="shared" si="29"/>
        <v>0</v>
      </c>
      <c r="S380">
        <v>1</v>
      </c>
    </row>
    <row r="381" spans="1:19" hidden="1" x14ac:dyDescent="0.3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25"/>
        <v>53.8</v>
      </c>
      <c r="O381">
        <f t="shared" si="26"/>
        <v>0</v>
      </c>
      <c r="P381">
        <f t="shared" si="27"/>
        <v>6</v>
      </c>
      <c r="Q381">
        <f t="shared" si="28"/>
        <v>6</v>
      </c>
      <c r="R381">
        <f t="shared" si="29"/>
        <v>10</v>
      </c>
      <c r="S381">
        <v>1</v>
      </c>
    </row>
    <row r="382" spans="1:19" hidden="1" x14ac:dyDescent="0.3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25"/>
        <v>43.1</v>
      </c>
      <c r="O382">
        <f t="shared" si="26"/>
        <v>6</v>
      </c>
      <c r="P382">
        <f t="shared" si="27"/>
        <v>6</v>
      </c>
      <c r="Q382">
        <f t="shared" si="28"/>
        <v>0</v>
      </c>
      <c r="R382">
        <f t="shared" si="29"/>
        <v>0</v>
      </c>
      <c r="S382">
        <v>1</v>
      </c>
    </row>
    <row r="383" spans="1:19" hidden="1" x14ac:dyDescent="0.3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25"/>
        <v>61.1</v>
      </c>
      <c r="O383">
        <f t="shared" si="26"/>
        <v>10</v>
      </c>
      <c r="P383">
        <f t="shared" si="27"/>
        <v>0</v>
      </c>
      <c r="Q383">
        <f t="shared" si="28"/>
        <v>10</v>
      </c>
      <c r="R383">
        <f t="shared" si="29"/>
        <v>8</v>
      </c>
      <c r="S383">
        <v>1</v>
      </c>
    </row>
    <row r="384" spans="1:19" hidden="1" x14ac:dyDescent="0.3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25"/>
        <v>35.799999999999997</v>
      </c>
      <c r="O384">
        <f t="shared" si="26"/>
        <v>0</v>
      </c>
      <c r="P384">
        <f t="shared" si="27"/>
        <v>8</v>
      </c>
      <c r="Q384">
        <f t="shared" si="28"/>
        <v>8</v>
      </c>
      <c r="R384">
        <f t="shared" si="29"/>
        <v>0</v>
      </c>
      <c r="S384">
        <v>1</v>
      </c>
    </row>
    <row r="385" spans="1:19" hidden="1" x14ac:dyDescent="0.3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25"/>
        <v>52.2</v>
      </c>
      <c r="O385">
        <f t="shared" si="26"/>
        <v>8</v>
      </c>
      <c r="P385">
        <f t="shared" si="27"/>
        <v>4</v>
      </c>
      <c r="Q385">
        <f t="shared" si="28"/>
        <v>0</v>
      </c>
      <c r="R385">
        <f t="shared" si="29"/>
        <v>6</v>
      </c>
      <c r="S385">
        <v>1</v>
      </c>
    </row>
    <row r="386" spans="1:19" hidden="1" x14ac:dyDescent="0.3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si="25"/>
        <v>46.9</v>
      </c>
      <c r="O386">
        <f t="shared" si="26"/>
        <v>8</v>
      </c>
      <c r="P386">
        <f t="shared" si="27"/>
        <v>10</v>
      </c>
      <c r="Q386">
        <f t="shared" si="28"/>
        <v>4</v>
      </c>
      <c r="R386">
        <f t="shared" si="29"/>
        <v>4</v>
      </c>
      <c r="S386">
        <v>1</v>
      </c>
    </row>
    <row r="387" spans="1:19" hidden="1" x14ac:dyDescent="0.3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ref="N387:N450" si="30">C387+IF(D387=6,2,0) +SUM(O387:R387) +SUM(I387:M387)/10</f>
        <v>52.3</v>
      </c>
      <c r="O387">
        <f t="shared" ref="O387:O450" si="31">IF(E387=2,0,IF(E387=3,4,IF(E387=4,6,IF(E387=5,8,IF(E387=6,10,0)))))</f>
        <v>4</v>
      </c>
      <c r="P387">
        <f t="shared" ref="P387:P450" si="32">IF(F387=2,0,IF(F387=3,4,IF(F387=4,6,IF(F387=5,8,IF(F387=6,10,0)))))</f>
        <v>8</v>
      </c>
      <c r="Q387">
        <f t="shared" ref="Q387:Q450" si="33">IF(G387=2,0,IF(G387=3,4,IF(G387=4,6,IF(G387=5,8,IF(G387=6,10,0)))))</f>
        <v>10</v>
      </c>
      <c r="R387">
        <f t="shared" ref="R387:R450" si="34">IF(H387=2,0,IF(H387=3,4,IF(H387=4,6,IF(H387=5,8,IF(H387=6,10,0)))))</f>
        <v>0</v>
      </c>
      <c r="S387">
        <v>1</v>
      </c>
    </row>
    <row r="388" spans="1:19" hidden="1" x14ac:dyDescent="0.3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30"/>
        <v>53.8</v>
      </c>
      <c r="O388">
        <f t="shared" si="31"/>
        <v>10</v>
      </c>
      <c r="P388">
        <f t="shared" si="32"/>
        <v>0</v>
      </c>
      <c r="Q388">
        <f t="shared" si="33"/>
        <v>6</v>
      </c>
      <c r="R388">
        <f t="shared" si="34"/>
        <v>10</v>
      </c>
      <c r="S388">
        <v>1</v>
      </c>
    </row>
    <row r="389" spans="1:19" hidden="1" x14ac:dyDescent="0.3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30"/>
        <v>54.4</v>
      </c>
      <c r="O389">
        <f t="shared" si="31"/>
        <v>8</v>
      </c>
      <c r="P389">
        <f t="shared" si="32"/>
        <v>8</v>
      </c>
      <c r="Q389">
        <f t="shared" si="33"/>
        <v>8</v>
      </c>
      <c r="R389">
        <f t="shared" si="34"/>
        <v>4</v>
      </c>
      <c r="S389">
        <v>1</v>
      </c>
    </row>
    <row r="390" spans="1:19" hidden="1" x14ac:dyDescent="0.3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30"/>
        <v>53.3</v>
      </c>
      <c r="O390">
        <f t="shared" si="31"/>
        <v>4</v>
      </c>
      <c r="P390">
        <f t="shared" si="32"/>
        <v>6</v>
      </c>
      <c r="Q390">
        <f t="shared" si="33"/>
        <v>8</v>
      </c>
      <c r="R390">
        <f t="shared" si="34"/>
        <v>0</v>
      </c>
      <c r="S390">
        <v>1</v>
      </c>
    </row>
    <row r="391" spans="1:19" hidden="1" x14ac:dyDescent="0.3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30"/>
        <v>63.2</v>
      </c>
      <c r="O391">
        <f t="shared" si="31"/>
        <v>10</v>
      </c>
      <c r="P391">
        <f t="shared" si="32"/>
        <v>10</v>
      </c>
      <c r="Q391">
        <f t="shared" si="33"/>
        <v>0</v>
      </c>
      <c r="R391">
        <f t="shared" si="34"/>
        <v>8</v>
      </c>
      <c r="S391">
        <v>1</v>
      </c>
    </row>
    <row r="392" spans="1:19" hidden="1" x14ac:dyDescent="0.3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30"/>
        <v>37.5</v>
      </c>
      <c r="O392">
        <f t="shared" si="31"/>
        <v>8</v>
      </c>
      <c r="P392">
        <f t="shared" si="32"/>
        <v>4</v>
      </c>
      <c r="Q392">
        <f t="shared" si="33"/>
        <v>0</v>
      </c>
      <c r="R392">
        <f t="shared" si="34"/>
        <v>0</v>
      </c>
      <c r="S392">
        <v>1</v>
      </c>
    </row>
    <row r="393" spans="1:19" hidden="1" x14ac:dyDescent="0.3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30"/>
        <v>56.4</v>
      </c>
      <c r="O393">
        <f t="shared" si="31"/>
        <v>8</v>
      </c>
      <c r="P393">
        <f t="shared" si="32"/>
        <v>10</v>
      </c>
      <c r="Q393">
        <f t="shared" si="33"/>
        <v>6</v>
      </c>
      <c r="R393">
        <f t="shared" si="34"/>
        <v>10</v>
      </c>
      <c r="S393">
        <v>1</v>
      </c>
    </row>
    <row r="394" spans="1:19" hidden="1" x14ac:dyDescent="0.3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30"/>
        <v>32.4</v>
      </c>
      <c r="O394">
        <f t="shared" si="31"/>
        <v>0</v>
      </c>
      <c r="P394">
        <f t="shared" si="32"/>
        <v>0</v>
      </c>
      <c r="Q394">
        <f t="shared" si="33"/>
        <v>8</v>
      </c>
      <c r="R394">
        <f t="shared" si="34"/>
        <v>4</v>
      </c>
      <c r="S394">
        <v>1</v>
      </c>
    </row>
    <row r="395" spans="1:19" hidden="1" x14ac:dyDescent="0.3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30"/>
        <v>55.8</v>
      </c>
      <c r="O395">
        <f t="shared" si="31"/>
        <v>10</v>
      </c>
      <c r="P395">
        <f t="shared" si="32"/>
        <v>0</v>
      </c>
      <c r="Q395">
        <f t="shared" si="33"/>
        <v>6</v>
      </c>
      <c r="R395">
        <f t="shared" si="34"/>
        <v>4</v>
      </c>
      <c r="S395">
        <v>1</v>
      </c>
    </row>
    <row r="396" spans="1:19" hidden="1" x14ac:dyDescent="0.3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30"/>
        <v>58.4</v>
      </c>
      <c r="O396">
        <f t="shared" si="31"/>
        <v>0</v>
      </c>
      <c r="P396">
        <f t="shared" si="32"/>
        <v>10</v>
      </c>
      <c r="Q396">
        <f t="shared" si="33"/>
        <v>0</v>
      </c>
      <c r="R396">
        <f t="shared" si="34"/>
        <v>10</v>
      </c>
      <c r="S396">
        <v>1</v>
      </c>
    </row>
    <row r="397" spans="1:19" hidden="1" x14ac:dyDescent="0.3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30"/>
        <v>41.2</v>
      </c>
      <c r="O397">
        <f t="shared" si="31"/>
        <v>0</v>
      </c>
      <c r="P397">
        <f t="shared" si="32"/>
        <v>6</v>
      </c>
      <c r="Q397">
        <f t="shared" si="33"/>
        <v>4</v>
      </c>
      <c r="R397">
        <f t="shared" si="34"/>
        <v>4</v>
      </c>
      <c r="S397">
        <v>1</v>
      </c>
    </row>
    <row r="398" spans="1:19" hidden="1" x14ac:dyDescent="0.3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30"/>
        <v>39.5</v>
      </c>
      <c r="O398">
        <f t="shared" si="31"/>
        <v>0</v>
      </c>
      <c r="P398">
        <f t="shared" si="32"/>
        <v>6</v>
      </c>
      <c r="Q398">
        <f t="shared" si="33"/>
        <v>0</v>
      </c>
      <c r="R398">
        <f t="shared" si="34"/>
        <v>6</v>
      </c>
      <c r="S398">
        <v>1</v>
      </c>
    </row>
    <row r="399" spans="1:19" hidden="1" x14ac:dyDescent="0.3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30"/>
        <v>60</v>
      </c>
      <c r="O399">
        <f t="shared" si="31"/>
        <v>8</v>
      </c>
      <c r="P399">
        <f t="shared" si="32"/>
        <v>10</v>
      </c>
      <c r="Q399">
        <f t="shared" si="33"/>
        <v>6</v>
      </c>
      <c r="R399">
        <f t="shared" si="34"/>
        <v>4</v>
      </c>
      <c r="S399">
        <v>1</v>
      </c>
    </row>
    <row r="400" spans="1:19" hidden="1" x14ac:dyDescent="0.3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30"/>
        <v>45.9</v>
      </c>
      <c r="O400">
        <f t="shared" si="31"/>
        <v>0</v>
      </c>
      <c r="P400">
        <f t="shared" si="32"/>
        <v>6</v>
      </c>
      <c r="Q400">
        <f t="shared" si="33"/>
        <v>6</v>
      </c>
      <c r="R400">
        <f t="shared" si="34"/>
        <v>8</v>
      </c>
      <c r="S400">
        <v>1</v>
      </c>
    </row>
    <row r="401" spans="1:19" hidden="1" x14ac:dyDescent="0.3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30"/>
        <v>37.6</v>
      </c>
      <c r="O401">
        <f t="shared" si="31"/>
        <v>0</v>
      </c>
      <c r="P401">
        <f t="shared" si="32"/>
        <v>6</v>
      </c>
      <c r="Q401">
        <f t="shared" si="33"/>
        <v>8</v>
      </c>
      <c r="R401">
        <f t="shared" si="34"/>
        <v>0</v>
      </c>
      <c r="S401">
        <v>1</v>
      </c>
    </row>
    <row r="402" spans="1:19" hidden="1" x14ac:dyDescent="0.3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30"/>
        <v>34.5</v>
      </c>
      <c r="O402">
        <f t="shared" si="31"/>
        <v>6</v>
      </c>
      <c r="P402">
        <f t="shared" si="32"/>
        <v>0</v>
      </c>
      <c r="Q402">
        <f t="shared" si="33"/>
        <v>4</v>
      </c>
      <c r="R402">
        <f t="shared" si="34"/>
        <v>0</v>
      </c>
      <c r="S402">
        <v>1</v>
      </c>
    </row>
    <row r="403" spans="1:19" x14ac:dyDescent="0.3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30"/>
        <v>55.6</v>
      </c>
      <c r="O403">
        <f t="shared" si="31"/>
        <v>4</v>
      </c>
      <c r="P403">
        <f t="shared" si="32"/>
        <v>8</v>
      </c>
      <c r="Q403">
        <f t="shared" si="33"/>
        <v>6</v>
      </c>
      <c r="R403">
        <f t="shared" si="34"/>
        <v>6</v>
      </c>
      <c r="S403">
        <v>1</v>
      </c>
    </row>
    <row r="404" spans="1:19" hidden="1" x14ac:dyDescent="0.3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30"/>
        <v>32</v>
      </c>
      <c r="O404">
        <f t="shared" si="31"/>
        <v>6</v>
      </c>
      <c r="P404">
        <f t="shared" si="32"/>
        <v>0</v>
      </c>
      <c r="Q404">
        <f t="shared" si="33"/>
        <v>0</v>
      </c>
      <c r="R404">
        <f t="shared" si="34"/>
        <v>0</v>
      </c>
      <c r="S404">
        <v>1</v>
      </c>
    </row>
    <row r="405" spans="1:19" hidden="1" x14ac:dyDescent="0.3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30"/>
        <v>39</v>
      </c>
      <c r="O405">
        <f t="shared" si="31"/>
        <v>0</v>
      </c>
      <c r="P405">
        <f t="shared" si="32"/>
        <v>6</v>
      </c>
      <c r="Q405">
        <f t="shared" si="33"/>
        <v>6</v>
      </c>
      <c r="R405">
        <f t="shared" si="34"/>
        <v>4</v>
      </c>
      <c r="S405">
        <v>1</v>
      </c>
    </row>
    <row r="406" spans="1:19" hidden="1" x14ac:dyDescent="0.3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30"/>
        <v>50.1</v>
      </c>
      <c r="O406">
        <f t="shared" si="31"/>
        <v>0</v>
      </c>
      <c r="P406">
        <f t="shared" si="32"/>
        <v>6</v>
      </c>
      <c r="Q406">
        <f t="shared" si="33"/>
        <v>6</v>
      </c>
      <c r="R406">
        <f t="shared" si="34"/>
        <v>6</v>
      </c>
      <c r="S406">
        <v>1</v>
      </c>
    </row>
    <row r="407" spans="1:19" hidden="1" x14ac:dyDescent="0.3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30"/>
        <v>61.2</v>
      </c>
      <c r="O407">
        <f t="shared" si="31"/>
        <v>4</v>
      </c>
      <c r="P407">
        <f t="shared" si="32"/>
        <v>0</v>
      </c>
      <c r="Q407">
        <f t="shared" si="33"/>
        <v>8</v>
      </c>
      <c r="R407">
        <f t="shared" si="34"/>
        <v>6</v>
      </c>
      <c r="S407">
        <v>1</v>
      </c>
    </row>
    <row r="408" spans="1:19" hidden="1" x14ac:dyDescent="0.3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30"/>
        <v>33.299999999999997</v>
      </c>
      <c r="O408">
        <f t="shared" si="31"/>
        <v>0</v>
      </c>
      <c r="P408">
        <f t="shared" si="32"/>
        <v>0</v>
      </c>
      <c r="Q408">
        <f t="shared" si="33"/>
        <v>0</v>
      </c>
      <c r="R408">
        <f t="shared" si="34"/>
        <v>6</v>
      </c>
      <c r="S408">
        <v>1</v>
      </c>
    </row>
    <row r="409" spans="1:19" hidden="1" x14ac:dyDescent="0.3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30"/>
        <v>62.2</v>
      </c>
      <c r="O409">
        <f t="shared" si="31"/>
        <v>8</v>
      </c>
      <c r="P409">
        <f t="shared" si="32"/>
        <v>10</v>
      </c>
      <c r="Q409">
        <f t="shared" si="33"/>
        <v>4</v>
      </c>
      <c r="R409">
        <f t="shared" si="34"/>
        <v>8</v>
      </c>
      <c r="S409">
        <v>1</v>
      </c>
    </row>
    <row r="410" spans="1:19" hidden="1" x14ac:dyDescent="0.3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30"/>
        <v>42.6</v>
      </c>
      <c r="O410">
        <f t="shared" si="31"/>
        <v>8</v>
      </c>
      <c r="P410">
        <f t="shared" si="32"/>
        <v>8</v>
      </c>
      <c r="Q410">
        <f t="shared" si="33"/>
        <v>0</v>
      </c>
      <c r="R410">
        <f t="shared" si="34"/>
        <v>0</v>
      </c>
      <c r="S410">
        <v>1</v>
      </c>
    </row>
    <row r="411" spans="1:19" hidden="1" x14ac:dyDescent="0.3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30"/>
        <v>57.5</v>
      </c>
      <c r="O411">
        <f t="shared" si="31"/>
        <v>6</v>
      </c>
      <c r="P411">
        <f t="shared" si="32"/>
        <v>10</v>
      </c>
      <c r="Q411">
        <f t="shared" si="33"/>
        <v>4</v>
      </c>
      <c r="R411">
        <f t="shared" si="34"/>
        <v>6</v>
      </c>
      <c r="S411">
        <v>1</v>
      </c>
    </row>
    <row r="412" spans="1:19" hidden="1" x14ac:dyDescent="0.3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30"/>
        <v>60.3</v>
      </c>
      <c r="O412">
        <f t="shared" si="31"/>
        <v>8</v>
      </c>
      <c r="P412">
        <f t="shared" si="32"/>
        <v>0</v>
      </c>
      <c r="Q412">
        <f t="shared" si="33"/>
        <v>0</v>
      </c>
      <c r="R412">
        <f t="shared" si="34"/>
        <v>10</v>
      </c>
      <c r="S412">
        <v>1</v>
      </c>
    </row>
    <row r="413" spans="1:19" hidden="1" x14ac:dyDescent="0.3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30"/>
        <v>69.2</v>
      </c>
      <c r="O413">
        <f t="shared" si="31"/>
        <v>10</v>
      </c>
      <c r="P413">
        <f t="shared" si="32"/>
        <v>8</v>
      </c>
      <c r="Q413">
        <f t="shared" si="33"/>
        <v>10</v>
      </c>
      <c r="R413">
        <f t="shared" si="34"/>
        <v>8</v>
      </c>
      <c r="S413">
        <v>1</v>
      </c>
    </row>
    <row r="414" spans="1:19" hidden="1" x14ac:dyDescent="0.3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30"/>
        <v>44.9</v>
      </c>
      <c r="O414">
        <f t="shared" si="31"/>
        <v>10</v>
      </c>
      <c r="P414">
        <f t="shared" si="32"/>
        <v>0</v>
      </c>
      <c r="Q414">
        <f t="shared" si="33"/>
        <v>4</v>
      </c>
      <c r="R414">
        <f t="shared" si="34"/>
        <v>6</v>
      </c>
      <c r="S414">
        <v>1</v>
      </c>
    </row>
    <row r="415" spans="1:19" hidden="1" x14ac:dyDescent="0.3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30"/>
        <v>46.7</v>
      </c>
      <c r="O415">
        <f t="shared" si="31"/>
        <v>6</v>
      </c>
      <c r="P415">
        <f t="shared" si="32"/>
        <v>8</v>
      </c>
      <c r="Q415">
        <f t="shared" si="33"/>
        <v>8</v>
      </c>
      <c r="R415">
        <f t="shared" si="34"/>
        <v>6</v>
      </c>
      <c r="S415">
        <v>1</v>
      </c>
    </row>
    <row r="416" spans="1:19" hidden="1" x14ac:dyDescent="0.3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30"/>
        <v>51.7</v>
      </c>
      <c r="O416">
        <f t="shared" si="31"/>
        <v>4</v>
      </c>
      <c r="P416">
        <f t="shared" si="32"/>
        <v>0</v>
      </c>
      <c r="Q416">
        <f t="shared" si="33"/>
        <v>8</v>
      </c>
      <c r="R416">
        <f t="shared" si="34"/>
        <v>8</v>
      </c>
      <c r="S416">
        <v>1</v>
      </c>
    </row>
    <row r="417" spans="1:19" hidden="1" x14ac:dyDescent="0.3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30"/>
        <v>61.6</v>
      </c>
      <c r="O417">
        <f t="shared" si="31"/>
        <v>6</v>
      </c>
      <c r="P417">
        <f t="shared" si="32"/>
        <v>6</v>
      </c>
      <c r="Q417">
        <f t="shared" si="33"/>
        <v>8</v>
      </c>
      <c r="R417">
        <f t="shared" si="34"/>
        <v>8</v>
      </c>
      <c r="S417">
        <v>1</v>
      </c>
    </row>
    <row r="418" spans="1:19" hidden="1" x14ac:dyDescent="0.3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30"/>
        <v>42.3</v>
      </c>
      <c r="O418">
        <f t="shared" si="31"/>
        <v>0</v>
      </c>
      <c r="P418">
        <f t="shared" si="32"/>
        <v>6</v>
      </c>
      <c r="Q418">
        <f t="shared" si="33"/>
        <v>0</v>
      </c>
      <c r="R418">
        <f t="shared" si="34"/>
        <v>10</v>
      </c>
      <c r="S418">
        <v>1</v>
      </c>
    </row>
    <row r="419" spans="1:19" hidden="1" x14ac:dyDescent="0.3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30"/>
        <v>60.9</v>
      </c>
      <c r="O419">
        <f t="shared" si="31"/>
        <v>8</v>
      </c>
      <c r="P419">
        <f t="shared" si="32"/>
        <v>10</v>
      </c>
      <c r="Q419">
        <f t="shared" si="33"/>
        <v>0</v>
      </c>
      <c r="R419">
        <f t="shared" si="34"/>
        <v>8</v>
      </c>
      <c r="S419">
        <v>1</v>
      </c>
    </row>
    <row r="420" spans="1:19" hidden="1" x14ac:dyDescent="0.3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30"/>
        <v>62.4</v>
      </c>
      <c r="O420">
        <f t="shared" si="31"/>
        <v>10</v>
      </c>
      <c r="P420">
        <f t="shared" si="32"/>
        <v>6</v>
      </c>
      <c r="Q420">
        <f t="shared" si="33"/>
        <v>10</v>
      </c>
      <c r="R420">
        <f t="shared" si="34"/>
        <v>10</v>
      </c>
      <c r="S420">
        <v>1</v>
      </c>
    </row>
    <row r="421" spans="1:19" hidden="1" x14ac:dyDescent="0.3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30"/>
        <v>56.6</v>
      </c>
      <c r="O421">
        <f t="shared" si="31"/>
        <v>8</v>
      </c>
      <c r="P421">
        <f t="shared" si="32"/>
        <v>8</v>
      </c>
      <c r="Q421">
        <f t="shared" si="33"/>
        <v>6</v>
      </c>
      <c r="R421">
        <f t="shared" si="34"/>
        <v>6</v>
      </c>
      <c r="S421">
        <v>1</v>
      </c>
    </row>
    <row r="422" spans="1:19" hidden="1" x14ac:dyDescent="0.3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30"/>
        <v>60.1</v>
      </c>
      <c r="O422">
        <f t="shared" si="31"/>
        <v>6</v>
      </c>
      <c r="P422">
        <f t="shared" si="32"/>
        <v>10</v>
      </c>
      <c r="Q422">
        <f t="shared" si="33"/>
        <v>10</v>
      </c>
      <c r="R422">
        <f t="shared" si="34"/>
        <v>4</v>
      </c>
      <c r="S422">
        <v>1</v>
      </c>
    </row>
    <row r="423" spans="1:19" hidden="1" x14ac:dyDescent="0.3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30"/>
        <v>52.3</v>
      </c>
      <c r="O423">
        <f t="shared" si="31"/>
        <v>10</v>
      </c>
      <c r="P423">
        <f t="shared" si="32"/>
        <v>8</v>
      </c>
      <c r="Q423">
        <f t="shared" si="33"/>
        <v>8</v>
      </c>
      <c r="R423">
        <f t="shared" si="34"/>
        <v>4</v>
      </c>
      <c r="S423">
        <v>1</v>
      </c>
    </row>
    <row r="424" spans="1:19" hidden="1" x14ac:dyDescent="0.3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30"/>
        <v>37.200000000000003</v>
      </c>
      <c r="O424">
        <f t="shared" si="31"/>
        <v>8</v>
      </c>
      <c r="P424">
        <f t="shared" si="32"/>
        <v>8</v>
      </c>
      <c r="Q424">
        <f t="shared" si="33"/>
        <v>4</v>
      </c>
      <c r="R424">
        <f t="shared" si="34"/>
        <v>0</v>
      </c>
      <c r="S424">
        <v>1</v>
      </c>
    </row>
    <row r="425" spans="1:19" hidden="1" x14ac:dyDescent="0.3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30"/>
        <v>52.2</v>
      </c>
      <c r="O425">
        <f t="shared" si="31"/>
        <v>0</v>
      </c>
      <c r="P425">
        <f t="shared" si="32"/>
        <v>8</v>
      </c>
      <c r="Q425">
        <f t="shared" si="33"/>
        <v>0</v>
      </c>
      <c r="R425">
        <f t="shared" si="34"/>
        <v>10</v>
      </c>
      <c r="S425">
        <v>1</v>
      </c>
    </row>
    <row r="426" spans="1:19" hidden="1" x14ac:dyDescent="0.3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30"/>
        <v>65.5</v>
      </c>
      <c r="O426">
        <f t="shared" si="31"/>
        <v>8</v>
      </c>
      <c r="P426">
        <f t="shared" si="32"/>
        <v>10</v>
      </c>
      <c r="Q426">
        <f t="shared" si="33"/>
        <v>4</v>
      </c>
      <c r="R426">
        <f t="shared" si="34"/>
        <v>6</v>
      </c>
      <c r="S426">
        <v>1</v>
      </c>
    </row>
    <row r="427" spans="1:19" hidden="1" x14ac:dyDescent="0.3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30"/>
        <v>48.2</v>
      </c>
      <c r="O427">
        <f t="shared" si="31"/>
        <v>8</v>
      </c>
      <c r="P427">
        <f t="shared" si="32"/>
        <v>0</v>
      </c>
      <c r="Q427">
        <f t="shared" si="33"/>
        <v>8</v>
      </c>
      <c r="R427">
        <f t="shared" si="34"/>
        <v>6</v>
      </c>
      <c r="S427">
        <v>1</v>
      </c>
    </row>
    <row r="428" spans="1:19" hidden="1" x14ac:dyDescent="0.3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30"/>
        <v>50.4</v>
      </c>
      <c r="O428">
        <f t="shared" si="31"/>
        <v>4</v>
      </c>
      <c r="P428">
        <f t="shared" si="32"/>
        <v>8</v>
      </c>
      <c r="Q428">
        <f t="shared" si="33"/>
        <v>6</v>
      </c>
      <c r="R428">
        <f t="shared" si="34"/>
        <v>10</v>
      </c>
      <c r="S428">
        <v>1</v>
      </c>
    </row>
    <row r="429" spans="1:19" hidden="1" x14ac:dyDescent="0.3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30"/>
        <v>28</v>
      </c>
      <c r="O429">
        <f t="shared" si="31"/>
        <v>0</v>
      </c>
      <c r="P429">
        <f t="shared" si="32"/>
        <v>0</v>
      </c>
      <c r="Q429">
        <f t="shared" si="33"/>
        <v>0</v>
      </c>
      <c r="R429">
        <f t="shared" si="34"/>
        <v>0</v>
      </c>
      <c r="S429">
        <v>1</v>
      </c>
    </row>
    <row r="430" spans="1:19" hidden="1" x14ac:dyDescent="0.3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30"/>
        <v>62.2</v>
      </c>
      <c r="O430">
        <f t="shared" si="31"/>
        <v>10</v>
      </c>
      <c r="P430">
        <f t="shared" si="32"/>
        <v>6</v>
      </c>
      <c r="Q430">
        <f t="shared" si="33"/>
        <v>6</v>
      </c>
      <c r="R430">
        <f t="shared" si="34"/>
        <v>4</v>
      </c>
      <c r="S430">
        <v>1</v>
      </c>
    </row>
    <row r="431" spans="1:19" x14ac:dyDescent="0.3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30"/>
        <v>55.6</v>
      </c>
      <c r="O431">
        <f t="shared" si="31"/>
        <v>6</v>
      </c>
      <c r="P431">
        <f t="shared" si="32"/>
        <v>0</v>
      </c>
      <c r="Q431">
        <f t="shared" si="33"/>
        <v>6</v>
      </c>
      <c r="R431">
        <f t="shared" si="34"/>
        <v>4</v>
      </c>
      <c r="S431">
        <v>1</v>
      </c>
    </row>
    <row r="432" spans="1:19" hidden="1" x14ac:dyDescent="0.3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30"/>
        <v>59.5</v>
      </c>
      <c r="O432">
        <f t="shared" si="31"/>
        <v>8</v>
      </c>
      <c r="P432">
        <f t="shared" si="32"/>
        <v>0</v>
      </c>
      <c r="Q432">
        <f t="shared" si="33"/>
        <v>8</v>
      </c>
      <c r="R432">
        <f t="shared" si="34"/>
        <v>8</v>
      </c>
      <c r="S432">
        <v>1</v>
      </c>
    </row>
    <row r="433" spans="1:19" hidden="1" x14ac:dyDescent="0.3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30"/>
        <v>64</v>
      </c>
      <c r="O433">
        <f t="shared" si="31"/>
        <v>10</v>
      </c>
      <c r="P433">
        <f t="shared" si="32"/>
        <v>6</v>
      </c>
      <c r="Q433">
        <f t="shared" si="33"/>
        <v>6</v>
      </c>
      <c r="R433">
        <f t="shared" si="34"/>
        <v>10</v>
      </c>
      <c r="S433">
        <v>1</v>
      </c>
    </row>
    <row r="434" spans="1:19" hidden="1" x14ac:dyDescent="0.3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30"/>
        <v>68.2</v>
      </c>
      <c r="O434">
        <f t="shared" si="31"/>
        <v>0</v>
      </c>
      <c r="P434">
        <f t="shared" si="32"/>
        <v>10</v>
      </c>
      <c r="Q434">
        <f t="shared" si="33"/>
        <v>0</v>
      </c>
      <c r="R434">
        <f t="shared" si="34"/>
        <v>10</v>
      </c>
      <c r="S434">
        <v>1</v>
      </c>
    </row>
    <row r="435" spans="1:19" hidden="1" x14ac:dyDescent="0.3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30"/>
        <v>30.7</v>
      </c>
      <c r="O435">
        <f t="shared" si="31"/>
        <v>0</v>
      </c>
      <c r="P435">
        <f t="shared" si="32"/>
        <v>10</v>
      </c>
      <c r="Q435">
        <f t="shared" si="33"/>
        <v>0</v>
      </c>
      <c r="R435">
        <f t="shared" si="34"/>
        <v>0</v>
      </c>
      <c r="S435">
        <v>1</v>
      </c>
    </row>
    <row r="436" spans="1:19" hidden="1" x14ac:dyDescent="0.3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30"/>
        <v>68.8</v>
      </c>
      <c r="O436">
        <f t="shared" si="31"/>
        <v>8</v>
      </c>
      <c r="P436">
        <f t="shared" si="32"/>
        <v>8</v>
      </c>
      <c r="Q436">
        <f t="shared" si="33"/>
        <v>8</v>
      </c>
      <c r="R436">
        <f t="shared" si="34"/>
        <v>10</v>
      </c>
      <c r="S436">
        <v>1</v>
      </c>
    </row>
    <row r="437" spans="1:19" hidden="1" x14ac:dyDescent="0.3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30"/>
        <v>69.2</v>
      </c>
      <c r="O437">
        <f t="shared" si="31"/>
        <v>8</v>
      </c>
      <c r="P437">
        <f t="shared" si="32"/>
        <v>8</v>
      </c>
      <c r="Q437">
        <f t="shared" si="33"/>
        <v>0</v>
      </c>
      <c r="R437">
        <f t="shared" si="34"/>
        <v>10</v>
      </c>
      <c r="S437">
        <v>1</v>
      </c>
    </row>
    <row r="438" spans="1:19" hidden="1" x14ac:dyDescent="0.3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30"/>
        <v>69.599999999999994</v>
      </c>
      <c r="O438">
        <f t="shared" si="31"/>
        <v>6</v>
      </c>
      <c r="P438">
        <f t="shared" si="32"/>
        <v>8</v>
      </c>
      <c r="Q438">
        <f t="shared" si="33"/>
        <v>10</v>
      </c>
      <c r="R438">
        <f t="shared" si="34"/>
        <v>4</v>
      </c>
      <c r="S438">
        <v>1</v>
      </c>
    </row>
    <row r="439" spans="1:19" hidden="1" x14ac:dyDescent="0.3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30"/>
        <v>63.5</v>
      </c>
      <c r="O439">
        <f t="shared" si="31"/>
        <v>10</v>
      </c>
      <c r="P439">
        <f t="shared" si="32"/>
        <v>8</v>
      </c>
      <c r="Q439">
        <f t="shared" si="33"/>
        <v>6</v>
      </c>
      <c r="R439">
        <f t="shared" si="34"/>
        <v>10</v>
      </c>
      <c r="S439">
        <v>1</v>
      </c>
    </row>
    <row r="440" spans="1:19" hidden="1" x14ac:dyDescent="0.3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30"/>
        <v>48.4</v>
      </c>
      <c r="O440">
        <f t="shared" si="31"/>
        <v>4</v>
      </c>
      <c r="P440">
        <f t="shared" si="32"/>
        <v>4</v>
      </c>
      <c r="Q440">
        <f t="shared" si="33"/>
        <v>8</v>
      </c>
      <c r="R440">
        <f t="shared" si="34"/>
        <v>0</v>
      </c>
      <c r="S440">
        <v>1</v>
      </c>
    </row>
    <row r="441" spans="1:19" hidden="1" x14ac:dyDescent="0.3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30"/>
        <v>35.9</v>
      </c>
      <c r="O441">
        <f t="shared" si="31"/>
        <v>10</v>
      </c>
      <c r="P441">
        <f t="shared" si="32"/>
        <v>6</v>
      </c>
      <c r="Q441">
        <f t="shared" si="33"/>
        <v>0</v>
      </c>
      <c r="R441">
        <f t="shared" si="34"/>
        <v>10</v>
      </c>
      <c r="S441">
        <v>1</v>
      </c>
    </row>
    <row r="442" spans="1:19" hidden="1" x14ac:dyDescent="0.3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30"/>
        <v>47.5</v>
      </c>
      <c r="O442">
        <f t="shared" si="31"/>
        <v>6</v>
      </c>
      <c r="P442">
        <f t="shared" si="32"/>
        <v>6</v>
      </c>
      <c r="Q442">
        <f t="shared" si="33"/>
        <v>6</v>
      </c>
      <c r="R442">
        <f t="shared" si="34"/>
        <v>4</v>
      </c>
      <c r="S442">
        <v>1</v>
      </c>
    </row>
    <row r="443" spans="1:19" hidden="1" x14ac:dyDescent="0.3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30"/>
        <v>43.4</v>
      </c>
      <c r="O443">
        <f t="shared" si="31"/>
        <v>4</v>
      </c>
      <c r="P443">
        <f t="shared" si="32"/>
        <v>4</v>
      </c>
      <c r="Q443">
        <f t="shared" si="33"/>
        <v>0</v>
      </c>
      <c r="R443">
        <f t="shared" si="34"/>
        <v>4</v>
      </c>
      <c r="S443">
        <v>1</v>
      </c>
    </row>
    <row r="444" spans="1:19" hidden="1" x14ac:dyDescent="0.3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30"/>
        <v>39.9</v>
      </c>
      <c r="O444">
        <f t="shared" si="31"/>
        <v>6</v>
      </c>
      <c r="P444">
        <f t="shared" si="32"/>
        <v>0</v>
      </c>
      <c r="Q444">
        <f t="shared" si="33"/>
        <v>10</v>
      </c>
      <c r="R444">
        <f t="shared" si="34"/>
        <v>6</v>
      </c>
      <c r="S444">
        <v>1</v>
      </c>
    </row>
    <row r="445" spans="1:19" hidden="1" x14ac:dyDescent="0.3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30"/>
        <v>56.3</v>
      </c>
      <c r="O445">
        <f t="shared" si="31"/>
        <v>6</v>
      </c>
      <c r="P445">
        <f t="shared" si="32"/>
        <v>4</v>
      </c>
      <c r="Q445">
        <f t="shared" si="33"/>
        <v>0</v>
      </c>
      <c r="R445">
        <f t="shared" si="34"/>
        <v>8</v>
      </c>
      <c r="S445">
        <v>1</v>
      </c>
    </row>
    <row r="446" spans="1:19" hidden="1" x14ac:dyDescent="0.3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30"/>
        <v>49.6</v>
      </c>
      <c r="O446">
        <f t="shared" si="31"/>
        <v>6</v>
      </c>
      <c r="P446">
        <f t="shared" si="32"/>
        <v>8</v>
      </c>
      <c r="Q446">
        <f t="shared" si="33"/>
        <v>6</v>
      </c>
      <c r="R446">
        <f t="shared" si="34"/>
        <v>0</v>
      </c>
      <c r="S446">
        <v>1</v>
      </c>
    </row>
    <row r="447" spans="1:19" hidden="1" x14ac:dyDescent="0.3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30"/>
        <v>46.7</v>
      </c>
      <c r="O447">
        <f t="shared" si="31"/>
        <v>0</v>
      </c>
      <c r="P447">
        <f t="shared" si="32"/>
        <v>10</v>
      </c>
      <c r="Q447">
        <f t="shared" si="33"/>
        <v>6</v>
      </c>
      <c r="R447">
        <f t="shared" si="34"/>
        <v>4</v>
      </c>
      <c r="S447">
        <v>1</v>
      </c>
    </row>
    <row r="448" spans="1:19" hidden="1" x14ac:dyDescent="0.3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30"/>
        <v>57.8</v>
      </c>
      <c r="O448">
        <f t="shared" si="31"/>
        <v>6</v>
      </c>
      <c r="P448">
        <f t="shared" si="32"/>
        <v>6</v>
      </c>
      <c r="Q448">
        <f t="shared" si="33"/>
        <v>8</v>
      </c>
      <c r="R448">
        <f t="shared" si="34"/>
        <v>4</v>
      </c>
      <c r="S448">
        <v>1</v>
      </c>
    </row>
    <row r="449" spans="1:19" hidden="1" x14ac:dyDescent="0.3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30"/>
        <v>63.7</v>
      </c>
      <c r="O449">
        <f t="shared" si="31"/>
        <v>8</v>
      </c>
      <c r="P449">
        <f t="shared" si="32"/>
        <v>6</v>
      </c>
      <c r="Q449">
        <f t="shared" si="33"/>
        <v>10</v>
      </c>
      <c r="R449">
        <f t="shared" si="34"/>
        <v>0</v>
      </c>
      <c r="S449">
        <v>1</v>
      </c>
    </row>
    <row r="450" spans="1:19" hidden="1" x14ac:dyDescent="0.3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si="30"/>
        <v>63.5</v>
      </c>
      <c r="O450">
        <f t="shared" si="31"/>
        <v>4</v>
      </c>
      <c r="P450">
        <f t="shared" si="32"/>
        <v>8</v>
      </c>
      <c r="Q450">
        <f t="shared" si="33"/>
        <v>8</v>
      </c>
      <c r="R450">
        <f t="shared" si="34"/>
        <v>8</v>
      </c>
      <c r="S450">
        <v>1</v>
      </c>
    </row>
    <row r="451" spans="1:19" hidden="1" x14ac:dyDescent="0.3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ref="N451:N514" si="35">C451+IF(D451=6,2,0) +SUM(O451:R451) +SUM(I451:M451)/10</f>
        <v>40.4</v>
      </c>
      <c r="O451">
        <f t="shared" ref="O451:O514" si="36">IF(E451=2,0,IF(E451=3,4,IF(E451=4,6,IF(E451=5,8,IF(E451=6,10,0)))))</f>
        <v>0</v>
      </c>
      <c r="P451">
        <f t="shared" ref="P451:P514" si="37">IF(F451=2,0,IF(F451=3,4,IF(F451=4,6,IF(F451=5,8,IF(F451=6,10,0)))))</f>
        <v>0</v>
      </c>
      <c r="Q451">
        <f t="shared" ref="Q451:Q514" si="38">IF(G451=2,0,IF(G451=3,4,IF(G451=4,6,IF(G451=5,8,IF(G451=6,10,0)))))</f>
        <v>0</v>
      </c>
      <c r="R451">
        <f t="shared" ref="R451:R514" si="39">IF(H451=2,0,IF(H451=3,4,IF(H451=4,6,IF(H451=5,8,IF(H451=6,10,0)))))</f>
        <v>10</v>
      </c>
      <c r="S451">
        <v>1</v>
      </c>
    </row>
    <row r="452" spans="1:19" hidden="1" x14ac:dyDescent="0.3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35"/>
        <v>50.2</v>
      </c>
      <c r="O452">
        <f t="shared" si="36"/>
        <v>6</v>
      </c>
      <c r="P452">
        <f t="shared" si="37"/>
        <v>10</v>
      </c>
      <c r="Q452">
        <f t="shared" si="38"/>
        <v>6</v>
      </c>
      <c r="R452">
        <f t="shared" si="39"/>
        <v>0</v>
      </c>
      <c r="S452">
        <v>1</v>
      </c>
    </row>
    <row r="453" spans="1:19" hidden="1" x14ac:dyDescent="0.3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35"/>
        <v>40.700000000000003</v>
      </c>
      <c r="O453">
        <f t="shared" si="36"/>
        <v>4</v>
      </c>
      <c r="P453">
        <f t="shared" si="37"/>
        <v>10</v>
      </c>
      <c r="Q453">
        <f t="shared" si="38"/>
        <v>4</v>
      </c>
      <c r="R453">
        <f t="shared" si="39"/>
        <v>0</v>
      </c>
      <c r="S453">
        <v>1</v>
      </c>
    </row>
    <row r="454" spans="1:19" hidden="1" x14ac:dyDescent="0.3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35"/>
        <v>66.7</v>
      </c>
      <c r="O454">
        <f t="shared" si="36"/>
        <v>6</v>
      </c>
      <c r="P454">
        <f t="shared" si="37"/>
        <v>10</v>
      </c>
      <c r="Q454">
        <f t="shared" si="38"/>
        <v>8</v>
      </c>
      <c r="R454">
        <f t="shared" si="39"/>
        <v>8</v>
      </c>
      <c r="S454">
        <v>1</v>
      </c>
    </row>
    <row r="455" spans="1:19" hidden="1" x14ac:dyDescent="0.3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35"/>
        <v>55.3</v>
      </c>
      <c r="O455">
        <f t="shared" si="36"/>
        <v>4</v>
      </c>
      <c r="P455">
        <f t="shared" si="37"/>
        <v>0</v>
      </c>
      <c r="Q455">
        <f t="shared" si="38"/>
        <v>4</v>
      </c>
      <c r="R455">
        <f t="shared" si="39"/>
        <v>10</v>
      </c>
      <c r="S455">
        <v>1</v>
      </c>
    </row>
    <row r="456" spans="1:19" hidden="1" x14ac:dyDescent="0.3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35"/>
        <v>63.1</v>
      </c>
      <c r="O456">
        <f t="shared" si="36"/>
        <v>10</v>
      </c>
      <c r="P456">
        <f t="shared" si="37"/>
        <v>8</v>
      </c>
      <c r="Q456">
        <f t="shared" si="38"/>
        <v>6</v>
      </c>
      <c r="R456">
        <f t="shared" si="39"/>
        <v>4</v>
      </c>
      <c r="S456">
        <v>1</v>
      </c>
    </row>
    <row r="457" spans="1:19" hidden="1" x14ac:dyDescent="0.3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35"/>
        <v>59.2</v>
      </c>
      <c r="O457">
        <f t="shared" si="36"/>
        <v>10</v>
      </c>
      <c r="P457">
        <f t="shared" si="37"/>
        <v>8</v>
      </c>
      <c r="Q457">
        <f t="shared" si="38"/>
        <v>10</v>
      </c>
      <c r="R457">
        <f t="shared" si="39"/>
        <v>4</v>
      </c>
      <c r="S457">
        <v>1</v>
      </c>
    </row>
    <row r="458" spans="1:19" hidden="1" x14ac:dyDescent="0.3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35"/>
        <v>52.7</v>
      </c>
      <c r="O458">
        <f t="shared" si="36"/>
        <v>6</v>
      </c>
      <c r="P458">
        <f t="shared" si="37"/>
        <v>8</v>
      </c>
      <c r="Q458">
        <f t="shared" si="38"/>
        <v>0</v>
      </c>
      <c r="R458">
        <f t="shared" si="39"/>
        <v>8</v>
      </c>
      <c r="S458">
        <v>1</v>
      </c>
    </row>
    <row r="459" spans="1:19" hidden="1" x14ac:dyDescent="0.3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35"/>
        <v>39.700000000000003</v>
      </c>
      <c r="O459">
        <f t="shared" si="36"/>
        <v>8</v>
      </c>
      <c r="P459">
        <f t="shared" si="37"/>
        <v>4</v>
      </c>
      <c r="Q459">
        <f t="shared" si="38"/>
        <v>0</v>
      </c>
      <c r="R459">
        <f t="shared" si="39"/>
        <v>0</v>
      </c>
      <c r="S459">
        <v>1</v>
      </c>
    </row>
    <row r="460" spans="1:19" hidden="1" x14ac:dyDescent="0.3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35"/>
        <v>65.5</v>
      </c>
      <c r="O460">
        <f t="shared" si="36"/>
        <v>10</v>
      </c>
      <c r="P460">
        <f t="shared" si="37"/>
        <v>6</v>
      </c>
      <c r="Q460">
        <f t="shared" si="38"/>
        <v>10</v>
      </c>
      <c r="R460">
        <f t="shared" si="39"/>
        <v>10</v>
      </c>
      <c r="S460">
        <v>1</v>
      </c>
    </row>
    <row r="461" spans="1:19" hidden="1" x14ac:dyDescent="0.3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35"/>
        <v>40.1</v>
      </c>
      <c r="O461">
        <f t="shared" si="36"/>
        <v>4</v>
      </c>
      <c r="P461">
        <f t="shared" si="37"/>
        <v>6</v>
      </c>
      <c r="Q461">
        <f t="shared" si="38"/>
        <v>0</v>
      </c>
      <c r="R461">
        <f t="shared" si="39"/>
        <v>6</v>
      </c>
      <c r="S461">
        <v>1</v>
      </c>
    </row>
    <row r="462" spans="1:19" hidden="1" x14ac:dyDescent="0.3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35"/>
        <v>55.9</v>
      </c>
      <c r="O462">
        <f t="shared" si="36"/>
        <v>4</v>
      </c>
      <c r="P462">
        <f t="shared" si="37"/>
        <v>0</v>
      </c>
      <c r="Q462">
        <f t="shared" si="38"/>
        <v>4</v>
      </c>
      <c r="R462">
        <f t="shared" si="39"/>
        <v>8</v>
      </c>
      <c r="S462">
        <v>1</v>
      </c>
    </row>
    <row r="463" spans="1:19" hidden="1" x14ac:dyDescent="0.3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35"/>
        <v>67.3</v>
      </c>
      <c r="O463">
        <f t="shared" si="36"/>
        <v>4</v>
      </c>
      <c r="P463">
        <f t="shared" si="37"/>
        <v>10</v>
      </c>
      <c r="Q463">
        <f t="shared" si="38"/>
        <v>10</v>
      </c>
      <c r="R463">
        <f t="shared" si="39"/>
        <v>6</v>
      </c>
      <c r="S463">
        <v>1</v>
      </c>
    </row>
    <row r="464" spans="1:19" hidden="1" x14ac:dyDescent="0.3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35"/>
        <v>31.2</v>
      </c>
      <c r="O464">
        <f t="shared" si="36"/>
        <v>0</v>
      </c>
      <c r="P464">
        <f t="shared" si="37"/>
        <v>4</v>
      </c>
      <c r="Q464">
        <f t="shared" si="38"/>
        <v>0</v>
      </c>
      <c r="R464">
        <f t="shared" si="39"/>
        <v>4</v>
      </c>
      <c r="S464">
        <v>1</v>
      </c>
    </row>
    <row r="465" spans="1:19" hidden="1" x14ac:dyDescent="0.3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35"/>
        <v>69.900000000000006</v>
      </c>
      <c r="O465">
        <f t="shared" si="36"/>
        <v>8</v>
      </c>
      <c r="P465">
        <f t="shared" si="37"/>
        <v>10</v>
      </c>
      <c r="Q465">
        <f t="shared" si="38"/>
        <v>0</v>
      </c>
      <c r="R465">
        <f t="shared" si="39"/>
        <v>6</v>
      </c>
      <c r="S465">
        <v>1</v>
      </c>
    </row>
    <row r="466" spans="1:19" hidden="1" x14ac:dyDescent="0.3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35"/>
        <v>54.3</v>
      </c>
      <c r="O466">
        <f t="shared" si="36"/>
        <v>10</v>
      </c>
      <c r="P466">
        <f t="shared" si="37"/>
        <v>6</v>
      </c>
      <c r="Q466">
        <f t="shared" si="38"/>
        <v>8</v>
      </c>
      <c r="R466">
        <f t="shared" si="39"/>
        <v>0</v>
      </c>
      <c r="S466">
        <v>1</v>
      </c>
    </row>
    <row r="467" spans="1:19" hidden="1" x14ac:dyDescent="0.3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35"/>
        <v>51</v>
      </c>
      <c r="O467">
        <f t="shared" si="36"/>
        <v>8</v>
      </c>
      <c r="P467">
        <f t="shared" si="37"/>
        <v>6</v>
      </c>
      <c r="Q467">
        <f t="shared" si="38"/>
        <v>4</v>
      </c>
      <c r="R467">
        <f t="shared" si="39"/>
        <v>0</v>
      </c>
      <c r="S467">
        <v>1</v>
      </c>
    </row>
    <row r="468" spans="1:19" hidden="1" x14ac:dyDescent="0.3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35"/>
        <v>47.2</v>
      </c>
      <c r="O468">
        <f t="shared" si="36"/>
        <v>10</v>
      </c>
      <c r="P468">
        <f t="shared" si="37"/>
        <v>0</v>
      </c>
      <c r="Q468">
        <f t="shared" si="38"/>
        <v>8</v>
      </c>
      <c r="R468">
        <f t="shared" si="39"/>
        <v>0</v>
      </c>
      <c r="S468">
        <v>1</v>
      </c>
    </row>
    <row r="469" spans="1:19" hidden="1" x14ac:dyDescent="0.3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35"/>
        <v>52</v>
      </c>
      <c r="O469">
        <f t="shared" si="36"/>
        <v>10</v>
      </c>
      <c r="P469">
        <f t="shared" si="37"/>
        <v>0</v>
      </c>
      <c r="Q469">
        <f t="shared" si="38"/>
        <v>8</v>
      </c>
      <c r="R469">
        <f t="shared" si="39"/>
        <v>6</v>
      </c>
      <c r="S469">
        <v>1</v>
      </c>
    </row>
    <row r="470" spans="1:19" hidden="1" x14ac:dyDescent="0.3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35"/>
        <v>38.6</v>
      </c>
      <c r="O470">
        <f t="shared" si="36"/>
        <v>4</v>
      </c>
      <c r="P470">
        <f t="shared" si="37"/>
        <v>4</v>
      </c>
      <c r="Q470">
        <f t="shared" si="38"/>
        <v>0</v>
      </c>
      <c r="R470">
        <f t="shared" si="39"/>
        <v>10</v>
      </c>
      <c r="S470">
        <v>1</v>
      </c>
    </row>
    <row r="471" spans="1:19" hidden="1" x14ac:dyDescent="0.3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35"/>
        <v>53.5</v>
      </c>
      <c r="O471">
        <f t="shared" si="36"/>
        <v>0</v>
      </c>
      <c r="P471">
        <f t="shared" si="37"/>
        <v>8</v>
      </c>
      <c r="Q471">
        <f t="shared" si="38"/>
        <v>10</v>
      </c>
      <c r="R471">
        <f t="shared" si="39"/>
        <v>0</v>
      </c>
      <c r="S471">
        <v>1</v>
      </c>
    </row>
    <row r="472" spans="1:19" hidden="1" x14ac:dyDescent="0.3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35"/>
        <v>56.6</v>
      </c>
      <c r="O472">
        <f t="shared" si="36"/>
        <v>6</v>
      </c>
      <c r="P472">
        <f t="shared" si="37"/>
        <v>4</v>
      </c>
      <c r="Q472">
        <f t="shared" si="38"/>
        <v>4</v>
      </c>
      <c r="R472">
        <f t="shared" si="39"/>
        <v>0</v>
      </c>
      <c r="S472">
        <v>1</v>
      </c>
    </row>
    <row r="473" spans="1:19" hidden="1" x14ac:dyDescent="0.3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35"/>
        <v>53.3</v>
      </c>
      <c r="O473">
        <f t="shared" si="36"/>
        <v>4</v>
      </c>
      <c r="P473">
        <f t="shared" si="37"/>
        <v>4</v>
      </c>
      <c r="Q473">
        <f t="shared" si="38"/>
        <v>8</v>
      </c>
      <c r="R473">
        <f t="shared" si="39"/>
        <v>6</v>
      </c>
      <c r="S473">
        <v>1</v>
      </c>
    </row>
    <row r="474" spans="1:19" hidden="1" x14ac:dyDescent="0.3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35"/>
        <v>59.3</v>
      </c>
      <c r="O474">
        <f t="shared" si="36"/>
        <v>0</v>
      </c>
      <c r="P474">
        <f t="shared" si="37"/>
        <v>4</v>
      </c>
      <c r="Q474">
        <f t="shared" si="38"/>
        <v>6</v>
      </c>
      <c r="R474">
        <f t="shared" si="39"/>
        <v>6</v>
      </c>
      <c r="S474">
        <v>1</v>
      </c>
    </row>
    <row r="475" spans="1:19" hidden="1" x14ac:dyDescent="0.3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35"/>
        <v>49.5</v>
      </c>
      <c r="O475">
        <f t="shared" si="36"/>
        <v>4</v>
      </c>
      <c r="P475">
        <f t="shared" si="37"/>
        <v>4</v>
      </c>
      <c r="Q475">
        <f t="shared" si="38"/>
        <v>6</v>
      </c>
      <c r="R475">
        <f t="shared" si="39"/>
        <v>8</v>
      </c>
      <c r="S475">
        <v>1</v>
      </c>
    </row>
    <row r="476" spans="1:19" hidden="1" x14ac:dyDescent="0.3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35"/>
        <v>52.2</v>
      </c>
      <c r="O476">
        <f t="shared" si="36"/>
        <v>8</v>
      </c>
      <c r="P476">
        <f t="shared" si="37"/>
        <v>10</v>
      </c>
      <c r="Q476">
        <f t="shared" si="38"/>
        <v>0</v>
      </c>
      <c r="R476">
        <f t="shared" si="39"/>
        <v>8</v>
      </c>
      <c r="S476">
        <v>1</v>
      </c>
    </row>
    <row r="477" spans="1:19" hidden="1" x14ac:dyDescent="0.3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35"/>
        <v>51.4</v>
      </c>
      <c r="O477">
        <f t="shared" si="36"/>
        <v>8</v>
      </c>
      <c r="P477">
        <f t="shared" si="37"/>
        <v>0</v>
      </c>
      <c r="Q477">
        <f t="shared" si="38"/>
        <v>10</v>
      </c>
      <c r="R477">
        <f t="shared" si="39"/>
        <v>10</v>
      </c>
      <c r="S477">
        <v>1</v>
      </c>
    </row>
    <row r="478" spans="1:19" hidden="1" x14ac:dyDescent="0.3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35"/>
        <v>63.3</v>
      </c>
      <c r="O478">
        <f t="shared" si="36"/>
        <v>4</v>
      </c>
      <c r="P478">
        <f t="shared" si="37"/>
        <v>10</v>
      </c>
      <c r="Q478">
        <f t="shared" si="38"/>
        <v>0</v>
      </c>
      <c r="R478">
        <f t="shared" si="39"/>
        <v>10</v>
      </c>
      <c r="S478">
        <v>1</v>
      </c>
    </row>
    <row r="479" spans="1:19" hidden="1" x14ac:dyDescent="0.3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35"/>
        <v>67.7</v>
      </c>
      <c r="O479">
        <f t="shared" si="36"/>
        <v>0</v>
      </c>
      <c r="P479">
        <f t="shared" si="37"/>
        <v>6</v>
      </c>
      <c r="Q479">
        <f t="shared" si="38"/>
        <v>10</v>
      </c>
      <c r="R479">
        <f t="shared" si="39"/>
        <v>10</v>
      </c>
      <c r="S479">
        <v>1</v>
      </c>
    </row>
    <row r="480" spans="1:19" hidden="1" x14ac:dyDescent="0.3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35"/>
        <v>46.6</v>
      </c>
      <c r="O480">
        <f t="shared" si="36"/>
        <v>10</v>
      </c>
      <c r="P480">
        <f t="shared" si="37"/>
        <v>8</v>
      </c>
      <c r="Q480">
        <f t="shared" si="38"/>
        <v>0</v>
      </c>
      <c r="R480">
        <f t="shared" si="39"/>
        <v>6</v>
      </c>
      <c r="S480">
        <v>1</v>
      </c>
    </row>
    <row r="481" spans="1:19" hidden="1" x14ac:dyDescent="0.3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35"/>
        <v>46.9</v>
      </c>
      <c r="O481">
        <f t="shared" si="36"/>
        <v>0</v>
      </c>
      <c r="P481">
        <f t="shared" si="37"/>
        <v>10</v>
      </c>
      <c r="Q481">
        <f t="shared" si="38"/>
        <v>0</v>
      </c>
      <c r="R481">
        <f t="shared" si="39"/>
        <v>8</v>
      </c>
      <c r="S481">
        <v>1</v>
      </c>
    </row>
    <row r="482" spans="1:19" hidden="1" x14ac:dyDescent="0.3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35"/>
        <v>30.6</v>
      </c>
      <c r="O482">
        <f t="shared" si="36"/>
        <v>0</v>
      </c>
      <c r="P482">
        <f t="shared" si="37"/>
        <v>0</v>
      </c>
      <c r="Q482">
        <f t="shared" si="38"/>
        <v>6</v>
      </c>
      <c r="R482">
        <f t="shared" si="39"/>
        <v>0</v>
      </c>
      <c r="S482">
        <v>1</v>
      </c>
    </row>
    <row r="483" spans="1:19" hidden="1" x14ac:dyDescent="0.3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35"/>
        <v>40</v>
      </c>
      <c r="O483">
        <f t="shared" si="36"/>
        <v>4</v>
      </c>
      <c r="P483">
        <f t="shared" si="37"/>
        <v>0</v>
      </c>
      <c r="Q483">
        <f t="shared" si="38"/>
        <v>4</v>
      </c>
      <c r="R483">
        <f t="shared" si="39"/>
        <v>4</v>
      </c>
      <c r="S483">
        <v>1</v>
      </c>
    </row>
    <row r="484" spans="1:19" hidden="1" x14ac:dyDescent="0.3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35"/>
        <v>43.3</v>
      </c>
      <c r="O484">
        <f t="shared" si="36"/>
        <v>0</v>
      </c>
      <c r="P484">
        <f t="shared" si="37"/>
        <v>0</v>
      </c>
      <c r="Q484">
        <f t="shared" si="38"/>
        <v>4</v>
      </c>
      <c r="R484">
        <f t="shared" si="39"/>
        <v>4</v>
      </c>
      <c r="S484">
        <v>1</v>
      </c>
    </row>
    <row r="485" spans="1:19" hidden="1" x14ac:dyDescent="0.3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35"/>
        <v>45.7</v>
      </c>
      <c r="O485">
        <f t="shared" si="36"/>
        <v>10</v>
      </c>
      <c r="P485">
        <f t="shared" si="37"/>
        <v>4</v>
      </c>
      <c r="Q485">
        <f t="shared" si="38"/>
        <v>0</v>
      </c>
      <c r="R485">
        <f t="shared" si="39"/>
        <v>8</v>
      </c>
      <c r="S485">
        <v>1</v>
      </c>
    </row>
    <row r="486" spans="1:19" hidden="1" x14ac:dyDescent="0.3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35"/>
        <v>54</v>
      </c>
      <c r="O486">
        <f t="shared" si="36"/>
        <v>10</v>
      </c>
      <c r="P486">
        <f t="shared" si="37"/>
        <v>6</v>
      </c>
      <c r="Q486">
        <f t="shared" si="38"/>
        <v>4</v>
      </c>
      <c r="R486">
        <f t="shared" si="39"/>
        <v>0</v>
      </c>
      <c r="S486">
        <v>1</v>
      </c>
    </row>
    <row r="487" spans="1:19" hidden="1" x14ac:dyDescent="0.3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35"/>
        <v>56.7</v>
      </c>
      <c r="O487">
        <f t="shared" si="36"/>
        <v>8</v>
      </c>
      <c r="P487">
        <f t="shared" si="37"/>
        <v>10</v>
      </c>
      <c r="Q487">
        <f t="shared" si="38"/>
        <v>0</v>
      </c>
      <c r="R487">
        <f t="shared" si="39"/>
        <v>8</v>
      </c>
      <c r="S487">
        <v>1</v>
      </c>
    </row>
    <row r="488" spans="1:19" hidden="1" x14ac:dyDescent="0.3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35"/>
        <v>56.5</v>
      </c>
      <c r="O488">
        <f t="shared" si="36"/>
        <v>8</v>
      </c>
      <c r="P488">
        <f t="shared" si="37"/>
        <v>10</v>
      </c>
      <c r="Q488">
        <f t="shared" si="38"/>
        <v>0</v>
      </c>
      <c r="R488">
        <f t="shared" si="39"/>
        <v>8</v>
      </c>
      <c r="S488">
        <v>1</v>
      </c>
    </row>
    <row r="489" spans="1:19" hidden="1" x14ac:dyDescent="0.3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35"/>
        <v>38.299999999999997</v>
      </c>
      <c r="O489">
        <f t="shared" si="36"/>
        <v>4</v>
      </c>
      <c r="P489">
        <f t="shared" si="37"/>
        <v>10</v>
      </c>
      <c r="Q489">
        <f t="shared" si="38"/>
        <v>6</v>
      </c>
      <c r="R489">
        <f t="shared" si="39"/>
        <v>0</v>
      </c>
      <c r="S489">
        <v>1</v>
      </c>
    </row>
    <row r="490" spans="1:19" hidden="1" x14ac:dyDescent="0.3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35"/>
        <v>47.3</v>
      </c>
      <c r="O490">
        <f t="shared" si="36"/>
        <v>10</v>
      </c>
      <c r="P490">
        <f t="shared" si="37"/>
        <v>6</v>
      </c>
      <c r="Q490">
        <f t="shared" si="38"/>
        <v>10</v>
      </c>
      <c r="R490">
        <f t="shared" si="39"/>
        <v>0</v>
      </c>
      <c r="S490">
        <v>1</v>
      </c>
    </row>
    <row r="491" spans="1:19" hidden="1" x14ac:dyDescent="0.3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35"/>
        <v>41.8</v>
      </c>
      <c r="O491">
        <f t="shared" si="36"/>
        <v>10</v>
      </c>
      <c r="P491">
        <f t="shared" si="37"/>
        <v>4</v>
      </c>
      <c r="Q491">
        <f t="shared" si="38"/>
        <v>0</v>
      </c>
      <c r="R491">
        <f t="shared" si="39"/>
        <v>4</v>
      </c>
      <c r="S491">
        <v>1</v>
      </c>
    </row>
    <row r="492" spans="1:19" hidden="1" x14ac:dyDescent="0.3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35"/>
        <v>80.099999999999994</v>
      </c>
      <c r="O492">
        <f t="shared" si="36"/>
        <v>8</v>
      </c>
      <c r="P492">
        <f t="shared" si="37"/>
        <v>10</v>
      </c>
      <c r="Q492">
        <f t="shared" si="38"/>
        <v>8</v>
      </c>
      <c r="R492">
        <f t="shared" si="39"/>
        <v>6</v>
      </c>
      <c r="S492">
        <v>1</v>
      </c>
    </row>
    <row r="493" spans="1:19" hidden="1" x14ac:dyDescent="0.3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35"/>
        <v>55.8</v>
      </c>
      <c r="O493">
        <f t="shared" si="36"/>
        <v>6</v>
      </c>
      <c r="P493">
        <f t="shared" si="37"/>
        <v>0</v>
      </c>
      <c r="Q493">
        <f t="shared" si="38"/>
        <v>10</v>
      </c>
      <c r="R493">
        <f t="shared" si="39"/>
        <v>10</v>
      </c>
      <c r="S493">
        <v>1</v>
      </c>
    </row>
    <row r="494" spans="1:19" hidden="1" x14ac:dyDescent="0.3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35"/>
        <v>54.2</v>
      </c>
      <c r="O494">
        <f t="shared" si="36"/>
        <v>4</v>
      </c>
      <c r="P494">
        <f t="shared" si="37"/>
        <v>10</v>
      </c>
      <c r="Q494">
        <f t="shared" si="38"/>
        <v>8</v>
      </c>
      <c r="R494">
        <f t="shared" si="39"/>
        <v>6</v>
      </c>
      <c r="S494">
        <v>1</v>
      </c>
    </row>
    <row r="495" spans="1:19" hidden="1" x14ac:dyDescent="0.3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35"/>
        <v>45.1</v>
      </c>
      <c r="O495">
        <f t="shared" si="36"/>
        <v>4</v>
      </c>
      <c r="P495">
        <f t="shared" si="37"/>
        <v>6</v>
      </c>
      <c r="Q495">
        <f t="shared" si="38"/>
        <v>8</v>
      </c>
      <c r="R495">
        <f t="shared" si="39"/>
        <v>6</v>
      </c>
      <c r="S495">
        <v>1</v>
      </c>
    </row>
    <row r="496" spans="1:19" hidden="1" x14ac:dyDescent="0.3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35"/>
        <v>48.6</v>
      </c>
      <c r="O496">
        <f t="shared" si="36"/>
        <v>0</v>
      </c>
      <c r="P496">
        <f t="shared" si="37"/>
        <v>8</v>
      </c>
      <c r="Q496">
        <f t="shared" si="38"/>
        <v>8</v>
      </c>
      <c r="R496">
        <f t="shared" si="39"/>
        <v>6</v>
      </c>
      <c r="S496">
        <v>1</v>
      </c>
    </row>
    <row r="497" spans="1:19" hidden="1" x14ac:dyDescent="0.3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35"/>
        <v>52.4</v>
      </c>
      <c r="O497">
        <f t="shared" si="36"/>
        <v>4</v>
      </c>
      <c r="P497">
        <f t="shared" si="37"/>
        <v>4</v>
      </c>
      <c r="Q497">
        <f t="shared" si="38"/>
        <v>10</v>
      </c>
      <c r="R497">
        <f t="shared" si="39"/>
        <v>4</v>
      </c>
      <c r="S497">
        <v>1</v>
      </c>
    </row>
    <row r="498" spans="1:19" hidden="1" x14ac:dyDescent="0.3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35"/>
        <v>65.099999999999994</v>
      </c>
      <c r="O498">
        <f t="shared" si="36"/>
        <v>10</v>
      </c>
      <c r="P498">
        <f t="shared" si="37"/>
        <v>10</v>
      </c>
      <c r="Q498">
        <f t="shared" si="38"/>
        <v>10</v>
      </c>
      <c r="R498">
        <f t="shared" si="39"/>
        <v>8</v>
      </c>
      <c r="S498">
        <v>1</v>
      </c>
    </row>
    <row r="499" spans="1:19" hidden="1" x14ac:dyDescent="0.3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35"/>
        <v>65.2</v>
      </c>
      <c r="O499">
        <f t="shared" si="36"/>
        <v>10</v>
      </c>
      <c r="P499">
        <f t="shared" si="37"/>
        <v>8</v>
      </c>
      <c r="Q499">
        <f t="shared" si="38"/>
        <v>6</v>
      </c>
      <c r="R499">
        <f t="shared" si="39"/>
        <v>6</v>
      </c>
      <c r="S499">
        <v>1</v>
      </c>
    </row>
    <row r="500" spans="1:19" hidden="1" x14ac:dyDescent="0.3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35"/>
        <v>41</v>
      </c>
      <c r="O500">
        <f t="shared" si="36"/>
        <v>10</v>
      </c>
      <c r="P500">
        <f t="shared" si="37"/>
        <v>0</v>
      </c>
      <c r="Q500">
        <f t="shared" si="38"/>
        <v>6</v>
      </c>
      <c r="R500">
        <f t="shared" si="39"/>
        <v>4</v>
      </c>
      <c r="S500">
        <v>1</v>
      </c>
    </row>
    <row r="501" spans="1:19" hidden="1" x14ac:dyDescent="0.3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35"/>
        <v>64.5</v>
      </c>
      <c r="O501">
        <f t="shared" si="36"/>
        <v>10</v>
      </c>
      <c r="P501">
        <f t="shared" si="37"/>
        <v>4</v>
      </c>
      <c r="Q501">
        <f t="shared" si="38"/>
        <v>10</v>
      </c>
      <c r="R501">
        <f t="shared" si="39"/>
        <v>0</v>
      </c>
      <c r="S501">
        <v>1</v>
      </c>
    </row>
    <row r="502" spans="1:19" hidden="1" x14ac:dyDescent="0.3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35"/>
        <v>54.9</v>
      </c>
      <c r="O502">
        <f t="shared" si="36"/>
        <v>6</v>
      </c>
      <c r="P502">
        <f t="shared" si="37"/>
        <v>10</v>
      </c>
      <c r="Q502">
        <f t="shared" si="38"/>
        <v>4</v>
      </c>
      <c r="R502">
        <f t="shared" si="39"/>
        <v>10</v>
      </c>
      <c r="S502">
        <v>1</v>
      </c>
    </row>
    <row r="503" spans="1:19" hidden="1" x14ac:dyDescent="0.3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35"/>
        <v>63.6</v>
      </c>
      <c r="O503">
        <f t="shared" si="36"/>
        <v>8</v>
      </c>
      <c r="P503">
        <f t="shared" si="37"/>
        <v>10</v>
      </c>
      <c r="Q503">
        <f t="shared" si="38"/>
        <v>4</v>
      </c>
      <c r="R503">
        <f t="shared" si="39"/>
        <v>4</v>
      </c>
      <c r="S503">
        <v>1</v>
      </c>
    </row>
    <row r="504" spans="1:19" hidden="1" x14ac:dyDescent="0.3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35"/>
        <v>63.1</v>
      </c>
      <c r="O504">
        <f t="shared" si="36"/>
        <v>6</v>
      </c>
      <c r="P504">
        <f t="shared" si="37"/>
        <v>4</v>
      </c>
      <c r="Q504">
        <f t="shared" si="38"/>
        <v>4</v>
      </c>
      <c r="R504">
        <f t="shared" si="39"/>
        <v>10</v>
      </c>
      <c r="S504">
        <v>1</v>
      </c>
    </row>
    <row r="505" spans="1:19" hidden="1" x14ac:dyDescent="0.3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35"/>
        <v>51.4</v>
      </c>
      <c r="O505">
        <f t="shared" si="36"/>
        <v>10</v>
      </c>
      <c r="P505">
        <f t="shared" si="37"/>
        <v>4</v>
      </c>
      <c r="Q505">
        <f t="shared" si="38"/>
        <v>6</v>
      </c>
      <c r="R505">
        <f t="shared" si="39"/>
        <v>0</v>
      </c>
      <c r="S505">
        <v>1</v>
      </c>
    </row>
    <row r="506" spans="1:19" hidden="1" x14ac:dyDescent="0.3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35"/>
        <v>71.7</v>
      </c>
      <c r="O506">
        <f t="shared" si="36"/>
        <v>10</v>
      </c>
      <c r="P506">
        <f t="shared" si="37"/>
        <v>10</v>
      </c>
      <c r="Q506">
        <f t="shared" si="38"/>
        <v>8</v>
      </c>
      <c r="R506">
        <f t="shared" si="39"/>
        <v>4</v>
      </c>
      <c r="S506">
        <v>1</v>
      </c>
    </row>
    <row r="507" spans="1:19" hidden="1" x14ac:dyDescent="0.3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35"/>
        <v>41.7</v>
      </c>
      <c r="O507">
        <f t="shared" si="36"/>
        <v>8</v>
      </c>
      <c r="P507">
        <f t="shared" si="37"/>
        <v>0</v>
      </c>
      <c r="Q507">
        <f t="shared" si="38"/>
        <v>0</v>
      </c>
      <c r="R507">
        <f t="shared" si="39"/>
        <v>0</v>
      </c>
      <c r="S507">
        <v>1</v>
      </c>
    </row>
    <row r="508" spans="1:19" hidden="1" x14ac:dyDescent="0.3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35"/>
        <v>63.5</v>
      </c>
      <c r="O508">
        <f t="shared" si="36"/>
        <v>4</v>
      </c>
      <c r="P508">
        <f t="shared" si="37"/>
        <v>6</v>
      </c>
      <c r="Q508">
        <f t="shared" si="38"/>
        <v>8</v>
      </c>
      <c r="R508">
        <f t="shared" si="39"/>
        <v>8</v>
      </c>
      <c r="S508">
        <v>1</v>
      </c>
    </row>
    <row r="509" spans="1:19" hidden="1" x14ac:dyDescent="0.3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35"/>
        <v>60.1</v>
      </c>
      <c r="O509">
        <f t="shared" si="36"/>
        <v>4</v>
      </c>
      <c r="P509">
        <f t="shared" si="37"/>
        <v>10</v>
      </c>
      <c r="Q509">
        <f t="shared" si="38"/>
        <v>10</v>
      </c>
      <c r="R509">
        <f t="shared" si="39"/>
        <v>4</v>
      </c>
      <c r="S509">
        <v>1</v>
      </c>
    </row>
    <row r="510" spans="1:19" hidden="1" x14ac:dyDescent="0.3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35"/>
        <v>59.7</v>
      </c>
      <c r="O510">
        <f t="shared" si="36"/>
        <v>8</v>
      </c>
      <c r="P510">
        <f t="shared" si="37"/>
        <v>0</v>
      </c>
      <c r="Q510">
        <f t="shared" si="38"/>
        <v>10</v>
      </c>
      <c r="R510">
        <f t="shared" si="39"/>
        <v>10</v>
      </c>
      <c r="S510">
        <v>1</v>
      </c>
    </row>
    <row r="511" spans="1:19" hidden="1" x14ac:dyDescent="0.3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35"/>
        <v>46.7</v>
      </c>
      <c r="O511">
        <f t="shared" si="36"/>
        <v>8</v>
      </c>
      <c r="P511">
        <f t="shared" si="37"/>
        <v>10</v>
      </c>
      <c r="Q511">
        <f t="shared" si="38"/>
        <v>0</v>
      </c>
      <c r="R511">
        <f t="shared" si="39"/>
        <v>6</v>
      </c>
      <c r="S511">
        <v>1</v>
      </c>
    </row>
    <row r="512" spans="1:19" hidden="1" x14ac:dyDescent="0.3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35"/>
        <v>52.2</v>
      </c>
      <c r="O512">
        <f t="shared" si="36"/>
        <v>6</v>
      </c>
      <c r="P512">
        <f t="shared" si="37"/>
        <v>8</v>
      </c>
      <c r="Q512">
        <f t="shared" si="38"/>
        <v>0</v>
      </c>
      <c r="R512">
        <f t="shared" si="39"/>
        <v>6</v>
      </c>
      <c r="S512">
        <v>1</v>
      </c>
    </row>
    <row r="513" spans="1:19" hidden="1" x14ac:dyDescent="0.3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35"/>
        <v>44.5</v>
      </c>
      <c r="O513">
        <f t="shared" si="36"/>
        <v>6</v>
      </c>
      <c r="P513">
        <f t="shared" si="37"/>
        <v>10</v>
      </c>
      <c r="Q513">
        <f t="shared" si="38"/>
        <v>0</v>
      </c>
      <c r="R513">
        <f t="shared" si="39"/>
        <v>0</v>
      </c>
      <c r="S513">
        <v>1</v>
      </c>
    </row>
    <row r="514" spans="1:19" hidden="1" x14ac:dyDescent="0.3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35"/>
        <v>49.7</v>
      </c>
      <c r="O514">
        <f t="shared" si="36"/>
        <v>0</v>
      </c>
      <c r="P514">
        <f t="shared" si="37"/>
        <v>4</v>
      </c>
      <c r="Q514">
        <f t="shared" si="38"/>
        <v>8</v>
      </c>
      <c r="R514">
        <f t="shared" si="39"/>
        <v>6</v>
      </c>
      <c r="S514">
        <v>1</v>
      </c>
    </row>
    <row r="515" spans="1:19" hidden="1" x14ac:dyDescent="0.3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ref="N515" si="40">C515+IF(D515=6,2,0) +SUM(O515:R515) +SUM(I515:M515)/10</f>
        <v>33.5</v>
      </c>
      <c r="O515">
        <f t="shared" ref="O515:R515" si="41">IF(E515=2,0,IF(E515=3,4,IF(E515=4,6,IF(E515=5,8,IF(E515=6,10,0)))))</f>
        <v>0</v>
      </c>
      <c r="P515">
        <f t="shared" si="41"/>
        <v>4</v>
      </c>
      <c r="Q515">
        <f t="shared" si="41"/>
        <v>0</v>
      </c>
      <c r="R515">
        <f t="shared" si="41"/>
        <v>10</v>
      </c>
      <c r="S515">
        <v>1</v>
      </c>
    </row>
  </sheetData>
  <autoFilter ref="A1:U515" xr:uid="{BF02FD39-093C-49AE-9E25-D6FE91C02466}">
    <filterColumn colId="13">
      <filters>
        <filter val="55,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D4C6F-5EA6-4C3E-B6C0-5E6D2C4B7327}">
  <sheetPr filterMode="1"/>
  <dimension ref="A1:S515"/>
  <sheetViews>
    <sheetView workbookViewId="0">
      <selection activeCell="A5" sqref="A5:B91"/>
    </sheetView>
  </sheetViews>
  <sheetFormatPr defaultRowHeight="14.5" x14ac:dyDescent="0.35"/>
  <cols>
    <col min="1" max="1" width="13.7265625" bestFit="1" customWidth="1"/>
    <col min="2" max="2" width="11.26953125" bestFit="1" customWidth="1"/>
    <col min="3" max="3" width="12.453125" bestFit="1" customWidth="1"/>
    <col min="4" max="4" width="13.08984375" bestFit="1" customWidth="1"/>
    <col min="5" max="5" width="4.81640625" bestFit="1" customWidth="1"/>
    <col min="6" max="6" width="6.54296875" bestFit="1" customWidth="1"/>
    <col min="7" max="7" width="6.1796875" bestFit="1" customWidth="1"/>
    <col min="8" max="8" width="7.36328125" bestFit="1" customWidth="1"/>
    <col min="9" max="9" width="6.7265625" bestFit="1" customWidth="1"/>
    <col min="10" max="10" width="6.90625" bestFit="1" customWidth="1"/>
    <col min="11" max="11" width="7.81640625" bestFit="1" customWidth="1"/>
    <col min="12" max="12" width="7.1796875" bestFit="1" customWidth="1"/>
    <col min="13" max="13" width="6.08984375" bestFit="1" customWidth="1"/>
  </cols>
  <sheetData>
    <row r="1" spans="1:1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685</v>
      </c>
      <c r="O1" s="17" t="s">
        <v>686</v>
      </c>
      <c r="P1" s="17" t="s">
        <v>687</v>
      </c>
      <c r="Q1" s="17" t="s">
        <v>688</v>
      </c>
      <c r="R1" s="17" t="s">
        <v>689</v>
      </c>
      <c r="S1" s="17" t="s">
        <v>684</v>
      </c>
    </row>
    <row r="2" spans="1:19" hidden="1" x14ac:dyDescent="0.3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IF(I2=100,1,0)</f>
        <v>0</v>
      </c>
      <c r="O2">
        <f t="shared" ref="O2:R17" si="0">IF(J2=100,1,0)</f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>IF(SUM(N2:R2)&gt;=3,1,0)</f>
        <v>0</v>
      </c>
    </row>
    <row r="3" spans="1:19" hidden="1" x14ac:dyDescent="0.3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ref="N3:R66" si="1">IF(I3=100,1,0)</f>
        <v>0</v>
      </c>
      <c r="O3">
        <f t="shared" si="0"/>
        <v>0</v>
      </c>
      <c r="P3">
        <f t="shared" si="0"/>
        <v>0</v>
      </c>
      <c r="Q3">
        <f t="shared" si="0"/>
        <v>0</v>
      </c>
      <c r="R3">
        <f t="shared" si="0"/>
        <v>0</v>
      </c>
      <c r="S3">
        <f t="shared" ref="S3:S66" si="2">IF(SUM(N3:R3)&gt;=3,1,0)</f>
        <v>0</v>
      </c>
    </row>
    <row r="4" spans="1:19" hidden="1" x14ac:dyDescent="0.3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1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2"/>
        <v>0</v>
      </c>
    </row>
    <row r="5" spans="1:19" x14ac:dyDescent="0.3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1"/>
        <v>0</v>
      </c>
      <c r="O5">
        <f t="shared" si="0"/>
        <v>1</v>
      </c>
      <c r="P5">
        <f t="shared" si="0"/>
        <v>1</v>
      </c>
      <c r="Q5">
        <f t="shared" si="0"/>
        <v>1</v>
      </c>
      <c r="R5">
        <f t="shared" si="0"/>
        <v>0</v>
      </c>
      <c r="S5">
        <f t="shared" si="2"/>
        <v>1</v>
      </c>
    </row>
    <row r="6" spans="1:19" hidden="1" x14ac:dyDescent="0.3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1"/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2"/>
        <v>0</v>
      </c>
    </row>
    <row r="7" spans="1:19" hidden="1" x14ac:dyDescent="0.3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1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2"/>
        <v>0</v>
      </c>
    </row>
    <row r="8" spans="1:19" hidden="1" x14ac:dyDescent="0.3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1"/>
        <v>0</v>
      </c>
      <c r="O8">
        <f t="shared" si="0"/>
        <v>0</v>
      </c>
      <c r="P8">
        <f t="shared" si="0"/>
        <v>0</v>
      </c>
      <c r="Q8">
        <f t="shared" si="0"/>
        <v>0</v>
      </c>
      <c r="R8">
        <f t="shared" si="0"/>
        <v>0</v>
      </c>
      <c r="S8">
        <f t="shared" si="2"/>
        <v>0</v>
      </c>
    </row>
    <row r="9" spans="1:19" hidden="1" x14ac:dyDescent="0.3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1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2"/>
        <v>0</v>
      </c>
    </row>
    <row r="10" spans="1:19" hidden="1" x14ac:dyDescent="0.3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1"/>
        <v>0</v>
      </c>
      <c r="O10">
        <f t="shared" si="0"/>
        <v>0</v>
      </c>
      <c r="P10">
        <f t="shared" si="0"/>
        <v>0</v>
      </c>
      <c r="Q10">
        <f t="shared" si="0"/>
        <v>0</v>
      </c>
      <c r="R10">
        <f t="shared" si="0"/>
        <v>0</v>
      </c>
      <c r="S10">
        <f t="shared" si="2"/>
        <v>0</v>
      </c>
    </row>
    <row r="11" spans="1:19" hidden="1" x14ac:dyDescent="0.3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1"/>
        <v>0</v>
      </c>
      <c r="O11">
        <f t="shared" si="0"/>
        <v>0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2"/>
        <v>0</v>
      </c>
    </row>
    <row r="12" spans="1:19" hidden="1" x14ac:dyDescent="0.3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1"/>
        <v>0</v>
      </c>
      <c r="O12">
        <f t="shared" si="0"/>
        <v>0</v>
      </c>
      <c r="P12">
        <f t="shared" si="0"/>
        <v>0</v>
      </c>
      <c r="Q12">
        <f t="shared" si="0"/>
        <v>0</v>
      </c>
      <c r="R12">
        <f t="shared" si="0"/>
        <v>0</v>
      </c>
      <c r="S12">
        <f t="shared" si="2"/>
        <v>0</v>
      </c>
    </row>
    <row r="13" spans="1:19" hidden="1" x14ac:dyDescent="0.3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1"/>
        <v>0</v>
      </c>
      <c r="O13">
        <f t="shared" si="0"/>
        <v>0</v>
      </c>
      <c r="P13">
        <f t="shared" si="0"/>
        <v>0</v>
      </c>
      <c r="Q13">
        <f t="shared" si="0"/>
        <v>0</v>
      </c>
      <c r="R13">
        <f t="shared" si="0"/>
        <v>0</v>
      </c>
      <c r="S13">
        <f t="shared" si="2"/>
        <v>0</v>
      </c>
    </row>
    <row r="14" spans="1:19" hidden="1" x14ac:dyDescent="0.3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1"/>
        <v>0</v>
      </c>
      <c r="O14">
        <f t="shared" si="0"/>
        <v>0</v>
      </c>
      <c r="P14">
        <f t="shared" si="0"/>
        <v>0</v>
      </c>
      <c r="Q14">
        <f t="shared" si="0"/>
        <v>0</v>
      </c>
      <c r="R14">
        <f t="shared" si="0"/>
        <v>0</v>
      </c>
      <c r="S14">
        <f t="shared" si="2"/>
        <v>0</v>
      </c>
    </row>
    <row r="15" spans="1:19" hidden="1" x14ac:dyDescent="0.3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1"/>
        <v>0</v>
      </c>
      <c r="O15">
        <f t="shared" si="0"/>
        <v>0</v>
      </c>
      <c r="P15">
        <f t="shared" si="0"/>
        <v>0</v>
      </c>
      <c r="Q15">
        <f t="shared" si="0"/>
        <v>0</v>
      </c>
      <c r="R15">
        <f t="shared" si="0"/>
        <v>0</v>
      </c>
      <c r="S15">
        <f t="shared" si="2"/>
        <v>0</v>
      </c>
    </row>
    <row r="16" spans="1:19" hidden="1" x14ac:dyDescent="0.3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1"/>
        <v>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2"/>
        <v>0</v>
      </c>
    </row>
    <row r="17" spans="1:19" hidden="1" x14ac:dyDescent="0.3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1"/>
        <v>0</v>
      </c>
      <c r="O17">
        <f t="shared" si="0"/>
        <v>0</v>
      </c>
      <c r="P17">
        <f t="shared" si="0"/>
        <v>0</v>
      </c>
      <c r="Q17">
        <f t="shared" si="0"/>
        <v>0</v>
      </c>
      <c r="R17">
        <f t="shared" si="0"/>
        <v>0</v>
      </c>
      <c r="S17">
        <f t="shared" si="2"/>
        <v>0</v>
      </c>
    </row>
    <row r="18" spans="1:19" hidden="1" x14ac:dyDescent="0.3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1"/>
        <v>0</v>
      </c>
      <c r="O18">
        <f t="shared" si="1"/>
        <v>0</v>
      </c>
      <c r="P18">
        <f t="shared" si="1"/>
        <v>0</v>
      </c>
      <c r="Q18">
        <f t="shared" si="1"/>
        <v>0</v>
      </c>
      <c r="R18">
        <f t="shared" si="1"/>
        <v>0</v>
      </c>
      <c r="S18">
        <f t="shared" si="2"/>
        <v>0</v>
      </c>
    </row>
    <row r="19" spans="1:19" hidden="1" x14ac:dyDescent="0.3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1"/>
        <v>0</v>
      </c>
      <c r="O19">
        <f t="shared" si="1"/>
        <v>0</v>
      </c>
      <c r="P19">
        <f t="shared" si="1"/>
        <v>0</v>
      </c>
      <c r="Q19">
        <f t="shared" si="1"/>
        <v>0</v>
      </c>
      <c r="R19">
        <f t="shared" si="1"/>
        <v>0</v>
      </c>
      <c r="S19">
        <f t="shared" si="2"/>
        <v>0</v>
      </c>
    </row>
    <row r="20" spans="1:19" hidden="1" x14ac:dyDescent="0.3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1"/>
        <v>0</v>
      </c>
      <c r="O20">
        <f t="shared" si="1"/>
        <v>0</v>
      </c>
      <c r="P20">
        <f t="shared" si="1"/>
        <v>0</v>
      </c>
      <c r="Q20">
        <f t="shared" si="1"/>
        <v>0</v>
      </c>
      <c r="R20">
        <f t="shared" si="1"/>
        <v>0</v>
      </c>
      <c r="S20">
        <f t="shared" si="2"/>
        <v>0</v>
      </c>
    </row>
    <row r="21" spans="1:19" hidden="1" x14ac:dyDescent="0.3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1"/>
        <v>0</v>
      </c>
      <c r="O21">
        <f t="shared" si="1"/>
        <v>0</v>
      </c>
      <c r="P21">
        <f t="shared" si="1"/>
        <v>0</v>
      </c>
      <c r="Q21">
        <f t="shared" si="1"/>
        <v>0</v>
      </c>
      <c r="R21">
        <f t="shared" si="1"/>
        <v>0</v>
      </c>
      <c r="S21">
        <f t="shared" si="2"/>
        <v>0</v>
      </c>
    </row>
    <row r="22" spans="1:19" hidden="1" x14ac:dyDescent="0.3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1"/>
        <v>0</v>
      </c>
      <c r="O22">
        <f t="shared" si="1"/>
        <v>0</v>
      </c>
      <c r="P22">
        <f t="shared" si="1"/>
        <v>0</v>
      </c>
      <c r="Q22">
        <f t="shared" si="1"/>
        <v>0</v>
      </c>
      <c r="R22">
        <f t="shared" si="1"/>
        <v>0</v>
      </c>
      <c r="S22">
        <f t="shared" si="2"/>
        <v>0</v>
      </c>
    </row>
    <row r="23" spans="1:19" x14ac:dyDescent="0.3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1"/>
        <v>0</v>
      </c>
      <c r="O23">
        <f t="shared" si="1"/>
        <v>1</v>
      </c>
      <c r="P23">
        <f t="shared" si="1"/>
        <v>1</v>
      </c>
      <c r="Q23">
        <f t="shared" si="1"/>
        <v>0</v>
      </c>
      <c r="R23">
        <f t="shared" si="1"/>
        <v>1</v>
      </c>
      <c r="S23">
        <f t="shared" si="2"/>
        <v>1</v>
      </c>
    </row>
    <row r="24" spans="1:19" hidden="1" x14ac:dyDescent="0.3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1"/>
        <v>0</v>
      </c>
      <c r="O24">
        <f t="shared" si="1"/>
        <v>0</v>
      </c>
      <c r="P24">
        <f t="shared" si="1"/>
        <v>0</v>
      </c>
      <c r="Q24">
        <f t="shared" si="1"/>
        <v>0</v>
      </c>
      <c r="R24">
        <f t="shared" si="1"/>
        <v>0</v>
      </c>
      <c r="S24">
        <f t="shared" si="2"/>
        <v>0</v>
      </c>
    </row>
    <row r="25" spans="1:19" hidden="1" x14ac:dyDescent="0.3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1"/>
        <v>0</v>
      </c>
      <c r="O25">
        <f t="shared" si="1"/>
        <v>0</v>
      </c>
      <c r="P25">
        <f t="shared" si="1"/>
        <v>0</v>
      </c>
      <c r="Q25">
        <f t="shared" si="1"/>
        <v>0</v>
      </c>
      <c r="R25">
        <f t="shared" si="1"/>
        <v>0</v>
      </c>
      <c r="S25">
        <f t="shared" si="2"/>
        <v>0</v>
      </c>
    </row>
    <row r="26" spans="1:19" hidden="1" x14ac:dyDescent="0.3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1"/>
        <v>0</v>
      </c>
      <c r="O26">
        <f t="shared" si="1"/>
        <v>0</v>
      </c>
      <c r="P26">
        <f t="shared" si="1"/>
        <v>0</v>
      </c>
      <c r="Q26">
        <f t="shared" si="1"/>
        <v>0</v>
      </c>
      <c r="R26">
        <f t="shared" si="1"/>
        <v>0</v>
      </c>
      <c r="S26">
        <f t="shared" si="2"/>
        <v>0</v>
      </c>
    </row>
    <row r="27" spans="1:19" hidden="1" x14ac:dyDescent="0.3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1"/>
        <v>0</v>
      </c>
      <c r="O27">
        <f t="shared" si="1"/>
        <v>0</v>
      </c>
      <c r="P27">
        <f t="shared" si="1"/>
        <v>0</v>
      </c>
      <c r="Q27">
        <f t="shared" si="1"/>
        <v>0</v>
      </c>
      <c r="R27">
        <f t="shared" si="1"/>
        <v>0</v>
      </c>
      <c r="S27">
        <f t="shared" si="2"/>
        <v>0</v>
      </c>
    </row>
    <row r="28" spans="1:19" hidden="1" x14ac:dyDescent="0.3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1"/>
        <v>0</v>
      </c>
      <c r="O28">
        <f t="shared" si="1"/>
        <v>0</v>
      </c>
      <c r="P28">
        <f t="shared" si="1"/>
        <v>0</v>
      </c>
      <c r="Q28">
        <f t="shared" si="1"/>
        <v>0</v>
      </c>
      <c r="R28">
        <f t="shared" si="1"/>
        <v>0</v>
      </c>
      <c r="S28">
        <f t="shared" si="2"/>
        <v>0</v>
      </c>
    </row>
    <row r="29" spans="1:19" hidden="1" x14ac:dyDescent="0.3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1"/>
        <v>0</v>
      </c>
      <c r="O29">
        <f t="shared" si="1"/>
        <v>0</v>
      </c>
      <c r="P29">
        <f t="shared" si="1"/>
        <v>0</v>
      </c>
      <c r="Q29">
        <f t="shared" si="1"/>
        <v>0</v>
      </c>
      <c r="R29">
        <f t="shared" si="1"/>
        <v>0</v>
      </c>
      <c r="S29">
        <f t="shared" si="2"/>
        <v>0</v>
      </c>
    </row>
    <row r="30" spans="1:19" hidden="1" x14ac:dyDescent="0.3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1"/>
        <v>0</v>
      </c>
      <c r="O30">
        <f t="shared" si="1"/>
        <v>0</v>
      </c>
      <c r="P30">
        <f t="shared" si="1"/>
        <v>0</v>
      </c>
      <c r="Q30">
        <f t="shared" si="1"/>
        <v>0</v>
      </c>
      <c r="R30">
        <f t="shared" si="1"/>
        <v>0</v>
      </c>
      <c r="S30">
        <f t="shared" si="2"/>
        <v>0</v>
      </c>
    </row>
    <row r="31" spans="1:19" hidden="1" x14ac:dyDescent="0.3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1"/>
        <v>0</v>
      </c>
      <c r="O31">
        <f t="shared" si="1"/>
        <v>0</v>
      </c>
      <c r="P31">
        <f t="shared" si="1"/>
        <v>0</v>
      </c>
      <c r="Q31">
        <f t="shared" si="1"/>
        <v>0</v>
      </c>
      <c r="R31">
        <f t="shared" si="1"/>
        <v>0</v>
      </c>
      <c r="S31">
        <f t="shared" si="2"/>
        <v>0</v>
      </c>
    </row>
    <row r="32" spans="1:19" hidden="1" x14ac:dyDescent="0.3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1"/>
        <v>0</v>
      </c>
      <c r="O32">
        <f t="shared" si="1"/>
        <v>0</v>
      </c>
      <c r="P32">
        <f t="shared" si="1"/>
        <v>0</v>
      </c>
      <c r="Q32">
        <f t="shared" si="1"/>
        <v>0</v>
      </c>
      <c r="R32">
        <f t="shared" si="1"/>
        <v>0</v>
      </c>
      <c r="S32">
        <f t="shared" si="2"/>
        <v>0</v>
      </c>
    </row>
    <row r="33" spans="1:19" hidden="1" x14ac:dyDescent="0.3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1"/>
        <v>0</v>
      </c>
      <c r="O33">
        <f t="shared" si="1"/>
        <v>0</v>
      </c>
      <c r="P33">
        <f t="shared" si="1"/>
        <v>0</v>
      </c>
      <c r="Q33">
        <f t="shared" si="1"/>
        <v>0</v>
      </c>
      <c r="R33">
        <f t="shared" si="1"/>
        <v>0</v>
      </c>
      <c r="S33">
        <f t="shared" si="2"/>
        <v>0</v>
      </c>
    </row>
    <row r="34" spans="1:19" hidden="1" x14ac:dyDescent="0.3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1"/>
        <v>0</v>
      </c>
      <c r="O34">
        <f t="shared" si="1"/>
        <v>0</v>
      </c>
      <c r="P34">
        <f t="shared" si="1"/>
        <v>0</v>
      </c>
      <c r="Q34">
        <f t="shared" si="1"/>
        <v>0</v>
      </c>
      <c r="R34">
        <f t="shared" si="1"/>
        <v>0</v>
      </c>
      <c r="S34">
        <f t="shared" si="2"/>
        <v>0</v>
      </c>
    </row>
    <row r="35" spans="1:19" hidden="1" x14ac:dyDescent="0.3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1"/>
        <v>0</v>
      </c>
      <c r="O35">
        <f t="shared" si="1"/>
        <v>0</v>
      </c>
      <c r="P35">
        <f t="shared" si="1"/>
        <v>0</v>
      </c>
      <c r="Q35">
        <f t="shared" si="1"/>
        <v>0</v>
      </c>
      <c r="R35">
        <f t="shared" si="1"/>
        <v>0</v>
      </c>
      <c r="S35">
        <f t="shared" si="2"/>
        <v>0</v>
      </c>
    </row>
    <row r="36" spans="1:19" hidden="1" x14ac:dyDescent="0.3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1"/>
        <v>0</v>
      </c>
      <c r="O36">
        <f t="shared" si="1"/>
        <v>0</v>
      </c>
      <c r="P36">
        <f t="shared" si="1"/>
        <v>0</v>
      </c>
      <c r="Q36">
        <f t="shared" si="1"/>
        <v>0</v>
      </c>
      <c r="R36">
        <f t="shared" si="1"/>
        <v>0</v>
      </c>
      <c r="S36">
        <f t="shared" si="2"/>
        <v>0</v>
      </c>
    </row>
    <row r="37" spans="1:19" hidden="1" x14ac:dyDescent="0.3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1"/>
        <v>0</v>
      </c>
      <c r="O37">
        <f t="shared" si="1"/>
        <v>0</v>
      </c>
      <c r="P37">
        <f t="shared" si="1"/>
        <v>0</v>
      </c>
      <c r="Q37">
        <f t="shared" si="1"/>
        <v>0</v>
      </c>
      <c r="R37">
        <f t="shared" si="1"/>
        <v>0</v>
      </c>
      <c r="S37">
        <f t="shared" si="2"/>
        <v>0</v>
      </c>
    </row>
    <row r="38" spans="1:19" hidden="1" x14ac:dyDescent="0.3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1"/>
        <v>0</v>
      </c>
      <c r="O38">
        <f t="shared" si="1"/>
        <v>0</v>
      </c>
      <c r="P38">
        <f t="shared" si="1"/>
        <v>0</v>
      </c>
      <c r="Q38">
        <f t="shared" si="1"/>
        <v>0</v>
      </c>
      <c r="R38">
        <f t="shared" si="1"/>
        <v>0</v>
      </c>
      <c r="S38">
        <f t="shared" si="2"/>
        <v>0</v>
      </c>
    </row>
    <row r="39" spans="1:19" hidden="1" x14ac:dyDescent="0.3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1"/>
        <v>0</v>
      </c>
      <c r="O39">
        <f t="shared" si="1"/>
        <v>0</v>
      </c>
      <c r="P39">
        <f t="shared" si="1"/>
        <v>0</v>
      </c>
      <c r="Q39">
        <f t="shared" si="1"/>
        <v>0</v>
      </c>
      <c r="R39">
        <f t="shared" si="1"/>
        <v>0</v>
      </c>
      <c r="S39">
        <f t="shared" si="2"/>
        <v>0</v>
      </c>
    </row>
    <row r="40" spans="1:19" hidden="1" x14ac:dyDescent="0.3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1"/>
        <v>0</v>
      </c>
      <c r="O40">
        <f t="shared" si="1"/>
        <v>0</v>
      </c>
      <c r="P40">
        <f t="shared" si="1"/>
        <v>0</v>
      </c>
      <c r="Q40">
        <f t="shared" si="1"/>
        <v>0</v>
      </c>
      <c r="R40">
        <f t="shared" si="1"/>
        <v>0</v>
      </c>
      <c r="S40">
        <f t="shared" si="2"/>
        <v>0</v>
      </c>
    </row>
    <row r="41" spans="1:19" hidden="1" x14ac:dyDescent="0.3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1"/>
        <v>0</v>
      </c>
      <c r="O41">
        <f t="shared" si="1"/>
        <v>0</v>
      </c>
      <c r="P41">
        <f t="shared" si="1"/>
        <v>0</v>
      </c>
      <c r="Q41">
        <f t="shared" si="1"/>
        <v>0</v>
      </c>
      <c r="R41">
        <f t="shared" si="1"/>
        <v>0</v>
      </c>
      <c r="S41">
        <f t="shared" si="2"/>
        <v>0</v>
      </c>
    </row>
    <row r="42" spans="1:19" hidden="1" x14ac:dyDescent="0.3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1"/>
        <v>0</v>
      </c>
      <c r="O42">
        <f t="shared" si="1"/>
        <v>0</v>
      </c>
      <c r="P42">
        <f t="shared" si="1"/>
        <v>0</v>
      </c>
      <c r="Q42">
        <f t="shared" si="1"/>
        <v>0</v>
      </c>
      <c r="R42">
        <f t="shared" si="1"/>
        <v>0</v>
      </c>
      <c r="S42">
        <f t="shared" si="2"/>
        <v>0</v>
      </c>
    </row>
    <row r="43" spans="1:19" hidden="1" x14ac:dyDescent="0.3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1"/>
        <v>0</v>
      </c>
      <c r="O43">
        <f t="shared" si="1"/>
        <v>0</v>
      </c>
      <c r="P43">
        <f t="shared" si="1"/>
        <v>0</v>
      </c>
      <c r="Q43">
        <f t="shared" si="1"/>
        <v>0</v>
      </c>
      <c r="R43">
        <f t="shared" si="1"/>
        <v>0</v>
      </c>
      <c r="S43">
        <f t="shared" si="2"/>
        <v>0</v>
      </c>
    </row>
    <row r="44" spans="1:19" hidden="1" x14ac:dyDescent="0.3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1"/>
        <v>0</v>
      </c>
      <c r="O44">
        <f t="shared" si="1"/>
        <v>0</v>
      </c>
      <c r="P44">
        <f t="shared" si="1"/>
        <v>0</v>
      </c>
      <c r="Q44">
        <f t="shared" si="1"/>
        <v>0</v>
      </c>
      <c r="R44">
        <f t="shared" si="1"/>
        <v>0</v>
      </c>
      <c r="S44">
        <f t="shared" si="2"/>
        <v>0</v>
      </c>
    </row>
    <row r="45" spans="1:19" hidden="1" x14ac:dyDescent="0.3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1"/>
        <v>0</v>
      </c>
      <c r="O45">
        <f t="shared" si="1"/>
        <v>0</v>
      </c>
      <c r="P45">
        <f t="shared" si="1"/>
        <v>0</v>
      </c>
      <c r="Q45">
        <f t="shared" si="1"/>
        <v>0</v>
      </c>
      <c r="R45">
        <f t="shared" si="1"/>
        <v>0</v>
      </c>
      <c r="S45">
        <f t="shared" si="2"/>
        <v>0</v>
      </c>
    </row>
    <row r="46" spans="1:19" hidden="1" x14ac:dyDescent="0.3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1"/>
        <v>0</v>
      </c>
      <c r="O46">
        <f t="shared" si="1"/>
        <v>0</v>
      </c>
      <c r="P46">
        <f t="shared" si="1"/>
        <v>0</v>
      </c>
      <c r="Q46">
        <f t="shared" si="1"/>
        <v>0</v>
      </c>
      <c r="R46">
        <f t="shared" si="1"/>
        <v>0</v>
      </c>
      <c r="S46">
        <f t="shared" si="2"/>
        <v>0</v>
      </c>
    </row>
    <row r="47" spans="1:19" hidden="1" x14ac:dyDescent="0.3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1"/>
        <v>0</v>
      </c>
      <c r="O47">
        <f t="shared" si="1"/>
        <v>0</v>
      </c>
      <c r="P47">
        <f t="shared" si="1"/>
        <v>0</v>
      </c>
      <c r="Q47">
        <f t="shared" si="1"/>
        <v>0</v>
      </c>
      <c r="R47">
        <f t="shared" si="1"/>
        <v>0</v>
      </c>
      <c r="S47">
        <f t="shared" si="2"/>
        <v>0</v>
      </c>
    </row>
    <row r="48" spans="1:19" hidden="1" x14ac:dyDescent="0.3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1"/>
        <v>0</v>
      </c>
      <c r="O48">
        <f t="shared" si="1"/>
        <v>0</v>
      </c>
      <c r="P48">
        <f t="shared" si="1"/>
        <v>0</v>
      </c>
      <c r="Q48">
        <f t="shared" si="1"/>
        <v>0</v>
      </c>
      <c r="R48">
        <f t="shared" si="1"/>
        <v>0</v>
      </c>
      <c r="S48">
        <f t="shared" si="2"/>
        <v>0</v>
      </c>
    </row>
    <row r="49" spans="1:19" hidden="1" x14ac:dyDescent="0.3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1"/>
        <v>0</v>
      </c>
      <c r="O49">
        <f t="shared" si="1"/>
        <v>0</v>
      </c>
      <c r="P49">
        <f t="shared" si="1"/>
        <v>0</v>
      </c>
      <c r="Q49">
        <f t="shared" si="1"/>
        <v>0</v>
      </c>
      <c r="R49">
        <f t="shared" si="1"/>
        <v>0</v>
      </c>
      <c r="S49">
        <f t="shared" si="2"/>
        <v>0</v>
      </c>
    </row>
    <row r="50" spans="1:19" hidden="1" x14ac:dyDescent="0.3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1"/>
        <v>0</v>
      </c>
      <c r="O50">
        <f t="shared" si="1"/>
        <v>0</v>
      </c>
      <c r="P50">
        <f t="shared" si="1"/>
        <v>0</v>
      </c>
      <c r="Q50">
        <f t="shared" si="1"/>
        <v>0</v>
      </c>
      <c r="R50">
        <f t="shared" si="1"/>
        <v>0</v>
      </c>
      <c r="S50">
        <f t="shared" si="2"/>
        <v>0</v>
      </c>
    </row>
    <row r="51" spans="1:19" hidden="1" x14ac:dyDescent="0.3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1"/>
        <v>0</v>
      </c>
      <c r="O51">
        <f t="shared" si="1"/>
        <v>0</v>
      </c>
      <c r="P51">
        <f t="shared" si="1"/>
        <v>0</v>
      </c>
      <c r="Q51">
        <f t="shared" si="1"/>
        <v>0</v>
      </c>
      <c r="R51">
        <f t="shared" si="1"/>
        <v>0</v>
      </c>
      <c r="S51">
        <f t="shared" si="2"/>
        <v>0</v>
      </c>
    </row>
    <row r="52" spans="1:19" hidden="1" x14ac:dyDescent="0.3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1"/>
        <v>0</v>
      </c>
      <c r="O52">
        <f t="shared" si="1"/>
        <v>0</v>
      </c>
      <c r="P52">
        <f t="shared" si="1"/>
        <v>0</v>
      </c>
      <c r="Q52">
        <f t="shared" si="1"/>
        <v>0</v>
      </c>
      <c r="R52">
        <f t="shared" si="1"/>
        <v>0</v>
      </c>
      <c r="S52">
        <f t="shared" si="2"/>
        <v>0</v>
      </c>
    </row>
    <row r="53" spans="1:19" hidden="1" x14ac:dyDescent="0.3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1"/>
        <v>0</v>
      </c>
      <c r="O53">
        <f t="shared" si="1"/>
        <v>0</v>
      </c>
      <c r="P53">
        <f t="shared" si="1"/>
        <v>0</v>
      </c>
      <c r="Q53">
        <f t="shared" si="1"/>
        <v>0</v>
      </c>
      <c r="R53">
        <f t="shared" si="1"/>
        <v>0</v>
      </c>
      <c r="S53">
        <f t="shared" si="2"/>
        <v>0</v>
      </c>
    </row>
    <row r="54" spans="1:19" hidden="1" x14ac:dyDescent="0.3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1"/>
        <v>0</v>
      </c>
      <c r="O54">
        <f t="shared" si="1"/>
        <v>0</v>
      </c>
      <c r="P54">
        <f t="shared" si="1"/>
        <v>0</v>
      </c>
      <c r="Q54">
        <f t="shared" si="1"/>
        <v>0</v>
      </c>
      <c r="R54">
        <f t="shared" si="1"/>
        <v>0</v>
      </c>
      <c r="S54">
        <f t="shared" si="2"/>
        <v>0</v>
      </c>
    </row>
    <row r="55" spans="1:19" hidden="1" x14ac:dyDescent="0.3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1"/>
        <v>0</v>
      </c>
      <c r="O55">
        <f t="shared" si="1"/>
        <v>0</v>
      </c>
      <c r="P55">
        <f t="shared" si="1"/>
        <v>0</v>
      </c>
      <c r="Q55">
        <f t="shared" si="1"/>
        <v>0</v>
      </c>
      <c r="R55">
        <f t="shared" si="1"/>
        <v>0</v>
      </c>
      <c r="S55">
        <f t="shared" si="2"/>
        <v>0</v>
      </c>
    </row>
    <row r="56" spans="1:19" hidden="1" x14ac:dyDescent="0.3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1"/>
        <v>0</v>
      </c>
      <c r="O56">
        <f t="shared" si="1"/>
        <v>0</v>
      </c>
      <c r="P56">
        <f t="shared" si="1"/>
        <v>0</v>
      </c>
      <c r="Q56">
        <f t="shared" si="1"/>
        <v>0</v>
      </c>
      <c r="R56">
        <f t="shared" si="1"/>
        <v>0</v>
      </c>
      <c r="S56">
        <f t="shared" si="2"/>
        <v>0</v>
      </c>
    </row>
    <row r="57" spans="1:19" hidden="1" x14ac:dyDescent="0.3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1"/>
        <v>0</v>
      </c>
      <c r="O57">
        <f t="shared" si="1"/>
        <v>0</v>
      </c>
      <c r="P57">
        <f t="shared" si="1"/>
        <v>0</v>
      </c>
      <c r="Q57">
        <f t="shared" si="1"/>
        <v>0</v>
      </c>
      <c r="R57">
        <f t="shared" si="1"/>
        <v>0</v>
      </c>
      <c r="S57">
        <f t="shared" si="2"/>
        <v>0</v>
      </c>
    </row>
    <row r="58" spans="1:19" hidden="1" x14ac:dyDescent="0.3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1"/>
        <v>0</v>
      </c>
      <c r="O58">
        <f t="shared" si="1"/>
        <v>0</v>
      </c>
      <c r="P58">
        <f t="shared" si="1"/>
        <v>0</v>
      </c>
      <c r="Q58">
        <f t="shared" si="1"/>
        <v>0</v>
      </c>
      <c r="R58">
        <f t="shared" si="1"/>
        <v>0</v>
      </c>
      <c r="S58">
        <f t="shared" si="2"/>
        <v>0</v>
      </c>
    </row>
    <row r="59" spans="1:19" hidden="1" x14ac:dyDescent="0.3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1"/>
        <v>0</v>
      </c>
      <c r="O59">
        <f t="shared" si="1"/>
        <v>0</v>
      </c>
      <c r="P59">
        <f t="shared" si="1"/>
        <v>0</v>
      </c>
      <c r="Q59">
        <f t="shared" si="1"/>
        <v>0</v>
      </c>
      <c r="R59">
        <f t="shared" si="1"/>
        <v>0</v>
      </c>
      <c r="S59">
        <f t="shared" si="2"/>
        <v>0</v>
      </c>
    </row>
    <row r="60" spans="1:19" hidden="1" x14ac:dyDescent="0.3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1"/>
        <v>0</v>
      </c>
      <c r="O60">
        <f t="shared" si="1"/>
        <v>0</v>
      </c>
      <c r="P60">
        <f t="shared" si="1"/>
        <v>0</v>
      </c>
      <c r="Q60">
        <f t="shared" si="1"/>
        <v>0</v>
      </c>
      <c r="R60">
        <f t="shared" si="1"/>
        <v>0</v>
      </c>
      <c r="S60">
        <f t="shared" si="2"/>
        <v>0</v>
      </c>
    </row>
    <row r="61" spans="1:19" hidden="1" x14ac:dyDescent="0.3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1"/>
        <v>0</v>
      </c>
      <c r="O61">
        <f t="shared" si="1"/>
        <v>0</v>
      </c>
      <c r="P61">
        <f t="shared" si="1"/>
        <v>0</v>
      </c>
      <c r="Q61">
        <f t="shared" si="1"/>
        <v>0</v>
      </c>
      <c r="R61">
        <f t="shared" si="1"/>
        <v>0</v>
      </c>
      <c r="S61">
        <f t="shared" si="2"/>
        <v>0</v>
      </c>
    </row>
    <row r="62" spans="1:19" hidden="1" x14ac:dyDescent="0.3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1"/>
        <v>0</v>
      </c>
      <c r="O62">
        <f t="shared" si="1"/>
        <v>0</v>
      </c>
      <c r="P62">
        <f t="shared" si="1"/>
        <v>0</v>
      </c>
      <c r="Q62">
        <f t="shared" si="1"/>
        <v>0</v>
      </c>
      <c r="R62">
        <f t="shared" ref="R62:R125" si="3">IF(M62=100,1,0)</f>
        <v>0</v>
      </c>
      <c r="S62">
        <f t="shared" si="2"/>
        <v>0</v>
      </c>
    </row>
    <row r="63" spans="1:19" hidden="1" x14ac:dyDescent="0.3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1"/>
        <v>0</v>
      </c>
      <c r="O63">
        <f t="shared" si="1"/>
        <v>0</v>
      </c>
      <c r="P63">
        <f t="shared" si="1"/>
        <v>0</v>
      </c>
      <c r="Q63">
        <f t="shared" si="1"/>
        <v>0</v>
      </c>
      <c r="R63">
        <f t="shared" si="3"/>
        <v>0</v>
      </c>
      <c r="S63">
        <f t="shared" si="2"/>
        <v>0</v>
      </c>
    </row>
    <row r="64" spans="1:19" hidden="1" x14ac:dyDescent="0.3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1"/>
        <v>0</v>
      </c>
      <c r="O64">
        <f t="shared" si="1"/>
        <v>0</v>
      </c>
      <c r="P64">
        <f t="shared" si="1"/>
        <v>0</v>
      </c>
      <c r="Q64">
        <f t="shared" si="1"/>
        <v>0</v>
      </c>
      <c r="R64">
        <f t="shared" si="3"/>
        <v>1</v>
      </c>
      <c r="S64">
        <f t="shared" si="2"/>
        <v>0</v>
      </c>
    </row>
    <row r="65" spans="1:19" hidden="1" x14ac:dyDescent="0.3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1"/>
        <v>0</v>
      </c>
      <c r="O65">
        <f t="shared" si="1"/>
        <v>0</v>
      </c>
      <c r="P65">
        <f t="shared" si="1"/>
        <v>0</v>
      </c>
      <c r="Q65">
        <f t="shared" si="1"/>
        <v>0</v>
      </c>
      <c r="R65">
        <f t="shared" si="3"/>
        <v>0</v>
      </c>
      <c r="S65">
        <f t="shared" si="2"/>
        <v>0</v>
      </c>
    </row>
    <row r="66" spans="1:19" hidden="1" x14ac:dyDescent="0.3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si="1"/>
        <v>0</v>
      </c>
      <c r="O66">
        <f t="shared" si="1"/>
        <v>0</v>
      </c>
      <c r="P66">
        <f t="shared" si="1"/>
        <v>0</v>
      </c>
      <c r="Q66">
        <f t="shared" si="1"/>
        <v>0</v>
      </c>
      <c r="R66">
        <f t="shared" si="3"/>
        <v>0</v>
      </c>
      <c r="S66">
        <f t="shared" si="2"/>
        <v>0</v>
      </c>
    </row>
    <row r="67" spans="1:19" hidden="1" x14ac:dyDescent="0.3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ref="N67:Q130" si="4">IF(I67=100,1,0)</f>
        <v>0</v>
      </c>
      <c r="O67">
        <f t="shared" si="4"/>
        <v>0</v>
      </c>
      <c r="P67">
        <f t="shared" si="4"/>
        <v>0</v>
      </c>
      <c r="Q67">
        <f t="shared" si="4"/>
        <v>0</v>
      </c>
      <c r="R67">
        <f t="shared" si="3"/>
        <v>0</v>
      </c>
      <c r="S67">
        <f t="shared" ref="S67:S130" si="5">IF(SUM(N67:R67)&gt;=3,1,0)</f>
        <v>0</v>
      </c>
    </row>
    <row r="68" spans="1:19" hidden="1" x14ac:dyDescent="0.3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4"/>
        <v>0</v>
      </c>
      <c r="O68">
        <f t="shared" si="4"/>
        <v>0</v>
      </c>
      <c r="P68">
        <f t="shared" si="4"/>
        <v>0</v>
      </c>
      <c r="Q68">
        <f t="shared" si="4"/>
        <v>0</v>
      </c>
      <c r="R68">
        <f t="shared" si="3"/>
        <v>0</v>
      </c>
      <c r="S68">
        <f t="shared" si="5"/>
        <v>0</v>
      </c>
    </row>
    <row r="69" spans="1:19" hidden="1" x14ac:dyDescent="0.3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4"/>
        <v>0</v>
      </c>
      <c r="O69">
        <f t="shared" si="4"/>
        <v>0</v>
      </c>
      <c r="P69">
        <f t="shared" si="4"/>
        <v>0</v>
      </c>
      <c r="Q69">
        <f t="shared" si="4"/>
        <v>0</v>
      </c>
      <c r="R69">
        <f t="shared" si="3"/>
        <v>0</v>
      </c>
      <c r="S69">
        <f t="shared" si="5"/>
        <v>0</v>
      </c>
    </row>
    <row r="70" spans="1:19" hidden="1" x14ac:dyDescent="0.3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4"/>
        <v>0</v>
      </c>
      <c r="O70">
        <f t="shared" si="4"/>
        <v>0</v>
      </c>
      <c r="P70">
        <f t="shared" si="4"/>
        <v>0</v>
      </c>
      <c r="Q70">
        <f t="shared" si="4"/>
        <v>0</v>
      </c>
      <c r="R70">
        <f t="shared" si="3"/>
        <v>0</v>
      </c>
      <c r="S70">
        <f t="shared" si="5"/>
        <v>0</v>
      </c>
    </row>
    <row r="71" spans="1:19" hidden="1" x14ac:dyDescent="0.3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4"/>
        <v>0</v>
      </c>
      <c r="O71">
        <f t="shared" si="4"/>
        <v>0</v>
      </c>
      <c r="P71">
        <f t="shared" si="4"/>
        <v>0</v>
      </c>
      <c r="Q71">
        <f t="shared" si="4"/>
        <v>0</v>
      </c>
      <c r="R71">
        <f t="shared" si="3"/>
        <v>0</v>
      </c>
      <c r="S71">
        <f t="shared" si="5"/>
        <v>0</v>
      </c>
    </row>
    <row r="72" spans="1:19" hidden="1" x14ac:dyDescent="0.3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4"/>
        <v>0</v>
      </c>
      <c r="O72">
        <f t="shared" si="4"/>
        <v>0</v>
      </c>
      <c r="P72">
        <f t="shared" si="4"/>
        <v>0</v>
      </c>
      <c r="Q72">
        <f t="shared" si="4"/>
        <v>0</v>
      </c>
      <c r="R72">
        <f t="shared" si="3"/>
        <v>0</v>
      </c>
      <c r="S72">
        <f t="shared" si="5"/>
        <v>0</v>
      </c>
    </row>
    <row r="73" spans="1:19" hidden="1" x14ac:dyDescent="0.3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4"/>
        <v>0</v>
      </c>
      <c r="O73">
        <f t="shared" si="4"/>
        <v>0</v>
      </c>
      <c r="P73">
        <f t="shared" si="4"/>
        <v>0</v>
      </c>
      <c r="Q73">
        <f t="shared" si="4"/>
        <v>0</v>
      </c>
      <c r="R73">
        <f t="shared" si="3"/>
        <v>0</v>
      </c>
      <c r="S73">
        <f t="shared" si="5"/>
        <v>0</v>
      </c>
    </row>
    <row r="74" spans="1:19" hidden="1" x14ac:dyDescent="0.3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4"/>
        <v>0</v>
      </c>
      <c r="O74">
        <f t="shared" si="4"/>
        <v>0</v>
      </c>
      <c r="P74">
        <f t="shared" si="4"/>
        <v>0</v>
      </c>
      <c r="Q74">
        <f t="shared" si="4"/>
        <v>0</v>
      </c>
      <c r="R74">
        <f t="shared" si="3"/>
        <v>0</v>
      </c>
      <c r="S74">
        <f t="shared" si="5"/>
        <v>0</v>
      </c>
    </row>
    <row r="75" spans="1:19" hidden="1" x14ac:dyDescent="0.3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4"/>
        <v>0</v>
      </c>
      <c r="O75">
        <f t="shared" si="4"/>
        <v>0</v>
      </c>
      <c r="P75">
        <f t="shared" si="4"/>
        <v>0</v>
      </c>
      <c r="Q75">
        <f t="shared" si="4"/>
        <v>0</v>
      </c>
      <c r="R75">
        <f t="shared" si="3"/>
        <v>0</v>
      </c>
      <c r="S75">
        <f t="shared" si="5"/>
        <v>0</v>
      </c>
    </row>
    <row r="76" spans="1:19" hidden="1" x14ac:dyDescent="0.3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4"/>
        <v>0</v>
      </c>
      <c r="O76">
        <f t="shared" si="4"/>
        <v>0</v>
      </c>
      <c r="P76">
        <f t="shared" si="4"/>
        <v>0</v>
      </c>
      <c r="Q76">
        <f t="shared" si="4"/>
        <v>0</v>
      </c>
      <c r="R76">
        <f t="shared" si="3"/>
        <v>0</v>
      </c>
      <c r="S76">
        <f t="shared" si="5"/>
        <v>0</v>
      </c>
    </row>
    <row r="77" spans="1:19" hidden="1" x14ac:dyDescent="0.3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4"/>
        <v>0</v>
      </c>
      <c r="O77">
        <f t="shared" si="4"/>
        <v>0</v>
      </c>
      <c r="P77">
        <f t="shared" si="4"/>
        <v>0</v>
      </c>
      <c r="Q77">
        <f t="shared" si="4"/>
        <v>0</v>
      </c>
      <c r="R77">
        <f t="shared" si="3"/>
        <v>0</v>
      </c>
      <c r="S77">
        <f t="shared" si="5"/>
        <v>0</v>
      </c>
    </row>
    <row r="78" spans="1:19" hidden="1" x14ac:dyDescent="0.3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4"/>
        <v>0</v>
      </c>
      <c r="O78">
        <f t="shared" si="4"/>
        <v>0</v>
      </c>
      <c r="P78">
        <f t="shared" si="4"/>
        <v>0</v>
      </c>
      <c r="Q78">
        <f t="shared" si="4"/>
        <v>0</v>
      </c>
      <c r="R78">
        <f t="shared" si="3"/>
        <v>0</v>
      </c>
      <c r="S78">
        <f t="shared" si="5"/>
        <v>0</v>
      </c>
    </row>
    <row r="79" spans="1:19" hidden="1" x14ac:dyDescent="0.3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4"/>
        <v>0</v>
      </c>
      <c r="O79">
        <f t="shared" si="4"/>
        <v>0</v>
      </c>
      <c r="P79">
        <f t="shared" si="4"/>
        <v>0</v>
      </c>
      <c r="Q79">
        <f t="shared" si="4"/>
        <v>0</v>
      </c>
      <c r="R79">
        <f t="shared" si="3"/>
        <v>0</v>
      </c>
      <c r="S79">
        <f t="shared" si="5"/>
        <v>0</v>
      </c>
    </row>
    <row r="80" spans="1:19" hidden="1" x14ac:dyDescent="0.3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4"/>
        <v>0</v>
      </c>
      <c r="O80">
        <f t="shared" si="4"/>
        <v>0</v>
      </c>
      <c r="P80">
        <f t="shared" si="4"/>
        <v>0</v>
      </c>
      <c r="Q80">
        <f t="shared" si="4"/>
        <v>0</v>
      </c>
      <c r="R80">
        <f t="shared" si="3"/>
        <v>0</v>
      </c>
      <c r="S80">
        <f t="shared" si="5"/>
        <v>0</v>
      </c>
    </row>
    <row r="81" spans="1:19" hidden="1" x14ac:dyDescent="0.3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4"/>
        <v>0</v>
      </c>
      <c r="O81">
        <f t="shared" si="4"/>
        <v>0</v>
      </c>
      <c r="P81">
        <f t="shared" si="4"/>
        <v>0</v>
      </c>
      <c r="Q81">
        <f t="shared" si="4"/>
        <v>0</v>
      </c>
      <c r="R81">
        <f t="shared" si="3"/>
        <v>0</v>
      </c>
      <c r="S81">
        <f t="shared" si="5"/>
        <v>0</v>
      </c>
    </row>
    <row r="82" spans="1:19" hidden="1" x14ac:dyDescent="0.3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4"/>
        <v>0</v>
      </c>
      <c r="O82">
        <f t="shared" si="4"/>
        <v>0</v>
      </c>
      <c r="P82">
        <f t="shared" si="4"/>
        <v>0</v>
      </c>
      <c r="Q82">
        <f t="shared" si="4"/>
        <v>0</v>
      </c>
      <c r="R82">
        <f t="shared" si="3"/>
        <v>0</v>
      </c>
      <c r="S82">
        <f t="shared" si="5"/>
        <v>0</v>
      </c>
    </row>
    <row r="83" spans="1:19" hidden="1" x14ac:dyDescent="0.3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4"/>
        <v>0</v>
      </c>
      <c r="O83">
        <f t="shared" si="4"/>
        <v>0</v>
      </c>
      <c r="P83">
        <f t="shared" si="4"/>
        <v>0</v>
      </c>
      <c r="Q83">
        <f t="shared" si="4"/>
        <v>0</v>
      </c>
      <c r="R83">
        <f t="shared" si="3"/>
        <v>0</v>
      </c>
      <c r="S83">
        <f t="shared" si="5"/>
        <v>0</v>
      </c>
    </row>
    <row r="84" spans="1:19" hidden="1" x14ac:dyDescent="0.3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4"/>
        <v>0</v>
      </c>
      <c r="O84">
        <f t="shared" si="4"/>
        <v>0</v>
      </c>
      <c r="P84">
        <f t="shared" si="4"/>
        <v>0</v>
      </c>
      <c r="Q84">
        <f t="shared" si="4"/>
        <v>0</v>
      </c>
      <c r="R84">
        <f t="shared" si="3"/>
        <v>0</v>
      </c>
      <c r="S84">
        <f t="shared" si="5"/>
        <v>0</v>
      </c>
    </row>
    <row r="85" spans="1:19" hidden="1" x14ac:dyDescent="0.3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4"/>
        <v>0</v>
      </c>
      <c r="O85">
        <f t="shared" si="4"/>
        <v>0</v>
      </c>
      <c r="P85">
        <f t="shared" si="4"/>
        <v>0</v>
      </c>
      <c r="Q85">
        <f t="shared" si="4"/>
        <v>0</v>
      </c>
      <c r="R85">
        <f t="shared" si="3"/>
        <v>0</v>
      </c>
      <c r="S85">
        <f t="shared" si="5"/>
        <v>0</v>
      </c>
    </row>
    <row r="86" spans="1:19" x14ac:dyDescent="0.3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4"/>
        <v>1</v>
      </c>
      <c r="O86">
        <f t="shared" si="4"/>
        <v>1</v>
      </c>
      <c r="P86">
        <f t="shared" si="4"/>
        <v>1</v>
      </c>
      <c r="Q86">
        <f t="shared" si="4"/>
        <v>0</v>
      </c>
      <c r="R86">
        <f t="shared" si="3"/>
        <v>0</v>
      </c>
      <c r="S86">
        <f t="shared" si="5"/>
        <v>1</v>
      </c>
    </row>
    <row r="87" spans="1:19" hidden="1" x14ac:dyDescent="0.3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4"/>
        <v>0</v>
      </c>
      <c r="O87">
        <f t="shared" si="4"/>
        <v>0</v>
      </c>
      <c r="P87">
        <f t="shared" si="4"/>
        <v>0</v>
      </c>
      <c r="Q87">
        <f t="shared" si="4"/>
        <v>0</v>
      </c>
      <c r="R87">
        <f t="shared" si="3"/>
        <v>0</v>
      </c>
      <c r="S87">
        <f t="shared" si="5"/>
        <v>0</v>
      </c>
    </row>
    <row r="88" spans="1:19" hidden="1" x14ac:dyDescent="0.3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4"/>
        <v>0</v>
      </c>
      <c r="O88">
        <f t="shared" si="4"/>
        <v>0</v>
      </c>
      <c r="P88">
        <f t="shared" si="4"/>
        <v>0</v>
      </c>
      <c r="Q88">
        <f t="shared" si="4"/>
        <v>0</v>
      </c>
      <c r="R88">
        <f t="shared" si="3"/>
        <v>0</v>
      </c>
      <c r="S88">
        <f t="shared" si="5"/>
        <v>0</v>
      </c>
    </row>
    <row r="89" spans="1:19" hidden="1" x14ac:dyDescent="0.3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4"/>
        <v>0</v>
      </c>
      <c r="O89">
        <f t="shared" si="4"/>
        <v>0</v>
      </c>
      <c r="P89">
        <f t="shared" si="4"/>
        <v>0</v>
      </c>
      <c r="Q89">
        <f t="shared" si="4"/>
        <v>0</v>
      </c>
      <c r="R89">
        <f t="shared" si="3"/>
        <v>0</v>
      </c>
      <c r="S89">
        <f t="shared" si="5"/>
        <v>0</v>
      </c>
    </row>
    <row r="90" spans="1:19" hidden="1" x14ac:dyDescent="0.3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4"/>
        <v>0</v>
      </c>
      <c r="O90">
        <f t="shared" si="4"/>
        <v>0</v>
      </c>
      <c r="P90">
        <f t="shared" si="4"/>
        <v>0</v>
      </c>
      <c r="Q90">
        <f t="shared" si="4"/>
        <v>0</v>
      </c>
      <c r="R90">
        <f t="shared" si="3"/>
        <v>0</v>
      </c>
      <c r="S90">
        <f t="shared" si="5"/>
        <v>0</v>
      </c>
    </row>
    <row r="91" spans="1:19" x14ac:dyDescent="0.3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4"/>
        <v>0</v>
      </c>
      <c r="O91">
        <f t="shared" si="4"/>
        <v>0</v>
      </c>
      <c r="P91">
        <f t="shared" si="4"/>
        <v>1</v>
      </c>
      <c r="Q91">
        <f t="shared" si="4"/>
        <v>1</v>
      </c>
      <c r="R91">
        <f t="shared" si="3"/>
        <v>1</v>
      </c>
      <c r="S91">
        <f t="shared" si="5"/>
        <v>1</v>
      </c>
    </row>
    <row r="92" spans="1:19" hidden="1" x14ac:dyDescent="0.3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4"/>
        <v>0</v>
      </c>
      <c r="O92">
        <f t="shared" si="4"/>
        <v>0</v>
      </c>
      <c r="P92">
        <f t="shared" si="4"/>
        <v>0</v>
      </c>
      <c r="Q92">
        <f t="shared" si="4"/>
        <v>0</v>
      </c>
      <c r="R92">
        <f t="shared" si="3"/>
        <v>0</v>
      </c>
      <c r="S92">
        <f t="shared" si="5"/>
        <v>0</v>
      </c>
    </row>
    <row r="93" spans="1:19" hidden="1" x14ac:dyDescent="0.3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4"/>
        <v>0</v>
      </c>
      <c r="O93">
        <f t="shared" si="4"/>
        <v>0</v>
      </c>
      <c r="P93">
        <f t="shared" si="4"/>
        <v>0</v>
      </c>
      <c r="Q93">
        <f t="shared" si="4"/>
        <v>0</v>
      </c>
      <c r="R93">
        <f t="shared" si="3"/>
        <v>0</v>
      </c>
      <c r="S93">
        <f t="shared" si="5"/>
        <v>0</v>
      </c>
    </row>
    <row r="94" spans="1:19" hidden="1" x14ac:dyDescent="0.3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4"/>
        <v>0</v>
      </c>
      <c r="O94">
        <f t="shared" si="4"/>
        <v>0</v>
      </c>
      <c r="P94">
        <f t="shared" si="4"/>
        <v>0</v>
      </c>
      <c r="Q94">
        <f t="shared" si="4"/>
        <v>0</v>
      </c>
      <c r="R94">
        <f t="shared" si="3"/>
        <v>0</v>
      </c>
      <c r="S94">
        <f t="shared" si="5"/>
        <v>0</v>
      </c>
    </row>
    <row r="95" spans="1:19" hidden="1" x14ac:dyDescent="0.3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4"/>
        <v>0</v>
      </c>
      <c r="O95">
        <f t="shared" si="4"/>
        <v>0</v>
      </c>
      <c r="P95">
        <f t="shared" si="4"/>
        <v>0</v>
      </c>
      <c r="Q95">
        <f t="shared" si="4"/>
        <v>0</v>
      </c>
      <c r="R95">
        <f t="shared" si="3"/>
        <v>0</v>
      </c>
      <c r="S95">
        <f t="shared" si="5"/>
        <v>0</v>
      </c>
    </row>
    <row r="96" spans="1:19" hidden="1" x14ac:dyDescent="0.3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4"/>
        <v>0</v>
      </c>
      <c r="O96">
        <f t="shared" si="4"/>
        <v>0</v>
      </c>
      <c r="P96">
        <f t="shared" si="4"/>
        <v>0</v>
      </c>
      <c r="Q96">
        <f t="shared" si="4"/>
        <v>0</v>
      </c>
      <c r="R96">
        <f t="shared" si="3"/>
        <v>0</v>
      </c>
      <c r="S96">
        <f t="shared" si="5"/>
        <v>0</v>
      </c>
    </row>
    <row r="97" spans="1:19" hidden="1" x14ac:dyDescent="0.3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4"/>
        <v>0</v>
      </c>
      <c r="O97">
        <f t="shared" si="4"/>
        <v>0</v>
      </c>
      <c r="P97">
        <f t="shared" si="4"/>
        <v>0</v>
      </c>
      <c r="Q97">
        <f t="shared" si="4"/>
        <v>0</v>
      </c>
      <c r="R97">
        <f t="shared" si="3"/>
        <v>0</v>
      </c>
      <c r="S97">
        <f t="shared" si="5"/>
        <v>0</v>
      </c>
    </row>
    <row r="98" spans="1:19" hidden="1" x14ac:dyDescent="0.3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4"/>
        <v>0</v>
      </c>
      <c r="O98">
        <f t="shared" si="4"/>
        <v>0</v>
      </c>
      <c r="P98">
        <f t="shared" si="4"/>
        <v>0</v>
      </c>
      <c r="Q98">
        <f t="shared" si="4"/>
        <v>0</v>
      </c>
      <c r="R98">
        <f t="shared" si="3"/>
        <v>0</v>
      </c>
      <c r="S98">
        <f t="shared" si="5"/>
        <v>0</v>
      </c>
    </row>
    <row r="99" spans="1:19" hidden="1" x14ac:dyDescent="0.3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4"/>
        <v>0</v>
      </c>
      <c r="O99">
        <f t="shared" si="4"/>
        <v>0</v>
      </c>
      <c r="P99">
        <f t="shared" si="4"/>
        <v>0</v>
      </c>
      <c r="Q99">
        <f t="shared" si="4"/>
        <v>0</v>
      </c>
      <c r="R99">
        <f t="shared" si="3"/>
        <v>0</v>
      </c>
      <c r="S99">
        <f t="shared" si="5"/>
        <v>0</v>
      </c>
    </row>
    <row r="100" spans="1:19" hidden="1" x14ac:dyDescent="0.3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4"/>
        <v>0</v>
      </c>
      <c r="O100">
        <f t="shared" si="4"/>
        <v>0</v>
      </c>
      <c r="P100">
        <f t="shared" si="4"/>
        <v>0</v>
      </c>
      <c r="Q100">
        <f t="shared" si="4"/>
        <v>0</v>
      </c>
      <c r="R100">
        <f t="shared" si="3"/>
        <v>0</v>
      </c>
      <c r="S100">
        <f t="shared" si="5"/>
        <v>0</v>
      </c>
    </row>
    <row r="101" spans="1:19" hidden="1" x14ac:dyDescent="0.3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4"/>
        <v>0</v>
      </c>
      <c r="O101">
        <f t="shared" si="4"/>
        <v>0</v>
      </c>
      <c r="P101">
        <f t="shared" si="4"/>
        <v>0</v>
      </c>
      <c r="Q101">
        <f t="shared" si="4"/>
        <v>0</v>
      </c>
      <c r="R101">
        <f t="shared" si="3"/>
        <v>0</v>
      </c>
      <c r="S101">
        <f t="shared" si="5"/>
        <v>0</v>
      </c>
    </row>
    <row r="102" spans="1:19" hidden="1" x14ac:dyDescent="0.3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4"/>
        <v>0</v>
      </c>
      <c r="O102">
        <f t="shared" si="4"/>
        <v>0</v>
      </c>
      <c r="P102">
        <f t="shared" si="4"/>
        <v>0</v>
      </c>
      <c r="Q102">
        <f t="shared" si="4"/>
        <v>0</v>
      </c>
      <c r="R102">
        <f t="shared" si="3"/>
        <v>0</v>
      </c>
      <c r="S102">
        <f t="shared" si="5"/>
        <v>0</v>
      </c>
    </row>
    <row r="103" spans="1:19" hidden="1" x14ac:dyDescent="0.3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4"/>
        <v>0</v>
      </c>
      <c r="O103">
        <f t="shared" si="4"/>
        <v>0</v>
      </c>
      <c r="P103">
        <f t="shared" si="4"/>
        <v>0</v>
      </c>
      <c r="Q103">
        <f t="shared" si="4"/>
        <v>0</v>
      </c>
      <c r="R103">
        <f t="shared" si="3"/>
        <v>0</v>
      </c>
      <c r="S103">
        <f t="shared" si="5"/>
        <v>0</v>
      </c>
    </row>
    <row r="104" spans="1:19" hidden="1" x14ac:dyDescent="0.3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4"/>
        <v>0</v>
      </c>
      <c r="O104">
        <f t="shared" si="4"/>
        <v>0</v>
      </c>
      <c r="P104">
        <f t="shared" si="4"/>
        <v>0</v>
      </c>
      <c r="Q104">
        <f t="shared" si="4"/>
        <v>0</v>
      </c>
      <c r="R104">
        <f t="shared" si="3"/>
        <v>0</v>
      </c>
      <c r="S104">
        <f t="shared" si="5"/>
        <v>0</v>
      </c>
    </row>
    <row r="105" spans="1:19" hidden="1" x14ac:dyDescent="0.3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4"/>
        <v>0</v>
      </c>
      <c r="O105">
        <f t="shared" si="4"/>
        <v>0</v>
      </c>
      <c r="P105">
        <f t="shared" si="4"/>
        <v>0</v>
      </c>
      <c r="Q105">
        <f t="shared" si="4"/>
        <v>0</v>
      </c>
      <c r="R105">
        <f t="shared" si="3"/>
        <v>0</v>
      </c>
      <c r="S105">
        <f t="shared" si="5"/>
        <v>0</v>
      </c>
    </row>
    <row r="106" spans="1:19" hidden="1" x14ac:dyDescent="0.3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4"/>
        <v>0</v>
      </c>
      <c r="O106">
        <f t="shared" si="4"/>
        <v>0</v>
      </c>
      <c r="P106">
        <f t="shared" si="4"/>
        <v>0</v>
      </c>
      <c r="Q106">
        <f t="shared" si="4"/>
        <v>0</v>
      </c>
      <c r="R106">
        <f t="shared" si="3"/>
        <v>0</v>
      </c>
      <c r="S106">
        <f t="shared" si="5"/>
        <v>0</v>
      </c>
    </row>
    <row r="107" spans="1:19" hidden="1" x14ac:dyDescent="0.3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4"/>
        <v>0</v>
      </c>
      <c r="O107">
        <f t="shared" si="4"/>
        <v>0</v>
      </c>
      <c r="P107">
        <f t="shared" si="4"/>
        <v>0</v>
      </c>
      <c r="Q107">
        <f t="shared" si="4"/>
        <v>0</v>
      </c>
      <c r="R107">
        <f t="shared" si="3"/>
        <v>0</v>
      </c>
      <c r="S107">
        <f t="shared" si="5"/>
        <v>0</v>
      </c>
    </row>
    <row r="108" spans="1:19" hidden="1" x14ac:dyDescent="0.3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4"/>
        <v>0</v>
      </c>
      <c r="O108">
        <f t="shared" si="4"/>
        <v>0</v>
      </c>
      <c r="P108">
        <f t="shared" si="4"/>
        <v>0</v>
      </c>
      <c r="Q108">
        <f t="shared" si="4"/>
        <v>0</v>
      </c>
      <c r="R108">
        <f t="shared" si="3"/>
        <v>0</v>
      </c>
      <c r="S108">
        <f t="shared" si="5"/>
        <v>0</v>
      </c>
    </row>
    <row r="109" spans="1:19" hidden="1" x14ac:dyDescent="0.3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4"/>
        <v>0</v>
      </c>
      <c r="O109">
        <f t="shared" si="4"/>
        <v>0</v>
      </c>
      <c r="P109">
        <f t="shared" si="4"/>
        <v>0</v>
      </c>
      <c r="Q109">
        <f t="shared" si="4"/>
        <v>0</v>
      </c>
      <c r="R109">
        <f t="shared" si="3"/>
        <v>0</v>
      </c>
      <c r="S109">
        <f t="shared" si="5"/>
        <v>0</v>
      </c>
    </row>
    <row r="110" spans="1:19" hidden="1" x14ac:dyDescent="0.3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4"/>
        <v>0</v>
      </c>
      <c r="O110">
        <f t="shared" si="4"/>
        <v>0</v>
      </c>
      <c r="P110">
        <f t="shared" si="4"/>
        <v>0</v>
      </c>
      <c r="Q110">
        <f t="shared" si="4"/>
        <v>0</v>
      </c>
      <c r="R110">
        <f t="shared" si="3"/>
        <v>0</v>
      </c>
      <c r="S110">
        <f t="shared" si="5"/>
        <v>0</v>
      </c>
    </row>
    <row r="111" spans="1:19" hidden="1" x14ac:dyDescent="0.3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4"/>
        <v>0</v>
      </c>
      <c r="O111">
        <f t="shared" si="4"/>
        <v>0</v>
      </c>
      <c r="P111">
        <f t="shared" si="4"/>
        <v>0</v>
      </c>
      <c r="Q111">
        <f t="shared" si="4"/>
        <v>0</v>
      </c>
      <c r="R111">
        <f t="shared" si="3"/>
        <v>0</v>
      </c>
      <c r="S111">
        <f t="shared" si="5"/>
        <v>0</v>
      </c>
    </row>
    <row r="112" spans="1:19" hidden="1" x14ac:dyDescent="0.3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4"/>
        <v>0</v>
      </c>
      <c r="O112">
        <f t="shared" si="4"/>
        <v>0</v>
      </c>
      <c r="P112">
        <f t="shared" si="4"/>
        <v>0</v>
      </c>
      <c r="Q112">
        <f t="shared" si="4"/>
        <v>0</v>
      </c>
      <c r="R112">
        <f t="shared" si="3"/>
        <v>0</v>
      </c>
      <c r="S112">
        <f t="shared" si="5"/>
        <v>0</v>
      </c>
    </row>
    <row r="113" spans="1:19" hidden="1" x14ac:dyDescent="0.3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4"/>
        <v>0</v>
      </c>
      <c r="O113">
        <f t="shared" si="4"/>
        <v>0</v>
      </c>
      <c r="P113">
        <f t="shared" si="4"/>
        <v>0</v>
      </c>
      <c r="Q113">
        <f t="shared" si="4"/>
        <v>0</v>
      </c>
      <c r="R113">
        <f t="shared" si="3"/>
        <v>0</v>
      </c>
      <c r="S113">
        <f t="shared" si="5"/>
        <v>0</v>
      </c>
    </row>
    <row r="114" spans="1:19" hidden="1" x14ac:dyDescent="0.3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4"/>
        <v>0</v>
      </c>
      <c r="O114">
        <f t="shared" si="4"/>
        <v>0</v>
      </c>
      <c r="P114">
        <f t="shared" si="4"/>
        <v>0</v>
      </c>
      <c r="Q114">
        <f t="shared" si="4"/>
        <v>0</v>
      </c>
      <c r="R114">
        <f t="shared" si="3"/>
        <v>0</v>
      </c>
      <c r="S114">
        <f t="shared" si="5"/>
        <v>0</v>
      </c>
    </row>
    <row r="115" spans="1:19" hidden="1" x14ac:dyDescent="0.3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4"/>
        <v>0</v>
      </c>
      <c r="O115">
        <f t="shared" si="4"/>
        <v>0</v>
      </c>
      <c r="P115">
        <f t="shared" si="4"/>
        <v>0</v>
      </c>
      <c r="Q115">
        <f t="shared" si="4"/>
        <v>0</v>
      </c>
      <c r="R115">
        <f t="shared" si="3"/>
        <v>0</v>
      </c>
      <c r="S115">
        <f t="shared" si="5"/>
        <v>0</v>
      </c>
    </row>
    <row r="116" spans="1:19" hidden="1" x14ac:dyDescent="0.3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4"/>
        <v>0</v>
      </c>
      <c r="O116">
        <f t="shared" si="4"/>
        <v>0</v>
      </c>
      <c r="P116">
        <f t="shared" si="4"/>
        <v>0</v>
      </c>
      <c r="Q116">
        <f t="shared" si="4"/>
        <v>0</v>
      </c>
      <c r="R116">
        <f t="shared" si="3"/>
        <v>0</v>
      </c>
      <c r="S116">
        <f t="shared" si="5"/>
        <v>0</v>
      </c>
    </row>
    <row r="117" spans="1:19" hidden="1" x14ac:dyDescent="0.3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4"/>
        <v>0</v>
      </c>
      <c r="O117">
        <f t="shared" si="4"/>
        <v>0</v>
      </c>
      <c r="P117">
        <f t="shared" si="4"/>
        <v>0</v>
      </c>
      <c r="Q117">
        <f t="shared" si="4"/>
        <v>0</v>
      </c>
      <c r="R117">
        <f t="shared" si="3"/>
        <v>0</v>
      </c>
      <c r="S117">
        <f t="shared" si="5"/>
        <v>0</v>
      </c>
    </row>
    <row r="118" spans="1:19" hidden="1" x14ac:dyDescent="0.3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4"/>
        <v>0</v>
      </c>
      <c r="O118">
        <f t="shared" si="4"/>
        <v>0</v>
      </c>
      <c r="P118">
        <f t="shared" si="4"/>
        <v>0</v>
      </c>
      <c r="Q118">
        <f t="shared" si="4"/>
        <v>0</v>
      </c>
      <c r="R118">
        <f t="shared" si="3"/>
        <v>0</v>
      </c>
      <c r="S118">
        <f t="shared" si="5"/>
        <v>0</v>
      </c>
    </row>
    <row r="119" spans="1:19" hidden="1" x14ac:dyDescent="0.3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4"/>
        <v>0</v>
      </c>
      <c r="O119">
        <f t="shared" si="4"/>
        <v>0</v>
      </c>
      <c r="P119">
        <f t="shared" si="4"/>
        <v>0</v>
      </c>
      <c r="Q119">
        <f t="shared" si="4"/>
        <v>0</v>
      </c>
      <c r="R119">
        <f t="shared" si="3"/>
        <v>0</v>
      </c>
      <c r="S119">
        <f t="shared" si="5"/>
        <v>0</v>
      </c>
    </row>
    <row r="120" spans="1:19" hidden="1" x14ac:dyDescent="0.3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4"/>
        <v>0</v>
      </c>
      <c r="O120">
        <f t="shared" si="4"/>
        <v>0</v>
      </c>
      <c r="P120">
        <f t="shared" si="4"/>
        <v>0</v>
      </c>
      <c r="Q120">
        <f t="shared" si="4"/>
        <v>0</v>
      </c>
      <c r="R120">
        <f t="shared" si="3"/>
        <v>0</v>
      </c>
      <c r="S120">
        <f t="shared" si="5"/>
        <v>0</v>
      </c>
    </row>
    <row r="121" spans="1:19" hidden="1" x14ac:dyDescent="0.3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4"/>
        <v>0</v>
      </c>
      <c r="O121">
        <f t="shared" si="4"/>
        <v>0</v>
      </c>
      <c r="P121">
        <f t="shared" si="4"/>
        <v>0</v>
      </c>
      <c r="Q121">
        <f t="shared" si="4"/>
        <v>0</v>
      </c>
      <c r="R121">
        <f t="shared" si="3"/>
        <v>0</v>
      </c>
      <c r="S121">
        <f t="shared" si="5"/>
        <v>0</v>
      </c>
    </row>
    <row r="122" spans="1:19" hidden="1" x14ac:dyDescent="0.3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4"/>
        <v>0</v>
      </c>
      <c r="O122">
        <f t="shared" si="4"/>
        <v>0</v>
      </c>
      <c r="P122">
        <f t="shared" si="4"/>
        <v>0</v>
      </c>
      <c r="Q122">
        <f t="shared" si="4"/>
        <v>0</v>
      </c>
      <c r="R122">
        <f t="shared" si="3"/>
        <v>0</v>
      </c>
      <c r="S122">
        <f t="shared" si="5"/>
        <v>0</v>
      </c>
    </row>
    <row r="123" spans="1:19" hidden="1" x14ac:dyDescent="0.3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4"/>
        <v>0</v>
      </c>
      <c r="O123">
        <f t="shared" si="4"/>
        <v>0</v>
      </c>
      <c r="P123">
        <f t="shared" si="4"/>
        <v>0</v>
      </c>
      <c r="Q123">
        <f t="shared" si="4"/>
        <v>0</v>
      </c>
      <c r="R123">
        <f t="shared" si="3"/>
        <v>0</v>
      </c>
      <c r="S123">
        <f t="shared" si="5"/>
        <v>0</v>
      </c>
    </row>
    <row r="124" spans="1:19" hidden="1" x14ac:dyDescent="0.3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4"/>
        <v>0</v>
      </c>
      <c r="O124">
        <f t="shared" si="4"/>
        <v>0</v>
      </c>
      <c r="P124">
        <f t="shared" si="4"/>
        <v>0</v>
      </c>
      <c r="Q124">
        <f t="shared" si="4"/>
        <v>0</v>
      </c>
      <c r="R124">
        <f t="shared" si="3"/>
        <v>0</v>
      </c>
      <c r="S124">
        <f t="shared" si="5"/>
        <v>0</v>
      </c>
    </row>
    <row r="125" spans="1:19" hidden="1" x14ac:dyDescent="0.3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4"/>
        <v>0</v>
      </c>
      <c r="O125">
        <f t="shared" si="4"/>
        <v>0</v>
      </c>
      <c r="P125">
        <f t="shared" si="4"/>
        <v>0</v>
      </c>
      <c r="Q125">
        <f t="shared" si="4"/>
        <v>0</v>
      </c>
      <c r="R125">
        <f t="shared" si="3"/>
        <v>0</v>
      </c>
      <c r="S125">
        <f t="shared" si="5"/>
        <v>0</v>
      </c>
    </row>
    <row r="126" spans="1:19" hidden="1" x14ac:dyDescent="0.3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4"/>
        <v>0</v>
      </c>
      <c r="O126">
        <f t="shared" si="4"/>
        <v>0</v>
      </c>
      <c r="P126">
        <f t="shared" si="4"/>
        <v>0</v>
      </c>
      <c r="Q126">
        <f t="shared" si="4"/>
        <v>0</v>
      </c>
      <c r="R126">
        <f t="shared" ref="R126:R189" si="6">IF(M126=100,1,0)</f>
        <v>0</v>
      </c>
      <c r="S126">
        <f t="shared" si="5"/>
        <v>0</v>
      </c>
    </row>
    <row r="127" spans="1:19" hidden="1" x14ac:dyDescent="0.3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4"/>
        <v>0</v>
      </c>
      <c r="O127">
        <f t="shared" si="4"/>
        <v>0</v>
      </c>
      <c r="P127">
        <f t="shared" si="4"/>
        <v>0</v>
      </c>
      <c r="Q127">
        <f t="shared" si="4"/>
        <v>0</v>
      </c>
      <c r="R127">
        <f t="shared" si="6"/>
        <v>0</v>
      </c>
      <c r="S127">
        <f t="shared" si="5"/>
        <v>0</v>
      </c>
    </row>
    <row r="128" spans="1:19" hidden="1" x14ac:dyDescent="0.3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4"/>
        <v>0</v>
      </c>
      <c r="O128">
        <f t="shared" si="4"/>
        <v>0</v>
      </c>
      <c r="P128">
        <f t="shared" si="4"/>
        <v>1</v>
      </c>
      <c r="Q128">
        <f t="shared" si="4"/>
        <v>0</v>
      </c>
      <c r="R128">
        <f t="shared" si="6"/>
        <v>0</v>
      </c>
      <c r="S128">
        <f t="shared" si="5"/>
        <v>0</v>
      </c>
    </row>
    <row r="129" spans="1:19" hidden="1" x14ac:dyDescent="0.3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4"/>
        <v>0</v>
      </c>
      <c r="O129">
        <f t="shared" si="4"/>
        <v>0</v>
      </c>
      <c r="P129">
        <f t="shared" si="4"/>
        <v>0</v>
      </c>
      <c r="Q129">
        <f t="shared" si="4"/>
        <v>0</v>
      </c>
      <c r="R129">
        <f t="shared" si="6"/>
        <v>0</v>
      </c>
      <c r="S129">
        <f t="shared" si="5"/>
        <v>0</v>
      </c>
    </row>
    <row r="130" spans="1:19" hidden="1" x14ac:dyDescent="0.3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si="4"/>
        <v>0</v>
      </c>
      <c r="O130">
        <f t="shared" si="4"/>
        <v>0</v>
      </c>
      <c r="P130">
        <f t="shared" si="4"/>
        <v>0</v>
      </c>
      <c r="Q130">
        <f t="shared" ref="Q130:R193" si="7">IF(L130=100,1,0)</f>
        <v>0</v>
      </c>
      <c r="R130">
        <f t="shared" si="6"/>
        <v>0</v>
      </c>
      <c r="S130">
        <f t="shared" si="5"/>
        <v>0</v>
      </c>
    </row>
    <row r="131" spans="1:19" hidden="1" x14ac:dyDescent="0.3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ref="N131:R194" si="8">IF(I131=100,1,0)</f>
        <v>0</v>
      </c>
      <c r="O131">
        <f t="shared" si="8"/>
        <v>0</v>
      </c>
      <c r="P131">
        <f t="shared" si="8"/>
        <v>0</v>
      </c>
      <c r="Q131">
        <f t="shared" si="7"/>
        <v>0</v>
      </c>
      <c r="R131">
        <f t="shared" si="6"/>
        <v>0</v>
      </c>
      <c r="S131">
        <f t="shared" ref="S131:S194" si="9">IF(SUM(N131:R131)&gt;=3,1,0)</f>
        <v>0</v>
      </c>
    </row>
    <row r="132" spans="1:19" hidden="1" x14ac:dyDescent="0.3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8"/>
        <v>0</v>
      </c>
      <c r="O132">
        <f t="shared" si="8"/>
        <v>0</v>
      </c>
      <c r="P132">
        <f t="shared" si="8"/>
        <v>0</v>
      </c>
      <c r="Q132">
        <f t="shared" si="7"/>
        <v>0</v>
      </c>
      <c r="R132">
        <f t="shared" si="6"/>
        <v>0</v>
      </c>
      <c r="S132">
        <f t="shared" si="9"/>
        <v>0</v>
      </c>
    </row>
    <row r="133" spans="1:19" hidden="1" x14ac:dyDescent="0.3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8"/>
        <v>0</v>
      </c>
      <c r="O133">
        <f t="shared" si="8"/>
        <v>0</v>
      </c>
      <c r="P133">
        <f t="shared" si="8"/>
        <v>0</v>
      </c>
      <c r="Q133">
        <f t="shared" si="7"/>
        <v>0</v>
      </c>
      <c r="R133">
        <f t="shared" si="6"/>
        <v>0</v>
      </c>
      <c r="S133">
        <f t="shared" si="9"/>
        <v>0</v>
      </c>
    </row>
    <row r="134" spans="1:19" hidden="1" x14ac:dyDescent="0.3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8"/>
        <v>0</v>
      </c>
      <c r="O134">
        <f t="shared" si="8"/>
        <v>0</v>
      </c>
      <c r="P134">
        <f t="shared" si="8"/>
        <v>0</v>
      </c>
      <c r="Q134">
        <f t="shared" si="7"/>
        <v>0</v>
      </c>
      <c r="R134">
        <f t="shared" si="6"/>
        <v>0</v>
      </c>
      <c r="S134">
        <f t="shared" si="9"/>
        <v>0</v>
      </c>
    </row>
    <row r="135" spans="1:19" hidden="1" x14ac:dyDescent="0.3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8"/>
        <v>0</v>
      </c>
      <c r="O135">
        <f t="shared" si="8"/>
        <v>0</v>
      </c>
      <c r="P135">
        <f t="shared" si="8"/>
        <v>0</v>
      </c>
      <c r="Q135">
        <f t="shared" si="7"/>
        <v>0</v>
      </c>
      <c r="R135">
        <f t="shared" si="6"/>
        <v>0</v>
      </c>
      <c r="S135">
        <f t="shared" si="9"/>
        <v>0</v>
      </c>
    </row>
    <row r="136" spans="1:19" hidden="1" x14ac:dyDescent="0.3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8"/>
        <v>0</v>
      </c>
      <c r="O136">
        <f t="shared" si="8"/>
        <v>0</v>
      </c>
      <c r="P136">
        <f t="shared" si="8"/>
        <v>0</v>
      </c>
      <c r="Q136">
        <f t="shared" si="7"/>
        <v>0</v>
      </c>
      <c r="R136">
        <f t="shared" si="6"/>
        <v>0</v>
      </c>
      <c r="S136">
        <f t="shared" si="9"/>
        <v>0</v>
      </c>
    </row>
    <row r="137" spans="1:19" hidden="1" x14ac:dyDescent="0.3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8"/>
        <v>0</v>
      </c>
      <c r="O137">
        <f t="shared" si="8"/>
        <v>0</v>
      </c>
      <c r="P137">
        <f t="shared" si="8"/>
        <v>0</v>
      </c>
      <c r="Q137">
        <f t="shared" si="7"/>
        <v>0</v>
      </c>
      <c r="R137">
        <f t="shared" si="6"/>
        <v>0</v>
      </c>
      <c r="S137">
        <f t="shared" si="9"/>
        <v>0</v>
      </c>
    </row>
    <row r="138" spans="1:19" hidden="1" x14ac:dyDescent="0.3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8"/>
        <v>0</v>
      </c>
      <c r="O138">
        <f t="shared" si="8"/>
        <v>0</v>
      </c>
      <c r="P138">
        <f t="shared" si="8"/>
        <v>0</v>
      </c>
      <c r="Q138">
        <f t="shared" si="7"/>
        <v>0</v>
      </c>
      <c r="R138">
        <f t="shared" si="6"/>
        <v>0</v>
      </c>
      <c r="S138">
        <f t="shared" si="9"/>
        <v>0</v>
      </c>
    </row>
    <row r="139" spans="1:19" hidden="1" x14ac:dyDescent="0.3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8"/>
        <v>0</v>
      </c>
      <c r="O139">
        <f t="shared" si="8"/>
        <v>0</v>
      </c>
      <c r="P139">
        <f t="shared" si="8"/>
        <v>0</v>
      </c>
      <c r="Q139">
        <f t="shared" si="7"/>
        <v>0</v>
      </c>
      <c r="R139">
        <f t="shared" si="6"/>
        <v>0</v>
      </c>
      <c r="S139">
        <f t="shared" si="9"/>
        <v>0</v>
      </c>
    </row>
    <row r="140" spans="1:19" hidden="1" x14ac:dyDescent="0.3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8"/>
        <v>0</v>
      </c>
      <c r="O140">
        <f t="shared" si="8"/>
        <v>0</v>
      </c>
      <c r="P140">
        <f t="shared" si="8"/>
        <v>0</v>
      </c>
      <c r="Q140">
        <f t="shared" si="7"/>
        <v>0</v>
      </c>
      <c r="R140">
        <f t="shared" si="6"/>
        <v>0</v>
      </c>
      <c r="S140">
        <f t="shared" si="9"/>
        <v>0</v>
      </c>
    </row>
    <row r="141" spans="1:19" hidden="1" x14ac:dyDescent="0.3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8"/>
        <v>0</v>
      </c>
      <c r="O141">
        <f t="shared" si="8"/>
        <v>0</v>
      </c>
      <c r="P141">
        <f t="shared" si="8"/>
        <v>0</v>
      </c>
      <c r="Q141">
        <f t="shared" si="7"/>
        <v>0</v>
      </c>
      <c r="R141">
        <f t="shared" si="6"/>
        <v>0</v>
      </c>
      <c r="S141">
        <f t="shared" si="9"/>
        <v>0</v>
      </c>
    </row>
    <row r="142" spans="1:19" hidden="1" x14ac:dyDescent="0.3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8"/>
        <v>0</v>
      </c>
      <c r="O142">
        <f t="shared" si="8"/>
        <v>0</v>
      </c>
      <c r="P142">
        <f t="shared" si="8"/>
        <v>0</v>
      </c>
      <c r="Q142">
        <f t="shared" si="7"/>
        <v>0</v>
      </c>
      <c r="R142">
        <f t="shared" si="6"/>
        <v>0</v>
      </c>
      <c r="S142">
        <f t="shared" si="9"/>
        <v>0</v>
      </c>
    </row>
    <row r="143" spans="1:19" hidden="1" x14ac:dyDescent="0.3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8"/>
        <v>0</v>
      </c>
      <c r="O143">
        <f t="shared" si="8"/>
        <v>0</v>
      </c>
      <c r="P143">
        <f t="shared" si="8"/>
        <v>0</v>
      </c>
      <c r="Q143">
        <f t="shared" si="7"/>
        <v>0</v>
      </c>
      <c r="R143">
        <f t="shared" si="6"/>
        <v>0</v>
      </c>
      <c r="S143">
        <f t="shared" si="9"/>
        <v>0</v>
      </c>
    </row>
    <row r="144" spans="1:19" hidden="1" x14ac:dyDescent="0.3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8"/>
        <v>0</v>
      </c>
      <c r="O144">
        <f t="shared" si="8"/>
        <v>0</v>
      </c>
      <c r="P144">
        <f t="shared" si="8"/>
        <v>0</v>
      </c>
      <c r="Q144">
        <f t="shared" si="7"/>
        <v>0</v>
      </c>
      <c r="R144">
        <f t="shared" si="6"/>
        <v>0</v>
      </c>
      <c r="S144">
        <f t="shared" si="9"/>
        <v>0</v>
      </c>
    </row>
    <row r="145" spans="1:19" hidden="1" x14ac:dyDescent="0.3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8"/>
        <v>0</v>
      </c>
      <c r="O145">
        <f t="shared" si="8"/>
        <v>0</v>
      </c>
      <c r="P145">
        <f t="shared" si="8"/>
        <v>0</v>
      </c>
      <c r="Q145">
        <f t="shared" si="7"/>
        <v>0</v>
      </c>
      <c r="R145">
        <f t="shared" si="6"/>
        <v>0</v>
      </c>
      <c r="S145">
        <f t="shared" si="9"/>
        <v>0</v>
      </c>
    </row>
    <row r="146" spans="1:19" hidden="1" x14ac:dyDescent="0.3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8"/>
        <v>0</v>
      </c>
      <c r="O146">
        <f t="shared" si="8"/>
        <v>0</v>
      </c>
      <c r="P146">
        <f t="shared" si="8"/>
        <v>0</v>
      </c>
      <c r="Q146">
        <f t="shared" si="7"/>
        <v>0</v>
      </c>
      <c r="R146">
        <f t="shared" si="6"/>
        <v>0</v>
      </c>
      <c r="S146">
        <f t="shared" si="9"/>
        <v>0</v>
      </c>
    </row>
    <row r="147" spans="1:19" hidden="1" x14ac:dyDescent="0.3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8"/>
        <v>0</v>
      </c>
      <c r="O147">
        <f t="shared" si="8"/>
        <v>0</v>
      </c>
      <c r="P147">
        <f t="shared" si="8"/>
        <v>0</v>
      </c>
      <c r="Q147">
        <f t="shared" si="7"/>
        <v>0</v>
      </c>
      <c r="R147">
        <f t="shared" si="6"/>
        <v>0</v>
      </c>
      <c r="S147">
        <f t="shared" si="9"/>
        <v>0</v>
      </c>
    </row>
    <row r="148" spans="1:19" hidden="1" x14ac:dyDescent="0.3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8"/>
        <v>0</v>
      </c>
      <c r="O148">
        <f t="shared" si="8"/>
        <v>0</v>
      </c>
      <c r="P148">
        <f t="shared" si="8"/>
        <v>0</v>
      </c>
      <c r="Q148">
        <f t="shared" si="7"/>
        <v>0</v>
      </c>
      <c r="R148">
        <f t="shared" si="6"/>
        <v>1</v>
      </c>
      <c r="S148">
        <f t="shared" si="9"/>
        <v>0</v>
      </c>
    </row>
    <row r="149" spans="1:19" hidden="1" x14ac:dyDescent="0.3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8"/>
        <v>0</v>
      </c>
      <c r="O149">
        <f t="shared" si="8"/>
        <v>0</v>
      </c>
      <c r="P149">
        <f t="shared" si="8"/>
        <v>0</v>
      </c>
      <c r="Q149">
        <f t="shared" si="7"/>
        <v>0</v>
      </c>
      <c r="R149">
        <f t="shared" si="6"/>
        <v>0</v>
      </c>
      <c r="S149">
        <f t="shared" si="9"/>
        <v>0</v>
      </c>
    </row>
    <row r="150" spans="1:19" hidden="1" x14ac:dyDescent="0.3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8"/>
        <v>0</v>
      </c>
      <c r="O150">
        <f t="shared" si="8"/>
        <v>0</v>
      </c>
      <c r="P150">
        <f t="shared" si="8"/>
        <v>0</v>
      </c>
      <c r="Q150">
        <f t="shared" si="7"/>
        <v>0</v>
      </c>
      <c r="R150">
        <f t="shared" si="6"/>
        <v>0</v>
      </c>
      <c r="S150">
        <f t="shared" si="9"/>
        <v>0</v>
      </c>
    </row>
    <row r="151" spans="1:19" hidden="1" x14ac:dyDescent="0.3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8"/>
        <v>0</v>
      </c>
      <c r="O151">
        <f t="shared" si="8"/>
        <v>0</v>
      </c>
      <c r="P151">
        <f t="shared" si="8"/>
        <v>0</v>
      </c>
      <c r="Q151">
        <f t="shared" si="7"/>
        <v>0</v>
      </c>
      <c r="R151">
        <f t="shared" si="6"/>
        <v>0</v>
      </c>
      <c r="S151">
        <f t="shared" si="9"/>
        <v>0</v>
      </c>
    </row>
    <row r="152" spans="1:19" hidden="1" x14ac:dyDescent="0.3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8"/>
        <v>0</v>
      </c>
      <c r="O152">
        <f t="shared" si="8"/>
        <v>0</v>
      </c>
      <c r="P152">
        <f t="shared" si="8"/>
        <v>0</v>
      </c>
      <c r="Q152">
        <f t="shared" si="7"/>
        <v>0</v>
      </c>
      <c r="R152">
        <f t="shared" si="6"/>
        <v>0</v>
      </c>
      <c r="S152">
        <f t="shared" si="9"/>
        <v>0</v>
      </c>
    </row>
    <row r="153" spans="1:19" hidden="1" x14ac:dyDescent="0.3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8"/>
        <v>0</v>
      </c>
      <c r="O153">
        <f t="shared" si="8"/>
        <v>0</v>
      </c>
      <c r="P153">
        <f t="shared" si="8"/>
        <v>0</v>
      </c>
      <c r="Q153">
        <f t="shared" si="7"/>
        <v>0</v>
      </c>
      <c r="R153">
        <f t="shared" si="6"/>
        <v>0</v>
      </c>
      <c r="S153">
        <f t="shared" si="9"/>
        <v>0</v>
      </c>
    </row>
    <row r="154" spans="1:19" hidden="1" x14ac:dyDescent="0.3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8"/>
        <v>0</v>
      </c>
      <c r="O154">
        <f t="shared" si="8"/>
        <v>0</v>
      </c>
      <c r="P154">
        <f t="shared" si="8"/>
        <v>0</v>
      </c>
      <c r="Q154">
        <f t="shared" si="7"/>
        <v>0</v>
      </c>
      <c r="R154">
        <f t="shared" si="6"/>
        <v>0</v>
      </c>
      <c r="S154">
        <f t="shared" si="9"/>
        <v>0</v>
      </c>
    </row>
    <row r="155" spans="1:19" hidden="1" x14ac:dyDescent="0.3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8"/>
        <v>0</v>
      </c>
      <c r="O155">
        <f t="shared" si="8"/>
        <v>0</v>
      </c>
      <c r="P155">
        <f t="shared" si="8"/>
        <v>0</v>
      </c>
      <c r="Q155">
        <f t="shared" si="7"/>
        <v>0</v>
      </c>
      <c r="R155">
        <f t="shared" si="6"/>
        <v>0</v>
      </c>
      <c r="S155">
        <f t="shared" si="9"/>
        <v>0</v>
      </c>
    </row>
    <row r="156" spans="1:19" hidden="1" x14ac:dyDescent="0.3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8"/>
        <v>0</v>
      </c>
      <c r="O156">
        <f t="shared" si="8"/>
        <v>0</v>
      </c>
      <c r="P156">
        <f t="shared" si="8"/>
        <v>0</v>
      </c>
      <c r="Q156">
        <f t="shared" si="7"/>
        <v>0</v>
      </c>
      <c r="R156">
        <f t="shared" si="6"/>
        <v>0</v>
      </c>
      <c r="S156">
        <f t="shared" si="9"/>
        <v>0</v>
      </c>
    </row>
    <row r="157" spans="1:19" hidden="1" x14ac:dyDescent="0.3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8"/>
        <v>0</v>
      </c>
      <c r="O157">
        <f t="shared" si="8"/>
        <v>0</v>
      </c>
      <c r="P157">
        <f t="shared" si="8"/>
        <v>0</v>
      </c>
      <c r="Q157">
        <f t="shared" si="7"/>
        <v>0</v>
      </c>
      <c r="R157">
        <f t="shared" si="6"/>
        <v>0</v>
      </c>
      <c r="S157">
        <f t="shared" si="9"/>
        <v>0</v>
      </c>
    </row>
    <row r="158" spans="1:19" hidden="1" x14ac:dyDescent="0.3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8"/>
        <v>0</v>
      </c>
      <c r="O158">
        <f t="shared" si="8"/>
        <v>0</v>
      </c>
      <c r="P158">
        <f t="shared" si="8"/>
        <v>0</v>
      </c>
      <c r="Q158">
        <f t="shared" si="7"/>
        <v>0</v>
      </c>
      <c r="R158">
        <f t="shared" si="6"/>
        <v>0</v>
      </c>
      <c r="S158">
        <f t="shared" si="9"/>
        <v>0</v>
      </c>
    </row>
    <row r="159" spans="1:19" hidden="1" x14ac:dyDescent="0.3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8"/>
        <v>0</v>
      </c>
      <c r="O159">
        <f t="shared" si="8"/>
        <v>0</v>
      </c>
      <c r="P159">
        <f t="shared" si="8"/>
        <v>0</v>
      </c>
      <c r="Q159">
        <f t="shared" si="7"/>
        <v>1</v>
      </c>
      <c r="R159">
        <f t="shared" si="6"/>
        <v>0</v>
      </c>
      <c r="S159">
        <f t="shared" si="9"/>
        <v>0</v>
      </c>
    </row>
    <row r="160" spans="1:19" hidden="1" x14ac:dyDescent="0.3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8"/>
        <v>0</v>
      </c>
      <c r="O160">
        <f t="shared" si="8"/>
        <v>0</v>
      </c>
      <c r="P160">
        <f t="shared" si="8"/>
        <v>0</v>
      </c>
      <c r="Q160">
        <f t="shared" si="7"/>
        <v>0</v>
      </c>
      <c r="R160">
        <f t="shared" si="6"/>
        <v>0</v>
      </c>
      <c r="S160">
        <f t="shared" si="9"/>
        <v>0</v>
      </c>
    </row>
    <row r="161" spans="1:19" hidden="1" x14ac:dyDescent="0.3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8"/>
        <v>0</v>
      </c>
      <c r="O161">
        <f t="shared" si="8"/>
        <v>0</v>
      </c>
      <c r="P161">
        <f t="shared" si="8"/>
        <v>0</v>
      </c>
      <c r="Q161">
        <f t="shared" si="7"/>
        <v>0</v>
      </c>
      <c r="R161">
        <f t="shared" si="6"/>
        <v>0</v>
      </c>
      <c r="S161">
        <f t="shared" si="9"/>
        <v>0</v>
      </c>
    </row>
    <row r="162" spans="1:19" hidden="1" x14ac:dyDescent="0.3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8"/>
        <v>0</v>
      </c>
      <c r="O162">
        <f t="shared" si="8"/>
        <v>0</v>
      </c>
      <c r="P162">
        <f t="shared" si="8"/>
        <v>0</v>
      </c>
      <c r="Q162">
        <f t="shared" si="7"/>
        <v>0</v>
      </c>
      <c r="R162">
        <f t="shared" si="6"/>
        <v>0</v>
      </c>
      <c r="S162">
        <f t="shared" si="9"/>
        <v>0</v>
      </c>
    </row>
    <row r="163" spans="1:19" hidden="1" x14ac:dyDescent="0.3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8"/>
        <v>0</v>
      </c>
      <c r="O163">
        <f t="shared" si="8"/>
        <v>0</v>
      </c>
      <c r="P163">
        <f t="shared" si="8"/>
        <v>1</v>
      </c>
      <c r="Q163">
        <f t="shared" si="7"/>
        <v>0</v>
      </c>
      <c r="R163">
        <f t="shared" si="6"/>
        <v>0</v>
      </c>
      <c r="S163">
        <f t="shared" si="9"/>
        <v>0</v>
      </c>
    </row>
    <row r="164" spans="1:19" hidden="1" x14ac:dyDescent="0.3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8"/>
        <v>0</v>
      </c>
      <c r="O164">
        <f t="shared" si="8"/>
        <v>0</v>
      </c>
      <c r="P164">
        <f t="shared" si="8"/>
        <v>0</v>
      </c>
      <c r="Q164">
        <f t="shared" si="7"/>
        <v>0</v>
      </c>
      <c r="R164">
        <f t="shared" si="6"/>
        <v>0</v>
      </c>
      <c r="S164">
        <f t="shared" si="9"/>
        <v>0</v>
      </c>
    </row>
    <row r="165" spans="1:19" hidden="1" x14ac:dyDescent="0.3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8"/>
        <v>0</v>
      </c>
      <c r="O165">
        <f t="shared" si="8"/>
        <v>0</v>
      </c>
      <c r="P165">
        <f t="shared" si="8"/>
        <v>0</v>
      </c>
      <c r="Q165">
        <f t="shared" si="7"/>
        <v>0</v>
      </c>
      <c r="R165">
        <f t="shared" si="6"/>
        <v>0</v>
      </c>
      <c r="S165">
        <f t="shared" si="9"/>
        <v>0</v>
      </c>
    </row>
    <row r="166" spans="1:19" hidden="1" x14ac:dyDescent="0.3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8"/>
        <v>0</v>
      </c>
      <c r="O166">
        <f t="shared" si="8"/>
        <v>0</v>
      </c>
      <c r="P166">
        <f t="shared" si="8"/>
        <v>0</v>
      </c>
      <c r="Q166">
        <f t="shared" si="7"/>
        <v>0</v>
      </c>
      <c r="R166">
        <f t="shared" si="6"/>
        <v>0</v>
      </c>
      <c r="S166">
        <f t="shared" si="9"/>
        <v>0</v>
      </c>
    </row>
    <row r="167" spans="1:19" hidden="1" x14ac:dyDescent="0.3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8"/>
        <v>0</v>
      </c>
      <c r="O167">
        <f t="shared" si="8"/>
        <v>0</v>
      </c>
      <c r="P167">
        <f t="shared" si="8"/>
        <v>0</v>
      </c>
      <c r="Q167">
        <f t="shared" si="7"/>
        <v>0</v>
      </c>
      <c r="R167">
        <f t="shared" si="6"/>
        <v>0</v>
      </c>
      <c r="S167">
        <f t="shared" si="9"/>
        <v>0</v>
      </c>
    </row>
    <row r="168" spans="1:19" hidden="1" x14ac:dyDescent="0.3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8"/>
        <v>0</v>
      </c>
      <c r="O168">
        <f t="shared" si="8"/>
        <v>0</v>
      </c>
      <c r="P168">
        <f t="shared" si="8"/>
        <v>0</v>
      </c>
      <c r="Q168">
        <f t="shared" si="7"/>
        <v>0</v>
      </c>
      <c r="R168">
        <f t="shared" si="6"/>
        <v>0</v>
      </c>
      <c r="S168">
        <f t="shared" si="9"/>
        <v>0</v>
      </c>
    </row>
    <row r="169" spans="1:19" hidden="1" x14ac:dyDescent="0.3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8"/>
        <v>0</v>
      </c>
      <c r="O169">
        <f t="shared" si="8"/>
        <v>0</v>
      </c>
      <c r="P169">
        <f t="shared" si="8"/>
        <v>0</v>
      </c>
      <c r="Q169">
        <f t="shared" si="7"/>
        <v>0</v>
      </c>
      <c r="R169">
        <f t="shared" si="6"/>
        <v>0</v>
      </c>
      <c r="S169">
        <f t="shared" si="9"/>
        <v>0</v>
      </c>
    </row>
    <row r="170" spans="1:19" hidden="1" x14ac:dyDescent="0.3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8"/>
        <v>0</v>
      </c>
      <c r="O170">
        <f t="shared" si="8"/>
        <v>0</v>
      </c>
      <c r="P170">
        <f t="shared" si="8"/>
        <v>0</v>
      </c>
      <c r="Q170">
        <f t="shared" si="7"/>
        <v>0</v>
      </c>
      <c r="R170">
        <f t="shared" si="6"/>
        <v>0</v>
      </c>
      <c r="S170">
        <f t="shared" si="9"/>
        <v>0</v>
      </c>
    </row>
    <row r="171" spans="1:19" hidden="1" x14ac:dyDescent="0.3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8"/>
        <v>0</v>
      </c>
      <c r="O171">
        <f t="shared" si="8"/>
        <v>0</v>
      </c>
      <c r="P171">
        <f t="shared" si="8"/>
        <v>0</v>
      </c>
      <c r="Q171">
        <f t="shared" si="7"/>
        <v>0</v>
      </c>
      <c r="R171">
        <f t="shared" si="6"/>
        <v>0</v>
      </c>
      <c r="S171">
        <f t="shared" si="9"/>
        <v>0</v>
      </c>
    </row>
    <row r="172" spans="1:19" hidden="1" x14ac:dyDescent="0.3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8"/>
        <v>0</v>
      </c>
      <c r="O172">
        <f t="shared" si="8"/>
        <v>0</v>
      </c>
      <c r="P172">
        <f t="shared" si="8"/>
        <v>0</v>
      </c>
      <c r="Q172">
        <f t="shared" si="7"/>
        <v>0</v>
      </c>
      <c r="R172">
        <f t="shared" si="6"/>
        <v>0</v>
      </c>
      <c r="S172">
        <f t="shared" si="9"/>
        <v>0</v>
      </c>
    </row>
    <row r="173" spans="1:19" hidden="1" x14ac:dyDescent="0.3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8"/>
        <v>0</v>
      </c>
      <c r="O173">
        <f t="shared" si="8"/>
        <v>0</v>
      </c>
      <c r="P173">
        <f t="shared" si="8"/>
        <v>0</v>
      </c>
      <c r="Q173">
        <f t="shared" si="7"/>
        <v>0</v>
      </c>
      <c r="R173">
        <f t="shared" si="6"/>
        <v>0</v>
      </c>
      <c r="S173">
        <f t="shared" si="9"/>
        <v>0</v>
      </c>
    </row>
    <row r="174" spans="1:19" hidden="1" x14ac:dyDescent="0.3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8"/>
        <v>0</v>
      </c>
      <c r="O174">
        <f t="shared" si="8"/>
        <v>0</v>
      </c>
      <c r="P174">
        <f t="shared" si="8"/>
        <v>0</v>
      </c>
      <c r="Q174">
        <f t="shared" si="7"/>
        <v>0</v>
      </c>
      <c r="R174">
        <f t="shared" si="6"/>
        <v>0</v>
      </c>
      <c r="S174">
        <f t="shared" si="9"/>
        <v>0</v>
      </c>
    </row>
    <row r="175" spans="1:19" hidden="1" x14ac:dyDescent="0.3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8"/>
        <v>0</v>
      </c>
      <c r="O175">
        <f t="shared" si="8"/>
        <v>0</v>
      </c>
      <c r="P175">
        <f t="shared" si="8"/>
        <v>0</v>
      </c>
      <c r="Q175">
        <f t="shared" si="7"/>
        <v>0</v>
      </c>
      <c r="R175">
        <f t="shared" si="6"/>
        <v>0</v>
      </c>
      <c r="S175">
        <f t="shared" si="9"/>
        <v>0</v>
      </c>
    </row>
    <row r="176" spans="1:19" hidden="1" x14ac:dyDescent="0.3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8"/>
        <v>0</v>
      </c>
      <c r="O176">
        <f t="shared" si="8"/>
        <v>0</v>
      </c>
      <c r="P176">
        <f t="shared" si="8"/>
        <v>0</v>
      </c>
      <c r="Q176">
        <f t="shared" si="7"/>
        <v>0</v>
      </c>
      <c r="R176">
        <f t="shared" si="6"/>
        <v>0</v>
      </c>
      <c r="S176">
        <f t="shared" si="9"/>
        <v>0</v>
      </c>
    </row>
    <row r="177" spans="1:19" hidden="1" x14ac:dyDescent="0.3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8"/>
        <v>0</v>
      </c>
      <c r="O177">
        <f t="shared" si="8"/>
        <v>0</v>
      </c>
      <c r="P177">
        <f t="shared" si="8"/>
        <v>0</v>
      </c>
      <c r="Q177">
        <f t="shared" si="7"/>
        <v>0</v>
      </c>
      <c r="R177">
        <f t="shared" si="6"/>
        <v>0</v>
      </c>
      <c r="S177">
        <f t="shared" si="9"/>
        <v>0</v>
      </c>
    </row>
    <row r="178" spans="1:19" hidden="1" x14ac:dyDescent="0.3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8"/>
        <v>0</v>
      </c>
      <c r="O178">
        <f t="shared" si="8"/>
        <v>0</v>
      </c>
      <c r="P178">
        <f t="shared" si="8"/>
        <v>0</v>
      </c>
      <c r="Q178">
        <f t="shared" si="7"/>
        <v>0</v>
      </c>
      <c r="R178">
        <f t="shared" si="6"/>
        <v>0</v>
      </c>
      <c r="S178">
        <f t="shared" si="9"/>
        <v>0</v>
      </c>
    </row>
    <row r="179" spans="1:19" hidden="1" x14ac:dyDescent="0.3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8"/>
        <v>0</v>
      </c>
      <c r="O179">
        <f t="shared" si="8"/>
        <v>0</v>
      </c>
      <c r="P179">
        <f t="shared" si="8"/>
        <v>0</v>
      </c>
      <c r="Q179">
        <f t="shared" si="7"/>
        <v>0</v>
      </c>
      <c r="R179">
        <f t="shared" si="6"/>
        <v>0</v>
      </c>
      <c r="S179">
        <f t="shared" si="9"/>
        <v>0</v>
      </c>
    </row>
    <row r="180" spans="1:19" hidden="1" x14ac:dyDescent="0.3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8"/>
        <v>0</v>
      </c>
      <c r="O180">
        <f t="shared" si="8"/>
        <v>0</v>
      </c>
      <c r="P180">
        <f t="shared" si="8"/>
        <v>0</v>
      </c>
      <c r="Q180">
        <f t="shared" si="7"/>
        <v>0</v>
      </c>
      <c r="R180">
        <f t="shared" si="6"/>
        <v>0</v>
      </c>
      <c r="S180">
        <f t="shared" si="9"/>
        <v>0</v>
      </c>
    </row>
    <row r="181" spans="1:19" hidden="1" x14ac:dyDescent="0.3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8"/>
        <v>0</v>
      </c>
      <c r="O181">
        <f t="shared" si="8"/>
        <v>0</v>
      </c>
      <c r="P181">
        <f t="shared" si="8"/>
        <v>0</v>
      </c>
      <c r="Q181">
        <f t="shared" si="7"/>
        <v>0</v>
      </c>
      <c r="R181">
        <f t="shared" si="6"/>
        <v>0</v>
      </c>
      <c r="S181">
        <f t="shared" si="9"/>
        <v>0</v>
      </c>
    </row>
    <row r="182" spans="1:19" hidden="1" x14ac:dyDescent="0.3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8"/>
        <v>0</v>
      </c>
      <c r="O182">
        <f t="shared" si="8"/>
        <v>0</v>
      </c>
      <c r="P182">
        <f t="shared" si="8"/>
        <v>0</v>
      </c>
      <c r="Q182">
        <f t="shared" si="7"/>
        <v>0</v>
      </c>
      <c r="R182">
        <f t="shared" si="6"/>
        <v>0</v>
      </c>
      <c r="S182">
        <f t="shared" si="9"/>
        <v>0</v>
      </c>
    </row>
    <row r="183" spans="1:19" hidden="1" x14ac:dyDescent="0.3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8"/>
        <v>0</v>
      </c>
      <c r="O183">
        <f t="shared" si="8"/>
        <v>0</v>
      </c>
      <c r="P183">
        <f t="shared" si="8"/>
        <v>0</v>
      </c>
      <c r="Q183">
        <f t="shared" si="7"/>
        <v>0</v>
      </c>
      <c r="R183">
        <f t="shared" si="6"/>
        <v>0</v>
      </c>
      <c r="S183">
        <f t="shared" si="9"/>
        <v>0</v>
      </c>
    </row>
    <row r="184" spans="1:19" hidden="1" x14ac:dyDescent="0.3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8"/>
        <v>0</v>
      </c>
      <c r="O184">
        <f t="shared" si="8"/>
        <v>0</v>
      </c>
      <c r="P184">
        <f t="shared" si="8"/>
        <v>0</v>
      </c>
      <c r="Q184">
        <f t="shared" si="7"/>
        <v>0</v>
      </c>
      <c r="R184">
        <f t="shared" si="6"/>
        <v>0</v>
      </c>
      <c r="S184">
        <f t="shared" si="9"/>
        <v>0</v>
      </c>
    </row>
    <row r="185" spans="1:19" hidden="1" x14ac:dyDescent="0.3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8"/>
        <v>0</v>
      </c>
      <c r="O185">
        <f t="shared" si="8"/>
        <v>0</v>
      </c>
      <c r="P185">
        <f t="shared" si="8"/>
        <v>0</v>
      </c>
      <c r="Q185">
        <f t="shared" si="7"/>
        <v>0</v>
      </c>
      <c r="R185">
        <f t="shared" si="6"/>
        <v>0</v>
      </c>
      <c r="S185">
        <f t="shared" si="9"/>
        <v>0</v>
      </c>
    </row>
    <row r="186" spans="1:19" hidden="1" x14ac:dyDescent="0.3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8"/>
        <v>0</v>
      </c>
      <c r="O186">
        <f t="shared" si="8"/>
        <v>0</v>
      </c>
      <c r="P186">
        <f t="shared" si="8"/>
        <v>0</v>
      </c>
      <c r="Q186">
        <f t="shared" si="7"/>
        <v>0</v>
      </c>
      <c r="R186">
        <f t="shared" si="6"/>
        <v>0</v>
      </c>
      <c r="S186">
        <f t="shared" si="9"/>
        <v>0</v>
      </c>
    </row>
    <row r="187" spans="1:19" hidden="1" x14ac:dyDescent="0.3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8"/>
        <v>0</v>
      </c>
      <c r="O187">
        <f t="shared" si="8"/>
        <v>0</v>
      </c>
      <c r="P187">
        <f t="shared" si="8"/>
        <v>0</v>
      </c>
      <c r="Q187">
        <f t="shared" si="7"/>
        <v>0</v>
      </c>
      <c r="R187">
        <f t="shared" si="6"/>
        <v>0</v>
      </c>
      <c r="S187">
        <f t="shared" si="9"/>
        <v>0</v>
      </c>
    </row>
    <row r="188" spans="1:19" hidden="1" x14ac:dyDescent="0.3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8"/>
        <v>0</v>
      </c>
      <c r="O188">
        <f t="shared" si="8"/>
        <v>0</v>
      </c>
      <c r="P188">
        <f t="shared" si="8"/>
        <v>0</v>
      </c>
      <c r="Q188">
        <f t="shared" si="7"/>
        <v>0</v>
      </c>
      <c r="R188">
        <f t="shared" si="6"/>
        <v>0</v>
      </c>
      <c r="S188">
        <f t="shared" si="9"/>
        <v>0</v>
      </c>
    </row>
    <row r="189" spans="1:19" hidden="1" x14ac:dyDescent="0.3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8"/>
        <v>0</v>
      </c>
      <c r="O189">
        <f t="shared" si="8"/>
        <v>0</v>
      </c>
      <c r="P189">
        <f t="shared" si="8"/>
        <v>0</v>
      </c>
      <c r="Q189">
        <f t="shared" si="7"/>
        <v>0</v>
      </c>
      <c r="R189">
        <f t="shared" si="6"/>
        <v>0</v>
      </c>
      <c r="S189">
        <f t="shared" si="9"/>
        <v>0</v>
      </c>
    </row>
    <row r="190" spans="1:19" hidden="1" x14ac:dyDescent="0.3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8"/>
        <v>0</v>
      </c>
      <c r="O190">
        <f t="shared" si="8"/>
        <v>0</v>
      </c>
      <c r="P190">
        <f t="shared" si="8"/>
        <v>0</v>
      </c>
      <c r="Q190">
        <f t="shared" si="7"/>
        <v>0</v>
      </c>
      <c r="R190">
        <f t="shared" si="7"/>
        <v>0</v>
      </c>
      <c r="S190">
        <f t="shared" si="9"/>
        <v>0</v>
      </c>
    </row>
    <row r="191" spans="1:19" hidden="1" x14ac:dyDescent="0.3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8"/>
        <v>0</v>
      </c>
      <c r="O191">
        <f t="shared" si="8"/>
        <v>0</v>
      </c>
      <c r="P191">
        <f t="shared" si="8"/>
        <v>0</v>
      </c>
      <c r="Q191">
        <f t="shared" si="7"/>
        <v>0</v>
      </c>
      <c r="R191">
        <f t="shared" si="7"/>
        <v>0</v>
      </c>
      <c r="S191">
        <f t="shared" si="9"/>
        <v>0</v>
      </c>
    </row>
    <row r="192" spans="1:19" hidden="1" x14ac:dyDescent="0.3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8"/>
        <v>0</v>
      </c>
      <c r="O192">
        <f t="shared" si="8"/>
        <v>0</v>
      </c>
      <c r="P192">
        <f t="shared" si="8"/>
        <v>0</v>
      </c>
      <c r="Q192">
        <f t="shared" si="7"/>
        <v>0</v>
      </c>
      <c r="R192">
        <f t="shared" si="7"/>
        <v>0</v>
      </c>
      <c r="S192">
        <f t="shared" si="9"/>
        <v>0</v>
      </c>
    </row>
    <row r="193" spans="1:19" hidden="1" x14ac:dyDescent="0.3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8"/>
        <v>0</v>
      </c>
      <c r="O193">
        <f t="shared" si="8"/>
        <v>0</v>
      </c>
      <c r="P193">
        <f t="shared" si="8"/>
        <v>0</v>
      </c>
      <c r="Q193">
        <f t="shared" si="7"/>
        <v>0</v>
      </c>
      <c r="R193">
        <f t="shared" si="7"/>
        <v>0</v>
      </c>
      <c r="S193">
        <f t="shared" si="9"/>
        <v>0</v>
      </c>
    </row>
    <row r="194" spans="1:19" hidden="1" x14ac:dyDescent="0.3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si="8"/>
        <v>0</v>
      </c>
      <c r="O194">
        <f t="shared" si="8"/>
        <v>0</v>
      </c>
      <c r="P194">
        <f t="shared" si="8"/>
        <v>0</v>
      </c>
      <c r="Q194">
        <f t="shared" si="8"/>
        <v>0</v>
      </c>
      <c r="R194">
        <f t="shared" si="8"/>
        <v>0</v>
      </c>
      <c r="S194">
        <f t="shared" si="9"/>
        <v>0</v>
      </c>
    </row>
    <row r="195" spans="1:19" hidden="1" x14ac:dyDescent="0.3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ref="N195:Q258" si="10">IF(I195=100,1,0)</f>
        <v>0</v>
      </c>
      <c r="O195">
        <f t="shared" si="10"/>
        <v>0</v>
      </c>
      <c r="P195">
        <f t="shared" si="10"/>
        <v>0</v>
      </c>
      <c r="Q195">
        <f t="shared" si="10"/>
        <v>0</v>
      </c>
      <c r="R195">
        <f t="shared" ref="R195:R258" si="11">IF(M195=100,1,0)</f>
        <v>0</v>
      </c>
      <c r="S195">
        <f t="shared" ref="S195:S258" si="12">IF(SUM(N195:R195)&gt;=3,1,0)</f>
        <v>0</v>
      </c>
    </row>
    <row r="196" spans="1:19" hidden="1" x14ac:dyDescent="0.3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10"/>
        <v>0</v>
      </c>
      <c r="O196">
        <f t="shared" si="10"/>
        <v>0</v>
      </c>
      <c r="P196">
        <f t="shared" si="10"/>
        <v>0</v>
      </c>
      <c r="Q196">
        <f t="shared" si="10"/>
        <v>0</v>
      </c>
      <c r="R196">
        <f t="shared" si="11"/>
        <v>0</v>
      </c>
      <c r="S196">
        <f t="shared" si="12"/>
        <v>0</v>
      </c>
    </row>
    <row r="197" spans="1:19" hidden="1" x14ac:dyDescent="0.3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10"/>
        <v>0</v>
      </c>
      <c r="O197">
        <f t="shared" si="10"/>
        <v>0</v>
      </c>
      <c r="P197">
        <f t="shared" si="10"/>
        <v>0</v>
      </c>
      <c r="Q197">
        <f t="shared" si="10"/>
        <v>0</v>
      </c>
      <c r="R197">
        <f t="shared" si="11"/>
        <v>0</v>
      </c>
      <c r="S197">
        <f t="shared" si="12"/>
        <v>0</v>
      </c>
    </row>
    <row r="198" spans="1:19" hidden="1" x14ac:dyDescent="0.3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10"/>
        <v>0</v>
      </c>
      <c r="O198">
        <f t="shared" si="10"/>
        <v>0</v>
      </c>
      <c r="P198">
        <f t="shared" si="10"/>
        <v>0</v>
      </c>
      <c r="Q198">
        <f t="shared" si="10"/>
        <v>0</v>
      </c>
      <c r="R198">
        <f t="shared" si="11"/>
        <v>0</v>
      </c>
      <c r="S198">
        <f t="shared" si="12"/>
        <v>0</v>
      </c>
    </row>
    <row r="199" spans="1:19" hidden="1" x14ac:dyDescent="0.3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10"/>
        <v>0</v>
      </c>
      <c r="O199">
        <f t="shared" si="10"/>
        <v>0</v>
      </c>
      <c r="P199">
        <f t="shared" si="10"/>
        <v>0</v>
      </c>
      <c r="Q199">
        <f t="shared" si="10"/>
        <v>0</v>
      </c>
      <c r="R199">
        <f t="shared" si="11"/>
        <v>0</v>
      </c>
      <c r="S199">
        <f t="shared" si="12"/>
        <v>0</v>
      </c>
    </row>
    <row r="200" spans="1:19" hidden="1" x14ac:dyDescent="0.3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10"/>
        <v>0</v>
      </c>
      <c r="O200">
        <f t="shared" si="10"/>
        <v>0</v>
      </c>
      <c r="P200">
        <f t="shared" si="10"/>
        <v>0</v>
      </c>
      <c r="Q200">
        <f t="shared" si="10"/>
        <v>0</v>
      </c>
      <c r="R200">
        <f t="shared" si="11"/>
        <v>0</v>
      </c>
      <c r="S200">
        <f t="shared" si="12"/>
        <v>0</v>
      </c>
    </row>
    <row r="201" spans="1:19" hidden="1" x14ac:dyDescent="0.3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10"/>
        <v>0</v>
      </c>
      <c r="O201">
        <f t="shared" si="10"/>
        <v>0</v>
      </c>
      <c r="P201">
        <f t="shared" si="10"/>
        <v>0</v>
      </c>
      <c r="Q201">
        <f t="shared" si="10"/>
        <v>0</v>
      </c>
      <c r="R201">
        <f t="shared" si="11"/>
        <v>0</v>
      </c>
      <c r="S201">
        <f t="shared" si="12"/>
        <v>0</v>
      </c>
    </row>
    <row r="202" spans="1:19" hidden="1" x14ac:dyDescent="0.3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10"/>
        <v>0</v>
      </c>
      <c r="O202">
        <f t="shared" si="10"/>
        <v>0</v>
      </c>
      <c r="P202">
        <f t="shared" si="10"/>
        <v>0</v>
      </c>
      <c r="Q202">
        <f t="shared" si="10"/>
        <v>0</v>
      </c>
      <c r="R202">
        <f t="shared" si="11"/>
        <v>0</v>
      </c>
      <c r="S202">
        <f t="shared" si="12"/>
        <v>0</v>
      </c>
    </row>
    <row r="203" spans="1:19" hidden="1" x14ac:dyDescent="0.3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10"/>
        <v>0</v>
      </c>
      <c r="O203">
        <f t="shared" si="10"/>
        <v>0</v>
      </c>
      <c r="P203">
        <f t="shared" si="10"/>
        <v>0</v>
      </c>
      <c r="Q203">
        <f t="shared" si="10"/>
        <v>0</v>
      </c>
      <c r="R203">
        <f t="shared" si="11"/>
        <v>0</v>
      </c>
      <c r="S203">
        <f t="shared" si="12"/>
        <v>0</v>
      </c>
    </row>
    <row r="204" spans="1:19" hidden="1" x14ac:dyDescent="0.3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10"/>
        <v>0</v>
      </c>
      <c r="O204">
        <f t="shared" si="10"/>
        <v>0</v>
      </c>
      <c r="P204">
        <f t="shared" si="10"/>
        <v>0</v>
      </c>
      <c r="Q204">
        <f t="shared" si="10"/>
        <v>0</v>
      </c>
      <c r="R204">
        <f t="shared" si="11"/>
        <v>0</v>
      </c>
      <c r="S204">
        <f t="shared" si="12"/>
        <v>0</v>
      </c>
    </row>
    <row r="205" spans="1:19" hidden="1" x14ac:dyDescent="0.3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10"/>
        <v>0</v>
      </c>
      <c r="O205">
        <f t="shared" si="10"/>
        <v>0</v>
      </c>
      <c r="P205">
        <f t="shared" si="10"/>
        <v>0</v>
      </c>
      <c r="Q205">
        <f t="shared" si="10"/>
        <v>0</v>
      </c>
      <c r="R205">
        <f t="shared" si="11"/>
        <v>0</v>
      </c>
      <c r="S205">
        <f t="shared" si="12"/>
        <v>0</v>
      </c>
    </row>
    <row r="206" spans="1:19" hidden="1" x14ac:dyDescent="0.3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10"/>
        <v>0</v>
      </c>
      <c r="O206">
        <f t="shared" si="10"/>
        <v>0</v>
      </c>
      <c r="P206">
        <f t="shared" si="10"/>
        <v>0</v>
      </c>
      <c r="Q206">
        <f t="shared" si="10"/>
        <v>0</v>
      </c>
      <c r="R206">
        <f t="shared" si="11"/>
        <v>0</v>
      </c>
      <c r="S206">
        <f t="shared" si="12"/>
        <v>0</v>
      </c>
    </row>
    <row r="207" spans="1:19" hidden="1" x14ac:dyDescent="0.3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10"/>
        <v>0</v>
      </c>
      <c r="O207">
        <f t="shared" si="10"/>
        <v>0</v>
      </c>
      <c r="P207">
        <f t="shared" si="10"/>
        <v>0</v>
      </c>
      <c r="Q207">
        <f t="shared" si="10"/>
        <v>0</v>
      </c>
      <c r="R207">
        <f t="shared" si="11"/>
        <v>0</v>
      </c>
      <c r="S207">
        <f t="shared" si="12"/>
        <v>0</v>
      </c>
    </row>
    <row r="208" spans="1:19" hidden="1" x14ac:dyDescent="0.3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10"/>
        <v>0</v>
      </c>
      <c r="O208">
        <f t="shared" si="10"/>
        <v>0</v>
      </c>
      <c r="P208">
        <f t="shared" si="10"/>
        <v>0</v>
      </c>
      <c r="Q208">
        <f t="shared" si="10"/>
        <v>0</v>
      </c>
      <c r="R208">
        <f t="shared" si="11"/>
        <v>0</v>
      </c>
      <c r="S208">
        <f t="shared" si="12"/>
        <v>0</v>
      </c>
    </row>
    <row r="209" spans="1:19" hidden="1" x14ac:dyDescent="0.3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10"/>
        <v>0</v>
      </c>
      <c r="O209">
        <f t="shared" si="10"/>
        <v>0</v>
      </c>
      <c r="P209">
        <f t="shared" si="10"/>
        <v>0</v>
      </c>
      <c r="Q209">
        <f t="shared" si="10"/>
        <v>0</v>
      </c>
      <c r="R209">
        <f t="shared" si="11"/>
        <v>0</v>
      </c>
      <c r="S209">
        <f t="shared" si="12"/>
        <v>0</v>
      </c>
    </row>
    <row r="210" spans="1:19" hidden="1" x14ac:dyDescent="0.3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10"/>
        <v>0</v>
      </c>
      <c r="O210">
        <f t="shared" si="10"/>
        <v>0</v>
      </c>
      <c r="P210">
        <f t="shared" si="10"/>
        <v>0</v>
      </c>
      <c r="Q210">
        <f t="shared" si="10"/>
        <v>0</v>
      </c>
      <c r="R210">
        <f t="shared" si="11"/>
        <v>0</v>
      </c>
      <c r="S210">
        <f t="shared" si="12"/>
        <v>0</v>
      </c>
    </row>
    <row r="211" spans="1:19" hidden="1" x14ac:dyDescent="0.3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10"/>
        <v>0</v>
      </c>
      <c r="O211">
        <f t="shared" si="10"/>
        <v>0</v>
      </c>
      <c r="P211">
        <f t="shared" si="10"/>
        <v>0</v>
      </c>
      <c r="Q211">
        <f t="shared" si="10"/>
        <v>0</v>
      </c>
      <c r="R211">
        <f t="shared" si="11"/>
        <v>0</v>
      </c>
      <c r="S211">
        <f t="shared" si="12"/>
        <v>0</v>
      </c>
    </row>
    <row r="212" spans="1:19" hidden="1" x14ac:dyDescent="0.3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10"/>
        <v>0</v>
      </c>
      <c r="O212">
        <f t="shared" si="10"/>
        <v>0</v>
      </c>
      <c r="P212">
        <f t="shared" si="10"/>
        <v>0</v>
      </c>
      <c r="Q212">
        <f t="shared" si="10"/>
        <v>0</v>
      </c>
      <c r="R212">
        <f t="shared" si="11"/>
        <v>0</v>
      </c>
      <c r="S212">
        <f t="shared" si="12"/>
        <v>0</v>
      </c>
    </row>
    <row r="213" spans="1:19" hidden="1" x14ac:dyDescent="0.3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10"/>
        <v>0</v>
      </c>
      <c r="O213">
        <f t="shared" si="10"/>
        <v>0</v>
      </c>
      <c r="P213">
        <f t="shared" si="10"/>
        <v>0</v>
      </c>
      <c r="Q213">
        <f t="shared" si="10"/>
        <v>0</v>
      </c>
      <c r="R213">
        <f t="shared" si="11"/>
        <v>0</v>
      </c>
      <c r="S213">
        <f t="shared" si="12"/>
        <v>0</v>
      </c>
    </row>
    <row r="214" spans="1:19" hidden="1" x14ac:dyDescent="0.3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10"/>
        <v>0</v>
      </c>
      <c r="O214">
        <f t="shared" si="10"/>
        <v>0</v>
      </c>
      <c r="P214">
        <f t="shared" si="10"/>
        <v>0</v>
      </c>
      <c r="Q214">
        <f t="shared" si="10"/>
        <v>0</v>
      </c>
      <c r="R214">
        <f t="shared" si="11"/>
        <v>0</v>
      </c>
      <c r="S214">
        <f t="shared" si="12"/>
        <v>0</v>
      </c>
    </row>
    <row r="215" spans="1:19" hidden="1" x14ac:dyDescent="0.3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10"/>
        <v>0</v>
      </c>
      <c r="O215">
        <f t="shared" si="10"/>
        <v>0</v>
      </c>
      <c r="P215">
        <f t="shared" si="10"/>
        <v>0</v>
      </c>
      <c r="Q215">
        <f t="shared" si="10"/>
        <v>0</v>
      </c>
      <c r="R215">
        <f t="shared" si="11"/>
        <v>0</v>
      </c>
      <c r="S215">
        <f t="shared" si="12"/>
        <v>0</v>
      </c>
    </row>
    <row r="216" spans="1:19" hidden="1" x14ac:dyDescent="0.3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10"/>
        <v>0</v>
      </c>
      <c r="O216">
        <f t="shared" si="10"/>
        <v>0</v>
      </c>
      <c r="P216">
        <f t="shared" si="10"/>
        <v>0</v>
      </c>
      <c r="Q216">
        <f t="shared" si="10"/>
        <v>0</v>
      </c>
      <c r="R216">
        <f t="shared" si="11"/>
        <v>0</v>
      </c>
      <c r="S216">
        <f t="shared" si="12"/>
        <v>0</v>
      </c>
    </row>
    <row r="217" spans="1:19" hidden="1" x14ac:dyDescent="0.3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10"/>
        <v>0</v>
      </c>
      <c r="O217">
        <f t="shared" si="10"/>
        <v>0</v>
      </c>
      <c r="P217">
        <f t="shared" si="10"/>
        <v>0</v>
      </c>
      <c r="Q217">
        <f t="shared" si="10"/>
        <v>0</v>
      </c>
      <c r="R217">
        <f t="shared" si="11"/>
        <v>0</v>
      </c>
      <c r="S217">
        <f t="shared" si="12"/>
        <v>0</v>
      </c>
    </row>
    <row r="218" spans="1:19" hidden="1" x14ac:dyDescent="0.3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10"/>
        <v>0</v>
      </c>
      <c r="O218">
        <f t="shared" si="10"/>
        <v>0</v>
      </c>
      <c r="P218">
        <f t="shared" si="10"/>
        <v>0</v>
      </c>
      <c r="Q218">
        <f t="shared" si="10"/>
        <v>0</v>
      </c>
      <c r="R218">
        <f t="shared" si="11"/>
        <v>0</v>
      </c>
      <c r="S218">
        <f t="shared" si="12"/>
        <v>0</v>
      </c>
    </row>
    <row r="219" spans="1:19" hidden="1" x14ac:dyDescent="0.3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10"/>
        <v>0</v>
      </c>
      <c r="O219">
        <f t="shared" si="10"/>
        <v>0</v>
      </c>
      <c r="P219">
        <f t="shared" si="10"/>
        <v>0</v>
      </c>
      <c r="Q219">
        <f t="shared" si="10"/>
        <v>0</v>
      </c>
      <c r="R219">
        <f t="shared" si="11"/>
        <v>0</v>
      </c>
      <c r="S219">
        <f t="shared" si="12"/>
        <v>0</v>
      </c>
    </row>
    <row r="220" spans="1:19" hidden="1" x14ac:dyDescent="0.3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10"/>
        <v>0</v>
      </c>
      <c r="O220">
        <f t="shared" si="10"/>
        <v>0</v>
      </c>
      <c r="P220">
        <f t="shared" si="10"/>
        <v>0</v>
      </c>
      <c r="Q220">
        <f t="shared" si="10"/>
        <v>0</v>
      </c>
      <c r="R220">
        <f t="shared" si="11"/>
        <v>0</v>
      </c>
      <c r="S220">
        <f t="shared" si="12"/>
        <v>0</v>
      </c>
    </row>
    <row r="221" spans="1:19" hidden="1" x14ac:dyDescent="0.3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10"/>
        <v>0</v>
      </c>
      <c r="O221">
        <f t="shared" si="10"/>
        <v>0</v>
      </c>
      <c r="P221">
        <f t="shared" si="10"/>
        <v>0</v>
      </c>
      <c r="Q221">
        <f t="shared" si="10"/>
        <v>0</v>
      </c>
      <c r="R221">
        <f t="shared" si="11"/>
        <v>0</v>
      </c>
      <c r="S221">
        <f t="shared" si="12"/>
        <v>0</v>
      </c>
    </row>
    <row r="222" spans="1:19" hidden="1" x14ac:dyDescent="0.3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10"/>
        <v>0</v>
      </c>
      <c r="O222">
        <f t="shared" si="10"/>
        <v>0</v>
      </c>
      <c r="P222">
        <f t="shared" si="10"/>
        <v>0</v>
      </c>
      <c r="Q222">
        <f t="shared" si="10"/>
        <v>0</v>
      </c>
      <c r="R222">
        <f t="shared" si="11"/>
        <v>0</v>
      </c>
      <c r="S222">
        <f t="shared" si="12"/>
        <v>0</v>
      </c>
    </row>
    <row r="223" spans="1:19" hidden="1" x14ac:dyDescent="0.3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10"/>
        <v>0</v>
      </c>
      <c r="O223">
        <f t="shared" si="10"/>
        <v>0</v>
      </c>
      <c r="P223">
        <f t="shared" si="10"/>
        <v>0</v>
      </c>
      <c r="Q223">
        <f t="shared" si="10"/>
        <v>0</v>
      </c>
      <c r="R223">
        <f t="shared" si="11"/>
        <v>0</v>
      </c>
      <c r="S223">
        <f t="shared" si="12"/>
        <v>0</v>
      </c>
    </row>
    <row r="224" spans="1:19" hidden="1" x14ac:dyDescent="0.3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10"/>
        <v>0</v>
      </c>
      <c r="O224">
        <f t="shared" si="10"/>
        <v>0</v>
      </c>
      <c r="P224">
        <f t="shared" si="10"/>
        <v>0</v>
      </c>
      <c r="Q224">
        <f t="shared" si="10"/>
        <v>0</v>
      </c>
      <c r="R224">
        <f t="shared" si="11"/>
        <v>0</v>
      </c>
      <c r="S224">
        <f t="shared" si="12"/>
        <v>0</v>
      </c>
    </row>
    <row r="225" spans="1:19" hidden="1" x14ac:dyDescent="0.3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10"/>
        <v>0</v>
      </c>
      <c r="O225">
        <f t="shared" si="10"/>
        <v>0</v>
      </c>
      <c r="P225">
        <f t="shared" si="10"/>
        <v>0</v>
      </c>
      <c r="Q225">
        <f t="shared" si="10"/>
        <v>0</v>
      </c>
      <c r="R225">
        <f t="shared" si="11"/>
        <v>0</v>
      </c>
      <c r="S225">
        <f t="shared" si="12"/>
        <v>0</v>
      </c>
    </row>
    <row r="226" spans="1:19" hidden="1" x14ac:dyDescent="0.3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10"/>
        <v>0</v>
      </c>
      <c r="O226">
        <f t="shared" si="10"/>
        <v>0</v>
      </c>
      <c r="P226">
        <f t="shared" si="10"/>
        <v>1</v>
      </c>
      <c r="Q226">
        <f t="shared" si="10"/>
        <v>0</v>
      </c>
      <c r="R226">
        <f t="shared" si="11"/>
        <v>0</v>
      </c>
      <c r="S226">
        <f t="shared" si="12"/>
        <v>0</v>
      </c>
    </row>
    <row r="227" spans="1:19" hidden="1" x14ac:dyDescent="0.3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10"/>
        <v>0</v>
      </c>
      <c r="O227">
        <f t="shared" si="10"/>
        <v>0</v>
      </c>
      <c r="P227">
        <f t="shared" si="10"/>
        <v>0</v>
      </c>
      <c r="Q227">
        <f t="shared" si="10"/>
        <v>0</v>
      </c>
      <c r="R227">
        <f t="shared" si="11"/>
        <v>0</v>
      </c>
      <c r="S227">
        <f t="shared" si="12"/>
        <v>0</v>
      </c>
    </row>
    <row r="228" spans="1:19" hidden="1" x14ac:dyDescent="0.3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10"/>
        <v>0</v>
      </c>
      <c r="O228">
        <f t="shared" si="10"/>
        <v>0</v>
      </c>
      <c r="P228">
        <f t="shared" si="10"/>
        <v>0</v>
      </c>
      <c r="Q228">
        <f t="shared" si="10"/>
        <v>0</v>
      </c>
      <c r="R228">
        <f t="shared" si="11"/>
        <v>0</v>
      </c>
      <c r="S228">
        <f t="shared" si="12"/>
        <v>0</v>
      </c>
    </row>
    <row r="229" spans="1:19" hidden="1" x14ac:dyDescent="0.3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10"/>
        <v>0</v>
      </c>
      <c r="O229">
        <f t="shared" si="10"/>
        <v>0</v>
      </c>
      <c r="P229">
        <f t="shared" si="10"/>
        <v>0</v>
      </c>
      <c r="Q229">
        <f t="shared" si="10"/>
        <v>0</v>
      </c>
      <c r="R229">
        <f t="shared" si="11"/>
        <v>0</v>
      </c>
      <c r="S229">
        <f t="shared" si="12"/>
        <v>0</v>
      </c>
    </row>
    <row r="230" spans="1:19" hidden="1" x14ac:dyDescent="0.3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10"/>
        <v>0</v>
      </c>
      <c r="O230">
        <f t="shared" si="10"/>
        <v>0</v>
      </c>
      <c r="P230">
        <f t="shared" si="10"/>
        <v>0</v>
      </c>
      <c r="Q230">
        <f t="shared" si="10"/>
        <v>0</v>
      </c>
      <c r="R230">
        <f t="shared" si="11"/>
        <v>0</v>
      </c>
      <c r="S230">
        <f t="shared" si="12"/>
        <v>0</v>
      </c>
    </row>
    <row r="231" spans="1:19" hidden="1" x14ac:dyDescent="0.3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10"/>
        <v>0</v>
      </c>
      <c r="O231">
        <f t="shared" si="10"/>
        <v>0</v>
      </c>
      <c r="P231">
        <f t="shared" si="10"/>
        <v>0</v>
      </c>
      <c r="Q231">
        <f t="shared" si="10"/>
        <v>0</v>
      </c>
      <c r="R231">
        <f t="shared" si="11"/>
        <v>0</v>
      </c>
      <c r="S231">
        <f t="shared" si="12"/>
        <v>0</v>
      </c>
    </row>
    <row r="232" spans="1:19" hidden="1" x14ac:dyDescent="0.3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10"/>
        <v>0</v>
      </c>
      <c r="O232">
        <f t="shared" si="10"/>
        <v>0</v>
      </c>
      <c r="P232">
        <f t="shared" si="10"/>
        <v>0</v>
      </c>
      <c r="Q232">
        <f t="shared" si="10"/>
        <v>0</v>
      </c>
      <c r="R232">
        <f t="shared" si="11"/>
        <v>0</v>
      </c>
      <c r="S232">
        <f t="shared" si="12"/>
        <v>0</v>
      </c>
    </row>
    <row r="233" spans="1:19" hidden="1" x14ac:dyDescent="0.3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10"/>
        <v>0</v>
      </c>
      <c r="O233">
        <f t="shared" si="10"/>
        <v>0</v>
      </c>
      <c r="P233">
        <f t="shared" si="10"/>
        <v>0</v>
      </c>
      <c r="Q233">
        <f t="shared" si="10"/>
        <v>0</v>
      </c>
      <c r="R233">
        <f t="shared" si="11"/>
        <v>0</v>
      </c>
      <c r="S233">
        <f t="shared" si="12"/>
        <v>0</v>
      </c>
    </row>
    <row r="234" spans="1:19" hidden="1" x14ac:dyDescent="0.3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10"/>
        <v>0</v>
      </c>
      <c r="O234">
        <f t="shared" si="10"/>
        <v>0</v>
      </c>
      <c r="P234">
        <f t="shared" si="10"/>
        <v>0</v>
      </c>
      <c r="Q234">
        <f t="shared" si="10"/>
        <v>0</v>
      </c>
      <c r="R234">
        <f t="shared" si="11"/>
        <v>0</v>
      </c>
      <c r="S234">
        <f t="shared" si="12"/>
        <v>0</v>
      </c>
    </row>
    <row r="235" spans="1:19" hidden="1" x14ac:dyDescent="0.3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10"/>
        <v>0</v>
      </c>
      <c r="O235">
        <f t="shared" si="10"/>
        <v>0</v>
      </c>
      <c r="P235">
        <f t="shared" si="10"/>
        <v>0</v>
      </c>
      <c r="Q235">
        <f t="shared" si="10"/>
        <v>0</v>
      </c>
      <c r="R235">
        <f t="shared" si="11"/>
        <v>0</v>
      </c>
      <c r="S235">
        <f t="shared" si="12"/>
        <v>0</v>
      </c>
    </row>
    <row r="236" spans="1:19" hidden="1" x14ac:dyDescent="0.3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10"/>
        <v>0</v>
      </c>
      <c r="O236">
        <f t="shared" si="10"/>
        <v>0</v>
      </c>
      <c r="P236">
        <f t="shared" si="10"/>
        <v>0</v>
      </c>
      <c r="Q236">
        <f t="shared" si="10"/>
        <v>0</v>
      </c>
      <c r="R236">
        <f t="shared" si="11"/>
        <v>0</v>
      </c>
      <c r="S236">
        <f t="shared" si="12"/>
        <v>0</v>
      </c>
    </row>
    <row r="237" spans="1:19" hidden="1" x14ac:dyDescent="0.3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10"/>
        <v>0</v>
      </c>
      <c r="O237">
        <f t="shared" si="10"/>
        <v>0</v>
      </c>
      <c r="P237">
        <f t="shared" si="10"/>
        <v>0</v>
      </c>
      <c r="Q237">
        <f t="shared" si="10"/>
        <v>0</v>
      </c>
      <c r="R237">
        <f t="shared" si="11"/>
        <v>0</v>
      </c>
      <c r="S237">
        <f t="shared" si="12"/>
        <v>0</v>
      </c>
    </row>
    <row r="238" spans="1:19" hidden="1" x14ac:dyDescent="0.3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10"/>
        <v>0</v>
      </c>
      <c r="O238">
        <f t="shared" si="10"/>
        <v>0</v>
      </c>
      <c r="P238">
        <f t="shared" si="10"/>
        <v>0</v>
      </c>
      <c r="Q238">
        <f t="shared" si="10"/>
        <v>0</v>
      </c>
      <c r="R238">
        <f t="shared" si="11"/>
        <v>0</v>
      </c>
      <c r="S238">
        <f t="shared" si="12"/>
        <v>0</v>
      </c>
    </row>
    <row r="239" spans="1:19" hidden="1" x14ac:dyDescent="0.3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10"/>
        <v>0</v>
      </c>
      <c r="O239">
        <f t="shared" si="10"/>
        <v>0</v>
      </c>
      <c r="P239">
        <f t="shared" si="10"/>
        <v>0</v>
      </c>
      <c r="Q239">
        <f t="shared" si="10"/>
        <v>0</v>
      </c>
      <c r="R239">
        <f t="shared" si="11"/>
        <v>0</v>
      </c>
      <c r="S239">
        <f t="shared" si="12"/>
        <v>0</v>
      </c>
    </row>
    <row r="240" spans="1:19" hidden="1" x14ac:dyDescent="0.3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10"/>
        <v>0</v>
      </c>
      <c r="O240">
        <f t="shared" si="10"/>
        <v>0</v>
      </c>
      <c r="P240">
        <f t="shared" si="10"/>
        <v>0</v>
      </c>
      <c r="Q240">
        <f t="shared" si="10"/>
        <v>0</v>
      </c>
      <c r="R240">
        <f t="shared" si="11"/>
        <v>0</v>
      </c>
      <c r="S240">
        <f t="shared" si="12"/>
        <v>0</v>
      </c>
    </row>
    <row r="241" spans="1:19" hidden="1" x14ac:dyDescent="0.3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10"/>
        <v>0</v>
      </c>
      <c r="O241">
        <f t="shared" si="10"/>
        <v>0</v>
      </c>
      <c r="P241">
        <f t="shared" si="10"/>
        <v>0</v>
      </c>
      <c r="Q241">
        <f t="shared" si="10"/>
        <v>0</v>
      </c>
      <c r="R241">
        <f t="shared" si="11"/>
        <v>0</v>
      </c>
      <c r="S241">
        <f t="shared" si="12"/>
        <v>0</v>
      </c>
    </row>
    <row r="242" spans="1:19" hidden="1" x14ac:dyDescent="0.3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10"/>
        <v>0</v>
      </c>
      <c r="O242">
        <f t="shared" si="10"/>
        <v>0</v>
      </c>
      <c r="P242">
        <f t="shared" si="10"/>
        <v>0</v>
      </c>
      <c r="Q242">
        <f t="shared" si="10"/>
        <v>0</v>
      </c>
      <c r="R242">
        <f t="shared" si="11"/>
        <v>0</v>
      </c>
      <c r="S242">
        <f t="shared" si="12"/>
        <v>0</v>
      </c>
    </row>
    <row r="243" spans="1:19" hidden="1" x14ac:dyDescent="0.3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10"/>
        <v>0</v>
      </c>
      <c r="O243">
        <f t="shared" si="10"/>
        <v>0</v>
      </c>
      <c r="P243">
        <f t="shared" si="10"/>
        <v>0</v>
      </c>
      <c r="Q243">
        <f t="shared" si="10"/>
        <v>0</v>
      </c>
      <c r="R243">
        <f t="shared" si="11"/>
        <v>0</v>
      </c>
      <c r="S243">
        <f t="shared" si="12"/>
        <v>0</v>
      </c>
    </row>
    <row r="244" spans="1:19" hidden="1" x14ac:dyDescent="0.3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10"/>
        <v>0</v>
      </c>
      <c r="O244">
        <f t="shared" si="10"/>
        <v>0</v>
      </c>
      <c r="P244">
        <f t="shared" si="10"/>
        <v>0</v>
      </c>
      <c r="Q244">
        <f t="shared" si="10"/>
        <v>0</v>
      </c>
      <c r="R244">
        <f t="shared" si="11"/>
        <v>0</v>
      </c>
      <c r="S244">
        <f t="shared" si="12"/>
        <v>0</v>
      </c>
    </row>
    <row r="245" spans="1:19" hidden="1" x14ac:dyDescent="0.3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10"/>
        <v>0</v>
      </c>
      <c r="O245">
        <f t="shared" si="10"/>
        <v>0</v>
      </c>
      <c r="P245">
        <f t="shared" si="10"/>
        <v>0</v>
      </c>
      <c r="Q245">
        <f t="shared" si="10"/>
        <v>0</v>
      </c>
      <c r="R245">
        <f t="shared" si="11"/>
        <v>0</v>
      </c>
      <c r="S245">
        <f t="shared" si="12"/>
        <v>0</v>
      </c>
    </row>
    <row r="246" spans="1:19" hidden="1" x14ac:dyDescent="0.3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10"/>
        <v>0</v>
      </c>
      <c r="O246">
        <f t="shared" si="10"/>
        <v>0</v>
      </c>
      <c r="P246">
        <f t="shared" si="10"/>
        <v>0</v>
      </c>
      <c r="Q246">
        <f t="shared" si="10"/>
        <v>0</v>
      </c>
      <c r="R246">
        <f t="shared" si="11"/>
        <v>0</v>
      </c>
      <c r="S246">
        <f t="shared" si="12"/>
        <v>0</v>
      </c>
    </row>
    <row r="247" spans="1:19" hidden="1" x14ac:dyDescent="0.3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10"/>
        <v>0</v>
      </c>
      <c r="O247">
        <f t="shared" si="10"/>
        <v>0</v>
      </c>
      <c r="P247">
        <f t="shared" si="10"/>
        <v>0</v>
      </c>
      <c r="Q247">
        <f t="shared" si="10"/>
        <v>0</v>
      </c>
      <c r="R247">
        <f t="shared" si="11"/>
        <v>0</v>
      </c>
      <c r="S247">
        <f t="shared" si="12"/>
        <v>0</v>
      </c>
    </row>
    <row r="248" spans="1:19" hidden="1" x14ac:dyDescent="0.3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10"/>
        <v>0</v>
      </c>
      <c r="O248">
        <f t="shared" si="10"/>
        <v>0</v>
      </c>
      <c r="P248">
        <f t="shared" si="10"/>
        <v>0</v>
      </c>
      <c r="Q248">
        <f t="shared" si="10"/>
        <v>0</v>
      </c>
      <c r="R248">
        <f t="shared" si="11"/>
        <v>0</v>
      </c>
      <c r="S248">
        <f t="shared" si="12"/>
        <v>0</v>
      </c>
    </row>
    <row r="249" spans="1:19" hidden="1" x14ac:dyDescent="0.3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10"/>
        <v>0</v>
      </c>
      <c r="O249">
        <f t="shared" si="10"/>
        <v>0</v>
      </c>
      <c r="P249">
        <f t="shared" si="10"/>
        <v>0</v>
      </c>
      <c r="Q249">
        <f t="shared" si="10"/>
        <v>0</v>
      </c>
      <c r="R249">
        <f t="shared" si="11"/>
        <v>0</v>
      </c>
      <c r="S249">
        <f t="shared" si="12"/>
        <v>0</v>
      </c>
    </row>
    <row r="250" spans="1:19" hidden="1" x14ac:dyDescent="0.3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10"/>
        <v>0</v>
      </c>
      <c r="O250">
        <f t="shared" si="10"/>
        <v>0</v>
      </c>
      <c r="P250">
        <f t="shared" si="10"/>
        <v>0</v>
      </c>
      <c r="Q250">
        <f t="shared" si="10"/>
        <v>0</v>
      </c>
      <c r="R250">
        <f t="shared" si="11"/>
        <v>0</v>
      </c>
      <c r="S250">
        <f t="shared" si="12"/>
        <v>0</v>
      </c>
    </row>
    <row r="251" spans="1:19" hidden="1" x14ac:dyDescent="0.3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10"/>
        <v>0</v>
      </c>
      <c r="O251">
        <f t="shared" si="10"/>
        <v>0</v>
      </c>
      <c r="P251">
        <f t="shared" si="10"/>
        <v>0</v>
      </c>
      <c r="Q251">
        <f t="shared" si="10"/>
        <v>0</v>
      </c>
      <c r="R251">
        <f t="shared" si="11"/>
        <v>0</v>
      </c>
      <c r="S251">
        <f t="shared" si="12"/>
        <v>0</v>
      </c>
    </row>
    <row r="252" spans="1:19" hidden="1" x14ac:dyDescent="0.3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10"/>
        <v>0</v>
      </c>
      <c r="O252">
        <f t="shared" si="10"/>
        <v>0</v>
      </c>
      <c r="P252">
        <f t="shared" si="10"/>
        <v>0</v>
      </c>
      <c r="Q252">
        <f t="shared" si="10"/>
        <v>0</v>
      </c>
      <c r="R252">
        <f t="shared" si="11"/>
        <v>0</v>
      </c>
      <c r="S252">
        <f t="shared" si="12"/>
        <v>0</v>
      </c>
    </row>
    <row r="253" spans="1:19" hidden="1" x14ac:dyDescent="0.3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10"/>
        <v>0</v>
      </c>
      <c r="O253">
        <f t="shared" si="10"/>
        <v>0</v>
      </c>
      <c r="P253">
        <f t="shared" si="10"/>
        <v>0</v>
      </c>
      <c r="Q253">
        <f t="shared" si="10"/>
        <v>0</v>
      </c>
      <c r="R253">
        <f t="shared" si="11"/>
        <v>0</v>
      </c>
      <c r="S253">
        <f t="shared" si="12"/>
        <v>0</v>
      </c>
    </row>
    <row r="254" spans="1:19" hidden="1" x14ac:dyDescent="0.3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10"/>
        <v>0</v>
      </c>
      <c r="O254">
        <f t="shared" si="10"/>
        <v>0</v>
      </c>
      <c r="P254">
        <f t="shared" si="10"/>
        <v>0</v>
      </c>
      <c r="Q254">
        <f t="shared" si="10"/>
        <v>0</v>
      </c>
      <c r="R254">
        <f t="shared" si="11"/>
        <v>0</v>
      </c>
      <c r="S254">
        <f t="shared" si="12"/>
        <v>0</v>
      </c>
    </row>
    <row r="255" spans="1:19" hidden="1" x14ac:dyDescent="0.3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10"/>
        <v>0</v>
      </c>
      <c r="O255">
        <f t="shared" si="10"/>
        <v>0</v>
      </c>
      <c r="P255">
        <f t="shared" si="10"/>
        <v>0</v>
      </c>
      <c r="Q255">
        <f t="shared" si="10"/>
        <v>0</v>
      </c>
      <c r="R255">
        <f t="shared" si="11"/>
        <v>0</v>
      </c>
      <c r="S255">
        <f t="shared" si="12"/>
        <v>0</v>
      </c>
    </row>
    <row r="256" spans="1:19" hidden="1" x14ac:dyDescent="0.3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10"/>
        <v>0</v>
      </c>
      <c r="O256">
        <f t="shared" si="10"/>
        <v>0</v>
      </c>
      <c r="P256">
        <f t="shared" si="10"/>
        <v>0</v>
      </c>
      <c r="Q256">
        <f t="shared" si="10"/>
        <v>0</v>
      </c>
      <c r="R256">
        <f t="shared" si="11"/>
        <v>0</v>
      </c>
      <c r="S256">
        <f t="shared" si="12"/>
        <v>0</v>
      </c>
    </row>
    <row r="257" spans="1:19" hidden="1" x14ac:dyDescent="0.3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10"/>
        <v>0</v>
      </c>
      <c r="O257">
        <f t="shared" si="10"/>
        <v>0</v>
      </c>
      <c r="P257">
        <f t="shared" si="10"/>
        <v>0</v>
      </c>
      <c r="Q257">
        <f t="shared" si="10"/>
        <v>0</v>
      </c>
      <c r="R257">
        <f t="shared" si="11"/>
        <v>0</v>
      </c>
      <c r="S257">
        <f t="shared" si="12"/>
        <v>0</v>
      </c>
    </row>
    <row r="258" spans="1:19" hidden="1" x14ac:dyDescent="0.3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si="10"/>
        <v>0</v>
      </c>
      <c r="O258">
        <f t="shared" si="10"/>
        <v>0</v>
      </c>
      <c r="P258">
        <f t="shared" si="10"/>
        <v>0</v>
      </c>
      <c r="Q258">
        <f t="shared" ref="Q258:R321" si="13">IF(L258=100,1,0)</f>
        <v>0</v>
      </c>
      <c r="R258">
        <f t="shared" si="11"/>
        <v>0</v>
      </c>
      <c r="S258">
        <f t="shared" si="12"/>
        <v>0</v>
      </c>
    </row>
    <row r="259" spans="1:19" hidden="1" x14ac:dyDescent="0.3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ref="N259:R322" si="14">IF(I259=100,1,0)</f>
        <v>0</v>
      </c>
      <c r="O259">
        <f t="shared" si="14"/>
        <v>0</v>
      </c>
      <c r="P259">
        <f t="shared" si="14"/>
        <v>0</v>
      </c>
      <c r="Q259">
        <f t="shared" si="13"/>
        <v>0</v>
      </c>
      <c r="R259">
        <f t="shared" si="13"/>
        <v>0</v>
      </c>
      <c r="S259">
        <f t="shared" ref="S259:S322" si="15">IF(SUM(N259:R259)&gt;=3,1,0)</f>
        <v>0</v>
      </c>
    </row>
    <row r="260" spans="1:19" hidden="1" x14ac:dyDescent="0.3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14"/>
        <v>0</v>
      </c>
      <c r="O260">
        <f t="shared" si="14"/>
        <v>0</v>
      </c>
      <c r="P260">
        <f t="shared" si="14"/>
        <v>0</v>
      </c>
      <c r="Q260">
        <f t="shared" si="13"/>
        <v>0</v>
      </c>
      <c r="R260">
        <f t="shared" si="13"/>
        <v>0</v>
      </c>
      <c r="S260">
        <f t="shared" si="15"/>
        <v>0</v>
      </c>
    </row>
    <row r="261" spans="1:19" hidden="1" x14ac:dyDescent="0.3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14"/>
        <v>0</v>
      </c>
      <c r="O261">
        <f t="shared" si="14"/>
        <v>0</v>
      </c>
      <c r="P261">
        <f t="shared" si="14"/>
        <v>0</v>
      </c>
      <c r="Q261">
        <f t="shared" si="13"/>
        <v>0</v>
      </c>
      <c r="R261">
        <f t="shared" si="13"/>
        <v>0</v>
      </c>
      <c r="S261">
        <f t="shared" si="15"/>
        <v>0</v>
      </c>
    </row>
    <row r="262" spans="1:19" hidden="1" x14ac:dyDescent="0.3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14"/>
        <v>0</v>
      </c>
      <c r="O262">
        <f t="shared" si="14"/>
        <v>0</v>
      </c>
      <c r="P262">
        <f t="shared" si="14"/>
        <v>0</v>
      </c>
      <c r="Q262">
        <f t="shared" si="13"/>
        <v>0</v>
      </c>
      <c r="R262">
        <f t="shared" si="13"/>
        <v>0</v>
      </c>
      <c r="S262">
        <f t="shared" si="15"/>
        <v>0</v>
      </c>
    </row>
    <row r="263" spans="1:19" hidden="1" x14ac:dyDescent="0.3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14"/>
        <v>0</v>
      </c>
      <c r="O263">
        <f t="shared" si="14"/>
        <v>0</v>
      </c>
      <c r="P263">
        <f t="shared" si="14"/>
        <v>0</v>
      </c>
      <c r="Q263">
        <f t="shared" si="13"/>
        <v>0</v>
      </c>
      <c r="R263">
        <f t="shared" si="13"/>
        <v>0</v>
      </c>
      <c r="S263">
        <f t="shared" si="15"/>
        <v>0</v>
      </c>
    </row>
    <row r="264" spans="1:19" hidden="1" x14ac:dyDescent="0.3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14"/>
        <v>0</v>
      </c>
      <c r="O264">
        <f t="shared" si="14"/>
        <v>0</v>
      </c>
      <c r="P264">
        <f t="shared" si="14"/>
        <v>0</v>
      </c>
      <c r="Q264">
        <f t="shared" si="13"/>
        <v>0</v>
      </c>
      <c r="R264">
        <f t="shared" si="13"/>
        <v>0</v>
      </c>
      <c r="S264">
        <f t="shared" si="15"/>
        <v>0</v>
      </c>
    </row>
    <row r="265" spans="1:19" hidden="1" x14ac:dyDescent="0.3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14"/>
        <v>0</v>
      </c>
      <c r="O265">
        <f t="shared" si="14"/>
        <v>0</v>
      </c>
      <c r="P265">
        <f t="shared" si="14"/>
        <v>0</v>
      </c>
      <c r="Q265">
        <f t="shared" si="13"/>
        <v>0</v>
      </c>
      <c r="R265">
        <f t="shared" si="13"/>
        <v>0</v>
      </c>
      <c r="S265">
        <f t="shared" si="15"/>
        <v>0</v>
      </c>
    </row>
    <row r="266" spans="1:19" hidden="1" x14ac:dyDescent="0.3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14"/>
        <v>0</v>
      </c>
      <c r="O266">
        <f t="shared" si="14"/>
        <v>0</v>
      </c>
      <c r="P266">
        <f t="shared" si="14"/>
        <v>0</v>
      </c>
      <c r="Q266">
        <f t="shared" si="13"/>
        <v>0</v>
      </c>
      <c r="R266">
        <f t="shared" si="13"/>
        <v>0</v>
      </c>
      <c r="S266">
        <f t="shared" si="15"/>
        <v>0</v>
      </c>
    </row>
    <row r="267" spans="1:19" hidden="1" x14ac:dyDescent="0.3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14"/>
        <v>0</v>
      </c>
      <c r="O267">
        <f t="shared" si="14"/>
        <v>0</v>
      </c>
      <c r="P267">
        <f t="shared" si="14"/>
        <v>0</v>
      </c>
      <c r="Q267">
        <f t="shared" si="13"/>
        <v>0</v>
      </c>
      <c r="R267">
        <f t="shared" si="13"/>
        <v>0</v>
      </c>
      <c r="S267">
        <f t="shared" si="15"/>
        <v>0</v>
      </c>
    </row>
    <row r="268" spans="1:19" hidden="1" x14ac:dyDescent="0.3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14"/>
        <v>0</v>
      </c>
      <c r="O268">
        <f t="shared" si="14"/>
        <v>0</v>
      </c>
      <c r="P268">
        <f t="shared" si="14"/>
        <v>0</v>
      </c>
      <c r="Q268">
        <f t="shared" si="13"/>
        <v>0</v>
      </c>
      <c r="R268">
        <f t="shared" si="13"/>
        <v>0</v>
      </c>
      <c r="S268">
        <f t="shared" si="15"/>
        <v>0</v>
      </c>
    </row>
    <row r="269" spans="1:19" hidden="1" x14ac:dyDescent="0.3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14"/>
        <v>0</v>
      </c>
      <c r="O269">
        <f t="shared" si="14"/>
        <v>0</v>
      </c>
      <c r="P269">
        <f t="shared" si="14"/>
        <v>0</v>
      </c>
      <c r="Q269">
        <f t="shared" si="13"/>
        <v>0</v>
      </c>
      <c r="R269">
        <f t="shared" si="13"/>
        <v>0</v>
      </c>
      <c r="S269">
        <f t="shared" si="15"/>
        <v>0</v>
      </c>
    </row>
    <row r="270" spans="1:19" hidden="1" x14ac:dyDescent="0.3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14"/>
        <v>0</v>
      </c>
      <c r="O270">
        <f t="shared" si="14"/>
        <v>0</v>
      </c>
      <c r="P270">
        <f t="shared" si="14"/>
        <v>0</v>
      </c>
      <c r="Q270">
        <f t="shared" si="13"/>
        <v>0</v>
      </c>
      <c r="R270">
        <f t="shared" si="13"/>
        <v>0</v>
      </c>
      <c r="S270">
        <f t="shared" si="15"/>
        <v>0</v>
      </c>
    </row>
    <row r="271" spans="1:19" hidden="1" x14ac:dyDescent="0.3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14"/>
        <v>0</v>
      </c>
      <c r="O271">
        <f t="shared" si="14"/>
        <v>0</v>
      </c>
      <c r="P271">
        <f t="shared" si="14"/>
        <v>0</v>
      </c>
      <c r="Q271">
        <f t="shared" si="13"/>
        <v>0</v>
      </c>
      <c r="R271">
        <f t="shared" si="13"/>
        <v>0</v>
      </c>
      <c r="S271">
        <f t="shared" si="15"/>
        <v>0</v>
      </c>
    </row>
    <row r="272" spans="1:19" hidden="1" x14ac:dyDescent="0.3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14"/>
        <v>0</v>
      </c>
      <c r="O272">
        <f t="shared" si="14"/>
        <v>0</v>
      </c>
      <c r="P272">
        <f t="shared" si="14"/>
        <v>0</v>
      </c>
      <c r="Q272">
        <f t="shared" si="13"/>
        <v>0</v>
      </c>
      <c r="R272">
        <f t="shared" si="13"/>
        <v>0</v>
      </c>
      <c r="S272">
        <f t="shared" si="15"/>
        <v>0</v>
      </c>
    </row>
    <row r="273" spans="1:19" hidden="1" x14ac:dyDescent="0.3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14"/>
        <v>0</v>
      </c>
      <c r="O273">
        <f t="shared" si="14"/>
        <v>0</v>
      </c>
      <c r="P273">
        <f t="shared" si="14"/>
        <v>0</v>
      </c>
      <c r="Q273">
        <f t="shared" si="13"/>
        <v>0</v>
      </c>
      <c r="R273">
        <f t="shared" si="13"/>
        <v>0</v>
      </c>
      <c r="S273">
        <f t="shared" si="15"/>
        <v>0</v>
      </c>
    </row>
    <row r="274" spans="1:19" hidden="1" x14ac:dyDescent="0.3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14"/>
        <v>0</v>
      </c>
      <c r="O274">
        <f t="shared" si="14"/>
        <v>0</v>
      </c>
      <c r="P274">
        <f t="shared" si="14"/>
        <v>0</v>
      </c>
      <c r="Q274">
        <f t="shared" si="13"/>
        <v>0</v>
      </c>
      <c r="R274">
        <f t="shared" si="13"/>
        <v>0</v>
      </c>
      <c r="S274">
        <f t="shared" si="15"/>
        <v>0</v>
      </c>
    </row>
    <row r="275" spans="1:19" hidden="1" x14ac:dyDescent="0.3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14"/>
        <v>0</v>
      </c>
      <c r="O275">
        <f t="shared" si="14"/>
        <v>0</v>
      </c>
      <c r="P275">
        <f t="shared" si="14"/>
        <v>0</v>
      </c>
      <c r="Q275">
        <f t="shared" si="13"/>
        <v>0</v>
      </c>
      <c r="R275">
        <f t="shared" si="13"/>
        <v>0</v>
      </c>
      <c r="S275">
        <f t="shared" si="15"/>
        <v>0</v>
      </c>
    </row>
    <row r="276" spans="1:19" hidden="1" x14ac:dyDescent="0.3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14"/>
        <v>0</v>
      </c>
      <c r="O276">
        <f t="shared" si="14"/>
        <v>0</v>
      </c>
      <c r="P276">
        <f t="shared" si="14"/>
        <v>0</v>
      </c>
      <c r="Q276">
        <f t="shared" si="13"/>
        <v>0</v>
      </c>
      <c r="R276">
        <f t="shared" si="13"/>
        <v>0</v>
      </c>
      <c r="S276">
        <f t="shared" si="15"/>
        <v>0</v>
      </c>
    </row>
    <row r="277" spans="1:19" hidden="1" x14ac:dyDescent="0.3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14"/>
        <v>0</v>
      </c>
      <c r="O277">
        <f t="shared" si="14"/>
        <v>0</v>
      </c>
      <c r="P277">
        <f t="shared" si="14"/>
        <v>0</v>
      </c>
      <c r="Q277">
        <f t="shared" si="13"/>
        <v>0</v>
      </c>
      <c r="R277">
        <f t="shared" si="13"/>
        <v>0</v>
      </c>
      <c r="S277">
        <f t="shared" si="15"/>
        <v>0</v>
      </c>
    </row>
    <row r="278" spans="1:19" hidden="1" x14ac:dyDescent="0.3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14"/>
        <v>0</v>
      </c>
      <c r="O278">
        <f t="shared" si="14"/>
        <v>0</v>
      </c>
      <c r="P278">
        <f t="shared" si="14"/>
        <v>0</v>
      </c>
      <c r="Q278">
        <f t="shared" si="13"/>
        <v>0</v>
      </c>
      <c r="R278">
        <f t="shared" si="13"/>
        <v>1</v>
      </c>
      <c r="S278">
        <f t="shared" si="15"/>
        <v>0</v>
      </c>
    </row>
    <row r="279" spans="1:19" hidden="1" x14ac:dyDescent="0.3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14"/>
        <v>0</v>
      </c>
      <c r="O279">
        <f t="shared" si="14"/>
        <v>0</v>
      </c>
      <c r="P279">
        <f t="shared" si="14"/>
        <v>0</v>
      </c>
      <c r="Q279">
        <f t="shared" si="13"/>
        <v>0</v>
      </c>
      <c r="R279">
        <f t="shared" si="13"/>
        <v>0</v>
      </c>
      <c r="S279">
        <f t="shared" si="15"/>
        <v>0</v>
      </c>
    </row>
    <row r="280" spans="1:19" hidden="1" x14ac:dyDescent="0.3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14"/>
        <v>0</v>
      </c>
      <c r="O280">
        <f t="shared" si="14"/>
        <v>0</v>
      </c>
      <c r="P280">
        <f t="shared" si="14"/>
        <v>0</v>
      </c>
      <c r="Q280">
        <f t="shared" si="13"/>
        <v>0</v>
      </c>
      <c r="R280">
        <f t="shared" si="13"/>
        <v>0</v>
      </c>
      <c r="S280">
        <f t="shared" si="15"/>
        <v>0</v>
      </c>
    </row>
    <row r="281" spans="1:19" hidden="1" x14ac:dyDescent="0.3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14"/>
        <v>0</v>
      </c>
      <c r="O281">
        <f t="shared" si="14"/>
        <v>0</v>
      </c>
      <c r="P281">
        <f t="shared" si="14"/>
        <v>0</v>
      </c>
      <c r="Q281">
        <f t="shared" si="13"/>
        <v>0</v>
      </c>
      <c r="R281">
        <f t="shared" si="13"/>
        <v>0</v>
      </c>
      <c r="S281">
        <f t="shared" si="15"/>
        <v>0</v>
      </c>
    </row>
    <row r="282" spans="1:19" hidden="1" x14ac:dyDescent="0.3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14"/>
        <v>0</v>
      </c>
      <c r="O282">
        <f t="shared" si="14"/>
        <v>0</v>
      </c>
      <c r="P282">
        <f t="shared" si="14"/>
        <v>0</v>
      </c>
      <c r="Q282">
        <f t="shared" si="13"/>
        <v>0</v>
      </c>
      <c r="R282">
        <f t="shared" si="13"/>
        <v>0</v>
      </c>
      <c r="S282">
        <f t="shared" si="15"/>
        <v>0</v>
      </c>
    </row>
    <row r="283" spans="1:19" hidden="1" x14ac:dyDescent="0.3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14"/>
        <v>0</v>
      </c>
      <c r="O283">
        <f t="shared" si="14"/>
        <v>0</v>
      </c>
      <c r="P283">
        <f t="shared" si="14"/>
        <v>0</v>
      </c>
      <c r="Q283">
        <f t="shared" si="13"/>
        <v>0</v>
      </c>
      <c r="R283">
        <f t="shared" si="13"/>
        <v>0</v>
      </c>
      <c r="S283">
        <f t="shared" si="15"/>
        <v>0</v>
      </c>
    </row>
    <row r="284" spans="1:19" hidden="1" x14ac:dyDescent="0.3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14"/>
        <v>1</v>
      </c>
      <c r="O284">
        <f t="shared" si="14"/>
        <v>0</v>
      </c>
      <c r="P284">
        <f t="shared" si="14"/>
        <v>0</v>
      </c>
      <c r="Q284">
        <f t="shared" si="13"/>
        <v>0</v>
      </c>
      <c r="R284">
        <f t="shared" si="13"/>
        <v>0</v>
      </c>
      <c r="S284">
        <f t="shared" si="15"/>
        <v>0</v>
      </c>
    </row>
    <row r="285" spans="1:19" hidden="1" x14ac:dyDescent="0.3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14"/>
        <v>0</v>
      </c>
      <c r="O285">
        <f t="shared" si="14"/>
        <v>0</v>
      </c>
      <c r="P285">
        <f t="shared" si="14"/>
        <v>0</v>
      </c>
      <c r="Q285">
        <f t="shared" si="13"/>
        <v>0</v>
      </c>
      <c r="R285">
        <f t="shared" si="13"/>
        <v>0</v>
      </c>
      <c r="S285">
        <f t="shared" si="15"/>
        <v>0</v>
      </c>
    </row>
    <row r="286" spans="1:19" hidden="1" x14ac:dyDescent="0.3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14"/>
        <v>0</v>
      </c>
      <c r="O286">
        <f t="shared" si="14"/>
        <v>0</v>
      </c>
      <c r="P286">
        <f t="shared" si="14"/>
        <v>0</v>
      </c>
      <c r="Q286">
        <f t="shared" si="13"/>
        <v>0</v>
      </c>
      <c r="R286">
        <f t="shared" si="13"/>
        <v>0</v>
      </c>
      <c r="S286">
        <f t="shared" si="15"/>
        <v>0</v>
      </c>
    </row>
    <row r="287" spans="1:19" hidden="1" x14ac:dyDescent="0.3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14"/>
        <v>0</v>
      </c>
      <c r="O287">
        <f t="shared" si="14"/>
        <v>0</v>
      </c>
      <c r="P287">
        <f t="shared" si="14"/>
        <v>0</v>
      </c>
      <c r="Q287">
        <f t="shared" si="13"/>
        <v>0</v>
      </c>
      <c r="R287">
        <f t="shared" si="13"/>
        <v>0</v>
      </c>
      <c r="S287">
        <f t="shared" si="15"/>
        <v>0</v>
      </c>
    </row>
    <row r="288" spans="1:19" hidden="1" x14ac:dyDescent="0.3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14"/>
        <v>0</v>
      </c>
      <c r="O288">
        <f t="shared" si="14"/>
        <v>0</v>
      </c>
      <c r="P288">
        <f t="shared" si="14"/>
        <v>0</v>
      </c>
      <c r="Q288">
        <f t="shared" si="13"/>
        <v>0</v>
      </c>
      <c r="R288">
        <f t="shared" si="13"/>
        <v>0</v>
      </c>
      <c r="S288">
        <f t="shared" si="15"/>
        <v>0</v>
      </c>
    </row>
    <row r="289" spans="1:19" hidden="1" x14ac:dyDescent="0.3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14"/>
        <v>0</v>
      </c>
      <c r="O289">
        <f t="shared" si="14"/>
        <v>0</v>
      </c>
      <c r="P289">
        <f t="shared" si="14"/>
        <v>0</v>
      </c>
      <c r="Q289">
        <f t="shared" si="13"/>
        <v>0</v>
      </c>
      <c r="R289">
        <f t="shared" si="13"/>
        <v>0</v>
      </c>
      <c r="S289">
        <f t="shared" si="15"/>
        <v>0</v>
      </c>
    </row>
    <row r="290" spans="1:19" hidden="1" x14ac:dyDescent="0.3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14"/>
        <v>0</v>
      </c>
      <c r="O290">
        <f t="shared" si="14"/>
        <v>0</v>
      </c>
      <c r="P290">
        <f t="shared" si="14"/>
        <v>0</v>
      </c>
      <c r="Q290">
        <f t="shared" si="13"/>
        <v>1</v>
      </c>
      <c r="R290">
        <f t="shared" si="13"/>
        <v>0</v>
      </c>
      <c r="S290">
        <f t="shared" si="15"/>
        <v>0</v>
      </c>
    </row>
    <row r="291" spans="1:19" hidden="1" x14ac:dyDescent="0.3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14"/>
        <v>0</v>
      </c>
      <c r="O291">
        <f t="shared" si="14"/>
        <v>0</v>
      </c>
      <c r="P291">
        <f t="shared" si="14"/>
        <v>0</v>
      </c>
      <c r="Q291">
        <f t="shared" si="13"/>
        <v>0</v>
      </c>
      <c r="R291">
        <f t="shared" si="13"/>
        <v>0</v>
      </c>
      <c r="S291">
        <f t="shared" si="15"/>
        <v>0</v>
      </c>
    </row>
    <row r="292" spans="1:19" hidden="1" x14ac:dyDescent="0.3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14"/>
        <v>0</v>
      </c>
      <c r="O292">
        <f t="shared" si="14"/>
        <v>0</v>
      </c>
      <c r="P292">
        <f t="shared" si="14"/>
        <v>0</v>
      </c>
      <c r="Q292">
        <f t="shared" si="13"/>
        <v>0</v>
      </c>
      <c r="R292">
        <f t="shared" si="13"/>
        <v>0</v>
      </c>
      <c r="S292">
        <f t="shared" si="15"/>
        <v>0</v>
      </c>
    </row>
    <row r="293" spans="1:19" hidden="1" x14ac:dyDescent="0.3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14"/>
        <v>0</v>
      </c>
      <c r="O293">
        <f t="shared" si="14"/>
        <v>0</v>
      </c>
      <c r="P293">
        <f t="shared" si="14"/>
        <v>0</v>
      </c>
      <c r="Q293">
        <f t="shared" si="13"/>
        <v>0</v>
      </c>
      <c r="R293">
        <f t="shared" si="13"/>
        <v>0</v>
      </c>
      <c r="S293">
        <f t="shared" si="15"/>
        <v>0</v>
      </c>
    </row>
    <row r="294" spans="1:19" hidden="1" x14ac:dyDescent="0.3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14"/>
        <v>0</v>
      </c>
      <c r="O294">
        <f t="shared" si="14"/>
        <v>0</v>
      </c>
      <c r="P294">
        <f t="shared" si="14"/>
        <v>0</v>
      </c>
      <c r="Q294">
        <f t="shared" si="13"/>
        <v>0</v>
      </c>
      <c r="R294">
        <f t="shared" si="13"/>
        <v>0</v>
      </c>
      <c r="S294">
        <f t="shared" si="15"/>
        <v>0</v>
      </c>
    </row>
    <row r="295" spans="1:19" hidden="1" x14ac:dyDescent="0.3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14"/>
        <v>0</v>
      </c>
      <c r="O295">
        <f t="shared" si="14"/>
        <v>0</v>
      </c>
      <c r="P295">
        <f t="shared" si="14"/>
        <v>0</v>
      </c>
      <c r="Q295">
        <f t="shared" si="13"/>
        <v>0</v>
      </c>
      <c r="R295">
        <f t="shared" si="13"/>
        <v>0</v>
      </c>
      <c r="S295">
        <f t="shared" si="15"/>
        <v>0</v>
      </c>
    </row>
    <row r="296" spans="1:19" hidden="1" x14ac:dyDescent="0.3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14"/>
        <v>0</v>
      </c>
      <c r="O296">
        <f t="shared" si="14"/>
        <v>0</v>
      </c>
      <c r="P296">
        <f t="shared" si="14"/>
        <v>0</v>
      </c>
      <c r="Q296">
        <f t="shared" si="13"/>
        <v>0</v>
      </c>
      <c r="R296">
        <f t="shared" si="13"/>
        <v>0</v>
      </c>
      <c r="S296">
        <f t="shared" si="15"/>
        <v>0</v>
      </c>
    </row>
    <row r="297" spans="1:19" hidden="1" x14ac:dyDescent="0.3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14"/>
        <v>0</v>
      </c>
      <c r="O297">
        <f t="shared" si="14"/>
        <v>0</v>
      </c>
      <c r="P297">
        <f t="shared" si="14"/>
        <v>0</v>
      </c>
      <c r="Q297">
        <f t="shared" si="13"/>
        <v>0</v>
      </c>
      <c r="R297">
        <f t="shared" si="13"/>
        <v>0</v>
      </c>
      <c r="S297">
        <f t="shared" si="15"/>
        <v>0</v>
      </c>
    </row>
    <row r="298" spans="1:19" hidden="1" x14ac:dyDescent="0.3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14"/>
        <v>0</v>
      </c>
      <c r="O298">
        <f t="shared" si="14"/>
        <v>0</v>
      </c>
      <c r="P298">
        <f t="shared" si="14"/>
        <v>0</v>
      </c>
      <c r="Q298">
        <f t="shared" si="13"/>
        <v>0</v>
      </c>
      <c r="R298">
        <f t="shared" si="13"/>
        <v>0</v>
      </c>
      <c r="S298">
        <f t="shared" si="15"/>
        <v>0</v>
      </c>
    </row>
    <row r="299" spans="1:19" hidden="1" x14ac:dyDescent="0.3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14"/>
        <v>0</v>
      </c>
      <c r="O299">
        <f t="shared" si="14"/>
        <v>0</v>
      </c>
      <c r="P299">
        <f t="shared" si="14"/>
        <v>0</v>
      </c>
      <c r="Q299">
        <f t="shared" si="13"/>
        <v>0</v>
      </c>
      <c r="R299">
        <f t="shared" si="13"/>
        <v>0</v>
      </c>
      <c r="S299">
        <f t="shared" si="15"/>
        <v>0</v>
      </c>
    </row>
    <row r="300" spans="1:19" hidden="1" x14ac:dyDescent="0.3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14"/>
        <v>0</v>
      </c>
      <c r="O300">
        <f t="shared" si="14"/>
        <v>0</v>
      </c>
      <c r="P300">
        <f t="shared" si="14"/>
        <v>0</v>
      </c>
      <c r="Q300">
        <f t="shared" si="13"/>
        <v>0</v>
      </c>
      <c r="R300">
        <f t="shared" si="13"/>
        <v>0</v>
      </c>
      <c r="S300">
        <f t="shared" si="15"/>
        <v>0</v>
      </c>
    </row>
    <row r="301" spans="1:19" hidden="1" x14ac:dyDescent="0.3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14"/>
        <v>0</v>
      </c>
      <c r="O301">
        <f t="shared" si="14"/>
        <v>0</v>
      </c>
      <c r="P301">
        <f t="shared" si="14"/>
        <v>0</v>
      </c>
      <c r="Q301">
        <f t="shared" si="13"/>
        <v>0</v>
      </c>
      <c r="R301">
        <f t="shared" si="13"/>
        <v>0</v>
      </c>
      <c r="S301">
        <f t="shared" si="15"/>
        <v>0</v>
      </c>
    </row>
    <row r="302" spans="1:19" hidden="1" x14ac:dyDescent="0.3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14"/>
        <v>0</v>
      </c>
      <c r="O302">
        <f t="shared" si="14"/>
        <v>0</v>
      </c>
      <c r="P302">
        <f t="shared" si="14"/>
        <v>0</v>
      </c>
      <c r="Q302">
        <f t="shared" si="13"/>
        <v>0</v>
      </c>
      <c r="R302">
        <f t="shared" si="13"/>
        <v>0</v>
      </c>
      <c r="S302">
        <f t="shared" si="15"/>
        <v>0</v>
      </c>
    </row>
    <row r="303" spans="1:19" hidden="1" x14ac:dyDescent="0.3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14"/>
        <v>0</v>
      </c>
      <c r="O303">
        <f t="shared" si="14"/>
        <v>0</v>
      </c>
      <c r="P303">
        <f t="shared" si="14"/>
        <v>0</v>
      </c>
      <c r="Q303">
        <f t="shared" si="13"/>
        <v>0</v>
      </c>
      <c r="R303">
        <f t="shared" si="13"/>
        <v>0</v>
      </c>
      <c r="S303">
        <f t="shared" si="15"/>
        <v>0</v>
      </c>
    </row>
    <row r="304" spans="1:19" hidden="1" x14ac:dyDescent="0.3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14"/>
        <v>0</v>
      </c>
      <c r="O304">
        <f t="shared" si="14"/>
        <v>0</v>
      </c>
      <c r="P304">
        <f t="shared" si="14"/>
        <v>0</v>
      </c>
      <c r="Q304">
        <f t="shared" si="13"/>
        <v>0</v>
      </c>
      <c r="R304">
        <f t="shared" si="13"/>
        <v>0</v>
      </c>
      <c r="S304">
        <f t="shared" si="15"/>
        <v>0</v>
      </c>
    </row>
    <row r="305" spans="1:19" hidden="1" x14ac:dyDescent="0.3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14"/>
        <v>0</v>
      </c>
      <c r="O305">
        <f t="shared" si="14"/>
        <v>0</v>
      </c>
      <c r="P305">
        <f t="shared" si="14"/>
        <v>0</v>
      </c>
      <c r="Q305">
        <f t="shared" si="13"/>
        <v>0</v>
      </c>
      <c r="R305">
        <f t="shared" si="13"/>
        <v>0</v>
      </c>
      <c r="S305">
        <f t="shared" si="15"/>
        <v>0</v>
      </c>
    </row>
    <row r="306" spans="1:19" hidden="1" x14ac:dyDescent="0.3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14"/>
        <v>0</v>
      </c>
      <c r="O306">
        <f t="shared" si="14"/>
        <v>0</v>
      </c>
      <c r="P306">
        <f t="shared" si="14"/>
        <v>0</v>
      </c>
      <c r="Q306">
        <f t="shared" si="13"/>
        <v>0</v>
      </c>
      <c r="R306">
        <f t="shared" si="13"/>
        <v>0</v>
      </c>
      <c r="S306">
        <f t="shared" si="15"/>
        <v>0</v>
      </c>
    </row>
    <row r="307" spans="1:19" hidden="1" x14ac:dyDescent="0.3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14"/>
        <v>0</v>
      </c>
      <c r="O307">
        <f t="shared" si="14"/>
        <v>0</v>
      </c>
      <c r="P307">
        <f t="shared" si="14"/>
        <v>0</v>
      </c>
      <c r="Q307">
        <f t="shared" si="13"/>
        <v>0</v>
      </c>
      <c r="R307">
        <f t="shared" si="13"/>
        <v>0</v>
      </c>
      <c r="S307">
        <f t="shared" si="15"/>
        <v>0</v>
      </c>
    </row>
    <row r="308" spans="1:19" hidden="1" x14ac:dyDescent="0.3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14"/>
        <v>0</v>
      </c>
      <c r="O308">
        <f t="shared" si="14"/>
        <v>0</v>
      </c>
      <c r="P308">
        <f t="shared" si="14"/>
        <v>0</v>
      </c>
      <c r="Q308">
        <f t="shared" si="13"/>
        <v>0</v>
      </c>
      <c r="R308">
        <f t="shared" si="13"/>
        <v>0</v>
      </c>
      <c r="S308">
        <f t="shared" si="15"/>
        <v>0</v>
      </c>
    </row>
    <row r="309" spans="1:19" hidden="1" x14ac:dyDescent="0.3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14"/>
        <v>0</v>
      </c>
      <c r="O309">
        <f t="shared" si="14"/>
        <v>0</v>
      </c>
      <c r="P309">
        <f t="shared" si="14"/>
        <v>0</v>
      </c>
      <c r="Q309">
        <f t="shared" si="13"/>
        <v>0</v>
      </c>
      <c r="R309">
        <f t="shared" si="13"/>
        <v>0</v>
      </c>
      <c r="S309">
        <f t="shared" si="15"/>
        <v>0</v>
      </c>
    </row>
    <row r="310" spans="1:19" hidden="1" x14ac:dyDescent="0.3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14"/>
        <v>0</v>
      </c>
      <c r="O310">
        <f t="shared" si="14"/>
        <v>1</v>
      </c>
      <c r="P310">
        <f t="shared" si="14"/>
        <v>0</v>
      </c>
      <c r="Q310">
        <f t="shared" si="13"/>
        <v>0</v>
      </c>
      <c r="R310">
        <f t="shared" si="13"/>
        <v>0</v>
      </c>
      <c r="S310">
        <f t="shared" si="15"/>
        <v>0</v>
      </c>
    </row>
    <row r="311" spans="1:19" hidden="1" x14ac:dyDescent="0.3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14"/>
        <v>0</v>
      </c>
      <c r="O311">
        <f t="shared" si="14"/>
        <v>0</v>
      </c>
      <c r="P311">
        <f t="shared" si="14"/>
        <v>0</v>
      </c>
      <c r="Q311">
        <f t="shared" si="13"/>
        <v>0</v>
      </c>
      <c r="R311">
        <f t="shared" si="13"/>
        <v>0</v>
      </c>
      <c r="S311">
        <f t="shared" si="15"/>
        <v>0</v>
      </c>
    </row>
    <row r="312" spans="1:19" hidden="1" x14ac:dyDescent="0.3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14"/>
        <v>0</v>
      </c>
      <c r="O312">
        <f t="shared" si="14"/>
        <v>0</v>
      </c>
      <c r="P312">
        <f t="shared" si="14"/>
        <v>0</v>
      </c>
      <c r="Q312">
        <f t="shared" si="13"/>
        <v>0</v>
      </c>
      <c r="R312">
        <f t="shared" si="13"/>
        <v>0</v>
      </c>
      <c r="S312">
        <f t="shared" si="15"/>
        <v>0</v>
      </c>
    </row>
    <row r="313" spans="1:19" hidden="1" x14ac:dyDescent="0.3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14"/>
        <v>0</v>
      </c>
      <c r="O313">
        <f t="shared" si="14"/>
        <v>0</v>
      </c>
      <c r="P313">
        <f t="shared" si="14"/>
        <v>0</v>
      </c>
      <c r="Q313">
        <f t="shared" si="13"/>
        <v>0</v>
      </c>
      <c r="R313">
        <f t="shared" si="13"/>
        <v>0</v>
      </c>
      <c r="S313">
        <f t="shared" si="15"/>
        <v>0</v>
      </c>
    </row>
    <row r="314" spans="1:19" hidden="1" x14ac:dyDescent="0.3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14"/>
        <v>0</v>
      </c>
      <c r="O314">
        <f t="shared" si="14"/>
        <v>0</v>
      </c>
      <c r="P314">
        <f t="shared" si="14"/>
        <v>0</v>
      </c>
      <c r="Q314">
        <f t="shared" si="13"/>
        <v>0</v>
      </c>
      <c r="R314">
        <f t="shared" si="13"/>
        <v>0</v>
      </c>
      <c r="S314">
        <f t="shared" si="15"/>
        <v>0</v>
      </c>
    </row>
    <row r="315" spans="1:19" hidden="1" x14ac:dyDescent="0.3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14"/>
        <v>0</v>
      </c>
      <c r="O315">
        <f t="shared" si="14"/>
        <v>0</v>
      </c>
      <c r="P315">
        <f t="shared" si="14"/>
        <v>0</v>
      </c>
      <c r="Q315">
        <f t="shared" si="13"/>
        <v>0</v>
      </c>
      <c r="R315">
        <f t="shared" si="13"/>
        <v>0</v>
      </c>
      <c r="S315">
        <f t="shared" si="15"/>
        <v>0</v>
      </c>
    </row>
    <row r="316" spans="1:19" hidden="1" x14ac:dyDescent="0.3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14"/>
        <v>0</v>
      </c>
      <c r="O316">
        <f t="shared" si="14"/>
        <v>0</v>
      </c>
      <c r="P316">
        <f t="shared" si="14"/>
        <v>0</v>
      </c>
      <c r="Q316">
        <f t="shared" si="13"/>
        <v>0</v>
      </c>
      <c r="R316">
        <f t="shared" si="13"/>
        <v>0</v>
      </c>
      <c r="S316">
        <f t="shared" si="15"/>
        <v>0</v>
      </c>
    </row>
    <row r="317" spans="1:19" hidden="1" x14ac:dyDescent="0.3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14"/>
        <v>0</v>
      </c>
      <c r="O317">
        <f t="shared" si="14"/>
        <v>0</v>
      </c>
      <c r="P317">
        <f t="shared" si="14"/>
        <v>0</v>
      </c>
      <c r="Q317">
        <f t="shared" si="13"/>
        <v>0</v>
      </c>
      <c r="R317">
        <f t="shared" si="13"/>
        <v>0</v>
      </c>
      <c r="S317">
        <f t="shared" si="15"/>
        <v>0</v>
      </c>
    </row>
    <row r="318" spans="1:19" hidden="1" x14ac:dyDescent="0.3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14"/>
        <v>0</v>
      </c>
      <c r="O318">
        <f t="shared" si="14"/>
        <v>0</v>
      </c>
      <c r="P318">
        <f t="shared" si="14"/>
        <v>0</v>
      </c>
      <c r="Q318">
        <f t="shared" si="13"/>
        <v>0</v>
      </c>
      <c r="R318">
        <f t="shared" si="13"/>
        <v>0</v>
      </c>
      <c r="S318">
        <f t="shared" si="15"/>
        <v>0</v>
      </c>
    </row>
    <row r="319" spans="1:19" hidden="1" x14ac:dyDescent="0.3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14"/>
        <v>0</v>
      </c>
      <c r="O319">
        <f t="shared" si="14"/>
        <v>0</v>
      </c>
      <c r="P319">
        <f t="shared" si="14"/>
        <v>0</v>
      </c>
      <c r="Q319">
        <f t="shared" si="13"/>
        <v>0</v>
      </c>
      <c r="R319">
        <f t="shared" si="13"/>
        <v>0</v>
      </c>
      <c r="S319">
        <f t="shared" si="15"/>
        <v>0</v>
      </c>
    </row>
    <row r="320" spans="1:19" hidden="1" x14ac:dyDescent="0.3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14"/>
        <v>0</v>
      </c>
      <c r="O320">
        <f t="shared" si="14"/>
        <v>0</v>
      </c>
      <c r="P320">
        <f t="shared" si="14"/>
        <v>0</v>
      </c>
      <c r="Q320">
        <f t="shared" si="13"/>
        <v>0</v>
      </c>
      <c r="R320">
        <f t="shared" si="13"/>
        <v>0</v>
      </c>
      <c r="S320">
        <f t="shared" si="15"/>
        <v>0</v>
      </c>
    </row>
    <row r="321" spans="1:19" hidden="1" x14ac:dyDescent="0.3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14"/>
        <v>0</v>
      </c>
      <c r="O321">
        <f t="shared" si="14"/>
        <v>0</v>
      </c>
      <c r="P321">
        <f t="shared" si="14"/>
        <v>0</v>
      </c>
      <c r="Q321">
        <f t="shared" si="13"/>
        <v>0</v>
      </c>
      <c r="R321">
        <f t="shared" si="13"/>
        <v>0</v>
      </c>
      <c r="S321">
        <f t="shared" si="15"/>
        <v>0</v>
      </c>
    </row>
    <row r="322" spans="1:19" hidden="1" x14ac:dyDescent="0.3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si="14"/>
        <v>0</v>
      </c>
      <c r="O322">
        <f t="shared" si="14"/>
        <v>0</v>
      </c>
      <c r="P322">
        <f t="shared" si="14"/>
        <v>0</v>
      </c>
      <c r="Q322">
        <f t="shared" si="14"/>
        <v>0</v>
      </c>
      <c r="R322">
        <f t="shared" si="14"/>
        <v>0</v>
      </c>
      <c r="S322">
        <f t="shared" si="15"/>
        <v>0</v>
      </c>
    </row>
    <row r="323" spans="1:19" hidden="1" x14ac:dyDescent="0.3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ref="N323:Q386" si="16">IF(I323=100,1,0)</f>
        <v>0</v>
      </c>
      <c r="O323">
        <f t="shared" si="16"/>
        <v>0</v>
      </c>
      <c r="P323">
        <f t="shared" si="16"/>
        <v>0</v>
      </c>
      <c r="Q323">
        <f t="shared" si="16"/>
        <v>0</v>
      </c>
      <c r="R323">
        <f t="shared" ref="R323:R386" si="17">IF(M323=100,1,0)</f>
        <v>0</v>
      </c>
      <c r="S323">
        <f t="shared" ref="S323:S386" si="18">IF(SUM(N323:R323)&gt;=3,1,0)</f>
        <v>0</v>
      </c>
    </row>
    <row r="324" spans="1:19" hidden="1" x14ac:dyDescent="0.3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16"/>
        <v>0</v>
      </c>
      <c r="O324">
        <f t="shared" si="16"/>
        <v>0</v>
      </c>
      <c r="P324">
        <f t="shared" si="16"/>
        <v>0</v>
      </c>
      <c r="Q324">
        <f t="shared" si="16"/>
        <v>0</v>
      </c>
      <c r="R324">
        <f t="shared" si="17"/>
        <v>0</v>
      </c>
      <c r="S324">
        <f t="shared" si="18"/>
        <v>0</v>
      </c>
    </row>
    <row r="325" spans="1:19" hidden="1" x14ac:dyDescent="0.3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16"/>
        <v>0</v>
      </c>
      <c r="O325">
        <f t="shared" si="16"/>
        <v>0</v>
      </c>
      <c r="P325">
        <f t="shared" si="16"/>
        <v>0</v>
      </c>
      <c r="Q325">
        <f t="shared" si="16"/>
        <v>0</v>
      </c>
      <c r="R325">
        <f t="shared" si="17"/>
        <v>0</v>
      </c>
      <c r="S325">
        <f t="shared" si="18"/>
        <v>0</v>
      </c>
    </row>
    <row r="326" spans="1:19" hidden="1" x14ac:dyDescent="0.3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16"/>
        <v>0</v>
      </c>
      <c r="O326">
        <f t="shared" si="16"/>
        <v>0</v>
      </c>
      <c r="P326">
        <f t="shared" si="16"/>
        <v>0</v>
      </c>
      <c r="Q326">
        <f t="shared" si="16"/>
        <v>0</v>
      </c>
      <c r="R326">
        <f t="shared" si="17"/>
        <v>0</v>
      </c>
      <c r="S326">
        <f t="shared" si="18"/>
        <v>0</v>
      </c>
    </row>
    <row r="327" spans="1:19" hidden="1" x14ac:dyDescent="0.3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16"/>
        <v>0</v>
      </c>
      <c r="O327">
        <f t="shared" si="16"/>
        <v>0</v>
      </c>
      <c r="P327">
        <f t="shared" si="16"/>
        <v>0</v>
      </c>
      <c r="Q327">
        <f t="shared" si="16"/>
        <v>0</v>
      </c>
      <c r="R327">
        <f t="shared" si="17"/>
        <v>0</v>
      </c>
      <c r="S327">
        <f t="shared" si="18"/>
        <v>0</v>
      </c>
    </row>
    <row r="328" spans="1:19" hidden="1" x14ac:dyDescent="0.3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16"/>
        <v>0</v>
      </c>
      <c r="O328">
        <f t="shared" si="16"/>
        <v>0</v>
      </c>
      <c r="P328">
        <f t="shared" si="16"/>
        <v>0</v>
      </c>
      <c r="Q328">
        <f t="shared" si="16"/>
        <v>0</v>
      </c>
      <c r="R328">
        <f t="shared" si="17"/>
        <v>0</v>
      </c>
      <c r="S328">
        <f t="shared" si="18"/>
        <v>0</v>
      </c>
    </row>
    <row r="329" spans="1:19" hidden="1" x14ac:dyDescent="0.3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16"/>
        <v>0</v>
      </c>
      <c r="O329">
        <f t="shared" si="16"/>
        <v>0</v>
      </c>
      <c r="P329">
        <f t="shared" si="16"/>
        <v>0</v>
      </c>
      <c r="Q329">
        <f t="shared" si="16"/>
        <v>0</v>
      </c>
      <c r="R329">
        <f t="shared" si="17"/>
        <v>0</v>
      </c>
      <c r="S329">
        <f t="shared" si="18"/>
        <v>0</v>
      </c>
    </row>
    <row r="330" spans="1:19" hidden="1" x14ac:dyDescent="0.3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16"/>
        <v>0</v>
      </c>
      <c r="O330">
        <f t="shared" si="16"/>
        <v>0</v>
      </c>
      <c r="P330">
        <f t="shared" si="16"/>
        <v>0</v>
      </c>
      <c r="Q330">
        <f t="shared" si="16"/>
        <v>0</v>
      </c>
      <c r="R330">
        <f t="shared" si="17"/>
        <v>0</v>
      </c>
      <c r="S330">
        <f t="shared" si="18"/>
        <v>0</v>
      </c>
    </row>
    <row r="331" spans="1:19" hidden="1" x14ac:dyDescent="0.3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16"/>
        <v>0</v>
      </c>
      <c r="O331">
        <f t="shared" si="16"/>
        <v>0</v>
      </c>
      <c r="P331">
        <f t="shared" si="16"/>
        <v>0</v>
      </c>
      <c r="Q331">
        <f t="shared" si="16"/>
        <v>0</v>
      </c>
      <c r="R331">
        <f t="shared" si="17"/>
        <v>0</v>
      </c>
      <c r="S331">
        <f t="shared" si="18"/>
        <v>0</v>
      </c>
    </row>
    <row r="332" spans="1:19" hidden="1" x14ac:dyDescent="0.3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16"/>
        <v>0</v>
      </c>
      <c r="O332">
        <f t="shared" si="16"/>
        <v>0</v>
      </c>
      <c r="P332">
        <f t="shared" si="16"/>
        <v>0</v>
      </c>
      <c r="Q332">
        <f t="shared" si="16"/>
        <v>0</v>
      </c>
      <c r="R332">
        <f t="shared" si="17"/>
        <v>0</v>
      </c>
      <c r="S332">
        <f t="shared" si="18"/>
        <v>0</v>
      </c>
    </row>
    <row r="333" spans="1:19" hidden="1" x14ac:dyDescent="0.3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16"/>
        <v>0</v>
      </c>
      <c r="O333">
        <f t="shared" si="16"/>
        <v>0</v>
      </c>
      <c r="P333">
        <f t="shared" si="16"/>
        <v>0</v>
      </c>
      <c r="Q333">
        <f t="shared" si="16"/>
        <v>0</v>
      </c>
      <c r="R333">
        <f t="shared" si="17"/>
        <v>0</v>
      </c>
      <c r="S333">
        <f t="shared" si="18"/>
        <v>0</v>
      </c>
    </row>
    <row r="334" spans="1:19" hidden="1" x14ac:dyDescent="0.3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16"/>
        <v>0</v>
      </c>
      <c r="O334">
        <f t="shared" si="16"/>
        <v>0</v>
      </c>
      <c r="P334">
        <f t="shared" si="16"/>
        <v>0</v>
      </c>
      <c r="Q334">
        <f t="shared" si="16"/>
        <v>0</v>
      </c>
      <c r="R334">
        <f t="shared" si="17"/>
        <v>0</v>
      </c>
      <c r="S334">
        <f t="shared" si="18"/>
        <v>0</v>
      </c>
    </row>
    <row r="335" spans="1:19" hidden="1" x14ac:dyDescent="0.3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16"/>
        <v>0</v>
      </c>
      <c r="O335">
        <f t="shared" si="16"/>
        <v>0</v>
      </c>
      <c r="P335">
        <f t="shared" si="16"/>
        <v>0</v>
      </c>
      <c r="Q335">
        <f t="shared" si="16"/>
        <v>0</v>
      </c>
      <c r="R335">
        <f t="shared" si="17"/>
        <v>0</v>
      </c>
      <c r="S335">
        <f t="shared" si="18"/>
        <v>0</v>
      </c>
    </row>
    <row r="336" spans="1:19" hidden="1" x14ac:dyDescent="0.3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16"/>
        <v>0</v>
      </c>
      <c r="O336">
        <f t="shared" si="16"/>
        <v>0</v>
      </c>
      <c r="P336">
        <f t="shared" si="16"/>
        <v>0</v>
      </c>
      <c r="Q336">
        <f t="shared" si="16"/>
        <v>0</v>
      </c>
      <c r="R336">
        <f t="shared" si="17"/>
        <v>0</v>
      </c>
      <c r="S336">
        <f t="shared" si="18"/>
        <v>0</v>
      </c>
    </row>
    <row r="337" spans="1:19" hidden="1" x14ac:dyDescent="0.3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16"/>
        <v>0</v>
      </c>
      <c r="O337">
        <f t="shared" si="16"/>
        <v>0</v>
      </c>
      <c r="P337">
        <f t="shared" si="16"/>
        <v>0</v>
      </c>
      <c r="Q337">
        <f t="shared" si="16"/>
        <v>0</v>
      </c>
      <c r="R337">
        <f t="shared" si="17"/>
        <v>0</v>
      </c>
      <c r="S337">
        <f t="shared" si="18"/>
        <v>0</v>
      </c>
    </row>
    <row r="338" spans="1:19" hidden="1" x14ac:dyDescent="0.3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16"/>
        <v>0</v>
      </c>
      <c r="O338">
        <f t="shared" si="16"/>
        <v>0</v>
      </c>
      <c r="P338">
        <f t="shared" si="16"/>
        <v>0</v>
      </c>
      <c r="Q338">
        <f t="shared" si="16"/>
        <v>0</v>
      </c>
      <c r="R338">
        <f t="shared" si="17"/>
        <v>0</v>
      </c>
      <c r="S338">
        <f t="shared" si="18"/>
        <v>0</v>
      </c>
    </row>
    <row r="339" spans="1:19" hidden="1" x14ac:dyDescent="0.3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16"/>
        <v>0</v>
      </c>
      <c r="O339">
        <f t="shared" si="16"/>
        <v>0</v>
      </c>
      <c r="P339">
        <f t="shared" si="16"/>
        <v>0</v>
      </c>
      <c r="Q339">
        <f t="shared" si="16"/>
        <v>0</v>
      </c>
      <c r="R339">
        <f t="shared" si="17"/>
        <v>0</v>
      </c>
      <c r="S339">
        <f t="shared" si="18"/>
        <v>0</v>
      </c>
    </row>
    <row r="340" spans="1:19" hidden="1" x14ac:dyDescent="0.3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16"/>
        <v>0</v>
      </c>
      <c r="O340">
        <f t="shared" si="16"/>
        <v>0</v>
      </c>
      <c r="P340">
        <f t="shared" si="16"/>
        <v>0</v>
      </c>
      <c r="Q340">
        <f t="shared" si="16"/>
        <v>0</v>
      </c>
      <c r="R340">
        <f t="shared" si="17"/>
        <v>0</v>
      </c>
      <c r="S340">
        <f t="shared" si="18"/>
        <v>0</v>
      </c>
    </row>
    <row r="341" spans="1:19" hidden="1" x14ac:dyDescent="0.3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16"/>
        <v>0</v>
      </c>
      <c r="O341">
        <f t="shared" si="16"/>
        <v>0</v>
      </c>
      <c r="P341">
        <f t="shared" si="16"/>
        <v>0</v>
      </c>
      <c r="Q341">
        <f t="shared" si="16"/>
        <v>0</v>
      </c>
      <c r="R341">
        <f t="shared" si="17"/>
        <v>0</v>
      </c>
      <c r="S341">
        <f t="shared" si="18"/>
        <v>0</v>
      </c>
    </row>
    <row r="342" spans="1:19" hidden="1" x14ac:dyDescent="0.3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16"/>
        <v>0</v>
      </c>
      <c r="O342">
        <f t="shared" si="16"/>
        <v>0</v>
      </c>
      <c r="P342">
        <f t="shared" si="16"/>
        <v>0</v>
      </c>
      <c r="Q342">
        <f t="shared" si="16"/>
        <v>0</v>
      </c>
      <c r="R342">
        <f t="shared" si="17"/>
        <v>0</v>
      </c>
      <c r="S342">
        <f t="shared" si="18"/>
        <v>0</v>
      </c>
    </row>
    <row r="343" spans="1:19" hidden="1" x14ac:dyDescent="0.3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16"/>
        <v>0</v>
      </c>
      <c r="O343">
        <f t="shared" si="16"/>
        <v>0</v>
      </c>
      <c r="P343">
        <f t="shared" si="16"/>
        <v>0</v>
      </c>
      <c r="Q343">
        <f t="shared" si="16"/>
        <v>0</v>
      </c>
      <c r="R343">
        <f t="shared" si="17"/>
        <v>0</v>
      </c>
      <c r="S343">
        <f t="shared" si="18"/>
        <v>0</v>
      </c>
    </row>
    <row r="344" spans="1:19" hidden="1" x14ac:dyDescent="0.3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16"/>
        <v>0</v>
      </c>
      <c r="O344">
        <f t="shared" si="16"/>
        <v>0</v>
      </c>
      <c r="P344">
        <f t="shared" si="16"/>
        <v>0</v>
      </c>
      <c r="Q344">
        <f t="shared" si="16"/>
        <v>0</v>
      </c>
      <c r="R344">
        <f t="shared" si="17"/>
        <v>0</v>
      </c>
      <c r="S344">
        <f t="shared" si="18"/>
        <v>0</v>
      </c>
    </row>
    <row r="345" spans="1:19" hidden="1" x14ac:dyDescent="0.3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16"/>
        <v>0</v>
      </c>
      <c r="O345">
        <f t="shared" si="16"/>
        <v>0</v>
      </c>
      <c r="P345">
        <f t="shared" si="16"/>
        <v>0</v>
      </c>
      <c r="Q345">
        <f t="shared" si="16"/>
        <v>0</v>
      </c>
      <c r="R345">
        <f t="shared" si="17"/>
        <v>0</v>
      </c>
      <c r="S345">
        <f t="shared" si="18"/>
        <v>0</v>
      </c>
    </row>
    <row r="346" spans="1:19" hidden="1" x14ac:dyDescent="0.3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16"/>
        <v>0</v>
      </c>
      <c r="O346">
        <f t="shared" si="16"/>
        <v>0</v>
      </c>
      <c r="P346">
        <f t="shared" si="16"/>
        <v>0</v>
      </c>
      <c r="Q346">
        <f t="shared" si="16"/>
        <v>0</v>
      </c>
      <c r="R346">
        <f t="shared" si="17"/>
        <v>0</v>
      </c>
      <c r="S346">
        <f t="shared" si="18"/>
        <v>0</v>
      </c>
    </row>
    <row r="347" spans="1:19" hidden="1" x14ac:dyDescent="0.3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16"/>
        <v>0</v>
      </c>
      <c r="O347">
        <f t="shared" si="16"/>
        <v>0</v>
      </c>
      <c r="P347">
        <f t="shared" si="16"/>
        <v>0</v>
      </c>
      <c r="Q347">
        <f t="shared" si="16"/>
        <v>0</v>
      </c>
      <c r="R347">
        <f t="shared" si="17"/>
        <v>0</v>
      </c>
      <c r="S347">
        <f t="shared" si="18"/>
        <v>0</v>
      </c>
    </row>
    <row r="348" spans="1:19" hidden="1" x14ac:dyDescent="0.3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16"/>
        <v>0</v>
      </c>
      <c r="O348">
        <f t="shared" si="16"/>
        <v>0</v>
      </c>
      <c r="P348">
        <f t="shared" si="16"/>
        <v>0</v>
      </c>
      <c r="Q348">
        <f t="shared" si="16"/>
        <v>0</v>
      </c>
      <c r="R348">
        <f t="shared" si="17"/>
        <v>0</v>
      </c>
      <c r="S348">
        <f t="shared" si="18"/>
        <v>0</v>
      </c>
    </row>
    <row r="349" spans="1:19" hidden="1" x14ac:dyDescent="0.3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16"/>
        <v>0</v>
      </c>
      <c r="O349">
        <f t="shared" si="16"/>
        <v>0</v>
      </c>
      <c r="P349">
        <f t="shared" si="16"/>
        <v>0</v>
      </c>
      <c r="Q349">
        <f t="shared" si="16"/>
        <v>0</v>
      </c>
      <c r="R349">
        <f t="shared" si="17"/>
        <v>0</v>
      </c>
      <c r="S349">
        <f t="shared" si="18"/>
        <v>0</v>
      </c>
    </row>
    <row r="350" spans="1:19" hidden="1" x14ac:dyDescent="0.3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16"/>
        <v>0</v>
      </c>
      <c r="O350">
        <f t="shared" si="16"/>
        <v>0</v>
      </c>
      <c r="P350">
        <f t="shared" si="16"/>
        <v>0</v>
      </c>
      <c r="Q350">
        <f t="shared" si="16"/>
        <v>0</v>
      </c>
      <c r="R350">
        <f t="shared" si="17"/>
        <v>0</v>
      </c>
      <c r="S350">
        <f t="shared" si="18"/>
        <v>0</v>
      </c>
    </row>
    <row r="351" spans="1:19" hidden="1" x14ac:dyDescent="0.3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16"/>
        <v>0</v>
      </c>
      <c r="O351">
        <f t="shared" si="16"/>
        <v>0</v>
      </c>
      <c r="P351">
        <f t="shared" si="16"/>
        <v>0</v>
      </c>
      <c r="Q351">
        <f t="shared" si="16"/>
        <v>0</v>
      </c>
      <c r="R351">
        <f t="shared" si="17"/>
        <v>0</v>
      </c>
      <c r="S351">
        <f t="shared" si="18"/>
        <v>0</v>
      </c>
    </row>
    <row r="352" spans="1:19" hidden="1" x14ac:dyDescent="0.3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16"/>
        <v>0</v>
      </c>
      <c r="O352">
        <f t="shared" si="16"/>
        <v>0</v>
      </c>
      <c r="P352">
        <f t="shared" si="16"/>
        <v>0</v>
      </c>
      <c r="Q352">
        <f t="shared" si="16"/>
        <v>0</v>
      </c>
      <c r="R352">
        <f t="shared" si="17"/>
        <v>0</v>
      </c>
      <c r="S352">
        <f t="shared" si="18"/>
        <v>0</v>
      </c>
    </row>
    <row r="353" spans="1:19" hidden="1" x14ac:dyDescent="0.3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16"/>
        <v>0</v>
      </c>
      <c r="O353">
        <f t="shared" si="16"/>
        <v>0</v>
      </c>
      <c r="P353">
        <f t="shared" si="16"/>
        <v>0</v>
      </c>
      <c r="Q353">
        <f t="shared" si="16"/>
        <v>0</v>
      </c>
      <c r="R353">
        <f t="shared" si="17"/>
        <v>0</v>
      </c>
      <c r="S353">
        <f t="shared" si="18"/>
        <v>0</v>
      </c>
    </row>
    <row r="354" spans="1:19" hidden="1" x14ac:dyDescent="0.3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16"/>
        <v>0</v>
      </c>
      <c r="O354">
        <f t="shared" si="16"/>
        <v>0</v>
      </c>
      <c r="P354">
        <f t="shared" si="16"/>
        <v>0</v>
      </c>
      <c r="Q354">
        <f t="shared" si="16"/>
        <v>0</v>
      </c>
      <c r="R354">
        <f t="shared" si="17"/>
        <v>0</v>
      </c>
      <c r="S354">
        <f t="shared" si="18"/>
        <v>0</v>
      </c>
    </row>
    <row r="355" spans="1:19" hidden="1" x14ac:dyDescent="0.3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16"/>
        <v>0</v>
      </c>
      <c r="O355">
        <f t="shared" si="16"/>
        <v>0</v>
      </c>
      <c r="P355">
        <f t="shared" si="16"/>
        <v>0</v>
      </c>
      <c r="Q355">
        <f t="shared" si="16"/>
        <v>0</v>
      </c>
      <c r="R355">
        <f t="shared" si="17"/>
        <v>0</v>
      </c>
      <c r="S355">
        <f t="shared" si="18"/>
        <v>0</v>
      </c>
    </row>
    <row r="356" spans="1:19" hidden="1" x14ac:dyDescent="0.3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16"/>
        <v>0</v>
      </c>
      <c r="O356">
        <f t="shared" si="16"/>
        <v>0</v>
      </c>
      <c r="P356">
        <f t="shared" si="16"/>
        <v>0</v>
      </c>
      <c r="Q356">
        <f t="shared" si="16"/>
        <v>0</v>
      </c>
      <c r="R356">
        <f t="shared" si="17"/>
        <v>0</v>
      </c>
      <c r="S356">
        <f t="shared" si="18"/>
        <v>0</v>
      </c>
    </row>
    <row r="357" spans="1:19" hidden="1" x14ac:dyDescent="0.3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16"/>
        <v>0</v>
      </c>
      <c r="O357">
        <f t="shared" si="16"/>
        <v>0</v>
      </c>
      <c r="P357">
        <f t="shared" si="16"/>
        <v>0</v>
      </c>
      <c r="Q357">
        <f t="shared" si="16"/>
        <v>0</v>
      </c>
      <c r="R357">
        <f t="shared" si="17"/>
        <v>0</v>
      </c>
      <c r="S357">
        <f t="shared" si="18"/>
        <v>0</v>
      </c>
    </row>
    <row r="358" spans="1:19" hidden="1" x14ac:dyDescent="0.3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16"/>
        <v>0</v>
      </c>
      <c r="O358">
        <f t="shared" si="16"/>
        <v>0</v>
      </c>
      <c r="P358">
        <f t="shared" si="16"/>
        <v>0</v>
      </c>
      <c r="Q358">
        <f t="shared" si="16"/>
        <v>0</v>
      </c>
      <c r="R358">
        <f t="shared" si="17"/>
        <v>0</v>
      </c>
      <c r="S358">
        <f t="shared" si="18"/>
        <v>0</v>
      </c>
    </row>
    <row r="359" spans="1:19" hidden="1" x14ac:dyDescent="0.3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16"/>
        <v>0</v>
      </c>
      <c r="O359">
        <f t="shared" si="16"/>
        <v>0</v>
      </c>
      <c r="P359">
        <f t="shared" si="16"/>
        <v>0</v>
      </c>
      <c r="Q359">
        <f t="shared" si="16"/>
        <v>0</v>
      </c>
      <c r="R359">
        <f t="shared" si="17"/>
        <v>0</v>
      </c>
      <c r="S359">
        <f t="shared" si="18"/>
        <v>0</v>
      </c>
    </row>
    <row r="360" spans="1:19" hidden="1" x14ac:dyDescent="0.3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16"/>
        <v>0</v>
      </c>
      <c r="O360">
        <f t="shared" si="16"/>
        <v>0</v>
      </c>
      <c r="P360">
        <f t="shared" si="16"/>
        <v>0</v>
      </c>
      <c r="Q360">
        <f t="shared" si="16"/>
        <v>0</v>
      </c>
      <c r="R360">
        <f t="shared" si="17"/>
        <v>0</v>
      </c>
      <c r="S360">
        <f t="shared" si="18"/>
        <v>0</v>
      </c>
    </row>
    <row r="361" spans="1:19" hidden="1" x14ac:dyDescent="0.3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16"/>
        <v>0</v>
      </c>
      <c r="O361">
        <f t="shared" si="16"/>
        <v>0</v>
      </c>
      <c r="P361">
        <f t="shared" si="16"/>
        <v>0</v>
      </c>
      <c r="Q361">
        <f t="shared" si="16"/>
        <v>0</v>
      </c>
      <c r="R361">
        <f t="shared" si="17"/>
        <v>0</v>
      </c>
      <c r="S361">
        <f t="shared" si="18"/>
        <v>0</v>
      </c>
    </row>
    <row r="362" spans="1:19" hidden="1" x14ac:dyDescent="0.3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16"/>
        <v>0</v>
      </c>
      <c r="O362">
        <f t="shared" si="16"/>
        <v>0</v>
      </c>
      <c r="P362">
        <f t="shared" si="16"/>
        <v>0</v>
      </c>
      <c r="Q362">
        <f t="shared" si="16"/>
        <v>0</v>
      </c>
      <c r="R362">
        <f t="shared" si="17"/>
        <v>0</v>
      </c>
      <c r="S362">
        <f t="shared" si="18"/>
        <v>0</v>
      </c>
    </row>
    <row r="363" spans="1:19" hidden="1" x14ac:dyDescent="0.3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16"/>
        <v>0</v>
      </c>
      <c r="O363">
        <f t="shared" si="16"/>
        <v>0</v>
      </c>
      <c r="P363">
        <f t="shared" si="16"/>
        <v>0</v>
      </c>
      <c r="Q363">
        <f t="shared" si="16"/>
        <v>0</v>
      </c>
      <c r="R363">
        <f t="shared" si="17"/>
        <v>0</v>
      </c>
      <c r="S363">
        <f t="shared" si="18"/>
        <v>0</v>
      </c>
    </row>
    <row r="364" spans="1:19" hidden="1" x14ac:dyDescent="0.3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16"/>
        <v>0</v>
      </c>
      <c r="O364">
        <f t="shared" si="16"/>
        <v>0</v>
      </c>
      <c r="P364">
        <f t="shared" si="16"/>
        <v>0</v>
      </c>
      <c r="Q364">
        <f t="shared" si="16"/>
        <v>0</v>
      </c>
      <c r="R364">
        <f t="shared" si="17"/>
        <v>0</v>
      </c>
      <c r="S364">
        <f t="shared" si="18"/>
        <v>0</v>
      </c>
    </row>
    <row r="365" spans="1:19" hidden="1" x14ac:dyDescent="0.3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16"/>
        <v>0</v>
      </c>
      <c r="O365">
        <f t="shared" si="16"/>
        <v>0</v>
      </c>
      <c r="P365">
        <f t="shared" si="16"/>
        <v>0</v>
      </c>
      <c r="Q365">
        <f t="shared" si="16"/>
        <v>0</v>
      </c>
      <c r="R365">
        <f t="shared" si="17"/>
        <v>0</v>
      </c>
      <c r="S365">
        <f t="shared" si="18"/>
        <v>0</v>
      </c>
    </row>
    <row r="366" spans="1:19" hidden="1" x14ac:dyDescent="0.3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16"/>
        <v>0</v>
      </c>
      <c r="O366">
        <f t="shared" si="16"/>
        <v>0</v>
      </c>
      <c r="P366">
        <f t="shared" si="16"/>
        <v>0</v>
      </c>
      <c r="Q366">
        <f t="shared" si="16"/>
        <v>0</v>
      </c>
      <c r="R366">
        <f t="shared" si="17"/>
        <v>0</v>
      </c>
      <c r="S366">
        <f t="shared" si="18"/>
        <v>0</v>
      </c>
    </row>
    <row r="367" spans="1:19" hidden="1" x14ac:dyDescent="0.3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16"/>
        <v>1</v>
      </c>
      <c r="O367">
        <f t="shared" si="16"/>
        <v>0</v>
      </c>
      <c r="P367">
        <f t="shared" si="16"/>
        <v>0</v>
      </c>
      <c r="Q367">
        <f t="shared" si="16"/>
        <v>0</v>
      </c>
      <c r="R367">
        <f t="shared" si="17"/>
        <v>0</v>
      </c>
      <c r="S367">
        <f t="shared" si="18"/>
        <v>0</v>
      </c>
    </row>
    <row r="368" spans="1:19" hidden="1" x14ac:dyDescent="0.3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16"/>
        <v>0</v>
      </c>
      <c r="O368">
        <f t="shared" si="16"/>
        <v>0</v>
      </c>
      <c r="P368">
        <f t="shared" si="16"/>
        <v>0</v>
      </c>
      <c r="Q368">
        <f t="shared" si="16"/>
        <v>0</v>
      </c>
      <c r="R368">
        <f t="shared" si="17"/>
        <v>0</v>
      </c>
      <c r="S368">
        <f t="shared" si="18"/>
        <v>0</v>
      </c>
    </row>
    <row r="369" spans="1:19" hidden="1" x14ac:dyDescent="0.3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16"/>
        <v>0</v>
      </c>
      <c r="O369">
        <f t="shared" si="16"/>
        <v>0</v>
      </c>
      <c r="P369">
        <f t="shared" si="16"/>
        <v>0</v>
      </c>
      <c r="Q369">
        <f t="shared" si="16"/>
        <v>0</v>
      </c>
      <c r="R369">
        <f t="shared" si="17"/>
        <v>0</v>
      </c>
      <c r="S369">
        <f t="shared" si="18"/>
        <v>0</v>
      </c>
    </row>
    <row r="370" spans="1:19" hidden="1" x14ac:dyDescent="0.3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16"/>
        <v>0</v>
      </c>
      <c r="O370">
        <f t="shared" si="16"/>
        <v>0</v>
      </c>
      <c r="P370">
        <f t="shared" si="16"/>
        <v>0</v>
      </c>
      <c r="Q370">
        <f t="shared" si="16"/>
        <v>0</v>
      </c>
      <c r="R370">
        <f t="shared" si="17"/>
        <v>0</v>
      </c>
      <c r="S370">
        <f t="shared" si="18"/>
        <v>0</v>
      </c>
    </row>
    <row r="371" spans="1:19" hidden="1" x14ac:dyDescent="0.3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16"/>
        <v>0</v>
      </c>
      <c r="O371">
        <f t="shared" si="16"/>
        <v>0</v>
      </c>
      <c r="P371">
        <f t="shared" si="16"/>
        <v>0</v>
      </c>
      <c r="Q371">
        <f t="shared" si="16"/>
        <v>0</v>
      </c>
      <c r="R371">
        <f t="shared" si="17"/>
        <v>0</v>
      </c>
      <c r="S371">
        <f t="shared" si="18"/>
        <v>0</v>
      </c>
    </row>
    <row r="372" spans="1:19" hidden="1" x14ac:dyDescent="0.3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16"/>
        <v>0</v>
      </c>
      <c r="O372">
        <f t="shared" si="16"/>
        <v>1</v>
      </c>
      <c r="P372">
        <f t="shared" si="16"/>
        <v>0</v>
      </c>
      <c r="Q372">
        <f t="shared" si="16"/>
        <v>0</v>
      </c>
      <c r="R372">
        <f t="shared" si="17"/>
        <v>0</v>
      </c>
      <c r="S372">
        <f t="shared" si="18"/>
        <v>0</v>
      </c>
    </row>
    <row r="373" spans="1:19" hidden="1" x14ac:dyDescent="0.3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16"/>
        <v>0</v>
      </c>
      <c r="O373">
        <f t="shared" si="16"/>
        <v>0</v>
      </c>
      <c r="P373">
        <f t="shared" si="16"/>
        <v>0</v>
      </c>
      <c r="Q373">
        <f t="shared" si="16"/>
        <v>0</v>
      </c>
      <c r="R373">
        <f t="shared" si="17"/>
        <v>0</v>
      </c>
      <c r="S373">
        <f t="shared" si="18"/>
        <v>0</v>
      </c>
    </row>
    <row r="374" spans="1:19" hidden="1" x14ac:dyDescent="0.3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16"/>
        <v>0</v>
      </c>
      <c r="O374">
        <f t="shared" si="16"/>
        <v>0</v>
      </c>
      <c r="P374">
        <f t="shared" si="16"/>
        <v>0</v>
      </c>
      <c r="Q374">
        <f t="shared" si="16"/>
        <v>0</v>
      </c>
      <c r="R374">
        <f t="shared" si="17"/>
        <v>0</v>
      </c>
      <c r="S374">
        <f t="shared" si="18"/>
        <v>0</v>
      </c>
    </row>
    <row r="375" spans="1:19" hidden="1" x14ac:dyDescent="0.3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16"/>
        <v>0</v>
      </c>
      <c r="O375">
        <f t="shared" si="16"/>
        <v>0</v>
      </c>
      <c r="P375">
        <f t="shared" si="16"/>
        <v>0</v>
      </c>
      <c r="Q375">
        <f t="shared" si="16"/>
        <v>0</v>
      </c>
      <c r="R375">
        <f t="shared" si="17"/>
        <v>0</v>
      </c>
      <c r="S375">
        <f t="shared" si="18"/>
        <v>0</v>
      </c>
    </row>
    <row r="376" spans="1:19" hidden="1" x14ac:dyDescent="0.3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16"/>
        <v>1</v>
      </c>
      <c r="O376">
        <f t="shared" si="16"/>
        <v>1</v>
      </c>
      <c r="P376">
        <f t="shared" si="16"/>
        <v>0</v>
      </c>
      <c r="Q376">
        <f t="shared" si="16"/>
        <v>0</v>
      </c>
      <c r="R376">
        <f t="shared" si="17"/>
        <v>0</v>
      </c>
      <c r="S376">
        <f t="shared" si="18"/>
        <v>0</v>
      </c>
    </row>
    <row r="377" spans="1:19" hidden="1" x14ac:dyDescent="0.3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16"/>
        <v>0</v>
      </c>
      <c r="O377">
        <f t="shared" si="16"/>
        <v>0</v>
      </c>
      <c r="P377">
        <f t="shared" si="16"/>
        <v>0</v>
      </c>
      <c r="Q377">
        <f t="shared" si="16"/>
        <v>0</v>
      </c>
      <c r="R377">
        <f t="shared" si="17"/>
        <v>0</v>
      </c>
      <c r="S377">
        <f t="shared" si="18"/>
        <v>0</v>
      </c>
    </row>
    <row r="378" spans="1:19" hidden="1" x14ac:dyDescent="0.3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16"/>
        <v>0</v>
      </c>
      <c r="O378">
        <f t="shared" si="16"/>
        <v>0</v>
      </c>
      <c r="P378">
        <f t="shared" si="16"/>
        <v>0</v>
      </c>
      <c r="Q378">
        <f t="shared" si="16"/>
        <v>1</v>
      </c>
      <c r="R378">
        <f t="shared" si="17"/>
        <v>0</v>
      </c>
      <c r="S378">
        <f t="shared" si="18"/>
        <v>0</v>
      </c>
    </row>
    <row r="379" spans="1:19" hidden="1" x14ac:dyDescent="0.3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16"/>
        <v>0</v>
      </c>
      <c r="O379">
        <f t="shared" si="16"/>
        <v>1</v>
      </c>
      <c r="P379">
        <f t="shared" si="16"/>
        <v>0</v>
      </c>
      <c r="Q379">
        <f t="shared" si="16"/>
        <v>0</v>
      </c>
      <c r="R379">
        <f t="shared" si="17"/>
        <v>0</v>
      </c>
      <c r="S379">
        <f t="shared" si="18"/>
        <v>0</v>
      </c>
    </row>
    <row r="380" spans="1:19" hidden="1" x14ac:dyDescent="0.3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16"/>
        <v>0</v>
      </c>
      <c r="O380">
        <f t="shared" si="16"/>
        <v>0</v>
      </c>
      <c r="P380">
        <f t="shared" si="16"/>
        <v>0</v>
      </c>
      <c r="Q380">
        <f t="shared" si="16"/>
        <v>0</v>
      </c>
      <c r="R380">
        <f t="shared" si="17"/>
        <v>0</v>
      </c>
      <c r="S380">
        <f t="shared" si="18"/>
        <v>0</v>
      </c>
    </row>
    <row r="381" spans="1:19" hidden="1" x14ac:dyDescent="0.3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16"/>
        <v>0</v>
      </c>
      <c r="O381">
        <f t="shared" si="16"/>
        <v>0</v>
      </c>
      <c r="P381">
        <f t="shared" si="16"/>
        <v>0</v>
      </c>
      <c r="Q381">
        <f t="shared" si="16"/>
        <v>0</v>
      </c>
      <c r="R381">
        <f t="shared" si="17"/>
        <v>0</v>
      </c>
      <c r="S381">
        <f t="shared" si="18"/>
        <v>0</v>
      </c>
    </row>
    <row r="382" spans="1:19" hidden="1" x14ac:dyDescent="0.3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16"/>
        <v>0</v>
      </c>
      <c r="O382">
        <f t="shared" si="16"/>
        <v>0</v>
      </c>
      <c r="P382">
        <f t="shared" si="16"/>
        <v>0</v>
      </c>
      <c r="Q382">
        <f t="shared" si="16"/>
        <v>0</v>
      </c>
      <c r="R382">
        <f t="shared" si="17"/>
        <v>0</v>
      </c>
      <c r="S382">
        <f t="shared" si="18"/>
        <v>0</v>
      </c>
    </row>
    <row r="383" spans="1:19" hidden="1" x14ac:dyDescent="0.3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16"/>
        <v>0</v>
      </c>
      <c r="O383">
        <f t="shared" si="16"/>
        <v>0</v>
      </c>
      <c r="P383">
        <f t="shared" si="16"/>
        <v>0</v>
      </c>
      <c r="Q383">
        <f t="shared" si="16"/>
        <v>0</v>
      </c>
      <c r="R383">
        <f t="shared" si="17"/>
        <v>0</v>
      </c>
      <c r="S383">
        <f t="shared" si="18"/>
        <v>0</v>
      </c>
    </row>
    <row r="384" spans="1:19" hidden="1" x14ac:dyDescent="0.3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16"/>
        <v>0</v>
      </c>
      <c r="O384">
        <f t="shared" si="16"/>
        <v>0</v>
      </c>
      <c r="P384">
        <f t="shared" si="16"/>
        <v>0</v>
      </c>
      <c r="Q384">
        <f t="shared" si="16"/>
        <v>0</v>
      </c>
      <c r="R384">
        <f t="shared" si="17"/>
        <v>0</v>
      </c>
      <c r="S384">
        <f t="shared" si="18"/>
        <v>0</v>
      </c>
    </row>
    <row r="385" spans="1:19" hidden="1" x14ac:dyDescent="0.3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16"/>
        <v>0</v>
      </c>
      <c r="O385">
        <f t="shared" si="16"/>
        <v>0</v>
      </c>
      <c r="P385">
        <f t="shared" si="16"/>
        <v>0</v>
      </c>
      <c r="Q385">
        <f t="shared" si="16"/>
        <v>0</v>
      </c>
      <c r="R385">
        <f t="shared" si="17"/>
        <v>0</v>
      </c>
      <c r="S385">
        <f t="shared" si="18"/>
        <v>0</v>
      </c>
    </row>
    <row r="386" spans="1:19" hidden="1" x14ac:dyDescent="0.3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si="16"/>
        <v>0</v>
      </c>
      <c r="O386">
        <f t="shared" si="16"/>
        <v>0</v>
      </c>
      <c r="P386">
        <f t="shared" si="16"/>
        <v>0</v>
      </c>
      <c r="Q386">
        <f t="shared" ref="Q386:R449" si="19">IF(L386=100,1,0)</f>
        <v>0</v>
      </c>
      <c r="R386">
        <f t="shared" si="17"/>
        <v>0</v>
      </c>
      <c r="S386">
        <f t="shared" si="18"/>
        <v>0</v>
      </c>
    </row>
    <row r="387" spans="1:19" hidden="1" x14ac:dyDescent="0.3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ref="N387:R450" si="20">IF(I387=100,1,0)</f>
        <v>0</v>
      </c>
      <c r="O387">
        <f t="shared" si="20"/>
        <v>0</v>
      </c>
      <c r="P387">
        <f t="shared" si="20"/>
        <v>0</v>
      </c>
      <c r="Q387">
        <f t="shared" si="19"/>
        <v>0</v>
      </c>
      <c r="R387">
        <f t="shared" si="19"/>
        <v>0</v>
      </c>
      <c r="S387">
        <f t="shared" ref="S387:S450" si="21">IF(SUM(N387:R387)&gt;=3,1,0)</f>
        <v>0</v>
      </c>
    </row>
    <row r="388" spans="1:19" hidden="1" x14ac:dyDescent="0.3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20"/>
        <v>0</v>
      </c>
      <c r="O388">
        <f t="shared" si="20"/>
        <v>0</v>
      </c>
      <c r="P388">
        <f t="shared" si="20"/>
        <v>0</v>
      </c>
      <c r="Q388">
        <f t="shared" si="19"/>
        <v>0</v>
      </c>
      <c r="R388">
        <f t="shared" si="19"/>
        <v>0</v>
      </c>
      <c r="S388">
        <f t="shared" si="21"/>
        <v>0</v>
      </c>
    </row>
    <row r="389" spans="1:19" hidden="1" x14ac:dyDescent="0.3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20"/>
        <v>0</v>
      </c>
      <c r="O389">
        <f t="shared" si="20"/>
        <v>0</v>
      </c>
      <c r="P389">
        <f t="shared" si="20"/>
        <v>0</v>
      </c>
      <c r="Q389">
        <f t="shared" si="19"/>
        <v>0</v>
      </c>
      <c r="R389">
        <f t="shared" si="19"/>
        <v>0</v>
      </c>
      <c r="S389">
        <f t="shared" si="21"/>
        <v>0</v>
      </c>
    </row>
    <row r="390" spans="1:19" hidden="1" x14ac:dyDescent="0.3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20"/>
        <v>0</v>
      </c>
      <c r="O390">
        <f t="shared" si="20"/>
        <v>0</v>
      </c>
      <c r="P390">
        <f t="shared" si="20"/>
        <v>0</v>
      </c>
      <c r="Q390">
        <f t="shared" si="19"/>
        <v>0</v>
      </c>
      <c r="R390">
        <f t="shared" si="19"/>
        <v>0</v>
      </c>
      <c r="S390">
        <f t="shared" si="21"/>
        <v>0</v>
      </c>
    </row>
    <row r="391" spans="1:19" hidden="1" x14ac:dyDescent="0.3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20"/>
        <v>0</v>
      </c>
      <c r="O391">
        <f t="shared" si="20"/>
        <v>0</v>
      </c>
      <c r="P391">
        <f t="shared" si="20"/>
        <v>0</v>
      </c>
      <c r="Q391">
        <f t="shared" si="19"/>
        <v>0</v>
      </c>
      <c r="R391">
        <f t="shared" si="19"/>
        <v>0</v>
      </c>
      <c r="S391">
        <f t="shared" si="21"/>
        <v>0</v>
      </c>
    </row>
    <row r="392" spans="1:19" hidden="1" x14ac:dyDescent="0.3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20"/>
        <v>0</v>
      </c>
      <c r="O392">
        <f t="shared" si="20"/>
        <v>0</v>
      </c>
      <c r="P392">
        <f t="shared" si="20"/>
        <v>0</v>
      </c>
      <c r="Q392">
        <f t="shared" si="19"/>
        <v>0</v>
      </c>
      <c r="R392">
        <f t="shared" si="19"/>
        <v>0</v>
      </c>
      <c r="S392">
        <f t="shared" si="21"/>
        <v>0</v>
      </c>
    </row>
    <row r="393" spans="1:19" hidden="1" x14ac:dyDescent="0.3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20"/>
        <v>0</v>
      </c>
      <c r="O393">
        <f t="shared" si="20"/>
        <v>0</v>
      </c>
      <c r="P393">
        <f t="shared" si="20"/>
        <v>0</v>
      </c>
      <c r="Q393">
        <f t="shared" si="19"/>
        <v>0</v>
      </c>
      <c r="R393">
        <f t="shared" si="19"/>
        <v>0</v>
      </c>
      <c r="S393">
        <f t="shared" si="21"/>
        <v>0</v>
      </c>
    </row>
    <row r="394" spans="1:19" hidden="1" x14ac:dyDescent="0.3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20"/>
        <v>0</v>
      </c>
      <c r="O394">
        <f t="shared" si="20"/>
        <v>0</v>
      </c>
      <c r="P394">
        <f t="shared" si="20"/>
        <v>0</v>
      </c>
      <c r="Q394">
        <f t="shared" si="19"/>
        <v>0</v>
      </c>
      <c r="R394">
        <f t="shared" si="19"/>
        <v>0</v>
      </c>
      <c r="S394">
        <f t="shared" si="21"/>
        <v>0</v>
      </c>
    </row>
    <row r="395" spans="1:19" hidden="1" x14ac:dyDescent="0.3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20"/>
        <v>0</v>
      </c>
      <c r="O395">
        <f t="shared" si="20"/>
        <v>0</v>
      </c>
      <c r="P395">
        <f t="shared" si="20"/>
        <v>0</v>
      </c>
      <c r="Q395">
        <f t="shared" si="19"/>
        <v>0</v>
      </c>
      <c r="R395">
        <f t="shared" si="19"/>
        <v>0</v>
      </c>
      <c r="S395">
        <f t="shared" si="21"/>
        <v>0</v>
      </c>
    </row>
    <row r="396" spans="1:19" hidden="1" x14ac:dyDescent="0.3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20"/>
        <v>0</v>
      </c>
      <c r="O396">
        <f t="shared" si="20"/>
        <v>0</v>
      </c>
      <c r="P396">
        <f t="shared" si="20"/>
        <v>0</v>
      </c>
      <c r="Q396">
        <f t="shared" si="19"/>
        <v>0</v>
      </c>
      <c r="R396">
        <f t="shared" si="19"/>
        <v>0</v>
      </c>
      <c r="S396">
        <f t="shared" si="21"/>
        <v>0</v>
      </c>
    </row>
    <row r="397" spans="1:19" hidden="1" x14ac:dyDescent="0.3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20"/>
        <v>0</v>
      </c>
      <c r="O397">
        <f t="shared" si="20"/>
        <v>0</v>
      </c>
      <c r="P397">
        <f t="shared" si="20"/>
        <v>0</v>
      </c>
      <c r="Q397">
        <f t="shared" si="19"/>
        <v>0</v>
      </c>
      <c r="R397">
        <f t="shared" si="19"/>
        <v>0</v>
      </c>
      <c r="S397">
        <f t="shared" si="21"/>
        <v>0</v>
      </c>
    </row>
    <row r="398" spans="1:19" hidden="1" x14ac:dyDescent="0.3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20"/>
        <v>0</v>
      </c>
      <c r="O398">
        <f t="shared" si="20"/>
        <v>0</v>
      </c>
      <c r="P398">
        <f t="shared" si="20"/>
        <v>0</v>
      </c>
      <c r="Q398">
        <f t="shared" si="19"/>
        <v>0</v>
      </c>
      <c r="R398">
        <f t="shared" si="19"/>
        <v>0</v>
      </c>
      <c r="S398">
        <f t="shared" si="21"/>
        <v>0</v>
      </c>
    </row>
    <row r="399" spans="1:19" hidden="1" x14ac:dyDescent="0.3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20"/>
        <v>0</v>
      </c>
      <c r="O399">
        <f t="shared" si="20"/>
        <v>0</v>
      </c>
      <c r="P399">
        <f t="shared" si="20"/>
        <v>0</v>
      </c>
      <c r="Q399">
        <f t="shared" si="19"/>
        <v>0</v>
      </c>
      <c r="R399">
        <f t="shared" si="19"/>
        <v>0</v>
      </c>
      <c r="S399">
        <f t="shared" si="21"/>
        <v>0</v>
      </c>
    </row>
    <row r="400" spans="1:19" hidden="1" x14ac:dyDescent="0.3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20"/>
        <v>0</v>
      </c>
      <c r="O400">
        <f t="shared" si="20"/>
        <v>0</v>
      </c>
      <c r="P400">
        <f t="shared" si="20"/>
        <v>0</v>
      </c>
      <c r="Q400">
        <f t="shared" si="19"/>
        <v>0</v>
      </c>
      <c r="R400">
        <f t="shared" si="19"/>
        <v>0</v>
      </c>
      <c r="S400">
        <f t="shared" si="21"/>
        <v>0</v>
      </c>
    </row>
    <row r="401" spans="1:19" hidden="1" x14ac:dyDescent="0.3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20"/>
        <v>0</v>
      </c>
      <c r="O401">
        <f t="shared" si="20"/>
        <v>0</v>
      </c>
      <c r="P401">
        <f t="shared" si="20"/>
        <v>0</v>
      </c>
      <c r="Q401">
        <f t="shared" si="19"/>
        <v>0</v>
      </c>
      <c r="R401">
        <f t="shared" si="19"/>
        <v>0</v>
      </c>
      <c r="S401">
        <f t="shared" si="21"/>
        <v>0</v>
      </c>
    </row>
    <row r="402" spans="1:19" hidden="1" x14ac:dyDescent="0.3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20"/>
        <v>0</v>
      </c>
      <c r="O402">
        <f t="shared" si="20"/>
        <v>0</v>
      </c>
      <c r="P402">
        <f t="shared" si="20"/>
        <v>0</v>
      </c>
      <c r="Q402">
        <f t="shared" si="19"/>
        <v>0</v>
      </c>
      <c r="R402">
        <f t="shared" si="19"/>
        <v>0</v>
      </c>
      <c r="S402">
        <f t="shared" si="21"/>
        <v>0</v>
      </c>
    </row>
    <row r="403" spans="1:19" hidden="1" x14ac:dyDescent="0.3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20"/>
        <v>0</v>
      </c>
      <c r="O403">
        <f t="shared" si="20"/>
        <v>0</v>
      </c>
      <c r="P403">
        <f t="shared" si="20"/>
        <v>0</v>
      </c>
      <c r="Q403">
        <f t="shared" si="19"/>
        <v>0</v>
      </c>
      <c r="R403">
        <f t="shared" si="19"/>
        <v>0</v>
      </c>
      <c r="S403">
        <f t="shared" si="21"/>
        <v>0</v>
      </c>
    </row>
    <row r="404" spans="1:19" hidden="1" x14ac:dyDescent="0.3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20"/>
        <v>0</v>
      </c>
      <c r="O404">
        <f t="shared" si="20"/>
        <v>0</v>
      </c>
      <c r="P404">
        <f t="shared" si="20"/>
        <v>0</v>
      </c>
      <c r="Q404">
        <f t="shared" si="19"/>
        <v>0</v>
      </c>
      <c r="R404">
        <f t="shared" si="19"/>
        <v>0</v>
      </c>
      <c r="S404">
        <f t="shared" si="21"/>
        <v>0</v>
      </c>
    </row>
    <row r="405" spans="1:19" hidden="1" x14ac:dyDescent="0.3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20"/>
        <v>0</v>
      </c>
      <c r="O405">
        <f t="shared" si="20"/>
        <v>0</v>
      </c>
      <c r="P405">
        <f t="shared" si="20"/>
        <v>0</v>
      </c>
      <c r="Q405">
        <f t="shared" si="19"/>
        <v>0</v>
      </c>
      <c r="R405">
        <f t="shared" si="19"/>
        <v>0</v>
      </c>
      <c r="S405">
        <f t="shared" si="21"/>
        <v>0</v>
      </c>
    </row>
    <row r="406" spans="1:19" hidden="1" x14ac:dyDescent="0.3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20"/>
        <v>0</v>
      </c>
      <c r="O406">
        <f t="shared" si="20"/>
        <v>0</v>
      </c>
      <c r="P406">
        <f t="shared" si="20"/>
        <v>0</v>
      </c>
      <c r="Q406">
        <f t="shared" si="19"/>
        <v>0</v>
      </c>
      <c r="R406">
        <f t="shared" si="19"/>
        <v>0</v>
      </c>
      <c r="S406">
        <f t="shared" si="21"/>
        <v>0</v>
      </c>
    </row>
    <row r="407" spans="1:19" hidden="1" x14ac:dyDescent="0.3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20"/>
        <v>0</v>
      </c>
      <c r="O407">
        <f t="shared" si="20"/>
        <v>0</v>
      </c>
      <c r="P407">
        <f t="shared" si="20"/>
        <v>0</v>
      </c>
      <c r="Q407">
        <f t="shared" si="19"/>
        <v>0</v>
      </c>
      <c r="R407">
        <f t="shared" si="19"/>
        <v>0</v>
      </c>
      <c r="S407">
        <f t="shared" si="21"/>
        <v>0</v>
      </c>
    </row>
    <row r="408" spans="1:19" hidden="1" x14ac:dyDescent="0.3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20"/>
        <v>0</v>
      </c>
      <c r="O408">
        <f t="shared" si="20"/>
        <v>0</v>
      </c>
      <c r="P408">
        <f t="shared" si="20"/>
        <v>0</v>
      </c>
      <c r="Q408">
        <f t="shared" si="19"/>
        <v>0</v>
      </c>
      <c r="R408">
        <f t="shared" si="19"/>
        <v>0</v>
      </c>
      <c r="S408">
        <f t="shared" si="21"/>
        <v>0</v>
      </c>
    </row>
    <row r="409" spans="1:19" hidden="1" x14ac:dyDescent="0.3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20"/>
        <v>0</v>
      </c>
      <c r="O409">
        <f t="shared" si="20"/>
        <v>0</v>
      </c>
      <c r="P409">
        <f t="shared" si="20"/>
        <v>0</v>
      </c>
      <c r="Q409">
        <f t="shared" si="19"/>
        <v>0</v>
      </c>
      <c r="R409">
        <f t="shared" si="19"/>
        <v>0</v>
      </c>
      <c r="S409">
        <f t="shared" si="21"/>
        <v>0</v>
      </c>
    </row>
    <row r="410" spans="1:19" hidden="1" x14ac:dyDescent="0.3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20"/>
        <v>0</v>
      </c>
      <c r="O410">
        <f t="shared" si="20"/>
        <v>0</v>
      </c>
      <c r="P410">
        <f t="shared" si="20"/>
        <v>0</v>
      </c>
      <c r="Q410">
        <f t="shared" si="19"/>
        <v>0</v>
      </c>
      <c r="R410">
        <f t="shared" si="19"/>
        <v>0</v>
      </c>
      <c r="S410">
        <f t="shared" si="21"/>
        <v>0</v>
      </c>
    </row>
    <row r="411" spans="1:19" hidden="1" x14ac:dyDescent="0.3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20"/>
        <v>0</v>
      </c>
      <c r="O411">
        <f t="shared" si="20"/>
        <v>0</v>
      </c>
      <c r="P411">
        <f t="shared" si="20"/>
        <v>0</v>
      </c>
      <c r="Q411">
        <f t="shared" si="19"/>
        <v>0</v>
      </c>
      <c r="R411">
        <f t="shared" si="19"/>
        <v>0</v>
      </c>
      <c r="S411">
        <f t="shared" si="21"/>
        <v>0</v>
      </c>
    </row>
    <row r="412" spans="1:19" hidden="1" x14ac:dyDescent="0.3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20"/>
        <v>0</v>
      </c>
      <c r="O412">
        <f t="shared" si="20"/>
        <v>0</v>
      </c>
      <c r="P412">
        <f t="shared" si="20"/>
        <v>0</v>
      </c>
      <c r="Q412">
        <f t="shared" si="19"/>
        <v>0</v>
      </c>
      <c r="R412">
        <f t="shared" si="19"/>
        <v>0</v>
      </c>
      <c r="S412">
        <f t="shared" si="21"/>
        <v>0</v>
      </c>
    </row>
    <row r="413" spans="1:19" hidden="1" x14ac:dyDescent="0.3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20"/>
        <v>0</v>
      </c>
      <c r="O413">
        <f t="shared" si="20"/>
        <v>0</v>
      </c>
      <c r="P413">
        <f t="shared" si="20"/>
        <v>0</v>
      </c>
      <c r="Q413">
        <f t="shared" si="19"/>
        <v>0</v>
      </c>
      <c r="R413">
        <f t="shared" si="19"/>
        <v>0</v>
      </c>
      <c r="S413">
        <f t="shared" si="21"/>
        <v>0</v>
      </c>
    </row>
    <row r="414" spans="1:19" hidden="1" x14ac:dyDescent="0.3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20"/>
        <v>0</v>
      </c>
      <c r="O414">
        <f t="shared" si="20"/>
        <v>0</v>
      </c>
      <c r="P414">
        <f t="shared" si="20"/>
        <v>0</v>
      </c>
      <c r="Q414">
        <f t="shared" si="19"/>
        <v>0</v>
      </c>
      <c r="R414">
        <f t="shared" si="19"/>
        <v>0</v>
      </c>
      <c r="S414">
        <f t="shared" si="21"/>
        <v>0</v>
      </c>
    </row>
    <row r="415" spans="1:19" hidden="1" x14ac:dyDescent="0.3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20"/>
        <v>0</v>
      </c>
      <c r="O415">
        <f t="shared" si="20"/>
        <v>0</v>
      </c>
      <c r="P415">
        <f t="shared" si="20"/>
        <v>0</v>
      </c>
      <c r="Q415">
        <f t="shared" si="19"/>
        <v>0</v>
      </c>
      <c r="R415">
        <f t="shared" si="19"/>
        <v>0</v>
      </c>
      <c r="S415">
        <f t="shared" si="21"/>
        <v>0</v>
      </c>
    </row>
    <row r="416" spans="1:19" hidden="1" x14ac:dyDescent="0.3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20"/>
        <v>0</v>
      </c>
      <c r="O416">
        <f t="shared" si="20"/>
        <v>0</v>
      </c>
      <c r="P416">
        <f t="shared" si="20"/>
        <v>0</v>
      </c>
      <c r="Q416">
        <f t="shared" si="19"/>
        <v>0</v>
      </c>
      <c r="R416">
        <f t="shared" si="19"/>
        <v>0</v>
      </c>
      <c r="S416">
        <f t="shared" si="21"/>
        <v>0</v>
      </c>
    </row>
    <row r="417" spans="1:19" hidden="1" x14ac:dyDescent="0.3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20"/>
        <v>0</v>
      </c>
      <c r="O417">
        <f t="shared" si="20"/>
        <v>0</v>
      </c>
      <c r="P417">
        <f t="shared" si="20"/>
        <v>0</v>
      </c>
      <c r="Q417">
        <f t="shared" si="19"/>
        <v>0</v>
      </c>
      <c r="R417">
        <f t="shared" si="19"/>
        <v>0</v>
      </c>
      <c r="S417">
        <f t="shared" si="21"/>
        <v>0</v>
      </c>
    </row>
    <row r="418" spans="1:19" hidden="1" x14ac:dyDescent="0.3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20"/>
        <v>0</v>
      </c>
      <c r="O418">
        <f t="shared" si="20"/>
        <v>0</v>
      </c>
      <c r="P418">
        <f t="shared" si="20"/>
        <v>0</v>
      </c>
      <c r="Q418">
        <f t="shared" si="19"/>
        <v>0</v>
      </c>
      <c r="R418">
        <f t="shared" si="19"/>
        <v>0</v>
      </c>
      <c r="S418">
        <f t="shared" si="21"/>
        <v>0</v>
      </c>
    </row>
    <row r="419" spans="1:19" hidden="1" x14ac:dyDescent="0.3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20"/>
        <v>0</v>
      </c>
      <c r="O419">
        <f t="shared" si="20"/>
        <v>0</v>
      </c>
      <c r="P419">
        <f t="shared" si="20"/>
        <v>0</v>
      </c>
      <c r="Q419">
        <f t="shared" si="19"/>
        <v>0</v>
      </c>
      <c r="R419">
        <f t="shared" si="19"/>
        <v>0</v>
      </c>
      <c r="S419">
        <f t="shared" si="21"/>
        <v>0</v>
      </c>
    </row>
    <row r="420" spans="1:19" hidden="1" x14ac:dyDescent="0.3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20"/>
        <v>0</v>
      </c>
      <c r="O420">
        <f t="shared" si="20"/>
        <v>0</v>
      </c>
      <c r="P420">
        <f t="shared" si="20"/>
        <v>0</v>
      </c>
      <c r="Q420">
        <f t="shared" si="19"/>
        <v>0</v>
      </c>
      <c r="R420">
        <f t="shared" si="19"/>
        <v>0</v>
      </c>
      <c r="S420">
        <f t="shared" si="21"/>
        <v>0</v>
      </c>
    </row>
    <row r="421" spans="1:19" hidden="1" x14ac:dyDescent="0.3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20"/>
        <v>0</v>
      </c>
      <c r="O421">
        <f t="shared" si="20"/>
        <v>0</v>
      </c>
      <c r="P421">
        <f t="shared" si="20"/>
        <v>0</v>
      </c>
      <c r="Q421">
        <f t="shared" si="19"/>
        <v>0</v>
      </c>
      <c r="R421">
        <f t="shared" si="19"/>
        <v>0</v>
      </c>
      <c r="S421">
        <f t="shared" si="21"/>
        <v>0</v>
      </c>
    </row>
    <row r="422" spans="1:19" hidden="1" x14ac:dyDescent="0.3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20"/>
        <v>0</v>
      </c>
      <c r="O422">
        <f t="shared" si="20"/>
        <v>0</v>
      </c>
      <c r="P422">
        <f t="shared" si="20"/>
        <v>0</v>
      </c>
      <c r="Q422">
        <f t="shared" si="19"/>
        <v>0</v>
      </c>
      <c r="R422">
        <f t="shared" si="19"/>
        <v>0</v>
      </c>
      <c r="S422">
        <f t="shared" si="21"/>
        <v>0</v>
      </c>
    </row>
    <row r="423" spans="1:19" hidden="1" x14ac:dyDescent="0.3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20"/>
        <v>0</v>
      </c>
      <c r="O423">
        <f t="shared" si="20"/>
        <v>0</v>
      </c>
      <c r="P423">
        <f t="shared" si="20"/>
        <v>0</v>
      </c>
      <c r="Q423">
        <f t="shared" si="19"/>
        <v>0</v>
      </c>
      <c r="R423">
        <f t="shared" si="19"/>
        <v>0</v>
      </c>
      <c r="S423">
        <f t="shared" si="21"/>
        <v>0</v>
      </c>
    </row>
    <row r="424" spans="1:19" hidden="1" x14ac:dyDescent="0.3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20"/>
        <v>0</v>
      </c>
      <c r="O424">
        <f t="shared" si="20"/>
        <v>0</v>
      </c>
      <c r="P424">
        <f t="shared" si="20"/>
        <v>0</v>
      </c>
      <c r="Q424">
        <f t="shared" si="19"/>
        <v>0</v>
      </c>
      <c r="R424">
        <f t="shared" si="19"/>
        <v>0</v>
      </c>
      <c r="S424">
        <f t="shared" si="21"/>
        <v>0</v>
      </c>
    </row>
    <row r="425" spans="1:19" hidden="1" x14ac:dyDescent="0.3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20"/>
        <v>0</v>
      </c>
      <c r="O425">
        <f t="shared" si="20"/>
        <v>0</v>
      </c>
      <c r="P425">
        <f t="shared" si="20"/>
        <v>0</v>
      </c>
      <c r="Q425">
        <f t="shared" si="19"/>
        <v>0</v>
      </c>
      <c r="R425">
        <f t="shared" si="19"/>
        <v>0</v>
      </c>
      <c r="S425">
        <f t="shared" si="21"/>
        <v>0</v>
      </c>
    </row>
    <row r="426" spans="1:19" hidden="1" x14ac:dyDescent="0.3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20"/>
        <v>0</v>
      </c>
      <c r="O426">
        <f t="shared" si="20"/>
        <v>0</v>
      </c>
      <c r="P426">
        <f t="shared" si="20"/>
        <v>0</v>
      </c>
      <c r="Q426">
        <f t="shared" si="19"/>
        <v>0</v>
      </c>
      <c r="R426">
        <f t="shared" si="19"/>
        <v>0</v>
      </c>
      <c r="S426">
        <f t="shared" si="21"/>
        <v>0</v>
      </c>
    </row>
    <row r="427" spans="1:19" hidden="1" x14ac:dyDescent="0.3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20"/>
        <v>0</v>
      </c>
      <c r="O427">
        <f t="shared" si="20"/>
        <v>0</v>
      </c>
      <c r="P427">
        <f t="shared" si="20"/>
        <v>0</v>
      </c>
      <c r="Q427">
        <f t="shared" si="19"/>
        <v>0</v>
      </c>
      <c r="R427">
        <f t="shared" si="19"/>
        <v>0</v>
      </c>
      <c r="S427">
        <f t="shared" si="21"/>
        <v>0</v>
      </c>
    </row>
    <row r="428" spans="1:19" hidden="1" x14ac:dyDescent="0.3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20"/>
        <v>0</v>
      </c>
      <c r="O428">
        <f t="shared" si="20"/>
        <v>0</v>
      </c>
      <c r="P428">
        <f t="shared" si="20"/>
        <v>0</v>
      </c>
      <c r="Q428">
        <f t="shared" si="19"/>
        <v>0</v>
      </c>
      <c r="R428">
        <f t="shared" si="19"/>
        <v>0</v>
      </c>
      <c r="S428">
        <f t="shared" si="21"/>
        <v>0</v>
      </c>
    </row>
    <row r="429" spans="1:19" hidden="1" x14ac:dyDescent="0.3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20"/>
        <v>0</v>
      </c>
      <c r="O429">
        <f t="shared" si="20"/>
        <v>0</v>
      </c>
      <c r="P429">
        <f t="shared" si="20"/>
        <v>0</v>
      </c>
      <c r="Q429">
        <f t="shared" si="19"/>
        <v>0</v>
      </c>
      <c r="R429">
        <f t="shared" si="19"/>
        <v>0</v>
      </c>
      <c r="S429">
        <f t="shared" si="21"/>
        <v>0</v>
      </c>
    </row>
    <row r="430" spans="1:19" hidden="1" x14ac:dyDescent="0.3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20"/>
        <v>0</v>
      </c>
      <c r="O430">
        <f t="shared" si="20"/>
        <v>0</v>
      </c>
      <c r="P430">
        <f t="shared" si="20"/>
        <v>0</v>
      </c>
      <c r="Q430">
        <f t="shared" si="19"/>
        <v>0</v>
      </c>
      <c r="R430">
        <f t="shared" si="19"/>
        <v>0</v>
      </c>
      <c r="S430">
        <f t="shared" si="21"/>
        <v>0</v>
      </c>
    </row>
    <row r="431" spans="1:19" hidden="1" x14ac:dyDescent="0.3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20"/>
        <v>1</v>
      </c>
      <c r="O431">
        <f t="shared" si="20"/>
        <v>0</v>
      </c>
      <c r="P431">
        <f t="shared" si="20"/>
        <v>0</v>
      </c>
      <c r="Q431">
        <f t="shared" si="19"/>
        <v>0</v>
      </c>
      <c r="R431">
        <f t="shared" si="19"/>
        <v>0</v>
      </c>
      <c r="S431">
        <f t="shared" si="21"/>
        <v>0</v>
      </c>
    </row>
    <row r="432" spans="1:19" hidden="1" x14ac:dyDescent="0.3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20"/>
        <v>0</v>
      </c>
      <c r="O432">
        <f t="shared" si="20"/>
        <v>0</v>
      </c>
      <c r="P432">
        <f t="shared" si="20"/>
        <v>0</v>
      </c>
      <c r="Q432">
        <f t="shared" si="19"/>
        <v>0</v>
      </c>
      <c r="R432">
        <f t="shared" si="19"/>
        <v>0</v>
      </c>
      <c r="S432">
        <f t="shared" si="21"/>
        <v>0</v>
      </c>
    </row>
    <row r="433" spans="1:19" hidden="1" x14ac:dyDescent="0.3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20"/>
        <v>0</v>
      </c>
      <c r="O433">
        <f t="shared" si="20"/>
        <v>0</v>
      </c>
      <c r="P433">
        <f t="shared" si="20"/>
        <v>0</v>
      </c>
      <c r="Q433">
        <f t="shared" si="19"/>
        <v>0</v>
      </c>
      <c r="R433">
        <f t="shared" si="19"/>
        <v>0</v>
      </c>
      <c r="S433">
        <f t="shared" si="21"/>
        <v>0</v>
      </c>
    </row>
    <row r="434" spans="1:19" hidden="1" x14ac:dyDescent="0.3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20"/>
        <v>0</v>
      </c>
      <c r="O434">
        <f t="shared" si="20"/>
        <v>0</v>
      </c>
      <c r="P434">
        <f t="shared" si="20"/>
        <v>0</v>
      </c>
      <c r="Q434">
        <f t="shared" si="19"/>
        <v>0</v>
      </c>
      <c r="R434">
        <f t="shared" si="19"/>
        <v>0</v>
      </c>
      <c r="S434">
        <f t="shared" si="21"/>
        <v>0</v>
      </c>
    </row>
    <row r="435" spans="1:19" hidden="1" x14ac:dyDescent="0.3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20"/>
        <v>0</v>
      </c>
      <c r="O435">
        <f t="shared" si="20"/>
        <v>0</v>
      </c>
      <c r="P435">
        <f t="shared" si="20"/>
        <v>0</v>
      </c>
      <c r="Q435">
        <f t="shared" si="19"/>
        <v>0</v>
      </c>
      <c r="R435">
        <f t="shared" si="19"/>
        <v>0</v>
      </c>
      <c r="S435">
        <f t="shared" si="21"/>
        <v>0</v>
      </c>
    </row>
    <row r="436" spans="1:19" hidden="1" x14ac:dyDescent="0.3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20"/>
        <v>0</v>
      </c>
      <c r="O436">
        <f t="shared" si="20"/>
        <v>0</v>
      </c>
      <c r="P436">
        <f t="shared" si="20"/>
        <v>0</v>
      </c>
      <c r="Q436">
        <f t="shared" si="19"/>
        <v>0</v>
      </c>
      <c r="R436">
        <f t="shared" si="19"/>
        <v>0</v>
      </c>
      <c r="S436">
        <f t="shared" si="21"/>
        <v>0</v>
      </c>
    </row>
    <row r="437" spans="1:19" hidden="1" x14ac:dyDescent="0.3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20"/>
        <v>0</v>
      </c>
      <c r="O437">
        <f t="shared" si="20"/>
        <v>0</v>
      </c>
      <c r="P437">
        <f t="shared" si="20"/>
        <v>0</v>
      </c>
      <c r="Q437">
        <f t="shared" si="19"/>
        <v>1</v>
      </c>
      <c r="R437">
        <f t="shared" si="19"/>
        <v>0</v>
      </c>
      <c r="S437">
        <f t="shared" si="21"/>
        <v>0</v>
      </c>
    </row>
    <row r="438" spans="1:19" hidden="1" x14ac:dyDescent="0.3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20"/>
        <v>0</v>
      </c>
      <c r="O438">
        <f t="shared" si="20"/>
        <v>0</v>
      </c>
      <c r="P438">
        <f t="shared" si="20"/>
        <v>0</v>
      </c>
      <c r="Q438">
        <f t="shared" si="19"/>
        <v>0</v>
      </c>
      <c r="R438">
        <f t="shared" si="19"/>
        <v>0</v>
      </c>
      <c r="S438">
        <f t="shared" si="21"/>
        <v>0</v>
      </c>
    </row>
    <row r="439" spans="1:19" hidden="1" x14ac:dyDescent="0.3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20"/>
        <v>0</v>
      </c>
      <c r="O439">
        <f t="shared" si="20"/>
        <v>0</v>
      </c>
      <c r="P439">
        <f t="shared" si="20"/>
        <v>0</v>
      </c>
      <c r="Q439">
        <f t="shared" si="19"/>
        <v>0</v>
      </c>
      <c r="R439">
        <f t="shared" si="19"/>
        <v>0</v>
      </c>
      <c r="S439">
        <f t="shared" si="21"/>
        <v>0</v>
      </c>
    </row>
    <row r="440" spans="1:19" hidden="1" x14ac:dyDescent="0.3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20"/>
        <v>0</v>
      </c>
      <c r="O440">
        <f t="shared" si="20"/>
        <v>0</v>
      </c>
      <c r="P440">
        <f t="shared" si="20"/>
        <v>0</v>
      </c>
      <c r="Q440">
        <f t="shared" si="19"/>
        <v>0</v>
      </c>
      <c r="R440">
        <f t="shared" si="19"/>
        <v>0</v>
      </c>
      <c r="S440">
        <f t="shared" si="21"/>
        <v>0</v>
      </c>
    </row>
    <row r="441" spans="1:19" hidden="1" x14ac:dyDescent="0.3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20"/>
        <v>0</v>
      </c>
      <c r="O441">
        <f t="shared" si="20"/>
        <v>0</v>
      </c>
      <c r="P441">
        <f t="shared" si="20"/>
        <v>0</v>
      </c>
      <c r="Q441">
        <f t="shared" si="19"/>
        <v>0</v>
      </c>
      <c r="R441">
        <f t="shared" si="19"/>
        <v>0</v>
      </c>
      <c r="S441">
        <f t="shared" si="21"/>
        <v>0</v>
      </c>
    </row>
    <row r="442" spans="1:19" hidden="1" x14ac:dyDescent="0.3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20"/>
        <v>0</v>
      </c>
      <c r="O442">
        <f t="shared" si="20"/>
        <v>0</v>
      </c>
      <c r="P442">
        <f t="shared" si="20"/>
        <v>0</v>
      </c>
      <c r="Q442">
        <f t="shared" si="19"/>
        <v>0</v>
      </c>
      <c r="R442">
        <f t="shared" si="19"/>
        <v>0</v>
      </c>
      <c r="S442">
        <f t="shared" si="21"/>
        <v>0</v>
      </c>
    </row>
    <row r="443" spans="1:19" hidden="1" x14ac:dyDescent="0.3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20"/>
        <v>0</v>
      </c>
      <c r="O443">
        <f t="shared" si="20"/>
        <v>0</v>
      </c>
      <c r="P443">
        <f t="shared" si="20"/>
        <v>0</v>
      </c>
      <c r="Q443">
        <f t="shared" si="19"/>
        <v>0</v>
      </c>
      <c r="R443">
        <f t="shared" si="19"/>
        <v>0</v>
      </c>
      <c r="S443">
        <f t="shared" si="21"/>
        <v>0</v>
      </c>
    </row>
    <row r="444" spans="1:19" hidden="1" x14ac:dyDescent="0.3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20"/>
        <v>0</v>
      </c>
      <c r="O444">
        <f t="shared" si="20"/>
        <v>0</v>
      </c>
      <c r="P444">
        <f t="shared" si="20"/>
        <v>0</v>
      </c>
      <c r="Q444">
        <f t="shared" si="19"/>
        <v>0</v>
      </c>
      <c r="R444">
        <f t="shared" si="19"/>
        <v>0</v>
      </c>
      <c r="S444">
        <f t="shared" si="21"/>
        <v>0</v>
      </c>
    </row>
    <row r="445" spans="1:19" hidden="1" x14ac:dyDescent="0.3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20"/>
        <v>0</v>
      </c>
      <c r="O445">
        <f t="shared" si="20"/>
        <v>0</v>
      </c>
      <c r="P445">
        <f t="shared" si="20"/>
        <v>0</v>
      </c>
      <c r="Q445">
        <f t="shared" si="19"/>
        <v>0</v>
      </c>
      <c r="R445">
        <f t="shared" si="19"/>
        <v>1</v>
      </c>
      <c r="S445">
        <f t="shared" si="21"/>
        <v>0</v>
      </c>
    </row>
    <row r="446" spans="1:19" hidden="1" x14ac:dyDescent="0.3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20"/>
        <v>0</v>
      </c>
      <c r="O446">
        <f t="shared" si="20"/>
        <v>0</v>
      </c>
      <c r="P446">
        <f t="shared" si="20"/>
        <v>0</v>
      </c>
      <c r="Q446">
        <f t="shared" si="19"/>
        <v>0</v>
      </c>
      <c r="R446">
        <f t="shared" si="19"/>
        <v>0</v>
      </c>
      <c r="S446">
        <f t="shared" si="21"/>
        <v>0</v>
      </c>
    </row>
    <row r="447" spans="1:19" hidden="1" x14ac:dyDescent="0.3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20"/>
        <v>0</v>
      </c>
      <c r="O447">
        <f t="shared" si="20"/>
        <v>0</v>
      </c>
      <c r="P447">
        <f t="shared" si="20"/>
        <v>0</v>
      </c>
      <c r="Q447">
        <f t="shared" si="19"/>
        <v>0</v>
      </c>
      <c r="R447">
        <f t="shared" si="19"/>
        <v>0</v>
      </c>
      <c r="S447">
        <f t="shared" si="21"/>
        <v>0</v>
      </c>
    </row>
    <row r="448" spans="1:19" hidden="1" x14ac:dyDescent="0.3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20"/>
        <v>0</v>
      </c>
      <c r="O448">
        <f t="shared" si="20"/>
        <v>0</v>
      </c>
      <c r="P448">
        <f t="shared" si="20"/>
        <v>0</v>
      </c>
      <c r="Q448">
        <f t="shared" si="19"/>
        <v>0</v>
      </c>
      <c r="R448">
        <f t="shared" si="19"/>
        <v>0</v>
      </c>
      <c r="S448">
        <f t="shared" si="21"/>
        <v>0</v>
      </c>
    </row>
    <row r="449" spans="1:19" hidden="1" x14ac:dyDescent="0.3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20"/>
        <v>0</v>
      </c>
      <c r="O449">
        <f t="shared" si="20"/>
        <v>0</v>
      </c>
      <c r="P449">
        <f t="shared" si="20"/>
        <v>0</v>
      </c>
      <c r="Q449">
        <f t="shared" si="19"/>
        <v>0</v>
      </c>
      <c r="R449">
        <f t="shared" si="19"/>
        <v>0</v>
      </c>
      <c r="S449">
        <f t="shared" si="21"/>
        <v>0</v>
      </c>
    </row>
    <row r="450" spans="1:19" hidden="1" x14ac:dyDescent="0.3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si="20"/>
        <v>0</v>
      </c>
      <c r="O450">
        <f t="shared" si="20"/>
        <v>0</v>
      </c>
      <c r="P450">
        <f t="shared" si="20"/>
        <v>0</v>
      </c>
      <c r="Q450">
        <f t="shared" si="20"/>
        <v>0</v>
      </c>
      <c r="R450">
        <f t="shared" si="20"/>
        <v>0</v>
      </c>
      <c r="S450">
        <f t="shared" si="21"/>
        <v>0</v>
      </c>
    </row>
    <row r="451" spans="1:19" hidden="1" x14ac:dyDescent="0.3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ref="N451:Q514" si="22">IF(I451=100,1,0)</f>
        <v>0</v>
      </c>
      <c r="O451">
        <f t="shared" si="22"/>
        <v>0</v>
      </c>
      <c r="P451">
        <f t="shared" si="22"/>
        <v>0</v>
      </c>
      <c r="Q451">
        <f t="shared" si="22"/>
        <v>0</v>
      </c>
      <c r="R451">
        <f t="shared" ref="R451:R514" si="23">IF(M451=100,1,0)</f>
        <v>0</v>
      </c>
      <c r="S451">
        <f t="shared" ref="S451:S514" si="24">IF(SUM(N451:R451)&gt;=3,1,0)</f>
        <v>0</v>
      </c>
    </row>
    <row r="452" spans="1:19" hidden="1" x14ac:dyDescent="0.3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22"/>
        <v>0</v>
      </c>
      <c r="O452">
        <f t="shared" si="22"/>
        <v>0</v>
      </c>
      <c r="P452">
        <f t="shared" si="22"/>
        <v>0</v>
      </c>
      <c r="Q452">
        <f t="shared" si="22"/>
        <v>0</v>
      </c>
      <c r="R452">
        <f t="shared" si="23"/>
        <v>0</v>
      </c>
      <c r="S452">
        <f t="shared" si="24"/>
        <v>0</v>
      </c>
    </row>
    <row r="453" spans="1:19" hidden="1" x14ac:dyDescent="0.3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22"/>
        <v>0</v>
      </c>
      <c r="O453">
        <f t="shared" si="22"/>
        <v>0</v>
      </c>
      <c r="P453">
        <f t="shared" si="22"/>
        <v>0</v>
      </c>
      <c r="Q453">
        <f t="shared" si="22"/>
        <v>0</v>
      </c>
      <c r="R453">
        <f t="shared" si="23"/>
        <v>0</v>
      </c>
      <c r="S453">
        <f t="shared" si="24"/>
        <v>0</v>
      </c>
    </row>
    <row r="454" spans="1:19" hidden="1" x14ac:dyDescent="0.3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22"/>
        <v>0</v>
      </c>
      <c r="O454">
        <f t="shared" si="22"/>
        <v>0</v>
      </c>
      <c r="P454">
        <f t="shared" si="22"/>
        <v>0</v>
      </c>
      <c r="Q454">
        <f t="shared" si="22"/>
        <v>0</v>
      </c>
      <c r="R454">
        <f t="shared" si="23"/>
        <v>0</v>
      </c>
      <c r="S454">
        <f t="shared" si="24"/>
        <v>0</v>
      </c>
    </row>
    <row r="455" spans="1:19" hidden="1" x14ac:dyDescent="0.3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22"/>
        <v>0</v>
      </c>
      <c r="O455">
        <f t="shared" si="22"/>
        <v>0</v>
      </c>
      <c r="P455">
        <f t="shared" si="22"/>
        <v>0</v>
      </c>
      <c r="Q455">
        <f t="shared" si="22"/>
        <v>0</v>
      </c>
      <c r="R455">
        <f t="shared" si="23"/>
        <v>0</v>
      </c>
      <c r="S455">
        <f t="shared" si="24"/>
        <v>0</v>
      </c>
    </row>
    <row r="456" spans="1:19" hidden="1" x14ac:dyDescent="0.3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22"/>
        <v>0</v>
      </c>
      <c r="O456">
        <f t="shared" si="22"/>
        <v>0</v>
      </c>
      <c r="P456">
        <f t="shared" si="22"/>
        <v>0</v>
      </c>
      <c r="Q456">
        <f t="shared" si="22"/>
        <v>0</v>
      </c>
      <c r="R456">
        <f t="shared" si="23"/>
        <v>0</v>
      </c>
      <c r="S456">
        <f t="shared" si="24"/>
        <v>0</v>
      </c>
    </row>
    <row r="457" spans="1:19" hidden="1" x14ac:dyDescent="0.3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22"/>
        <v>0</v>
      </c>
      <c r="O457">
        <f t="shared" si="22"/>
        <v>0</v>
      </c>
      <c r="P457">
        <f t="shared" si="22"/>
        <v>0</v>
      </c>
      <c r="Q457">
        <f t="shared" si="22"/>
        <v>0</v>
      </c>
      <c r="R457">
        <f t="shared" si="23"/>
        <v>0</v>
      </c>
      <c r="S457">
        <f t="shared" si="24"/>
        <v>0</v>
      </c>
    </row>
    <row r="458" spans="1:19" hidden="1" x14ac:dyDescent="0.3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22"/>
        <v>0</v>
      </c>
      <c r="O458">
        <f t="shared" si="22"/>
        <v>0</v>
      </c>
      <c r="P458">
        <f t="shared" si="22"/>
        <v>0</v>
      </c>
      <c r="Q458">
        <f t="shared" si="22"/>
        <v>0</v>
      </c>
      <c r="R458">
        <f t="shared" si="23"/>
        <v>0</v>
      </c>
      <c r="S458">
        <f t="shared" si="24"/>
        <v>0</v>
      </c>
    </row>
    <row r="459" spans="1:19" hidden="1" x14ac:dyDescent="0.3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22"/>
        <v>0</v>
      </c>
      <c r="O459">
        <f t="shared" si="22"/>
        <v>0</v>
      </c>
      <c r="P459">
        <f t="shared" si="22"/>
        <v>0</v>
      </c>
      <c r="Q459">
        <f t="shared" si="22"/>
        <v>0</v>
      </c>
      <c r="R459">
        <f t="shared" si="23"/>
        <v>0</v>
      </c>
      <c r="S459">
        <f t="shared" si="24"/>
        <v>0</v>
      </c>
    </row>
    <row r="460" spans="1:19" hidden="1" x14ac:dyDescent="0.3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22"/>
        <v>0</v>
      </c>
      <c r="O460">
        <f t="shared" si="22"/>
        <v>0</v>
      </c>
      <c r="P460">
        <f t="shared" si="22"/>
        <v>0</v>
      </c>
      <c r="Q460">
        <f t="shared" si="22"/>
        <v>0</v>
      </c>
      <c r="R460">
        <f t="shared" si="23"/>
        <v>0</v>
      </c>
      <c r="S460">
        <f t="shared" si="24"/>
        <v>0</v>
      </c>
    </row>
    <row r="461" spans="1:19" hidden="1" x14ac:dyDescent="0.3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22"/>
        <v>0</v>
      </c>
      <c r="O461">
        <f t="shared" si="22"/>
        <v>0</v>
      </c>
      <c r="P461">
        <f t="shared" si="22"/>
        <v>0</v>
      </c>
      <c r="Q461">
        <f t="shared" si="22"/>
        <v>0</v>
      </c>
      <c r="R461">
        <f t="shared" si="23"/>
        <v>0</v>
      </c>
      <c r="S461">
        <f t="shared" si="24"/>
        <v>0</v>
      </c>
    </row>
    <row r="462" spans="1:19" hidden="1" x14ac:dyDescent="0.3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22"/>
        <v>0</v>
      </c>
      <c r="O462">
        <f t="shared" si="22"/>
        <v>0</v>
      </c>
      <c r="P462">
        <f t="shared" si="22"/>
        <v>0</v>
      </c>
      <c r="Q462">
        <f t="shared" si="22"/>
        <v>0</v>
      </c>
      <c r="R462">
        <f t="shared" si="23"/>
        <v>0</v>
      </c>
      <c r="S462">
        <f t="shared" si="24"/>
        <v>0</v>
      </c>
    </row>
    <row r="463" spans="1:19" hidden="1" x14ac:dyDescent="0.3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22"/>
        <v>0</v>
      </c>
      <c r="O463">
        <f t="shared" si="22"/>
        <v>0</v>
      </c>
      <c r="P463">
        <f t="shared" si="22"/>
        <v>0</v>
      </c>
      <c r="Q463">
        <f t="shared" si="22"/>
        <v>0</v>
      </c>
      <c r="R463">
        <f t="shared" si="23"/>
        <v>0</v>
      </c>
      <c r="S463">
        <f t="shared" si="24"/>
        <v>0</v>
      </c>
    </row>
    <row r="464" spans="1:19" hidden="1" x14ac:dyDescent="0.3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22"/>
        <v>0</v>
      </c>
      <c r="O464">
        <f t="shared" si="22"/>
        <v>0</v>
      </c>
      <c r="P464">
        <f t="shared" si="22"/>
        <v>0</v>
      </c>
      <c r="Q464">
        <f t="shared" si="22"/>
        <v>0</v>
      </c>
      <c r="R464">
        <f t="shared" si="23"/>
        <v>0</v>
      </c>
      <c r="S464">
        <f t="shared" si="24"/>
        <v>0</v>
      </c>
    </row>
    <row r="465" spans="1:19" hidden="1" x14ac:dyDescent="0.3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22"/>
        <v>0</v>
      </c>
      <c r="O465">
        <f t="shared" si="22"/>
        <v>0</v>
      </c>
      <c r="P465">
        <f t="shared" si="22"/>
        <v>0</v>
      </c>
      <c r="Q465">
        <f t="shared" si="22"/>
        <v>0</v>
      </c>
      <c r="R465">
        <f t="shared" si="23"/>
        <v>0</v>
      </c>
      <c r="S465">
        <f t="shared" si="24"/>
        <v>0</v>
      </c>
    </row>
    <row r="466" spans="1:19" hidden="1" x14ac:dyDescent="0.3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22"/>
        <v>0</v>
      </c>
      <c r="O466">
        <f t="shared" si="22"/>
        <v>0</v>
      </c>
      <c r="P466">
        <f t="shared" si="22"/>
        <v>1</v>
      </c>
      <c r="Q466">
        <f t="shared" si="22"/>
        <v>0</v>
      </c>
      <c r="R466">
        <f t="shared" si="23"/>
        <v>0</v>
      </c>
      <c r="S466">
        <f t="shared" si="24"/>
        <v>0</v>
      </c>
    </row>
    <row r="467" spans="1:19" hidden="1" x14ac:dyDescent="0.3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22"/>
        <v>0</v>
      </c>
      <c r="O467">
        <f t="shared" si="22"/>
        <v>0</v>
      </c>
      <c r="P467">
        <f t="shared" si="22"/>
        <v>0</v>
      </c>
      <c r="Q467">
        <f t="shared" si="22"/>
        <v>0</v>
      </c>
      <c r="R467">
        <f t="shared" si="23"/>
        <v>0</v>
      </c>
      <c r="S467">
        <f t="shared" si="24"/>
        <v>0</v>
      </c>
    </row>
    <row r="468" spans="1:19" hidden="1" x14ac:dyDescent="0.3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22"/>
        <v>0</v>
      </c>
      <c r="O468">
        <f t="shared" si="22"/>
        <v>0</v>
      </c>
      <c r="P468">
        <f t="shared" si="22"/>
        <v>0</v>
      </c>
      <c r="Q468">
        <f t="shared" si="22"/>
        <v>0</v>
      </c>
      <c r="R468">
        <f t="shared" si="23"/>
        <v>0</v>
      </c>
      <c r="S468">
        <f t="shared" si="24"/>
        <v>0</v>
      </c>
    </row>
    <row r="469" spans="1:19" hidden="1" x14ac:dyDescent="0.3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22"/>
        <v>0</v>
      </c>
      <c r="O469">
        <f t="shared" si="22"/>
        <v>0</v>
      </c>
      <c r="P469">
        <f t="shared" si="22"/>
        <v>0</v>
      </c>
      <c r="Q469">
        <f t="shared" si="22"/>
        <v>0</v>
      </c>
      <c r="R469">
        <f t="shared" si="23"/>
        <v>0</v>
      </c>
      <c r="S469">
        <f t="shared" si="24"/>
        <v>0</v>
      </c>
    </row>
    <row r="470" spans="1:19" hidden="1" x14ac:dyDescent="0.3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22"/>
        <v>0</v>
      </c>
      <c r="O470">
        <f t="shared" si="22"/>
        <v>0</v>
      </c>
      <c r="P470">
        <f t="shared" si="22"/>
        <v>0</v>
      </c>
      <c r="Q470">
        <f t="shared" si="22"/>
        <v>0</v>
      </c>
      <c r="R470">
        <f t="shared" si="23"/>
        <v>0</v>
      </c>
      <c r="S470">
        <f t="shared" si="24"/>
        <v>0</v>
      </c>
    </row>
    <row r="471" spans="1:19" hidden="1" x14ac:dyDescent="0.3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22"/>
        <v>0</v>
      </c>
      <c r="O471">
        <f t="shared" si="22"/>
        <v>0</v>
      </c>
      <c r="P471">
        <f t="shared" si="22"/>
        <v>0</v>
      </c>
      <c r="Q471">
        <f t="shared" si="22"/>
        <v>0</v>
      </c>
      <c r="R471">
        <f t="shared" si="23"/>
        <v>0</v>
      </c>
      <c r="S471">
        <f t="shared" si="24"/>
        <v>0</v>
      </c>
    </row>
    <row r="472" spans="1:19" hidden="1" x14ac:dyDescent="0.3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22"/>
        <v>0</v>
      </c>
      <c r="O472">
        <f t="shared" si="22"/>
        <v>0</v>
      </c>
      <c r="P472">
        <f t="shared" si="22"/>
        <v>0</v>
      </c>
      <c r="Q472">
        <f t="shared" si="22"/>
        <v>0</v>
      </c>
      <c r="R472">
        <f t="shared" si="23"/>
        <v>0</v>
      </c>
      <c r="S472">
        <f t="shared" si="24"/>
        <v>0</v>
      </c>
    </row>
    <row r="473" spans="1:19" hidden="1" x14ac:dyDescent="0.3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22"/>
        <v>0</v>
      </c>
      <c r="O473">
        <f t="shared" si="22"/>
        <v>0</v>
      </c>
      <c r="P473">
        <f t="shared" si="22"/>
        <v>0</v>
      </c>
      <c r="Q473">
        <f t="shared" si="22"/>
        <v>0</v>
      </c>
      <c r="R473">
        <f t="shared" si="23"/>
        <v>0</v>
      </c>
      <c r="S473">
        <f t="shared" si="24"/>
        <v>0</v>
      </c>
    </row>
    <row r="474" spans="1:19" hidden="1" x14ac:dyDescent="0.3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22"/>
        <v>0</v>
      </c>
      <c r="O474">
        <f t="shared" si="22"/>
        <v>0</v>
      </c>
      <c r="P474">
        <f t="shared" si="22"/>
        <v>0</v>
      </c>
      <c r="Q474">
        <f t="shared" si="22"/>
        <v>0</v>
      </c>
      <c r="R474">
        <f t="shared" si="23"/>
        <v>0</v>
      </c>
      <c r="S474">
        <f t="shared" si="24"/>
        <v>0</v>
      </c>
    </row>
    <row r="475" spans="1:19" hidden="1" x14ac:dyDescent="0.3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22"/>
        <v>0</v>
      </c>
      <c r="O475">
        <f t="shared" si="22"/>
        <v>0</v>
      </c>
      <c r="P475">
        <f t="shared" si="22"/>
        <v>0</v>
      </c>
      <c r="Q475">
        <f t="shared" si="22"/>
        <v>0</v>
      </c>
      <c r="R475">
        <f t="shared" si="23"/>
        <v>0</v>
      </c>
      <c r="S475">
        <f t="shared" si="24"/>
        <v>0</v>
      </c>
    </row>
    <row r="476" spans="1:19" hidden="1" x14ac:dyDescent="0.3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22"/>
        <v>0</v>
      </c>
      <c r="O476">
        <f t="shared" si="22"/>
        <v>0</v>
      </c>
      <c r="P476">
        <f t="shared" si="22"/>
        <v>0</v>
      </c>
      <c r="Q476">
        <f t="shared" si="22"/>
        <v>0</v>
      </c>
      <c r="R476">
        <f t="shared" si="23"/>
        <v>0</v>
      </c>
      <c r="S476">
        <f t="shared" si="24"/>
        <v>0</v>
      </c>
    </row>
    <row r="477" spans="1:19" hidden="1" x14ac:dyDescent="0.3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22"/>
        <v>0</v>
      </c>
      <c r="O477">
        <f t="shared" si="22"/>
        <v>0</v>
      </c>
      <c r="P477">
        <f t="shared" si="22"/>
        <v>0</v>
      </c>
      <c r="Q477">
        <f t="shared" si="22"/>
        <v>0</v>
      </c>
      <c r="R477">
        <f t="shared" si="23"/>
        <v>0</v>
      </c>
      <c r="S477">
        <f t="shared" si="24"/>
        <v>0</v>
      </c>
    </row>
    <row r="478" spans="1:19" hidden="1" x14ac:dyDescent="0.3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22"/>
        <v>0</v>
      </c>
      <c r="O478">
        <f t="shared" si="22"/>
        <v>0</v>
      </c>
      <c r="P478">
        <f t="shared" si="22"/>
        <v>0</v>
      </c>
      <c r="Q478">
        <f t="shared" si="22"/>
        <v>0</v>
      </c>
      <c r="R478">
        <f t="shared" si="23"/>
        <v>0</v>
      </c>
      <c r="S478">
        <f t="shared" si="24"/>
        <v>0</v>
      </c>
    </row>
    <row r="479" spans="1:19" hidden="1" x14ac:dyDescent="0.3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22"/>
        <v>0</v>
      </c>
      <c r="O479">
        <f t="shared" si="22"/>
        <v>0</v>
      </c>
      <c r="P479">
        <f t="shared" si="22"/>
        <v>0</v>
      </c>
      <c r="Q479">
        <f t="shared" si="22"/>
        <v>0</v>
      </c>
      <c r="R479">
        <f t="shared" si="23"/>
        <v>0</v>
      </c>
      <c r="S479">
        <f t="shared" si="24"/>
        <v>0</v>
      </c>
    </row>
    <row r="480" spans="1:19" hidden="1" x14ac:dyDescent="0.3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22"/>
        <v>0</v>
      </c>
      <c r="O480">
        <f t="shared" si="22"/>
        <v>0</v>
      </c>
      <c r="P480">
        <f t="shared" si="22"/>
        <v>0</v>
      </c>
      <c r="Q480">
        <f t="shared" si="22"/>
        <v>0</v>
      </c>
      <c r="R480">
        <f t="shared" si="23"/>
        <v>0</v>
      </c>
      <c r="S480">
        <f t="shared" si="24"/>
        <v>0</v>
      </c>
    </row>
    <row r="481" spans="1:19" hidden="1" x14ac:dyDescent="0.3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22"/>
        <v>0</v>
      </c>
      <c r="O481">
        <f t="shared" si="22"/>
        <v>0</v>
      </c>
      <c r="P481">
        <f t="shared" si="22"/>
        <v>0</v>
      </c>
      <c r="Q481">
        <f t="shared" si="22"/>
        <v>0</v>
      </c>
      <c r="R481">
        <f t="shared" si="23"/>
        <v>0</v>
      </c>
      <c r="S481">
        <f t="shared" si="24"/>
        <v>0</v>
      </c>
    </row>
    <row r="482" spans="1:19" hidden="1" x14ac:dyDescent="0.3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22"/>
        <v>0</v>
      </c>
      <c r="O482">
        <f t="shared" si="22"/>
        <v>0</v>
      </c>
      <c r="P482">
        <f t="shared" si="22"/>
        <v>0</v>
      </c>
      <c r="Q482">
        <f t="shared" si="22"/>
        <v>0</v>
      </c>
      <c r="R482">
        <f t="shared" si="23"/>
        <v>0</v>
      </c>
      <c r="S482">
        <f t="shared" si="24"/>
        <v>0</v>
      </c>
    </row>
    <row r="483" spans="1:19" hidden="1" x14ac:dyDescent="0.3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22"/>
        <v>0</v>
      </c>
      <c r="O483">
        <f t="shared" si="22"/>
        <v>0</v>
      </c>
      <c r="P483">
        <f t="shared" si="22"/>
        <v>0</v>
      </c>
      <c r="Q483">
        <f t="shared" si="22"/>
        <v>0</v>
      </c>
      <c r="R483">
        <f t="shared" si="23"/>
        <v>0</v>
      </c>
      <c r="S483">
        <f t="shared" si="24"/>
        <v>0</v>
      </c>
    </row>
    <row r="484" spans="1:19" hidden="1" x14ac:dyDescent="0.3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22"/>
        <v>0</v>
      </c>
      <c r="O484">
        <f t="shared" si="22"/>
        <v>0</v>
      </c>
      <c r="P484">
        <f t="shared" si="22"/>
        <v>0</v>
      </c>
      <c r="Q484">
        <f t="shared" si="22"/>
        <v>0</v>
      </c>
      <c r="R484">
        <f t="shared" si="23"/>
        <v>0</v>
      </c>
      <c r="S484">
        <f t="shared" si="24"/>
        <v>0</v>
      </c>
    </row>
    <row r="485" spans="1:19" hidden="1" x14ac:dyDescent="0.3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22"/>
        <v>0</v>
      </c>
      <c r="O485">
        <f t="shared" si="22"/>
        <v>0</v>
      </c>
      <c r="P485">
        <f t="shared" si="22"/>
        <v>0</v>
      </c>
      <c r="Q485">
        <f t="shared" si="22"/>
        <v>0</v>
      </c>
      <c r="R485">
        <f t="shared" si="23"/>
        <v>0</v>
      </c>
      <c r="S485">
        <f t="shared" si="24"/>
        <v>0</v>
      </c>
    </row>
    <row r="486" spans="1:19" hidden="1" x14ac:dyDescent="0.3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22"/>
        <v>0</v>
      </c>
      <c r="O486">
        <f t="shared" si="22"/>
        <v>0</v>
      </c>
      <c r="P486">
        <f t="shared" si="22"/>
        <v>0</v>
      </c>
      <c r="Q486">
        <f t="shared" si="22"/>
        <v>0</v>
      </c>
      <c r="R486">
        <f t="shared" si="23"/>
        <v>0</v>
      </c>
      <c r="S486">
        <f t="shared" si="24"/>
        <v>0</v>
      </c>
    </row>
    <row r="487" spans="1:19" hidden="1" x14ac:dyDescent="0.3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22"/>
        <v>0</v>
      </c>
      <c r="O487">
        <f t="shared" si="22"/>
        <v>0</v>
      </c>
      <c r="P487">
        <f t="shared" si="22"/>
        <v>0</v>
      </c>
      <c r="Q487">
        <f t="shared" si="22"/>
        <v>0</v>
      </c>
      <c r="R487">
        <f t="shared" si="23"/>
        <v>0</v>
      </c>
      <c r="S487">
        <f t="shared" si="24"/>
        <v>0</v>
      </c>
    </row>
    <row r="488" spans="1:19" hidden="1" x14ac:dyDescent="0.3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22"/>
        <v>0</v>
      </c>
      <c r="O488">
        <f t="shared" si="22"/>
        <v>0</v>
      </c>
      <c r="P488">
        <f t="shared" si="22"/>
        <v>0</v>
      </c>
      <c r="Q488">
        <f t="shared" si="22"/>
        <v>0</v>
      </c>
      <c r="R488">
        <f t="shared" si="23"/>
        <v>0</v>
      </c>
      <c r="S488">
        <f t="shared" si="24"/>
        <v>0</v>
      </c>
    </row>
    <row r="489" spans="1:19" hidden="1" x14ac:dyDescent="0.3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22"/>
        <v>0</v>
      </c>
      <c r="O489">
        <f t="shared" si="22"/>
        <v>0</v>
      </c>
      <c r="P489">
        <f t="shared" si="22"/>
        <v>0</v>
      </c>
      <c r="Q489">
        <f t="shared" si="22"/>
        <v>0</v>
      </c>
      <c r="R489">
        <f t="shared" si="23"/>
        <v>0</v>
      </c>
      <c r="S489">
        <f t="shared" si="24"/>
        <v>0</v>
      </c>
    </row>
    <row r="490" spans="1:19" hidden="1" x14ac:dyDescent="0.3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22"/>
        <v>0</v>
      </c>
      <c r="O490">
        <f t="shared" si="22"/>
        <v>0</v>
      </c>
      <c r="P490">
        <f t="shared" si="22"/>
        <v>0</v>
      </c>
      <c r="Q490">
        <f t="shared" si="22"/>
        <v>0</v>
      </c>
      <c r="R490">
        <f t="shared" si="23"/>
        <v>0</v>
      </c>
      <c r="S490">
        <f t="shared" si="24"/>
        <v>0</v>
      </c>
    </row>
    <row r="491" spans="1:19" hidden="1" x14ac:dyDescent="0.3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22"/>
        <v>0</v>
      </c>
      <c r="O491">
        <f t="shared" si="22"/>
        <v>0</v>
      </c>
      <c r="P491">
        <f t="shared" si="22"/>
        <v>0</v>
      </c>
      <c r="Q491">
        <f t="shared" si="22"/>
        <v>0</v>
      </c>
      <c r="R491">
        <f t="shared" si="23"/>
        <v>0</v>
      </c>
      <c r="S491">
        <f t="shared" si="24"/>
        <v>0</v>
      </c>
    </row>
    <row r="492" spans="1:19" hidden="1" x14ac:dyDescent="0.3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22"/>
        <v>0</v>
      </c>
      <c r="O492">
        <f t="shared" si="22"/>
        <v>0</v>
      </c>
      <c r="P492">
        <f t="shared" si="22"/>
        <v>0</v>
      </c>
      <c r="Q492">
        <f t="shared" si="22"/>
        <v>0</v>
      </c>
      <c r="R492">
        <f t="shared" si="23"/>
        <v>0</v>
      </c>
      <c r="S492">
        <f t="shared" si="24"/>
        <v>0</v>
      </c>
    </row>
    <row r="493" spans="1:19" hidden="1" x14ac:dyDescent="0.3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22"/>
        <v>0</v>
      </c>
      <c r="O493">
        <f t="shared" si="22"/>
        <v>0</v>
      </c>
      <c r="P493">
        <f t="shared" si="22"/>
        <v>0</v>
      </c>
      <c r="Q493">
        <f t="shared" si="22"/>
        <v>0</v>
      </c>
      <c r="R493">
        <f t="shared" si="23"/>
        <v>0</v>
      </c>
      <c r="S493">
        <f t="shared" si="24"/>
        <v>0</v>
      </c>
    </row>
    <row r="494" spans="1:19" hidden="1" x14ac:dyDescent="0.3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22"/>
        <v>0</v>
      </c>
      <c r="O494">
        <f t="shared" si="22"/>
        <v>0</v>
      </c>
      <c r="P494">
        <f t="shared" si="22"/>
        <v>0</v>
      </c>
      <c r="Q494">
        <f t="shared" si="22"/>
        <v>0</v>
      </c>
      <c r="R494">
        <f t="shared" si="23"/>
        <v>0</v>
      </c>
      <c r="S494">
        <f t="shared" si="24"/>
        <v>0</v>
      </c>
    </row>
    <row r="495" spans="1:19" hidden="1" x14ac:dyDescent="0.3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22"/>
        <v>0</v>
      </c>
      <c r="O495">
        <f t="shared" si="22"/>
        <v>0</v>
      </c>
      <c r="P495">
        <f t="shared" si="22"/>
        <v>0</v>
      </c>
      <c r="Q495">
        <f t="shared" si="22"/>
        <v>0</v>
      </c>
      <c r="R495">
        <f t="shared" si="23"/>
        <v>0</v>
      </c>
      <c r="S495">
        <f t="shared" si="24"/>
        <v>0</v>
      </c>
    </row>
    <row r="496" spans="1:19" hidden="1" x14ac:dyDescent="0.3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22"/>
        <v>0</v>
      </c>
      <c r="O496">
        <f t="shared" si="22"/>
        <v>0</v>
      </c>
      <c r="P496">
        <f t="shared" si="22"/>
        <v>0</v>
      </c>
      <c r="Q496">
        <f t="shared" si="22"/>
        <v>0</v>
      </c>
      <c r="R496">
        <f t="shared" si="23"/>
        <v>0</v>
      </c>
      <c r="S496">
        <f t="shared" si="24"/>
        <v>0</v>
      </c>
    </row>
    <row r="497" spans="1:19" hidden="1" x14ac:dyDescent="0.3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22"/>
        <v>0</v>
      </c>
      <c r="O497">
        <f t="shared" si="22"/>
        <v>0</v>
      </c>
      <c r="P497">
        <f t="shared" si="22"/>
        <v>0</v>
      </c>
      <c r="Q497">
        <f t="shared" si="22"/>
        <v>0</v>
      </c>
      <c r="R497">
        <f t="shared" si="23"/>
        <v>0</v>
      </c>
      <c r="S497">
        <f t="shared" si="24"/>
        <v>0</v>
      </c>
    </row>
    <row r="498" spans="1:19" hidden="1" x14ac:dyDescent="0.3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22"/>
        <v>0</v>
      </c>
      <c r="O498">
        <f t="shared" si="22"/>
        <v>0</v>
      </c>
      <c r="P498">
        <f t="shared" si="22"/>
        <v>0</v>
      </c>
      <c r="Q498">
        <f t="shared" si="22"/>
        <v>0</v>
      </c>
      <c r="R498">
        <f t="shared" si="23"/>
        <v>0</v>
      </c>
      <c r="S498">
        <f t="shared" si="24"/>
        <v>0</v>
      </c>
    </row>
    <row r="499" spans="1:19" hidden="1" x14ac:dyDescent="0.3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22"/>
        <v>0</v>
      </c>
      <c r="O499">
        <f t="shared" si="22"/>
        <v>0</v>
      </c>
      <c r="P499">
        <f t="shared" si="22"/>
        <v>0</v>
      </c>
      <c r="Q499">
        <f t="shared" si="22"/>
        <v>0</v>
      </c>
      <c r="R499">
        <f t="shared" si="23"/>
        <v>0</v>
      </c>
      <c r="S499">
        <f t="shared" si="24"/>
        <v>0</v>
      </c>
    </row>
    <row r="500" spans="1:19" hidden="1" x14ac:dyDescent="0.3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22"/>
        <v>0</v>
      </c>
      <c r="O500">
        <f t="shared" si="22"/>
        <v>0</v>
      </c>
      <c r="P500">
        <f t="shared" si="22"/>
        <v>0</v>
      </c>
      <c r="Q500">
        <f t="shared" si="22"/>
        <v>0</v>
      </c>
      <c r="R500">
        <f t="shared" si="23"/>
        <v>0</v>
      </c>
      <c r="S500">
        <f t="shared" si="24"/>
        <v>0</v>
      </c>
    </row>
    <row r="501" spans="1:19" hidden="1" x14ac:dyDescent="0.3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22"/>
        <v>0</v>
      </c>
      <c r="O501">
        <f t="shared" si="22"/>
        <v>0</v>
      </c>
      <c r="P501">
        <f t="shared" si="22"/>
        <v>0</v>
      </c>
      <c r="Q501">
        <f t="shared" si="22"/>
        <v>0</v>
      </c>
      <c r="R501">
        <f t="shared" si="23"/>
        <v>0</v>
      </c>
      <c r="S501">
        <f t="shared" si="24"/>
        <v>0</v>
      </c>
    </row>
    <row r="502" spans="1:19" hidden="1" x14ac:dyDescent="0.3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22"/>
        <v>0</v>
      </c>
      <c r="O502">
        <f t="shared" si="22"/>
        <v>0</v>
      </c>
      <c r="P502">
        <f t="shared" si="22"/>
        <v>0</v>
      </c>
      <c r="Q502">
        <f t="shared" si="22"/>
        <v>0</v>
      </c>
      <c r="R502">
        <f t="shared" si="23"/>
        <v>0</v>
      </c>
      <c r="S502">
        <f t="shared" si="24"/>
        <v>0</v>
      </c>
    </row>
    <row r="503" spans="1:19" hidden="1" x14ac:dyDescent="0.3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22"/>
        <v>0</v>
      </c>
      <c r="O503">
        <f t="shared" si="22"/>
        <v>0</v>
      </c>
      <c r="P503">
        <f t="shared" si="22"/>
        <v>0</v>
      </c>
      <c r="Q503">
        <f t="shared" si="22"/>
        <v>0</v>
      </c>
      <c r="R503">
        <f t="shared" si="23"/>
        <v>0</v>
      </c>
      <c r="S503">
        <f t="shared" si="24"/>
        <v>0</v>
      </c>
    </row>
    <row r="504" spans="1:19" hidden="1" x14ac:dyDescent="0.3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22"/>
        <v>0</v>
      </c>
      <c r="O504">
        <f t="shared" si="22"/>
        <v>0</v>
      </c>
      <c r="P504">
        <f t="shared" si="22"/>
        <v>0</v>
      </c>
      <c r="Q504">
        <f t="shared" si="22"/>
        <v>0</v>
      </c>
      <c r="R504">
        <f t="shared" si="23"/>
        <v>0</v>
      </c>
      <c r="S504">
        <f t="shared" si="24"/>
        <v>0</v>
      </c>
    </row>
    <row r="505" spans="1:19" hidden="1" x14ac:dyDescent="0.3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22"/>
        <v>0</v>
      </c>
      <c r="O505">
        <f t="shared" si="22"/>
        <v>0</v>
      </c>
      <c r="P505">
        <f t="shared" si="22"/>
        <v>0</v>
      </c>
      <c r="Q505">
        <f t="shared" si="22"/>
        <v>0</v>
      </c>
      <c r="R505">
        <f t="shared" si="23"/>
        <v>0</v>
      </c>
      <c r="S505">
        <f t="shared" si="24"/>
        <v>0</v>
      </c>
    </row>
    <row r="506" spans="1:19" hidden="1" x14ac:dyDescent="0.3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22"/>
        <v>1</v>
      </c>
      <c r="O506">
        <f t="shared" si="22"/>
        <v>0</v>
      </c>
      <c r="P506">
        <f t="shared" si="22"/>
        <v>0</v>
      </c>
      <c r="Q506">
        <f t="shared" si="22"/>
        <v>0</v>
      </c>
      <c r="R506">
        <f t="shared" si="23"/>
        <v>0</v>
      </c>
      <c r="S506">
        <f t="shared" si="24"/>
        <v>0</v>
      </c>
    </row>
    <row r="507" spans="1:19" hidden="1" x14ac:dyDescent="0.3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22"/>
        <v>0</v>
      </c>
      <c r="O507">
        <f t="shared" si="22"/>
        <v>0</v>
      </c>
      <c r="P507">
        <f t="shared" si="22"/>
        <v>0</v>
      </c>
      <c r="Q507">
        <f t="shared" si="22"/>
        <v>0</v>
      </c>
      <c r="R507">
        <f t="shared" si="23"/>
        <v>0</v>
      </c>
      <c r="S507">
        <f t="shared" si="24"/>
        <v>0</v>
      </c>
    </row>
    <row r="508" spans="1:19" hidden="1" x14ac:dyDescent="0.3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22"/>
        <v>0</v>
      </c>
      <c r="O508">
        <f t="shared" si="22"/>
        <v>0</v>
      </c>
      <c r="P508">
        <f t="shared" si="22"/>
        <v>0</v>
      </c>
      <c r="Q508">
        <f t="shared" si="22"/>
        <v>0</v>
      </c>
      <c r="R508">
        <f t="shared" si="23"/>
        <v>0</v>
      </c>
      <c r="S508">
        <f t="shared" si="24"/>
        <v>0</v>
      </c>
    </row>
    <row r="509" spans="1:19" hidden="1" x14ac:dyDescent="0.3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22"/>
        <v>0</v>
      </c>
      <c r="O509">
        <f t="shared" si="22"/>
        <v>0</v>
      </c>
      <c r="P509">
        <f t="shared" si="22"/>
        <v>0</v>
      </c>
      <c r="Q509">
        <f t="shared" si="22"/>
        <v>0</v>
      </c>
      <c r="R509">
        <f t="shared" si="23"/>
        <v>0</v>
      </c>
      <c r="S509">
        <f t="shared" si="24"/>
        <v>0</v>
      </c>
    </row>
    <row r="510" spans="1:19" hidden="1" x14ac:dyDescent="0.3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22"/>
        <v>0</v>
      </c>
      <c r="O510">
        <f t="shared" si="22"/>
        <v>0</v>
      </c>
      <c r="P510">
        <f t="shared" si="22"/>
        <v>0</v>
      </c>
      <c r="Q510">
        <f t="shared" si="22"/>
        <v>0</v>
      </c>
      <c r="R510">
        <f t="shared" si="23"/>
        <v>0</v>
      </c>
      <c r="S510">
        <f t="shared" si="24"/>
        <v>0</v>
      </c>
    </row>
    <row r="511" spans="1:19" hidden="1" x14ac:dyDescent="0.3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22"/>
        <v>0</v>
      </c>
      <c r="O511">
        <f t="shared" si="22"/>
        <v>0</v>
      </c>
      <c r="P511">
        <f t="shared" si="22"/>
        <v>0</v>
      </c>
      <c r="Q511">
        <f t="shared" si="22"/>
        <v>0</v>
      </c>
      <c r="R511">
        <f t="shared" si="23"/>
        <v>0</v>
      </c>
      <c r="S511">
        <f t="shared" si="24"/>
        <v>0</v>
      </c>
    </row>
    <row r="512" spans="1:19" hidden="1" x14ac:dyDescent="0.3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22"/>
        <v>0</v>
      </c>
      <c r="O512">
        <f t="shared" si="22"/>
        <v>0</v>
      </c>
      <c r="P512">
        <f t="shared" si="22"/>
        <v>0</v>
      </c>
      <c r="Q512">
        <f t="shared" si="22"/>
        <v>0</v>
      </c>
      <c r="R512">
        <f t="shared" si="23"/>
        <v>0</v>
      </c>
      <c r="S512">
        <f t="shared" si="24"/>
        <v>0</v>
      </c>
    </row>
    <row r="513" spans="1:19" hidden="1" x14ac:dyDescent="0.3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22"/>
        <v>0</v>
      </c>
      <c r="O513">
        <f t="shared" si="22"/>
        <v>0</v>
      </c>
      <c r="P513">
        <f t="shared" si="22"/>
        <v>0</v>
      </c>
      <c r="Q513">
        <f t="shared" si="22"/>
        <v>0</v>
      </c>
      <c r="R513">
        <f t="shared" si="23"/>
        <v>0</v>
      </c>
      <c r="S513">
        <f t="shared" si="24"/>
        <v>0</v>
      </c>
    </row>
    <row r="514" spans="1:19" hidden="1" x14ac:dyDescent="0.3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22"/>
        <v>0</v>
      </c>
      <c r="O514">
        <f t="shared" si="22"/>
        <v>0</v>
      </c>
      <c r="P514">
        <f t="shared" si="22"/>
        <v>0</v>
      </c>
      <c r="Q514">
        <f t="shared" ref="Q514:R515" si="25">IF(L514=100,1,0)</f>
        <v>0</v>
      </c>
      <c r="R514">
        <f t="shared" si="23"/>
        <v>0</v>
      </c>
      <c r="S514">
        <f t="shared" si="24"/>
        <v>0</v>
      </c>
    </row>
    <row r="515" spans="1:19" hidden="1" x14ac:dyDescent="0.3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ref="N515:P515" si="26">IF(I515=100,1,0)</f>
        <v>0</v>
      </c>
      <c r="O515">
        <f t="shared" si="26"/>
        <v>0</v>
      </c>
      <c r="P515">
        <f t="shared" si="26"/>
        <v>0</v>
      </c>
      <c r="Q515">
        <f t="shared" si="25"/>
        <v>0</v>
      </c>
      <c r="R515">
        <f t="shared" si="25"/>
        <v>0</v>
      </c>
      <c r="S515">
        <f t="shared" ref="S515" si="27">IF(SUM(N515:R515)&gt;=3,1,0)</f>
        <v>0</v>
      </c>
    </row>
  </sheetData>
  <autoFilter ref="A1:S515" xr:uid="{EC8D4C6F-5EA6-4C3E-B6C0-5E6D2C4B7327}">
    <filterColumn colId="18">
      <filters>
        <filter val="1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73F36-8351-4A9E-9480-58FDB9525BE7}">
  <dimension ref="A1:S515"/>
  <sheetViews>
    <sheetView topLeftCell="C1" workbookViewId="0">
      <selection activeCell="R13" sqref="R13"/>
    </sheetView>
  </sheetViews>
  <sheetFormatPr defaultRowHeight="14.5" x14ac:dyDescent="0.35"/>
  <cols>
    <col min="1" max="1" width="13.7265625" bestFit="1" customWidth="1"/>
    <col min="2" max="2" width="11.26953125" bestFit="1" customWidth="1"/>
    <col min="3" max="3" width="12.453125" bestFit="1" customWidth="1"/>
    <col min="4" max="4" width="13.08984375" bestFit="1" customWidth="1"/>
    <col min="5" max="5" width="4.81640625" bestFit="1" customWidth="1"/>
    <col min="6" max="6" width="6.54296875" bestFit="1" customWidth="1"/>
    <col min="7" max="7" width="6.1796875" bestFit="1" customWidth="1"/>
    <col min="8" max="8" width="7.36328125" bestFit="1" customWidth="1"/>
    <col min="9" max="9" width="6.7265625" bestFit="1" customWidth="1"/>
    <col min="10" max="10" width="6.90625" bestFit="1" customWidth="1"/>
    <col min="11" max="11" width="7.81640625" bestFit="1" customWidth="1"/>
    <col min="12" max="12" width="7.1796875" bestFit="1" customWidth="1"/>
    <col min="13" max="13" width="6.08984375" bestFit="1" customWidth="1"/>
    <col min="15" max="15" width="14.6328125" bestFit="1" customWidth="1"/>
    <col min="16" max="16" width="10.36328125" bestFit="1" customWidth="1"/>
    <col min="17" max="17" width="11.26953125" bestFit="1" customWidth="1"/>
  </cols>
  <sheetData>
    <row r="1" spans="1:19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spans="1:19" x14ac:dyDescent="0.3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P2" t="s">
        <v>691</v>
      </c>
      <c r="Q2" t="s">
        <v>690</v>
      </c>
      <c r="R2" t="s">
        <v>693</v>
      </c>
      <c r="S2" t="s">
        <v>692</v>
      </c>
    </row>
    <row r="3" spans="1:19" x14ac:dyDescent="0.3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O3" t="s">
        <v>694</v>
      </c>
      <c r="P3">
        <f>COUNTIF(E2:E515,2)</f>
        <v>95</v>
      </c>
      <c r="Q3">
        <f>COUNTIF(F2:F515,2)</f>
        <v>110</v>
      </c>
      <c r="R3">
        <f t="shared" ref="R3:S3" si="0">COUNTIF(G2:G515,2)</f>
        <v>101</v>
      </c>
      <c r="S3">
        <f t="shared" si="0"/>
        <v>112</v>
      </c>
    </row>
    <row r="4" spans="1:19" x14ac:dyDescent="0.3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O4" s="20" t="s">
        <v>695</v>
      </c>
      <c r="P4">
        <f>COUNTIF(E2:E515,3)</f>
        <v>96</v>
      </c>
      <c r="Q4">
        <f t="shared" ref="Q4:S4" si="1">COUNTIF(F2:F515,3)</f>
        <v>106</v>
      </c>
      <c r="R4">
        <f t="shared" si="1"/>
        <v>105</v>
      </c>
      <c r="S4">
        <f t="shared" si="1"/>
        <v>97</v>
      </c>
    </row>
    <row r="5" spans="1:19" x14ac:dyDescent="0.3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O5" t="s">
        <v>696</v>
      </c>
      <c r="P5">
        <f>COUNTIF(E2:E515,4)</f>
        <v>101</v>
      </c>
      <c r="Q5">
        <f t="shared" ref="Q5:S5" si="2">COUNTIF(F2:F515,4)</f>
        <v>100</v>
      </c>
      <c r="R5">
        <f t="shared" si="2"/>
        <v>94</v>
      </c>
      <c r="S5">
        <f t="shared" si="2"/>
        <v>96</v>
      </c>
    </row>
    <row r="6" spans="1:19" x14ac:dyDescent="0.3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O6" s="20" t="s">
        <v>697</v>
      </c>
      <c r="P6">
        <f>COUNTIF(E2:E515,5)</f>
        <v>108</v>
      </c>
      <c r="Q6">
        <f t="shared" ref="Q6:S6" si="3">COUNTIF(F2:F515,5)</f>
        <v>97</v>
      </c>
      <c r="R6">
        <f t="shared" si="3"/>
        <v>110</v>
      </c>
      <c r="S6">
        <f t="shared" si="3"/>
        <v>97</v>
      </c>
    </row>
    <row r="7" spans="1:19" x14ac:dyDescent="0.3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O7" t="s">
        <v>698</v>
      </c>
      <c r="P7">
        <f>COUNTIF(E2:E515,6)</f>
        <v>114</v>
      </c>
      <c r="Q7">
        <f t="shared" ref="Q7:S7" si="4">COUNTIF(F2:F515,6)</f>
        <v>101</v>
      </c>
      <c r="R7">
        <f t="shared" si="4"/>
        <v>104</v>
      </c>
      <c r="S7">
        <f t="shared" si="4"/>
        <v>112</v>
      </c>
    </row>
    <row r="8" spans="1:19" x14ac:dyDescent="0.3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P8">
        <f>SUM(P3:P7)</f>
        <v>514</v>
      </c>
      <c r="Q8">
        <f t="shared" ref="Q8:S8" si="5">SUM(Q3:Q7)</f>
        <v>514</v>
      </c>
      <c r="R8">
        <f t="shared" si="5"/>
        <v>514</v>
      </c>
      <c r="S8">
        <f t="shared" si="5"/>
        <v>514</v>
      </c>
    </row>
    <row r="9" spans="1:19" x14ac:dyDescent="0.3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</row>
    <row r="10" spans="1:19" x14ac:dyDescent="0.3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</row>
    <row r="11" spans="1:19" x14ac:dyDescent="0.3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</row>
    <row r="12" spans="1:19" x14ac:dyDescent="0.3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</row>
    <row r="13" spans="1:19" x14ac:dyDescent="0.3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</row>
    <row r="14" spans="1:19" x14ac:dyDescent="0.3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</row>
    <row r="15" spans="1:19" x14ac:dyDescent="0.3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</row>
    <row r="16" spans="1:19" x14ac:dyDescent="0.3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</row>
    <row r="17" spans="1:13" x14ac:dyDescent="0.3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</row>
    <row r="18" spans="1:13" x14ac:dyDescent="0.3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</row>
    <row r="19" spans="1:13" x14ac:dyDescent="0.3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</row>
    <row r="20" spans="1:13" x14ac:dyDescent="0.3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</row>
    <row r="21" spans="1:13" x14ac:dyDescent="0.3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</row>
    <row r="22" spans="1:13" x14ac:dyDescent="0.3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</row>
    <row r="23" spans="1:13" x14ac:dyDescent="0.3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</row>
    <row r="24" spans="1:13" x14ac:dyDescent="0.3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</row>
    <row r="25" spans="1:13" x14ac:dyDescent="0.3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</row>
    <row r="26" spans="1:13" x14ac:dyDescent="0.3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</row>
    <row r="27" spans="1:13" x14ac:dyDescent="0.3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</row>
    <row r="28" spans="1:13" x14ac:dyDescent="0.3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</row>
    <row r="29" spans="1:13" x14ac:dyDescent="0.3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</row>
    <row r="30" spans="1:13" x14ac:dyDescent="0.3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</row>
    <row r="31" spans="1:13" x14ac:dyDescent="0.3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</row>
    <row r="32" spans="1:13" x14ac:dyDescent="0.3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</row>
    <row r="33" spans="1:13" x14ac:dyDescent="0.3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</row>
    <row r="34" spans="1:13" x14ac:dyDescent="0.3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</row>
    <row r="35" spans="1:13" x14ac:dyDescent="0.3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</row>
    <row r="36" spans="1:13" x14ac:dyDescent="0.3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</row>
    <row r="37" spans="1:13" x14ac:dyDescent="0.3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</row>
    <row r="38" spans="1:13" x14ac:dyDescent="0.3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</row>
    <row r="39" spans="1:13" x14ac:dyDescent="0.3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</row>
    <row r="40" spans="1:13" x14ac:dyDescent="0.3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</row>
    <row r="41" spans="1:13" x14ac:dyDescent="0.3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</row>
    <row r="42" spans="1:13" x14ac:dyDescent="0.3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</row>
    <row r="43" spans="1:13" x14ac:dyDescent="0.3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</row>
    <row r="44" spans="1:13" x14ac:dyDescent="0.3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</row>
    <row r="45" spans="1:13" x14ac:dyDescent="0.3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</row>
    <row r="46" spans="1:13" x14ac:dyDescent="0.3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</row>
    <row r="47" spans="1:13" x14ac:dyDescent="0.3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</row>
    <row r="48" spans="1:13" x14ac:dyDescent="0.3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</row>
    <row r="49" spans="1:13" x14ac:dyDescent="0.3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</row>
    <row r="50" spans="1:13" x14ac:dyDescent="0.3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</row>
    <row r="51" spans="1:13" x14ac:dyDescent="0.3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</row>
    <row r="52" spans="1:13" x14ac:dyDescent="0.3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</row>
    <row r="53" spans="1:13" x14ac:dyDescent="0.3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</row>
    <row r="54" spans="1:13" x14ac:dyDescent="0.3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</row>
    <row r="55" spans="1:13" x14ac:dyDescent="0.3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</row>
    <row r="56" spans="1:13" x14ac:dyDescent="0.3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</row>
    <row r="57" spans="1:13" x14ac:dyDescent="0.3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</row>
    <row r="58" spans="1:13" x14ac:dyDescent="0.3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</row>
    <row r="59" spans="1:13" x14ac:dyDescent="0.3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</row>
    <row r="60" spans="1:13" x14ac:dyDescent="0.3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</row>
    <row r="61" spans="1:13" x14ac:dyDescent="0.3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</row>
    <row r="62" spans="1:13" x14ac:dyDescent="0.3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</row>
    <row r="63" spans="1:13" x14ac:dyDescent="0.3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</row>
    <row r="64" spans="1:13" x14ac:dyDescent="0.3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</row>
    <row r="65" spans="1:13" x14ac:dyDescent="0.3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</row>
    <row r="66" spans="1:13" x14ac:dyDescent="0.3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</row>
    <row r="67" spans="1:13" x14ac:dyDescent="0.3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</row>
    <row r="68" spans="1:13" x14ac:dyDescent="0.3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</row>
    <row r="69" spans="1:13" x14ac:dyDescent="0.3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</row>
    <row r="70" spans="1:13" x14ac:dyDescent="0.3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</row>
    <row r="71" spans="1:13" x14ac:dyDescent="0.3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</row>
    <row r="72" spans="1:13" x14ac:dyDescent="0.3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</row>
    <row r="73" spans="1:13" x14ac:dyDescent="0.3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</row>
    <row r="74" spans="1:13" x14ac:dyDescent="0.3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</row>
    <row r="75" spans="1:13" x14ac:dyDescent="0.3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</row>
    <row r="76" spans="1:13" x14ac:dyDescent="0.3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</row>
    <row r="77" spans="1:13" x14ac:dyDescent="0.3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</row>
    <row r="78" spans="1:13" x14ac:dyDescent="0.3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</row>
    <row r="79" spans="1:13" x14ac:dyDescent="0.3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</row>
    <row r="80" spans="1:13" x14ac:dyDescent="0.3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</row>
    <row r="81" spans="1:13" x14ac:dyDescent="0.3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</row>
    <row r="82" spans="1:13" x14ac:dyDescent="0.3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</row>
    <row r="83" spans="1:13" x14ac:dyDescent="0.3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</row>
    <row r="84" spans="1:13" x14ac:dyDescent="0.3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</row>
    <row r="85" spans="1:13" x14ac:dyDescent="0.3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</row>
    <row r="86" spans="1:13" x14ac:dyDescent="0.3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</row>
    <row r="87" spans="1:13" x14ac:dyDescent="0.3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</row>
    <row r="88" spans="1:13" x14ac:dyDescent="0.3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</row>
    <row r="89" spans="1:13" x14ac:dyDescent="0.3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</row>
    <row r="90" spans="1:13" x14ac:dyDescent="0.3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</row>
    <row r="91" spans="1:13" x14ac:dyDescent="0.3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</row>
    <row r="92" spans="1:13" x14ac:dyDescent="0.3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</row>
    <row r="93" spans="1:13" x14ac:dyDescent="0.3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</row>
    <row r="94" spans="1:13" x14ac:dyDescent="0.3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</row>
    <row r="95" spans="1:13" x14ac:dyDescent="0.3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</row>
    <row r="96" spans="1:13" x14ac:dyDescent="0.3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</row>
    <row r="97" spans="1:13" x14ac:dyDescent="0.3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</row>
    <row r="98" spans="1:13" x14ac:dyDescent="0.3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</row>
    <row r="99" spans="1:13" x14ac:dyDescent="0.3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</row>
    <row r="100" spans="1:13" x14ac:dyDescent="0.3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</row>
    <row r="101" spans="1:13" x14ac:dyDescent="0.3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</row>
    <row r="102" spans="1:13" x14ac:dyDescent="0.3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</row>
    <row r="103" spans="1:13" x14ac:dyDescent="0.3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</row>
    <row r="104" spans="1:13" x14ac:dyDescent="0.3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</row>
    <row r="105" spans="1:13" x14ac:dyDescent="0.3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</row>
    <row r="106" spans="1:13" x14ac:dyDescent="0.3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</row>
    <row r="107" spans="1:13" x14ac:dyDescent="0.3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</row>
    <row r="108" spans="1:13" x14ac:dyDescent="0.3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</row>
    <row r="109" spans="1:13" x14ac:dyDescent="0.3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</row>
    <row r="110" spans="1:13" x14ac:dyDescent="0.3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</row>
    <row r="111" spans="1:13" x14ac:dyDescent="0.3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</row>
    <row r="112" spans="1:13" x14ac:dyDescent="0.3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</row>
    <row r="113" spans="1:13" x14ac:dyDescent="0.3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</row>
    <row r="114" spans="1:13" x14ac:dyDescent="0.3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</row>
    <row r="115" spans="1:13" x14ac:dyDescent="0.3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</row>
    <row r="116" spans="1:13" x14ac:dyDescent="0.3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</row>
    <row r="117" spans="1:13" x14ac:dyDescent="0.3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</row>
    <row r="118" spans="1:13" x14ac:dyDescent="0.3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</row>
    <row r="119" spans="1:13" x14ac:dyDescent="0.3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</row>
    <row r="120" spans="1:13" x14ac:dyDescent="0.3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</row>
    <row r="121" spans="1:13" x14ac:dyDescent="0.3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</row>
    <row r="122" spans="1:13" x14ac:dyDescent="0.3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</row>
    <row r="123" spans="1:13" x14ac:dyDescent="0.3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</row>
    <row r="124" spans="1:13" x14ac:dyDescent="0.3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</row>
    <row r="125" spans="1:13" x14ac:dyDescent="0.3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</row>
    <row r="126" spans="1:13" x14ac:dyDescent="0.3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</row>
    <row r="127" spans="1:13" x14ac:dyDescent="0.3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</row>
    <row r="128" spans="1:13" x14ac:dyDescent="0.3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</row>
    <row r="129" spans="1:13" x14ac:dyDescent="0.3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</row>
    <row r="130" spans="1:13" x14ac:dyDescent="0.3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</row>
    <row r="131" spans="1:13" x14ac:dyDescent="0.3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</row>
    <row r="132" spans="1:13" x14ac:dyDescent="0.3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</row>
    <row r="133" spans="1:13" x14ac:dyDescent="0.3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</row>
    <row r="134" spans="1:13" x14ac:dyDescent="0.3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</row>
    <row r="135" spans="1:13" x14ac:dyDescent="0.3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</row>
    <row r="136" spans="1:13" x14ac:dyDescent="0.3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</row>
    <row r="137" spans="1:13" x14ac:dyDescent="0.3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</row>
    <row r="138" spans="1:13" x14ac:dyDescent="0.3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</row>
    <row r="139" spans="1:13" x14ac:dyDescent="0.3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</row>
    <row r="140" spans="1:13" x14ac:dyDescent="0.3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</row>
    <row r="141" spans="1:13" x14ac:dyDescent="0.3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</row>
    <row r="142" spans="1:13" x14ac:dyDescent="0.3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</row>
    <row r="143" spans="1:13" x14ac:dyDescent="0.3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</row>
    <row r="144" spans="1:13" x14ac:dyDescent="0.3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</row>
    <row r="145" spans="1:13" x14ac:dyDescent="0.3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</row>
    <row r="146" spans="1:13" x14ac:dyDescent="0.3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</row>
    <row r="147" spans="1:13" x14ac:dyDescent="0.3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</row>
    <row r="148" spans="1:13" x14ac:dyDescent="0.3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</row>
    <row r="149" spans="1:13" x14ac:dyDescent="0.3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</row>
    <row r="150" spans="1:13" x14ac:dyDescent="0.3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</row>
    <row r="151" spans="1:13" x14ac:dyDescent="0.3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</row>
    <row r="152" spans="1:13" x14ac:dyDescent="0.3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</row>
    <row r="153" spans="1:13" x14ac:dyDescent="0.3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</row>
    <row r="154" spans="1:13" x14ac:dyDescent="0.3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</row>
    <row r="155" spans="1:13" x14ac:dyDescent="0.3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</row>
    <row r="156" spans="1:13" x14ac:dyDescent="0.3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</row>
    <row r="157" spans="1:13" x14ac:dyDescent="0.3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</row>
    <row r="158" spans="1:13" x14ac:dyDescent="0.3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</row>
    <row r="159" spans="1:13" x14ac:dyDescent="0.3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</row>
    <row r="160" spans="1:13" x14ac:dyDescent="0.3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</row>
    <row r="161" spans="1:13" x14ac:dyDescent="0.3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</row>
    <row r="162" spans="1:13" x14ac:dyDescent="0.3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</row>
    <row r="163" spans="1:13" x14ac:dyDescent="0.3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</row>
    <row r="164" spans="1:13" x14ac:dyDescent="0.3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</row>
    <row r="165" spans="1:13" x14ac:dyDescent="0.3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</row>
    <row r="166" spans="1:13" x14ac:dyDescent="0.3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</row>
    <row r="167" spans="1:13" x14ac:dyDescent="0.3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</row>
    <row r="168" spans="1:13" x14ac:dyDescent="0.3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</row>
    <row r="169" spans="1:13" x14ac:dyDescent="0.3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</row>
    <row r="170" spans="1:13" x14ac:dyDescent="0.3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</row>
    <row r="171" spans="1:13" x14ac:dyDescent="0.3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</row>
    <row r="172" spans="1:13" x14ac:dyDescent="0.3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</row>
    <row r="173" spans="1:13" x14ac:dyDescent="0.3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</row>
    <row r="174" spans="1:13" x14ac:dyDescent="0.3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</row>
    <row r="175" spans="1:13" x14ac:dyDescent="0.3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</row>
    <row r="176" spans="1:13" x14ac:dyDescent="0.3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</row>
    <row r="177" spans="1:13" x14ac:dyDescent="0.3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</row>
    <row r="178" spans="1:13" x14ac:dyDescent="0.3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</row>
    <row r="179" spans="1:13" x14ac:dyDescent="0.3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</row>
    <row r="180" spans="1:13" x14ac:dyDescent="0.3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</row>
    <row r="181" spans="1:13" x14ac:dyDescent="0.3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</row>
    <row r="182" spans="1:13" x14ac:dyDescent="0.3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</row>
    <row r="183" spans="1:13" x14ac:dyDescent="0.3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</row>
    <row r="184" spans="1:13" x14ac:dyDescent="0.3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</row>
    <row r="185" spans="1:13" x14ac:dyDescent="0.3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</row>
    <row r="186" spans="1:13" x14ac:dyDescent="0.3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</row>
    <row r="187" spans="1:13" x14ac:dyDescent="0.3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</row>
    <row r="188" spans="1:13" x14ac:dyDescent="0.3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</row>
    <row r="189" spans="1:13" x14ac:dyDescent="0.3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</row>
    <row r="190" spans="1:13" x14ac:dyDescent="0.3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</row>
    <row r="191" spans="1:13" x14ac:dyDescent="0.3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</row>
    <row r="192" spans="1:13" x14ac:dyDescent="0.3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</row>
    <row r="193" spans="1:13" x14ac:dyDescent="0.3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</row>
    <row r="194" spans="1:13" x14ac:dyDescent="0.3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</row>
    <row r="195" spans="1:13" x14ac:dyDescent="0.3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</row>
    <row r="196" spans="1:13" x14ac:dyDescent="0.3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</row>
    <row r="197" spans="1:13" x14ac:dyDescent="0.3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</row>
    <row r="198" spans="1:13" x14ac:dyDescent="0.3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</row>
    <row r="199" spans="1:13" x14ac:dyDescent="0.3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</row>
    <row r="200" spans="1:13" x14ac:dyDescent="0.3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</row>
    <row r="201" spans="1:13" x14ac:dyDescent="0.3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</row>
    <row r="202" spans="1:13" x14ac:dyDescent="0.3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</row>
    <row r="203" spans="1:13" x14ac:dyDescent="0.3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</row>
    <row r="204" spans="1:13" x14ac:dyDescent="0.3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</row>
    <row r="205" spans="1:13" x14ac:dyDescent="0.3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</row>
    <row r="206" spans="1:13" x14ac:dyDescent="0.3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</row>
    <row r="207" spans="1:13" x14ac:dyDescent="0.3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</row>
    <row r="208" spans="1:13" x14ac:dyDescent="0.3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</row>
    <row r="209" spans="1:13" x14ac:dyDescent="0.3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</row>
    <row r="210" spans="1:13" x14ac:dyDescent="0.3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</row>
    <row r="211" spans="1:13" x14ac:dyDescent="0.3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</row>
    <row r="212" spans="1:13" x14ac:dyDescent="0.3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</row>
    <row r="213" spans="1:13" x14ac:dyDescent="0.3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</row>
    <row r="214" spans="1:13" x14ac:dyDescent="0.3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</row>
    <row r="215" spans="1:13" x14ac:dyDescent="0.3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</row>
    <row r="216" spans="1:13" x14ac:dyDescent="0.3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</row>
    <row r="217" spans="1:13" x14ac:dyDescent="0.3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</row>
    <row r="218" spans="1:13" x14ac:dyDescent="0.3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</row>
    <row r="219" spans="1:13" x14ac:dyDescent="0.3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</row>
    <row r="220" spans="1:13" x14ac:dyDescent="0.3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</row>
    <row r="221" spans="1:13" x14ac:dyDescent="0.3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</row>
    <row r="222" spans="1:13" x14ac:dyDescent="0.3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</row>
    <row r="223" spans="1:13" x14ac:dyDescent="0.3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</row>
    <row r="224" spans="1:13" x14ac:dyDescent="0.3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</row>
    <row r="225" spans="1:13" x14ac:dyDescent="0.3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</row>
    <row r="226" spans="1:13" x14ac:dyDescent="0.3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</row>
    <row r="227" spans="1:13" x14ac:dyDescent="0.3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</row>
    <row r="228" spans="1:13" x14ac:dyDescent="0.3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</row>
    <row r="229" spans="1:13" x14ac:dyDescent="0.3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</row>
    <row r="230" spans="1:13" x14ac:dyDescent="0.3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</row>
    <row r="231" spans="1:13" x14ac:dyDescent="0.3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</row>
    <row r="232" spans="1:13" x14ac:dyDescent="0.3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</row>
    <row r="233" spans="1:13" x14ac:dyDescent="0.3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</row>
    <row r="234" spans="1:13" x14ac:dyDescent="0.3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</row>
    <row r="235" spans="1:13" x14ac:dyDescent="0.3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</row>
    <row r="236" spans="1:13" x14ac:dyDescent="0.3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</row>
    <row r="237" spans="1:13" x14ac:dyDescent="0.3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</row>
    <row r="238" spans="1:13" x14ac:dyDescent="0.3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</row>
    <row r="239" spans="1:13" x14ac:dyDescent="0.3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</row>
    <row r="240" spans="1:13" x14ac:dyDescent="0.3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</row>
    <row r="241" spans="1:13" x14ac:dyDescent="0.3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</row>
    <row r="242" spans="1:13" x14ac:dyDescent="0.3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</row>
    <row r="243" spans="1:13" x14ac:dyDescent="0.3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</row>
    <row r="244" spans="1:13" x14ac:dyDescent="0.3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</row>
    <row r="245" spans="1:13" x14ac:dyDescent="0.3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</row>
    <row r="246" spans="1:13" x14ac:dyDescent="0.3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</row>
    <row r="247" spans="1:13" x14ac:dyDescent="0.3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</row>
    <row r="248" spans="1:13" x14ac:dyDescent="0.3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</row>
    <row r="249" spans="1:13" x14ac:dyDescent="0.3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</row>
    <row r="250" spans="1:13" x14ac:dyDescent="0.3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</row>
    <row r="251" spans="1:13" x14ac:dyDescent="0.3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</row>
    <row r="252" spans="1:13" x14ac:dyDescent="0.3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</row>
    <row r="253" spans="1:13" x14ac:dyDescent="0.3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</row>
    <row r="254" spans="1:13" x14ac:dyDescent="0.3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</row>
    <row r="255" spans="1:13" x14ac:dyDescent="0.3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</row>
    <row r="256" spans="1:13" x14ac:dyDescent="0.3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</row>
    <row r="257" spans="1:13" x14ac:dyDescent="0.3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</row>
    <row r="258" spans="1:13" x14ac:dyDescent="0.3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</row>
    <row r="259" spans="1:13" x14ac:dyDescent="0.3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</row>
    <row r="260" spans="1:13" x14ac:dyDescent="0.3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</row>
    <row r="261" spans="1:13" x14ac:dyDescent="0.3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</row>
    <row r="262" spans="1:13" x14ac:dyDescent="0.3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</row>
    <row r="263" spans="1:13" x14ac:dyDescent="0.3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</row>
    <row r="264" spans="1:13" x14ac:dyDescent="0.3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</row>
    <row r="265" spans="1:13" x14ac:dyDescent="0.3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</row>
    <row r="266" spans="1:13" x14ac:dyDescent="0.3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</row>
    <row r="267" spans="1:13" x14ac:dyDescent="0.3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</row>
    <row r="268" spans="1:13" x14ac:dyDescent="0.3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</row>
    <row r="269" spans="1:13" x14ac:dyDescent="0.3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</row>
    <row r="270" spans="1:13" x14ac:dyDescent="0.3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</row>
    <row r="271" spans="1:13" x14ac:dyDescent="0.3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</row>
    <row r="272" spans="1:13" x14ac:dyDescent="0.3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</row>
    <row r="273" spans="1:13" x14ac:dyDescent="0.3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</row>
    <row r="274" spans="1:13" x14ac:dyDescent="0.3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</row>
    <row r="275" spans="1:13" x14ac:dyDescent="0.3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</row>
    <row r="276" spans="1:13" x14ac:dyDescent="0.3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</row>
    <row r="277" spans="1:13" x14ac:dyDescent="0.3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</row>
    <row r="278" spans="1:13" x14ac:dyDescent="0.3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</row>
    <row r="279" spans="1:13" x14ac:dyDescent="0.3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</row>
    <row r="280" spans="1:13" x14ac:dyDescent="0.3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</row>
    <row r="281" spans="1:13" x14ac:dyDescent="0.3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</row>
    <row r="282" spans="1:13" x14ac:dyDescent="0.3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</row>
    <row r="283" spans="1:13" x14ac:dyDescent="0.3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</row>
    <row r="284" spans="1:13" x14ac:dyDescent="0.3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</row>
    <row r="285" spans="1:13" x14ac:dyDescent="0.3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</row>
    <row r="286" spans="1:13" x14ac:dyDescent="0.3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</row>
    <row r="287" spans="1:13" x14ac:dyDescent="0.3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</row>
    <row r="288" spans="1:13" x14ac:dyDescent="0.3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</row>
    <row r="289" spans="1:13" x14ac:dyDescent="0.3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</row>
    <row r="290" spans="1:13" x14ac:dyDescent="0.3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</row>
    <row r="291" spans="1:13" x14ac:dyDescent="0.3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</row>
    <row r="292" spans="1:13" x14ac:dyDescent="0.3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</row>
    <row r="293" spans="1:13" x14ac:dyDescent="0.3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</row>
    <row r="294" spans="1:13" x14ac:dyDescent="0.3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</row>
    <row r="295" spans="1:13" x14ac:dyDescent="0.3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</row>
    <row r="296" spans="1:13" x14ac:dyDescent="0.3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</row>
    <row r="297" spans="1:13" x14ac:dyDescent="0.3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</row>
    <row r="298" spans="1:13" x14ac:dyDescent="0.3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</row>
    <row r="299" spans="1:13" x14ac:dyDescent="0.3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</row>
    <row r="300" spans="1:13" x14ac:dyDescent="0.3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</row>
    <row r="301" spans="1:13" x14ac:dyDescent="0.3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</row>
    <row r="302" spans="1:13" x14ac:dyDescent="0.3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</row>
    <row r="303" spans="1:13" x14ac:dyDescent="0.3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</row>
    <row r="304" spans="1:13" x14ac:dyDescent="0.3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</row>
    <row r="305" spans="1:13" x14ac:dyDescent="0.3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</row>
    <row r="306" spans="1:13" x14ac:dyDescent="0.3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</row>
    <row r="307" spans="1:13" x14ac:dyDescent="0.3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</row>
    <row r="308" spans="1:13" x14ac:dyDescent="0.3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</row>
    <row r="309" spans="1:13" x14ac:dyDescent="0.3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</row>
    <row r="310" spans="1:13" x14ac:dyDescent="0.3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</row>
    <row r="311" spans="1:13" x14ac:dyDescent="0.3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</row>
    <row r="312" spans="1:13" x14ac:dyDescent="0.3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</row>
    <row r="313" spans="1:13" x14ac:dyDescent="0.3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</row>
    <row r="314" spans="1:13" x14ac:dyDescent="0.3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</row>
    <row r="315" spans="1:13" x14ac:dyDescent="0.3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</row>
    <row r="316" spans="1:13" x14ac:dyDescent="0.3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</row>
    <row r="317" spans="1:13" x14ac:dyDescent="0.3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</row>
    <row r="318" spans="1:13" x14ac:dyDescent="0.3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</row>
    <row r="319" spans="1:13" x14ac:dyDescent="0.3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</row>
    <row r="320" spans="1:13" x14ac:dyDescent="0.3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</row>
    <row r="321" spans="1:13" x14ac:dyDescent="0.3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</row>
    <row r="322" spans="1:13" x14ac:dyDescent="0.3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</row>
    <row r="323" spans="1:13" x14ac:dyDescent="0.3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</row>
    <row r="324" spans="1:13" x14ac:dyDescent="0.3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</row>
    <row r="325" spans="1:13" x14ac:dyDescent="0.3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</row>
    <row r="326" spans="1:13" x14ac:dyDescent="0.3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</row>
    <row r="327" spans="1:13" x14ac:dyDescent="0.3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</row>
    <row r="328" spans="1:13" x14ac:dyDescent="0.3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</row>
    <row r="329" spans="1:13" x14ac:dyDescent="0.3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</row>
    <row r="330" spans="1:13" x14ac:dyDescent="0.3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</row>
    <row r="331" spans="1:13" x14ac:dyDescent="0.3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</row>
    <row r="332" spans="1:13" x14ac:dyDescent="0.3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</row>
    <row r="333" spans="1:13" x14ac:dyDescent="0.3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</row>
    <row r="334" spans="1:13" x14ac:dyDescent="0.3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</row>
    <row r="335" spans="1:13" x14ac:dyDescent="0.3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</row>
    <row r="336" spans="1:13" x14ac:dyDescent="0.3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</row>
    <row r="337" spans="1:13" x14ac:dyDescent="0.3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</row>
    <row r="338" spans="1:13" x14ac:dyDescent="0.3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</row>
    <row r="339" spans="1:13" x14ac:dyDescent="0.3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</row>
    <row r="340" spans="1:13" x14ac:dyDescent="0.3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</row>
    <row r="341" spans="1:13" x14ac:dyDescent="0.3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</row>
    <row r="342" spans="1:13" x14ac:dyDescent="0.3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</row>
    <row r="343" spans="1:13" x14ac:dyDescent="0.3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</row>
    <row r="344" spans="1:13" x14ac:dyDescent="0.3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</row>
    <row r="345" spans="1:13" x14ac:dyDescent="0.3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</row>
    <row r="346" spans="1:13" x14ac:dyDescent="0.3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</row>
    <row r="347" spans="1:13" x14ac:dyDescent="0.3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</row>
    <row r="348" spans="1:13" x14ac:dyDescent="0.3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</row>
    <row r="349" spans="1:13" x14ac:dyDescent="0.3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</row>
    <row r="350" spans="1:13" x14ac:dyDescent="0.3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</row>
    <row r="351" spans="1:13" x14ac:dyDescent="0.3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</row>
    <row r="352" spans="1:13" x14ac:dyDescent="0.3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</row>
    <row r="353" spans="1:13" x14ac:dyDescent="0.3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</row>
    <row r="354" spans="1:13" x14ac:dyDescent="0.3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</row>
    <row r="355" spans="1:13" x14ac:dyDescent="0.3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</row>
    <row r="356" spans="1:13" x14ac:dyDescent="0.3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</row>
    <row r="357" spans="1:13" x14ac:dyDescent="0.3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</row>
    <row r="358" spans="1:13" x14ac:dyDescent="0.3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</row>
    <row r="359" spans="1:13" x14ac:dyDescent="0.3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</row>
    <row r="360" spans="1:13" x14ac:dyDescent="0.3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</row>
    <row r="361" spans="1:13" x14ac:dyDescent="0.3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</row>
    <row r="362" spans="1:13" x14ac:dyDescent="0.3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</row>
    <row r="363" spans="1:13" x14ac:dyDescent="0.3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</row>
    <row r="364" spans="1:13" x14ac:dyDescent="0.3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</row>
    <row r="365" spans="1:13" x14ac:dyDescent="0.3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</row>
    <row r="366" spans="1:13" x14ac:dyDescent="0.3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</row>
    <row r="367" spans="1:13" x14ac:dyDescent="0.3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</row>
    <row r="368" spans="1:13" x14ac:dyDescent="0.3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</row>
    <row r="369" spans="1:13" x14ac:dyDescent="0.3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</row>
    <row r="370" spans="1:13" x14ac:dyDescent="0.3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</row>
    <row r="371" spans="1:13" x14ac:dyDescent="0.3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</row>
    <row r="372" spans="1:13" x14ac:dyDescent="0.3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</row>
    <row r="373" spans="1:13" x14ac:dyDescent="0.3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</row>
    <row r="374" spans="1:13" x14ac:dyDescent="0.3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</row>
    <row r="375" spans="1:13" x14ac:dyDescent="0.3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</row>
    <row r="376" spans="1:13" x14ac:dyDescent="0.3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</row>
    <row r="377" spans="1:13" x14ac:dyDescent="0.3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</row>
    <row r="378" spans="1:13" x14ac:dyDescent="0.3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</row>
    <row r="379" spans="1:13" x14ac:dyDescent="0.3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</row>
    <row r="380" spans="1:13" x14ac:dyDescent="0.3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</row>
    <row r="381" spans="1:13" x14ac:dyDescent="0.3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</row>
    <row r="382" spans="1:13" x14ac:dyDescent="0.3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</row>
    <row r="383" spans="1:13" x14ac:dyDescent="0.3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</row>
    <row r="384" spans="1:13" x14ac:dyDescent="0.3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</row>
    <row r="385" spans="1:13" x14ac:dyDescent="0.3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</row>
    <row r="386" spans="1:13" x14ac:dyDescent="0.3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</row>
    <row r="387" spans="1:13" x14ac:dyDescent="0.3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</row>
    <row r="388" spans="1:13" x14ac:dyDescent="0.3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</row>
    <row r="389" spans="1:13" x14ac:dyDescent="0.3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</row>
    <row r="390" spans="1:13" x14ac:dyDescent="0.3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</row>
    <row r="391" spans="1:13" x14ac:dyDescent="0.3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</row>
    <row r="392" spans="1:13" x14ac:dyDescent="0.3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</row>
    <row r="393" spans="1:13" x14ac:dyDescent="0.3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</row>
    <row r="394" spans="1:13" x14ac:dyDescent="0.3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</row>
    <row r="395" spans="1:13" x14ac:dyDescent="0.3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</row>
    <row r="396" spans="1:13" x14ac:dyDescent="0.3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</row>
    <row r="397" spans="1:13" x14ac:dyDescent="0.3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</row>
    <row r="398" spans="1:13" x14ac:dyDescent="0.3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</row>
    <row r="399" spans="1:13" x14ac:dyDescent="0.3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</row>
    <row r="400" spans="1:13" x14ac:dyDescent="0.3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</row>
    <row r="401" spans="1:13" x14ac:dyDescent="0.3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</row>
    <row r="402" spans="1:13" x14ac:dyDescent="0.3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</row>
    <row r="403" spans="1:13" x14ac:dyDescent="0.3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</row>
    <row r="404" spans="1:13" x14ac:dyDescent="0.3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</row>
    <row r="405" spans="1:13" x14ac:dyDescent="0.3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</row>
    <row r="406" spans="1:13" x14ac:dyDescent="0.3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</row>
    <row r="407" spans="1:13" x14ac:dyDescent="0.3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</row>
    <row r="408" spans="1:13" x14ac:dyDescent="0.3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</row>
    <row r="409" spans="1:13" x14ac:dyDescent="0.3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</row>
    <row r="410" spans="1:13" x14ac:dyDescent="0.3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</row>
    <row r="411" spans="1:13" x14ac:dyDescent="0.3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</row>
    <row r="412" spans="1:13" x14ac:dyDescent="0.3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</row>
    <row r="413" spans="1:13" x14ac:dyDescent="0.3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</row>
    <row r="414" spans="1:13" x14ac:dyDescent="0.3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</row>
    <row r="415" spans="1:13" x14ac:dyDescent="0.3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</row>
    <row r="416" spans="1:13" x14ac:dyDescent="0.3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</row>
    <row r="417" spans="1:13" x14ac:dyDescent="0.3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</row>
    <row r="418" spans="1:13" x14ac:dyDescent="0.3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</row>
    <row r="419" spans="1:13" x14ac:dyDescent="0.3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</row>
    <row r="420" spans="1:13" x14ac:dyDescent="0.3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</row>
    <row r="421" spans="1:13" x14ac:dyDescent="0.3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</row>
    <row r="422" spans="1:13" x14ac:dyDescent="0.3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</row>
    <row r="423" spans="1:13" x14ac:dyDescent="0.3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</row>
    <row r="424" spans="1:13" x14ac:dyDescent="0.3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</row>
    <row r="425" spans="1:13" x14ac:dyDescent="0.3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</row>
    <row r="426" spans="1:13" x14ac:dyDescent="0.3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</row>
    <row r="427" spans="1:13" x14ac:dyDescent="0.3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</row>
    <row r="428" spans="1:13" x14ac:dyDescent="0.3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</row>
    <row r="429" spans="1:13" x14ac:dyDescent="0.3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</row>
    <row r="430" spans="1:13" x14ac:dyDescent="0.3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</row>
    <row r="431" spans="1:13" x14ac:dyDescent="0.3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</row>
    <row r="432" spans="1:13" x14ac:dyDescent="0.3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</row>
    <row r="433" spans="1:13" x14ac:dyDescent="0.3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</row>
    <row r="434" spans="1:13" x14ac:dyDescent="0.3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</row>
    <row r="435" spans="1:13" x14ac:dyDescent="0.3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</row>
    <row r="436" spans="1:13" x14ac:dyDescent="0.3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</row>
    <row r="437" spans="1:13" x14ac:dyDescent="0.3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</row>
    <row r="438" spans="1:13" x14ac:dyDescent="0.3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</row>
    <row r="439" spans="1:13" x14ac:dyDescent="0.3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</row>
    <row r="440" spans="1:13" x14ac:dyDescent="0.3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</row>
    <row r="441" spans="1:13" x14ac:dyDescent="0.3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</row>
    <row r="442" spans="1:13" x14ac:dyDescent="0.3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</row>
    <row r="443" spans="1:13" x14ac:dyDescent="0.3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</row>
    <row r="444" spans="1:13" x14ac:dyDescent="0.3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</row>
    <row r="445" spans="1:13" x14ac:dyDescent="0.3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</row>
    <row r="446" spans="1:13" x14ac:dyDescent="0.3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</row>
    <row r="447" spans="1:13" x14ac:dyDescent="0.3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</row>
    <row r="448" spans="1:13" x14ac:dyDescent="0.3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</row>
    <row r="449" spans="1:13" x14ac:dyDescent="0.3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</row>
    <row r="450" spans="1:13" x14ac:dyDescent="0.3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</row>
    <row r="451" spans="1:13" x14ac:dyDescent="0.3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</row>
    <row r="452" spans="1:13" x14ac:dyDescent="0.3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</row>
    <row r="453" spans="1:13" x14ac:dyDescent="0.3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</row>
    <row r="454" spans="1:13" x14ac:dyDescent="0.3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</row>
    <row r="455" spans="1:13" x14ac:dyDescent="0.3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</row>
    <row r="456" spans="1:13" x14ac:dyDescent="0.3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</row>
    <row r="457" spans="1:13" x14ac:dyDescent="0.3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</row>
    <row r="458" spans="1:13" x14ac:dyDescent="0.3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</row>
    <row r="459" spans="1:13" x14ac:dyDescent="0.3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</row>
    <row r="460" spans="1:13" x14ac:dyDescent="0.3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</row>
    <row r="461" spans="1:13" x14ac:dyDescent="0.3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</row>
    <row r="462" spans="1:13" x14ac:dyDescent="0.3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</row>
    <row r="463" spans="1:13" x14ac:dyDescent="0.3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</row>
    <row r="464" spans="1:13" x14ac:dyDescent="0.3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</row>
    <row r="465" spans="1:13" x14ac:dyDescent="0.3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</row>
    <row r="466" spans="1:13" x14ac:dyDescent="0.3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</row>
    <row r="467" spans="1:13" x14ac:dyDescent="0.3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</row>
    <row r="468" spans="1:13" x14ac:dyDescent="0.3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</row>
    <row r="469" spans="1:13" x14ac:dyDescent="0.3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</row>
    <row r="470" spans="1:13" x14ac:dyDescent="0.3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</row>
    <row r="471" spans="1:13" x14ac:dyDescent="0.3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</row>
    <row r="472" spans="1:13" x14ac:dyDescent="0.3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</row>
    <row r="473" spans="1:13" x14ac:dyDescent="0.3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</row>
    <row r="474" spans="1:13" x14ac:dyDescent="0.3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</row>
    <row r="475" spans="1:13" x14ac:dyDescent="0.3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</row>
    <row r="476" spans="1:13" x14ac:dyDescent="0.3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</row>
    <row r="477" spans="1:13" x14ac:dyDescent="0.3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</row>
    <row r="478" spans="1:13" x14ac:dyDescent="0.3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</row>
    <row r="479" spans="1:13" x14ac:dyDescent="0.3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</row>
    <row r="480" spans="1:13" x14ac:dyDescent="0.3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</row>
    <row r="481" spans="1:13" x14ac:dyDescent="0.3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</row>
    <row r="482" spans="1:13" x14ac:dyDescent="0.3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</row>
    <row r="483" spans="1:13" x14ac:dyDescent="0.3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</row>
    <row r="484" spans="1:13" x14ac:dyDescent="0.3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</row>
    <row r="485" spans="1:13" x14ac:dyDescent="0.3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</row>
    <row r="486" spans="1:13" x14ac:dyDescent="0.3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</row>
    <row r="487" spans="1:13" x14ac:dyDescent="0.3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</row>
    <row r="488" spans="1:13" x14ac:dyDescent="0.3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</row>
    <row r="489" spans="1:13" x14ac:dyDescent="0.3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</row>
    <row r="490" spans="1:13" x14ac:dyDescent="0.3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</row>
    <row r="491" spans="1:13" x14ac:dyDescent="0.3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</row>
    <row r="492" spans="1:13" x14ac:dyDescent="0.3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</row>
    <row r="493" spans="1:13" x14ac:dyDescent="0.3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</row>
    <row r="494" spans="1:13" x14ac:dyDescent="0.3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</row>
    <row r="495" spans="1:13" x14ac:dyDescent="0.3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</row>
    <row r="496" spans="1:13" x14ac:dyDescent="0.3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</row>
    <row r="497" spans="1:13" x14ac:dyDescent="0.3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</row>
    <row r="498" spans="1:13" x14ac:dyDescent="0.3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</row>
    <row r="499" spans="1:13" x14ac:dyDescent="0.3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</row>
    <row r="500" spans="1:13" x14ac:dyDescent="0.3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</row>
    <row r="501" spans="1:13" x14ac:dyDescent="0.3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</row>
    <row r="502" spans="1:13" x14ac:dyDescent="0.3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</row>
    <row r="503" spans="1:13" x14ac:dyDescent="0.3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</row>
    <row r="504" spans="1:13" x14ac:dyDescent="0.3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</row>
    <row r="505" spans="1:13" x14ac:dyDescent="0.3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</row>
    <row r="506" spans="1:13" x14ac:dyDescent="0.3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</row>
    <row r="507" spans="1:13" x14ac:dyDescent="0.3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</row>
    <row r="508" spans="1:13" x14ac:dyDescent="0.3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</row>
    <row r="509" spans="1:13" x14ac:dyDescent="0.3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</row>
    <row r="510" spans="1:13" x14ac:dyDescent="0.3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</row>
    <row r="511" spans="1:13" x14ac:dyDescent="0.3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</row>
    <row r="512" spans="1:13" x14ac:dyDescent="0.3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</row>
    <row r="513" spans="1:13" x14ac:dyDescent="0.3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</row>
    <row r="514" spans="1:13" x14ac:dyDescent="0.3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</row>
    <row r="515" spans="1:13" x14ac:dyDescent="0.3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92E64-3416-4CD2-9C54-0B9EDCEF8BA7}">
  <dimension ref="A1:X515"/>
  <sheetViews>
    <sheetView tabSelected="1" topLeftCell="L1" workbookViewId="0">
      <selection activeCell="X3" sqref="X3"/>
    </sheetView>
  </sheetViews>
  <sheetFormatPr defaultRowHeight="14.5" x14ac:dyDescent="0.35"/>
  <cols>
    <col min="1" max="1" width="13.7265625" bestFit="1" customWidth="1"/>
    <col min="2" max="2" width="11.26953125" bestFit="1" customWidth="1"/>
    <col min="3" max="3" width="12.453125" bestFit="1" customWidth="1"/>
    <col min="4" max="4" width="13.08984375" bestFit="1" customWidth="1"/>
    <col min="5" max="5" width="4.81640625" bestFit="1" customWidth="1"/>
    <col min="6" max="6" width="6.54296875" bestFit="1" customWidth="1"/>
    <col min="7" max="7" width="6.1796875" bestFit="1" customWidth="1"/>
    <col min="8" max="8" width="7.36328125" bestFit="1" customWidth="1"/>
    <col min="9" max="9" width="6.7265625" bestFit="1" customWidth="1"/>
    <col min="10" max="10" width="6.90625" bestFit="1" customWidth="1"/>
    <col min="11" max="11" width="7.81640625" bestFit="1" customWidth="1"/>
    <col min="12" max="12" width="7.1796875" bestFit="1" customWidth="1"/>
    <col min="13" max="13" width="6.08984375" bestFit="1" customWidth="1"/>
    <col min="20" max="20" width="26.36328125" bestFit="1" customWidth="1"/>
    <col min="21" max="21" width="20.36328125" bestFit="1" customWidth="1"/>
    <col min="23" max="23" width="16.54296875" bestFit="1" customWidth="1"/>
    <col min="24" max="24" width="9.7265625" bestFit="1" customWidth="1"/>
  </cols>
  <sheetData>
    <row r="1" spans="1:24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17" t="s">
        <v>675</v>
      </c>
      <c r="O1" s="17" t="s">
        <v>676</v>
      </c>
      <c r="P1" s="17" t="s">
        <v>677</v>
      </c>
      <c r="Q1" s="17" t="s">
        <v>678</v>
      </c>
      <c r="R1" s="17" t="s">
        <v>679</v>
      </c>
      <c r="S1" s="17" t="s">
        <v>680</v>
      </c>
      <c r="T1" s="17" t="s">
        <v>699</v>
      </c>
      <c r="U1" s="17" t="s">
        <v>700</v>
      </c>
      <c r="V1" s="17" t="s">
        <v>682</v>
      </c>
    </row>
    <row r="2" spans="1:24" x14ac:dyDescent="0.35">
      <c r="A2" s="7" t="s">
        <v>13</v>
      </c>
      <c r="B2" s="8" t="s">
        <v>14</v>
      </c>
      <c r="C2" s="9">
        <v>0</v>
      </c>
      <c r="D2" s="9">
        <v>4</v>
      </c>
      <c r="E2" s="9">
        <v>4</v>
      </c>
      <c r="F2" s="9">
        <v>5</v>
      </c>
      <c r="G2" s="9">
        <v>6</v>
      </c>
      <c r="H2" s="9">
        <v>6</v>
      </c>
      <c r="I2" s="9">
        <v>62</v>
      </c>
      <c r="J2" s="9">
        <v>13</v>
      </c>
      <c r="K2" s="9">
        <v>26</v>
      </c>
      <c r="L2" s="9">
        <v>67</v>
      </c>
      <c r="M2" s="10">
        <v>62</v>
      </c>
      <c r="N2">
        <f>C2+IF(D2=6,2,0) +SUM(O2:R2) +SUM(I2:M2)/10</f>
        <v>57</v>
      </c>
      <c r="O2">
        <f>IF(E2=2,0,IF(E2=3,4,IF(E2=4,6,IF(E2=5,8,IF(E2=6,10,0)))))</f>
        <v>6</v>
      </c>
      <c r="P2">
        <f>IF(F2=2,0,IF(F2=3,4,IF(F2=4,6,IF(F2=5,8,IF(F2=6,10,0)))))</f>
        <v>8</v>
      </c>
      <c r="Q2">
        <f>IF(G2=2,0,IF(G2=3,4,IF(G2=4,6,IF(G2=5,8,IF(G2=6,10,0)))))</f>
        <v>10</v>
      </c>
      <c r="R2">
        <f>IF(H2=2,0,IF(H2=3,4,IF(H2=4,6,IF(H2=5,8,IF(H2=6,10,0)))))</f>
        <v>10</v>
      </c>
      <c r="S2">
        <v>1</v>
      </c>
      <c r="T2">
        <f>C2+IF(D2=6,2,0) +SUM(O2:R2)</f>
        <v>34</v>
      </c>
      <c r="U2">
        <f>SUM(I2:M2)/10</f>
        <v>23</v>
      </c>
      <c r="V2">
        <f>IF(T2&gt;U2,1,0)</f>
        <v>1</v>
      </c>
    </row>
    <row r="3" spans="1:24" x14ac:dyDescent="0.35">
      <c r="A3" s="11" t="s">
        <v>15</v>
      </c>
      <c r="B3" s="12" t="s">
        <v>16</v>
      </c>
      <c r="C3" s="13">
        <v>7</v>
      </c>
      <c r="D3" s="13">
        <v>4</v>
      </c>
      <c r="E3" s="13">
        <v>4</v>
      </c>
      <c r="F3" s="13">
        <v>2</v>
      </c>
      <c r="G3" s="13">
        <v>5</v>
      </c>
      <c r="H3" s="13">
        <v>6</v>
      </c>
      <c r="I3" s="13">
        <v>90</v>
      </c>
      <c r="J3" s="13">
        <v>8</v>
      </c>
      <c r="K3" s="13">
        <v>21</v>
      </c>
      <c r="L3" s="13">
        <v>52</v>
      </c>
      <c r="M3" s="14">
        <v>33</v>
      </c>
      <c r="N3">
        <f t="shared" ref="N3:N66" si="0">C3+IF(D3=6,2,0) +SUM(O3:R3) +SUM(I3:M3)/10</f>
        <v>51.4</v>
      </c>
      <c r="O3">
        <f t="shared" ref="O3:R66" si="1">IF(E3=2,0,IF(E3=3,4,IF(E3=4,6,IF(E3=5,8,IF(E3=6,10,0)))))</f>
        <v>6</v>
      </c>
      <c r="P3">
        <f t="shared" si="1"/>
        <v>0</v>
      </c>
      <c r="Q3">
        <f t="shared" si="1"/>
        <v>8</v>
      </c>
      <c r="R3">
        <f t="shared" si="1"/>
        <v>10</v>
      </c>
      <c r="S3">
        <v>1</v>
      </c>
      <c r="T3">
        <f t="shared" ref="T3:T66" si="2">C3+IF(D3=6,2,0) +SUM(O3:R3)</f>
        <v>31</v>
      </c>
      <c r="U3">
        <f t="shared" ref="U3:U66" si="3">SUM(I3:M3)/10</f>
        <v>20.399999999999999</v>
      </c>
      <c r="V3">
        <f t="shared" ref="V3:V66" si="4">IF(T3&gt;U3,1,0)</f>
        <v>1</v>
      </c>
      <c r="X3">
        <f>SUM(V2:V515)</f>
        <v>300</v>
      </c>
    </row>
    <row r="4" spans="1:24" x14ac:dyDescent="0.35">
      <c r="A4" s="7" t="s">
        <v>17</v>
      </c>
      <c r="B4" s="8" t="s">
        <v>18</v>
      </c>
      <c r="C4" s="9">
        <v>7</v>
      </c>
      <c r="D4" s="9">
        <v>4</v>
      </c>
      <c r="E4" s="9">
        <v>4</v>
      </c>
      <c r="F4" s="9">
        <v>6</v>
      </c>
      <c r="G4" s="9">
        <v>6</v>
      </c>
      <c r="H4" s="9">
        <v>5</v>
      </c>
      <c r="I4" s="9">
        <v>96</v>
      </c>
      <c r="J4" s="9">
        <v>99</v>
      </c>
      <c r="K4" s="9">
        <v>16</v>
      </c>
      <c r="L4" s="9">
        <v>85</v>
      </c>
      <c r="M4" s="10">
        <v>65</v>
      </c>
      <c r="N4">
        <f t="shared" si="0"/>
        <v>77.099999999999994</v>
      </c>
      <c r="O4">
        <f t="shared" si="1"/>
        <v>6</v>
      </c>
      <c r="P4">
        <f t="shared" si="1"/>
        <v>10</v>
      </c>
      <c r="Q4">
        <f t="shared" si="1"/>
        <v>10</v>
      </c>
      <c r="R4">
        <f t="shared" si="1"/>
        <v>8</v>
      </c>
      <c r="S4">
        <v>1</v>
      </c>
      <c r="T4">
        <f t="shared" si="2"/>
        <v>41</v>
      </c>
      <c r="U4">
        <f t="shared" si="3"/>
        <v>36.1</v>
      </c>
      <c r="V4">
        <f t="shared" si="4"/>
        <v>1</v>
      </c>
    </row>
    <row r="5" spans="1:24" x14ac:dyDescent="0.35">
      <c r="A5" s="11" t="s">
        <v>19</v>
      </c>
      <c r="B5" s="12" t="s">
        <v>20</v>
      </c>
      <c r="C5" s="13">
        <v>8</v>
      </c>
      <c r="D5" s="13">
        <v>6</v>
      </c>
      <c r="E5" s="13">
        <v>4</v>
      </c>
      <c r="F5" s="13">
        <v>4</v>
      </c>
      <c r="G5" s="13">
        <v>3</v>
      </c>
      <c r="H5" s="13">
        <v>5</v>
      </c>
      <c r="I5" s="13">
        <v>17</v>
      </c>
      <c r="J5" s="13">
        <v>100</v>
      </c>
      <c r="K5" s="13">
        <v>100</v>
      </c>
      <c r="L5" s="13">
        <v>100</v>
      </c>
      <c r="M5" s="14">
        <v>31</v>
      </c>
      <c r="N5">
        <f t="shared" si="0"/>
        <v>68.8</v>
      </c>
      <c r="O5">
        <f t="shared" si="1"/>
        <v>6</v>
      </c>
      <c r="P5">
        <f t="shared" si="1"/>
        <v>6</v>
      </c>
      <c r="Q5">
        <f t="shared" si="1"/>
        <v>4</v>
      </c>
      <c r="R5">
        <f t="shared" si="1"/>
        <v>8</v>
      </c>
      <c r="S5">
        <v>1</v>
      </c>
      <c r="T5">
        <f t="shared" si="2"/>
        <v>34</v>
      </c>
      <c r="U5">
        <f t="shared" si="3"/>
        <v>34.799999999999997</v>
      </c>
      <c r="V5">
        <f t="shared" si="4"/>
        <v>0</v>
      </c>
    </row>
    <row r="6" spans="1:24" x14ac:dyDescent="0.35">
      <c r="A6" s="7" t="s">
        <v>21</v>
      </c>
      <c r="B6" s="8" t="s">
        <v>18</v>
      </c>
      <c r="C6" s="9">
        <v>5</v>
      </c>
      <c r="D6" s="9">
        <v>4</v>
      </c>
      <c r="E6" s="9">
        <v>2</v>
      </c>
      <c r="F6" s="9">
        <v>4</v>
      </c>
      <c r="G6" s="9">
        <v>5</v>
      </c>
      <c r="H6" s="9">
        <v>4</v>
      </c>
      <c r="I6" s="9">
        <v>20</v>
      </c>
      <c r="J6" s="9">
        <v>28</v>
      </c>
      <c r="K6" s="9">
        <v>58</v>
      </c>
      <c r="L6" s="9">
        <v>86</v>
      </c>
      <c r="M6" s="10">
        <v>48</v>
      </c>
      <c r="N6">
        <f t="shared" si="0"/>
        <v>49</v>
      </c>
      <c r="O6">
        <f t="shared" si="1"/>
        <v>0</v>
      </c>
      <c r="P6">
        <f t="shared" si="1"/>
        <v>6</v>
      </c>
      <c r="Q6">
        <f t="shared" si="1"/>
        <v>8</v>
      </c>
      <c r="R6">
        <f t="shared" si="1"/>
        <v>6</v>
      </c>
      <c r="S6">
        <v>1</v>
      </c>
      <c r="T6">
        <f t="shared" si="2"/>
        <v>25</v>
      </c>
      <c r="U6">
        <f t="shared" si="3"/>
        <v>24</v>
      </c>
      <c r="V6">
        <f t="shared" si="4"/>
        <v>1</v>
      </c>
    </row>
    <row r="7" spans="1:24" x14ac:dyDescent="0.35">
      <c r="A7" s="11" t="s">
        <v>22</v>
      </c>
      <c r="B7" s="12" t="s">
        <v>23</v>
      </c>
      <c r="C7" s="13">
        <v>7</v>
      </c>
      <c r="D7" s="13">
        <v>3</v>
      </c>
      <c r="E7" s="13">
        <v>2</v>
      </c>
      <c r="F7" s="13">
        <v>2</v>
      </c>
      <c r="G7" s="13">
        <v>2</v>
      </c>
      <c r="H7" s="13">
        <v>3</v>
      </c>
      <c r="I7" s="13">
        <v>77</v>
      </c>
      <c r="J7" s="13">
        <v>10</v>
      </c>
      <c r="K7" s="13">
        <v>11</v>
      </c>
      <c r="L7" s="13">
        <v>72</v>
      </c>
      <c r="M7" s="14">
        <v>78</v>
      </c>
      <c r="N7">
        <f t="shared" si="0"/>
        <v>35.799999999999997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4</v>
      </c>
      <c r="S7">
        <v>1</v>
      </c>
      <c r="T7">
        <f t="shared" si="2"/>
        <v>11</v>
      </c>
      <c r="U7">
        <f t="shared" si="3"/>
        <v>24.8</v>
      </c>
      <c r="V7">
        <f t="shared" si="4"/>
        <v>0</v>
      </c>
    </row>
    <row r="8" spans="1:24" x14ac:dyDescent="0.35">
      <c r="A8" s="7" t="s">
        <v>24</v>
      </c>
      <c r="B8" s="8" t="s">
        <v>23</v>
      </c>
      <c r="C8" s="9">
        <v>8</v>
      </c>
      <c r="D8" s="9">
        <v>6</v>
      </c>
      <c r="E8" s="9">
        <v>6</v>
      </c>
      <c r="F8" s="9">
        <v>5</v>
      </c>
      <c r="G8" s="9">
        <v>5</v>
      </c>
      <c r="H8" s="9">
        <v>2</v>
      </c>
      <c r="I8" s="9">
        <v>75</v>
      </c>
      <c r="J8" s="9">
        <v>25</v>
      </c>
      <c r="K8" s="9">
        <v>5</v>
      </c>
      <c r="L8" s="9">
        <v>3</v>
      </c>
      <c r="M8" s="10">
        <v>58</v>
      </c>
      <c r="N8">
        <f t="shared" si="0"/>
        <v>52.6</v>
      </c>
      <c r="O8">
        <f t="shared" si="1"/>
        <v>10</v>
      </c>
      <c r="P8">
        <f t="shared" si="1"/>
        <v>8</v>
      </c>
      <c r="Q8">
        <f t="shared" si="1"/>
        <v>8</v>
      </c>
      <c r="R8">
        <f t="shared" si="1"/>
        <v>0</v>
      </c>
      <c r="S8">
        <v>1</v>
      </c>
      <c r="T8">
        <f t="shared" si="2"/>
        <v>36</v>
      </c>
      <c r="U8">
        <f t="shared" si="3"/>
        <v>16.600000000000001</v>
      </c>
      <c r="V8">
        <f t="shared" si="4"/>
        <v>1</v>
      </c>
    </row>
    <row r="9" spans="1:24" x14ac:dyDescent="0.35">
      <c r="A9" s="11" t="s">
        <v>25</v>
      </c>
      <c r="B9" s="12" t="s">
        <v>26</v>
      </c>
      <c r="C9" s="13">
        <v>6</v>
      </c>
      <c r="D9" s="13">
        <v>6</v>
      </c>
      <c r="E9" s="13">
        <v>2</v>
      </c>
      <c r="F9" s="13">
        <v>5</v>
      </c>
      <c r="G9" s="13">
        <v>5</v>
      </c>
      <c r="H9" s="13">
        <v>3</v>
      </c>
      <c r="I9" s="13">
        <v>12</v>
      </c>
      <c r="J9" s="13">
        <v>17</v>
      </c>
      <c r="K9" s="13">
        <v>14</v>
      </c>
      <c r="L9" s="13">
        <v>4</v>
      </c>
      <c r="M9" s="14">
        <v>3</v>
      </c>
      <c r="N9">
        <f t="shared" si="0"/>
        <v>33</v>
      </c>
      <c r="O9">
        <f t="shared" si="1"/>
        <v>0</v>
      </c>
      <c r="P9">
        <f t="shared" si="1"/>
        <v>8</v>
      </c>
      <c r="Q9">
        <f t="shared" si="1"/>
        <v>8</v>
      </c>
      <c r="R9">
        <f t="shared" si="1"/>
        <v>4</v>
      </c>
      <c r="S9">
        <v>1</v>
      </c>
      <c r="T9">
        <f t="shared" si="2"/>
        <v>28</v>
      </c>
      <c r="U9">
        <f t="shared" si="3"/>
        <v>5</v>
      </c>
      <c r="V9">
        <f t="shared" si="4"/>
        <v>1</v>
      </c>
    </row>
    <row r="10" spans="1:24" x14ac:dyDescent="0.35">
      <c r="A10" s="7" t="s">
        <v>27</v>
      </c>
      <c r="B10" s="8" t="s">
        <v>28</v>
      </c>
      <c r="C10" s="9">
        <v>1</v>
      </c>
      <c r="D10" s="9">
        <v>6</v>
      </c>
      <c r="E10" s="9">
        <v>6</v>
      </c>
      <c r="F10" s="9">
        <v>2</v>
      </c>
      <c r="G10" s="9">
        <v>3</v>
      </c>
      <c r="H10" s="9">
        <v>6</v>
      </c>
      <c r="I10" s="9">
        <v>1</v>
      </c>
      <c r="J10" s="9">
        <v>3</v>
      </c>
      <c r="K10" s="9">
        <v>69</v>
      </c>
      <c r="L10" s="9">
        <v>89</v>
      </c>
      <c r="M10" s="10">
        <v>10</v>
      </c>
      <c r="N10">
        <f t="shared" si="0"/>
        <v>44.2</v>
      </c>
      <c r="O10">
        <f t="shared" si="1"/>
        <v>10</v>
      </c>
      <c r="P10">
        <f t="shared" si="1"/>
        <v>0</v>
      </c>
      <c r="Q10">
        <f t="shared" si="1"/>
        <v>4</v>
      </c>
      <c r="R10">
        <f t="shared" si="1"/>
        <v>10</v>
      </c>
      <c r="S10">
        <v>1</v>
      </c>
      <c r="T10">
        <f t="shared" si="2"/>
        <v>27</v>
      </c>
      <c r="U10">
        <f t="shared" si="3"/>
        <v>17.2</v>
      </c>
      <c r="V10">
        <f t="shared" si="4"/>
        <v>1</v>
      </c>
    </row>
    <row r="11" spans="1:24" x14ac:dyDescent="0.35">
      <c r="A11" s="11" t="s">
        <v>29</v>
      </c>
      <c r="B11" s="12" t="s">
        <v>30</v>
      </c>
      <c r="C11" s="13">
        <v>0</v>
      </c>
      <c r="D11" s="13">
        <v>5</v>
      </c>
      <c r="E11" s="13">
        <v>3</v>
      </c>
      <c r="F11" s="13">
        <v>6</v>
      </c>
      <c r="G11" s="13">
        <v>6</v>
      </c>
      <c r="H11" s="13">
        <v>4</v>
      </c>
      <c r="I11" s="13">
        <v>28</v>
      </c>
      <c r="J11" s="13">
        <v>53</v>
      </c>
      <c r="K11" s="13">
        <v>38</v>
      </c>
      <c r="L11" s="13">
        <v>63</v>
      </c>
      <c r="M11" s="14">
        <v>70</v>
      </c>
      <c r="N11">
        <f t="shared" si="0"/>
        <v>55.2</v>
      </c>
      <c r="O11">
        <f t="shared" si="1"/>
        <v>4</v>
      </c>
      <c r="P11">
        <f t="shared" si="1"/>
        <v>10</v>
      </c>
      <c r="Q11">
        <f t="shared" si="1"/>
        <v>10</v>
      </c>
      <c r="R11">
        <f t="shared" si="1"/>
        <v>6</v>
      </c>
      <c r="S11">
        <v>1</v>
      </c>
      <c r="T11">
        <f t="shared" si="2"/>
        <v>30</v>
      </c>
      <c r="U11">
        <f t="shared" si="3"/>
        <v>25.2</v>
      </c>
      <c r="V11">
        <f t="shared" si="4"/>
        <v>1</v>
      </c>
    </row>
    <row r="12" spans="1:24" x14ac:dyDescent="0.35">
      <c r="A12" s="7" t="s">
        <v>31</v>
      </c>
      <c r="B12" s="8" t="s">
        <v>32</v>
      </c>
      <c r="C12" s="9">
        <v>4</v>
      </c>
      <c r="D12" s="9">
        <v>3</v>
      </c>
      <c r="E12" s="9">
        <v>3</v>
      </c>
      <c r="F12" s="9">
        <v>6</v>
      </c>
      <c r="G12" s="9">
        <v>6</v>
      </c>
      <c r="H12" s="9">
        <v>2</v>
      </c>
      <c r="I12" s="9">
        <v>77</v>
      </c>
      <c r="J12" s="9">
        <v>8</v>
      </c>
      <c r="K12" s="9">
        <v>71</v>
      </c>
      <c r="L12" s="9">
        <v>88</v>
      </c>
      <c r="M12" s="10">
        <v>41</v>
      </c>
      <c r="N12">
        <f t="shared" si="0"/>
        <v>56.5</v>
      </c>
      <c r="O12">
        <f t="shared" si="1"/>
        <v>4</v>
      </c>
      <c r="P12">
        <f t="shared" si="1"/>
        <v>10</v>
      </c>
      <c r="Q12">
        <f t="shared" si="1"/>
        <v>10</v>
      </c>
      <c r="R12">
        <f t="shared" si="1"/>
        <v>0</v>
      </c>
      <c r="S12">
        <v>1</v>
      </c>
      <c r="T12">
        <f t="shared" si="2"/>
        <v>28</v>
      </c>
      <c r="U12">
        <f t="shared" si="3"/>
        <v>28.5</v>
      </c>
      <c r="V12">
        <f t="shared" si="4"/>
        <v>0</v>
      </c>
    </row>
    <row r="13" spans="1:24" x14ac:dyDescent="0.35">
      <c r="A13" s="11" t="s">
        <v>33</v>
      </c>
      <c r="B13" s="12" t="s">
        <v>34</v>
      </c>
      <c r="C13" s="13">
        <v>4</v>
      </c>
      <c r="D13" s="13">
        <v>6</v>
      </c>
      <c r="E13" s="13">
        <v>5</v>
      </c>
      <c r="F13" s="13">
        <v>6</v>
      </c>
      <c r="G13" s="13">
        <v>3</v>
      </c>
      <c r="H13" s="13">
        <v>6</v>
      </c>
      <c r="I13" s="13">
        <v>83</v>
      </c>
      <c r="J13" s="13">
        <v>27</v>
      </c>
      <c r="K13" s="13">
        <v>79</v>
      </c>
      <c r="L13" s="13">
        <v>20</v>
      </c>
      <c r="M13" s="14">
        <v>43</v>
      </c>
      <c r="N13">
        <f t="shared" si="0"/>
        <v>63.2</v>
      </c>
      <c r="O13">
        <f t="shared" si="1"/>
        <v>8</v>
      </c>
      <c r="P13">
        <f t="shared" si="1"/>
        <v>10</v>
      </c>
      <c r="Q13">
        <f t="shared" si="1"/>
        <v>4</v>
      </c>
      <c r="R13">
        <f t="shared" si="1"/>
        <v>10</v>
      </c>
      <c r="S13">
        <v>1</v>
      </c>
      <c r="T13">
        <f t="shared" si="2"/>
        <v>38</v>
      </c>
      <c r="U13">
        <f t="shared" si="3"/>
        <v>25.2</v>
      </c>
      <c r="V13">
        <f t="shared" si="4"/>
        <v>1</v>
      </c>
    </row>
    <row r="14" spans="1:24" x14ac:dyDescent="0.35">
      <c r="A14" s="7" t="s">
        <v>35</v>
      </c>
      <c r="B14" s="8" t="s">
        <v>36</v>
      </c>
      <c r="C14" s="9">
        <v>1</v>
      </c>
      <c r="D14" s="9">
        <v>3</v>
      </c>
      <c r="E14" s="9">
        <v>6</v>
      </c>
      <c r="F14" s="9">
        <v>3</v>
      </c>
      <c r="G14" s="9">
        <v>3</v>
      </c>
      <c r="H14" s="9">
        <v>2</v>
      </c>
      <c r="I14" s="9">
        <v>16</v>
      </c>
      <c r="J14" s="9">
        <v>43</v>
      </c>
      <c r="K14" s="9">
        <v>92</v>
      </c>
      <c r="L14" s="9">
        <v>54</v>
      </c>
      <c r="M14" s="10">
        <v>27</v>
      </c>
      <c r="N14">
        <f t="shared" si="0"/>
        <v>42.2</v>
      </c>
      <c r="O14">
        <f t="shared" si="1"/>
        <v>10</v>
      </c>
      <c r="P14">
        <f t="shared" si="1"/>
        <v>4</v>
      </c>
      <c r="Q14">
        <f t="shared" si="1"/>
        <v>4</v>
      </c>
      <c r="R14">
        <f t="shared" si="1"/>
        <v>0</v>
      </c>
      <c r="S14">
        <v>1</v>
      </c>
      <c r="T14">
        <f t="shared" si="2"/>
        <v>19</v>
      </c>
      <c r="U14">
        <f t="shared" si="3"/>
        <v>23.2</v>
      </c>
      <c r="V14">
        <f t="shared" si="4"/>
        <v>0</v>
      </c>
    </row>
    <row r="15" spans="1:24" x14ac:dyDescent="0.35">
      <c r="A15" s="11" t="s">
        <v>37</v>
      </c>
      <c r="B15" s="12" t="s">
        <v>38</v>
      </c>
      <c r="C15" s="13">
        <v>6</v>
      </c>
      <c r="D15" s="13">
        <v>6</v>
      </c>
      <c r="E15" s="13">
        <v>5</v>
      </c>
      <c r="F15" s="13">
        <v>3</v>
      </c>
      <c r="G15" s="13">
        <v>2</v>
      </c>
      <c r="H15" s="13">
        <v>6</v>
      </c>
      <c r="I15" s="13">
        <v>11</v>
      </c>
      <c r="J15" s="13">
        <v>36</v>
      </c>
      <c r="K15" s="13">
        <v>4</v>
      </c>
      <c r="L15" s="13">
        <v>41</v>
      </c>
      <c r="M15" s="14">
        <v>62</v>
      </c>
      <c r="N15">
        <f t="shared" si="0"/>
        <v>45.4</v>
      </c>
      <c r="O15">
        <f t="shared" si="1"/>
        <v>8</v>
      </c>
      <c r="P15">
        <f t="shared" si="1"/>
        <v>4</v>
      </c>
      <c r="Q15">
        <f t="shared" si="1"/>
        <v>0</v>
      </c>
      <c r="R15">
        <f t="shared" si="1"/>
        <v>10</v>
      </c>
      <c r="S15">
        <v>1</v>
      </c>
      <c r="T15">
        <f t="shared" si="2"/>
        <v>30</v>
      </c>
      <c r="U15">
        <f t="shared" si="3"/>
        <v>15.4</v>
      </c>
      <c r="V15">
        <f t="shared" si="4"/>
        <v>1</v>
      </c>
    </row>
    <row r="16" spans="1:24" x14ac:dyDescent="0.35">
      <c r="A16" s="7" t="s">
        <v>39</v>
      </c>
      <c r="B16" s="8" t="s">
        <v>38</v>
      </c>
      <c r="C16" s="9">
        <v>5</v>
      </c>
      <c r="D16" s="9">
        <v>2</v>
      </c>
      <c r="E16" s="9">
        <v>4</v>
      </c>
      <c r="F16" s="9">
        <v>2</v>
      </c>
      <c r="G16" s="9">
        <v>3</v>
      </c>
      <c r="H16" s="9">
        <v>5</v>
      </c>
      <c r="I16" s="9">
        <v>80</v>
      </c>
      <c r="J16" s="9">
        <v>75</v>
      </c>
      <c r="K16" s="9">
        <v>60</v>
      </c>
      <c r="L16" s="9">
        <v>54</v>
      </c>
      <c r="M16" s="10">
        <v>69</v>
      </c>
      <c r="N16">
        <f t="shared" si="0"/>
        <v>56.8</v>
      </c>
      <c r="O16">
        <f t="shared" si="1"/>
        <v>6</v>
      </c>
      <c r="P16">
        <f t="shared" si="1"/>
        <v>0</v>
      </c>
      <c r="Q16">
        <f t="shared" si="1"/>
        <v>4</v>
      </c>
      <c r="R16">
        <f t="shared" si="1"/>
        <v>8</v>
      </c>
      <c r="S16">
        <v>1</v>
      </c>
      <c r="T16">
        <f t="shared" si="2"/>
        <v>23</v>
      </c>
      <c r="U16">
        <f t="shared" si="3"/>
        <v>33.799999999999997</v>
      </c>
      <c r="V16">
        <f t="shared" si="4"/>
        <v>0</v>
      </c>
    </row>
    <row r="17" spans="1:22" x14ac:dyDescent="0.35">
      <c r="A17" s="11" t="s">
        <v>40</v>
      </c>
      <c r="B17" s="12" t="s">
        <v>41</v>
      </c>
      <c r="C17" s="13">
        <v>8</v>
      </c>
      <c r="D17" s="13">
        <v>6</v>
      </c>
      <c r="E17" s="13">
        <v>4</v>
      </c>
      <c r="F17" s="13">
        <v>3</v>
      </c>
      <c r="G17" s="13">
        <v>4</v>
      </c>
      <c r="H17" s="13">
        <v>5</v>
      </c>
      <c r="I17" s="13">
        <v>22</v>
      </c>
      <c r="J17" s="13">
        <v>46</v>
      </c>
      <c r="K17" s="13">
        <v>36</v>
      </c>
      <c r="L17" s="13">
        <v>35</v>
      </c>
      <c r="M17" s="14">
        <v>91</v>
      </c>
      <c r="N17">
        <f t="shared" si="0"/>
        <v>57</v>
      </c>
      <c r="O17">
        <f t="shared" si="1"/>
        <v>6</v>
      </c>
      <c r="P17">
        <f t="shared" si="1"/>
        <v>4</v>
      </c>
      <c r="Q17">
        <f t="shared" si="1"/>
        <v>6</v>
      </c>
      <c r="R17">
        <f t="shared" si="1"/>
        <v>8</v>
      </c>
      <c r="S17">
        <v>1</v>
      </c>
      <c r="T17">
        <f t="shared" si="2"/>
        <v>34</v>
      </c>
      <c r="U17">
        <f t="shared" si="3"/>
        <v>23</v>
      </c>
      <c r="V17">
        <f t="shared" si="4"/>
        <v>1</v>
      </c>
    </row>
    <row r="18" spans="1:22" x14ac:dyDescent="0.35">
      <c r="A18" s="7" t="s">
        <v>42</v>
      </c>
      <c r="B18" s="8" t="s">
        <v>43</v>
      </c>
      <c r="C18" s="9">
        <v>2</v>
      </c>
      <c r="D18" s="9">
        <v>5</v>
      </c>
      <c r="E18" s="9">
        <v>3</v>
      </c>
      <c r="F18" s="9">
        <v>5</v>
      </c>
      <c r="G18" s="9">
        <v>6</v>
      </c>
      <c r="H18" s="9">
        <v>3</v>
      </c>
      <c r="I18" s="9">
        <v>47</v>
      </c>
      <c r="J18" s="9">
        <v>30</v>
      </c>
      <c r="K18" s="9">
        <v>2</v>
      </c>
      <c r="L18" s="9">
        <v>45</v>
      </c>
      <c r="M18" s="10">
        <v>76</v>
      </c>
      <c r="N18">
        <f t="shared" si="0"/>
        <v>48</v>
      </c>
      <c r="O18">
        <f t="shared" si="1"/>
        <v>4</v>
      </c>
      <c r="P18">
        <f t="shared" si="1"/>
        <v>8</v>
      </c>
      <c r="Q18">
        <f t="shared" si="1"/>
        <v>10</v>
      </c>
      <c r="R18">
        <f t="shared" si="1"/>
        <v>4</v>
      </c>
      <c r="S18">
        <v>1</v>
      </c>
      <c r="T18">
        <f t="shared" si="2"/>
        <v>28</v>
      </c>
      <c r="U18">
        <f t="shared" si="3"/>
        <v>20</v>
      </c>
      <c r="V18">
        <f t="shared" si="4"/>
        <v>1</v>
      </c>
    </row>
    <row r="19" spans="1:22" x14ac:dyDescent="0.35">
      <c r="A19" s="11" t="s">
        <v>44</v>
      </c>
      <c r="B19" s="12" t="s">
        <v>45</v>
      </c>
      <c r="C19" s="13">
        <v>8</v>
      </c>
      <c r="D19" s="13">
        <v>4</v>
      </c>
      <c r="E19" s="13">
        <v>3</v>
      </c>
      <c r="F19" s="13">
        <v>4</v>
      </c>
      <c r="G19" s="13">
        <v>6</v>
      </c>
      <c r="H19" s="13">
        <v>2</v>
      </c>
      <c r="I19" s="13">
        <v>23</v>
      </c>
      <c r="J19" s="13">
        <v>49</v>
      </c>
      <c r="K19" s="13">
        <v>16</v>
      </c>
      <c r="L19" s="13">
        <v>3</v>
      </c>
      <c r="M19" s="14">
        <v>81</v>
      </c>
      <c r="N19">
        <f t="shared" si="0"/>
        <v>45.2</v>
      </c>
      <c r="O19">
        <f t="shared" si="1"/>
        <v>4</v>
      </c>
      <c r="P19">
        <f t="shared" si="1"/>
        <v>6</v>
      </c>
      <c r="Q19">
        <f t="shared" si="1"/>
        <v>10</v>
      </c>
      <c r="R19">
        <f t="shared" si="1"/>
        <v>0</v>
      </c>
      <c r="S19">
        <v>1</v>
      </c>
      <c r="T19">
        <f t="shared" si="2"/>
        <v>28</v>
      </c>
      <c r="U19">
        <f t="shared" si="3"/>
        <v>17.2</v>
      </c>
      <c r="V19">
        <f t="shared" si="4"/>
        <v>1</v>
      </c>
    </row>
    <row r="20" spans="1:22" x14ac:dyDescent="0.35">
      <c r="A20" s="7" t="s">
        <v>46</v>
      </c>
      <c r="B20" s="8" t="s">
        <v>16</v>
      </c>
      <c r="C20" s="9">
        <v>1</v>
      </c>
      <c r="D20" s="9">
        <v>6</v>
      </c>
      <c r="E20" s="9">
        <v>6</v>
      </c>
      <c r="F20" s="9">
        <v>6</v>
      </c>
      <c r="G20" s="9">
        <v>3</v>
      </c>
      <c r="H20" s="9">
        <v>2</v>
      </c>
      <c r="I20" s="9">
        <v>14</v>
      </c>
      <c r="J20" s="9">
        <v>20</v>
      </c>
      <c r="K20" s="9">
        <v>14</v>
      </c>
      <c r="L20" s="9">
        <v>64</v>
      </c>
      <c r="M20" s="10">
        <v>55</v>
      </c>
      <c r="N20">
        <f t="shared" si="0"/>
        <v>43.7</v>
      </c>
      <c r="O20">
        <f t="shared" si="1"/>
        <v>10</v>
      </c>
      <c r="P20">
        <f t="shared" si="1"/>
        <v>10</v>
      </c>
      <c r="Q20">
        <f t="shared" si="1"/>
        <v>4</v>
      </c>
      <c r="R20">
        <f t="shared" si="1"/>
        <v>0</v>
      </c>
      <c r="S20">
        <v>1</v>
      </c>
      <c r="T20">
        <f t="shared" si="2"/>
        <v>27</v>
      </c>
      <c r="U20">
        <f t="shared" si="3"/>
        <v>16.7</v>
      </c>
      <c r="V20">
        <f t="shared" si="4"/>
        <v>1</v>
      </c>
    </row>
    <row r="21" spans="1:22" x14ac:dyDescent="0.35">
      <c r="A21" s="11" t="s">
        <v>47</v>
      </c>
      <c r="B21" s="12" t="s">
        <v>48</v>
      </c>
      <c r="C21" s="13">
        <v>5</v>
      </c>
      <c r="D21" s="13">
        <v>4</v>
      </c>
      <c r="E21" s="13">
        <v>3</v>
      </c>
      <c r="F21" s="13">
        <v>3</v>
      </c>
      <c r="G21" s="13">
        <v>3</v>
      </c>
      <c r="H21" s="13">
        <v>6</v>
      </c>
      <c r="I21" s="13">
        <v>98</v>
      </c>
      <c r="J21" s="13">
        <v>48</v>
      </c>
      <c r="K21" s="13">
        <v>6</v>
      </c>
      <c r="L21" s="13">
        <v>70</v>
      </c>
      <c r="M21" s="14">
        <v>6</v>
      </c>
      <c r="N21">
        <f t="shared" si="0"/>
        <v>49.8</v>
      </c>
      <c r="O21">
        <f t="shared" si="1"/>
        <v>4</v>
      </c>
      <c r="P21">
        <f t="shared" si="1"/>
        <v>4</v>
      </c>
      <c r="Q21">
        <f t="shared" si="1"/>
        <v>4</v>
      </c>
      <c r="R21">
        <f t="shared" si="1"/>
        <v>10</v>
      </c>
      <c r="S21">
        <v>1</v>
      </c>
      <c r="T21">
        <f t="shared" si="2"/>
        <v>27</v>
      </c>
      <c r="U21">
        <f t="shared" si="3"/>
        <v>22.8</v>
      </c>
      <c r="V21">
        <f t="shared" si="4"/>
        <v>1</v>
      </c>
    </row>
    <row r="22" spans="1:22" x14ac:dyDescent="0.35">
      <c r="A22" s="7" t="s">
        <v>49</v>
      </c>
      <c r="B22" s="8" t="s">
        <v>38</v>
      </c>
      <c r="C22" s="9">
        <v>3</v>
      </c>
      <c r="D22" s="9">
        <v>3</v>
      </c>
      <c r="E22" s="9">
        <v>2</v>
      </c>
      <c r="F22" s="9">
        <v>3</v>
      </c>
      <c r="G22" s="9">
        <v>3</v>
      </c>
      <c r="H22" s="9">
        <v>2</v>
      </c>
      <c r="I22" s="9">
        <v>38</v>
      </c>
      <c r="J22" s="9">
        <v>71</v>
      </c>
      <c r="K22" s="9">
        <v>35</v>
      </c>
      <c r="L22" s="9">
        <v>95</v>
      </c>
      <c r="M22" s="10">
        <v>84</v>
      </c>
      <c r="N22">
        <f t="shared" si="0"/>
        <v>43.3</v>
      </c>
      <c r="O22">
        <f t="shared" si="1"/>
        <v>0</v>
      </c>
      <c r="P22">
        <f t="shared" si="1"/>
        <v>4</v>
      </c>
      <c r="Q22">
        <f t="shared" si="1"/>
        <v>4</v>
      </c>
      <c r="R22">
        <f t="shared" si="1"/>
        <v>0</v>
      </c>
      <c r="S22">
        <v>1</v>
      </c>
      <c r="T22">
        <f t="shared" si="2"/>
        <v>11</v>
      </c>
      <c r="U22">
        <f t="shared" si="3"/>
        <v>32.299999999999997</v>
      </c>
      <c r="V22">
        <f t="shared" si="4"/>
        <v>0</v>
      </c>
    </row>
    <row r="23" spans="1:22" x14ac:dyDescent="0.35">
      <c r="A23" s="11" t="s">
        <v>50</v>
      </c>
      <c r="B23" s="12" t="s">
        <v>51</v>
      </c>
      <c r="C23" s="13">
        <v>7</v>
      </c>
      <c r="D23" s="13">
        <v>4</v>
      </c>
      <c r="E23" s="13">
        <v>6</v>
      </c>
      <c r="F23" s="13">
        <v>4</v>
      </c>
      <c r="G23" s="13">
        <v>6</v>
      </c>
      <c r="H23" s="13">
        <v>5</v>
      </c>
      <c r="I23" s="13">
        <v>95</v>
      </c>
      <c r="J23" s="13">
        <v>100</v>
      </c>
      <c r="K23" s="13">
        <v>100</v>
      </c>
      <c r="L23" s="13">
        <v>40</v>
      </c>
      <c r="M23" s="14">
        <v>100</v>
      </c>
      <c r="N23">
        <f t="shared" si="0"/>
        <v>84.5</v>
      </c>
      <c r="O23">
        <f t="shared" si="1"/>
        <v>10</v>
      </c>
      <c r="P23">
        <f t="shared" si="1"/>
        <v>6</v>
      </c>
      <c r="Q23">
        <f t="shared" si="1"/>
        <v>10</v>
      </c>
      <c r="R23">
        <f t="shared" si="1"/>
        <v>8</v>
      </c>
      <c r="S23">
        <v>1</v>
      </c>
      <c r="T23">
        <f t="shared" si="2"/>
        <v>41</v>
      </c>
      <c r="U23">
        <f t="shared" si="3"/>
        <v>43.5</v>
      </c>
      <c r="V23">
        <f t="shared" si="4"/>
        <v>0</v>
      </c>
    </row>
    <row r="24" spans="1:22" x14ac:dyDescent="0.35">
      <c r="A24" s="7" t="s">
        <v>52</v>
      </c>
      <c r="B24" s="8" t="s">
        <v>53</v>
      </c>
      <c r="C24" s="9">
        <v>7</v>
      </c>
      <c r="D24" s="9">
        <v>2</v>
      </c>
      <c r="E24" s="9">
        <v>4</v>
      </c>
      <c r="F24" s="9">
        <v>5</v>
      </c>
      <c r="G24" s="9">
        <v>3</v>
      </c>
      <c r="H24" s="9">
        <v>4</v>
      </c>
      <c r="I24" s="9">
        <v>59</v>
      </c>
      <c r="J24" s="9">
        <v>14</v>
      </c>
      <c r="K24" s="9">
        <v>99</v>
      </c>
      <c r="L24" s="9">
        <v>4</v>
      </c>
      <c r="M24" s="10">
        <v>3</v>
      </c>
      <c r="N24">
        <f t="shared" si="0"/>
        <v>48.9</v>
      </c>
      <c r="O24">
        <f t="shared" si="1"/>
        <v>6</v>
      </c>
      <c r="P24">
        <f t="shared" si="1"/>
        <v>8</v>
      </c>
      <c r="Q24">
        <f t="shared" si="1"/>
        <v>4</v>
      </c>
      <c r="R24">
        <f t="shared" si="1"/>
        <v>6</v>
      </c>
      <c r="S24">
        <v>1</v>
      </c>
      <c r="T24">
        <f t="shared" si="2"/>
        <v>31</v>
      </c>
      <c r="U24">
        <f t="shared" si="3"/>
        <v>17.899999999999999</v>
      </c>
      <c r="V24">
        <f t="shared" si="4"/>
        <v>1</v>
      </c>
    </row>
    <row r="25" spans="1:22" x14ac:dyDescent="0.35">
      <c r="A25" s="11" t="s">
        <v>54</v>
      </c>
      <c r="B25" s="12" t="s">
        <v>55</v>
      </c>
      <c r="C25" s="13">
        <v>3</v>
      </c>
      <c r="D25" s="13">
        <v>3</v>
      </c>
      <c r="E25" s="13">
        <v>5</v>
      </c>
      <c r="F25" s="13">
        <v>5</v>
      </c>
      <c r="G25" s="13">
        <v>2</v>
      </c>
      <c r="H25" s="13">
        <v>6</v>
      </c>
      <c r="I25" s="13">
        <v>26</v>
      </c>
      <c r="J25" s="13">
        <v>14</v>
      </c>
      <c r="K25" s="13">
        <v>18</v>
      </c>
      <c r="L25" s="13">
        <v>96</v>
      </c>
      <c r="M25" s="14">
        <v>41</v>
      </c>
      <c r="N25">
        <f t="shared" si="0"/>
        <v>48.5</v>
      </c>
      <c r="O25">
        <f t="shared" si="1"/>
        <v>8</v>
      </c>
      <c r="P25">
        <f t="shared" si="1"/>
        <v>8</v>
      </c>
      <c r="Q25">
        <f t="shared" si="1"/>
        <v>0</v>
      </c>
      <c r="R25">
        <f t="shared" si="1"/>
        <v>10</v>
      </c>
      <c r="S25">
        <v>1</v>
      </c>
      <c r="T25">
        <f t="shared" si="2"/>
        <v>29</v>
      </c>
      <c r="U25">
        <f t="shared" si="3"/>
        <v>19.5</v>
      </c>
      <c r="V25">
        <f t="shared" si="4"/>
        <v>1</v>
      </c>
    </row>
    <row r="26" spans="1:22" x14ac:dyDescent="0.35">
      <c r="A26" s="7" t="s">
        <v>56</v>
      </c>
      <c r="B26" s="8" t="s">
        <v>38</v>
      </c>
      <c r="C26" s="9">
        <v>8</v>
      </c>
      <c r="D26" s="9">
        <v>6</v>
      </c>
      <c r="E26" s="9">
        <v>3</v>
      </c>
      <c r="F26" s="9">
        <v>4</v>
      </c>
      <c r="G26" s="9">
        <v>2</v>
      </c>
      <c r="H26" s="9">
        <v>4</v>
      </c>
      <c r="I26" s="9">
        <v>8</v>
      </c>
      <c r="J26" s="9">
        <v>78</v>
      </c>
      <c r="K26" s="9">
        <v>64</v>
      </c>
      <c r="L26" s="9">
        <v>10</v>
      </c>
      <c r="M26" s="10">
        <v>55</v>
      </c>
      <c r="N26">
        <f t="shared" si="0"/>
        <v>47.5</v>
      </c>
      <c r="O26">
        <f t="shared" si="1"/>
        <v>4</v>
      </c>
      <c r="P26">
        <f t="shared" si="1"/>
        <v>6</v>
      </c>
      <c r="Q26">
        <f t="shared" si="1"/>
        <v>0</v>
      </c>
      <c r="R26">
        <f t="shared" si="1"/>
        <v>6</v>
      </c>
      <c r="S26">
        <v>1</v>
      </c>
      <c r="T26">
        <f t="shared" si="2"/>
        <v>26</v>
      </c>
      <c r="U26">
        <f t="shared" si="3"/>
        <v>21.5</v>
      </c>
      <c r="V26">
        <f t="shared" si="4"/>
        <v>1</v>
      </c>
    </row>
    <row r="27" spans="1:22" x14ac:dyDescent="0.35">
      <c r="A27" s="11" t="s">
        <v>57</v>
      </c>
      <c r="B27" s="12" t="s">
        <v>58</v>
      </c>
      <c r="C27" s="13">
        <v>3</v>
      </c>
      <c r="D27" s="13">
        <v>5</v>
      </c>
      <c r="E27" s="13">
        <v>2</v>
      </c>
      <c r="F27" s="13">
        <v>4</v>
      </c>
      <c r="G27" s="13">
        <v>3</v>
      </c>
      <c r="H27" s="13">
        <v>6</v>
      </c>
      <c r="I27" s="13">
        <v>41</v>
      </c>
      <c r="J27" s="13">
        <v>37</v>
      </c>
      <c r="K27" s="13">
        <v>5</v>
      </c>
      <c r="L27" s="13">
        <v>34</v>
      </c>
      <c r="M27" s="14">
        <v>93</v>
      </c>
      <c r="N27">
        <f t="shared" si="0"/>
        <v>44</v>
      </c>
      <c r="O27">
        <f t="shared" si="1"/>
        <v>0</v>
      </c>
      <c r="P27">
        <f t="shared" si="1"/>
        <v>6</v>
      </c>
      <c r="Q27">
        <f t="shared" si="1"/>
        <v>4</v>
      </c>
      <c r="R27">
        <f t="shared" si="1"/>
        <v>10</v>
      </c>
      <c r="S27">
        <v>1</v>
      </c>
      <c r="T27">
        <f t="shared" si="2"/>
        <v>23</v>
      </c>
      <c r="U27">
        <f t="shared" si="3"/>
        <v>21</v>
      </c>
      <c r="V27">
        <f t="shared" si="4"/>
        <v>1</v>
      </c>
    </row>
    <row r="28" spans="1:22" x14ac:dyDescent="0.35">
      <c r="A28" s="7" t="s">
        <v>59</v>
      </c>
      <c r="B28" s="8" t="s">
        <v>16</v>
      </c>
      <c r="C28" s="9">
        <v>4</v>
      </c>
      <c r="D28" s="9">
        <v>6</v>
      </c>
      <c r="E28" s="9">
        <v>4</v>
      </c>
      <c r="F28" s="9">
        <v>3</v>
      </c>
      <c r="G28" s="9">
        <v>2</v>
      </c>
      <c r="H28" s="9">
        <v>3</v>
      </c>
      <c r="I28" s="9">
        <v>60</v>
      </c>
      <c r="J28" s="9">
        <v>7</v>
      </c>
      <c r="K28" s="9">
        <v>97</v>
      </c>
      <c r="L28" s="9">
        <v>80</v>
      </c>
      <c r="M28" s="10">
        <v>43</v>
      </c>
      <c r="N28">
        <f t="shared" si="0"/>
        <v>48.7</v>
      </c>
      <c r="O28">
        <f t="shared" si="1"/>
        <v>6</v>
      </c>
      <c r="P28">
        <f t="shared" si="1"/>
        <v>4</v>
      </c>
      <c r="Q28">
        <f t="shared" si="1"/>
        <v>0</v>
      </c>
      <c r="R28">
        <f t="shared" si="1"/>
        <v>4</v>
      </c>
      <c r="S28">
        <v>1</v>
      </c>
      <c r="T28">
        <f t="shared" si="2"/>
        <v>20</v>
      </c>
      <c r="U28">
        <f t="shared" si="3"/>
        <v>28.7</v>
      </c>
      <c r="V28">
        <f t="shared" si="4"/>
        <v>0</v>
      </c>
    </row>
    <row r="29" spans="1:22" x14ac:dyDescent="0.35">
      <c r="A29" s="11" t="s">
        <v>60</v>
      </c>
      <c r="B29" s="12" t="s">
        <v>61</v>
      </c>
      <c r="C29" s="13">
        <v>1</v>
      </c>
      <c r="D29" s="13">
        <v>4</v>
      </c>
      <c r="E29" s="13">
        <v>5</v>
      </c>
      <c r="F29" s="13">
        <v>4</v>
      </c>
      <c r="G29" s="13">
        <v>2</v>
      </c>
      <c r="H29" s="13">
        <v>5</v>
      </c>
      <c r="I29" s="13">
        <v>53</v>
      </c>
      <c r="J29" s="13">
        <v>18</v>
      </c>
      <c r="K29" s="13">
        <v>94</v>
      </c>
      <c r="L29" s="13">
        <v>99</v>
      </c>
      <c r="M29" s="14">
        <v>76</v>
      </c>
      <c r="N29">
        <f t="shared" si="0"/>
        <v>57</v>
      </c>
      <c r="O29">
        <f t="shared" si="1"/>
        <v>8</v>
      </c>
      <c r="P29">
        <f t="shared" si="1"/>
        <v>6</v>
      </c>
      <c r="Q29">
        <f t="shared" si="1"/>
        <v>0</v>
      </c>
      <c r="R29">
        <f t="shared" si="1"/>
        <v>8</v>
      </c>
      <c r="S29">
        <v>1</v>
      </c>
      <c r="T29">
        <f t="shared" si="2"/>
        <v>23</v>
      </c>
      <c r="U29">
        <f t="shared" si="3"/>
        <v>34</v>
      </c>
      <c r="V29">
        <f t="shared" si="4"/>
        <v>0</v>
      </c>
    </row>
    <row r="30" spans="1:22" x14ac:dyDescent="0.35">
      <c r="A30" s="7" t="s">
        <v>62</v>
      </c>
      <c r="B30" s="8" t="s">
        <v>38</v>
      </c>
      <c r="C30" s="9">
        <v>5</v>
      </c>
      <c r="D30" s="9">
        <v>3</v>
      </c>
      <c r="E30" s="9">
        <v>3</v>
      </c>
      <c r="F30" s="9">
        <v>4</v>
      </c>
      <c r="G30" s="9">
        <v>6</v>
      </c>
      <c r="H30" s="9">
        <v>6</v>
      </c>
      <c r="I30" s="9">
        <v>84</v>
      </c>
      <c r="J30" s="9">
        <v>87</v>
      </c>
      <c r="K30" s="9">
        <v>96</v>
      </c>
      <c r="L30" s="9">
        <v>8</v>
      </c>
      <c r="M30" s="10">
        <v>17</v>
      </c>
      <c r="N30">
        <f t="shared" si="0"/>
        <v>64.2</v>
      </c>
      <c r="O30">
        <f t="shared" si="1"/>
        <v>4</v>
      </c>
      <c r="P30">
        <f t="shared" si="1"/>
        <v>6</v>
      </c>
      <c r="Q30">
        <f t="shared" si="1"/>
        <v>10</v>
      </c>
      <c r="R30">
        <f t="shared" si="1"/>
        <v>10</v>
      </c>
      <c r="S30">
        <v>1</v>
      </c>
      <c r="T30">
        <f t="shared" si="2"/>
        <v>35</v>
      </c>
      <c r="U30">
        <f t="shared" si="3"/>
        <v>29.2</v>
      </c>
      <c r="V30">
        <f t="shared" si="4"/>
        <v>1</v>
      </c>
    </row>
    <row r="31" spans="1:22" x14ac:dyDescent="0.35">
      <c r="A31" s="11" t="s">
        <v>63</v>
      </c>
      <c r="B31" s="12" t="s">
        <v>64</v>
      </c>
      <c r="C31" s="13">
        <v>2</v>
      </c>
      <c r="D31" s="13">
        <v>3</v>
      </c>
      <c r="E31" s="13">
        <v>5</v>
      </c>
      <c r="F31" s="13">
        <v>2</v>
      </c>
      <c r="G31" s="13">
        <v>2</v>
      </c>
      <c r="H31" s="13">
        <v>5</v>
      </c>
      <c r="I31" s="13">
        <v>6</v>
      </c>
      <c r="J31" s="13">
        <v>43</v>
      </c>
      <c r="K31" s="13">
        <v>53</v>
      </c>
      <c r="L31" s="13">
        <v>71</v>
      </c>
      <c r="M31" s="14">
        <v>3</v>
      </c>
      <c r="N31">
        <f t="shared" si="0"/>
        <v>35.6</v>
      </c>
      <c r="O31">
        <f t="shared" si="1"/>
        <v>8</v>
      </c>
      <c r="P31">
        <f t="shared" si="1"/>
        <v>0</v>
      </c>
      <c r="Q31">
        <f t="shared" si="1"/>
        <v>0</v>
      </c>
      <c r="R31">
        <f t="shared" si="1"/>
        <v>8</v>
      </c>
      <c r="S31">
        <v>1</v>
      </c>
      <c r="T31">
        <f t="shared" si="2"/>
        <v>18</v>
      </c>
      <c r="U31">
        <f t="shared" si="3"/>
        <v>17.600000000000001</v>
      </c>
      <c r="V31">
        <f t="shared" si="4"/>
        <v>1</v>
      </c>
    </row>
    <row r="32" spans="1:22" x14ac:dyDescent="0.35">
      <c r="A32" s="7" t="s">
        <v>65</v>
      </c>
      <c r="B32" s="8" t="s">
        <v>66</v>
      </c>
      <c r="C32" s="9">
        <v>0</v>
      </c>
      <c r="D32" s="9">
        <v>2</v>
      </c>
      <c r="E32" s="9">
        <v>6</v>
      </c>
      <c r="F32" s="9">
        <v>5</v>
      </c>
      <c r="G32" s="9">
        <v>6</v>
      </c>
      <c r="H32" s="9">
        <v>3</v>
      </c>
      <c r="I32" s="9">
        <v>89</v>
      </c>
      <c r="J32" s="9">
        <v>40</v>
      </c>
      <c r="K32" s="9">
        <v>28</v>
      </c>
      <c r="L32" s="9">
        <v>32</v>
      </c>
      <c r="M32" s="10">
        <v>47</v>
      </c>
      <c r="N32">
        <f t="shared" si="0"/>
        <v>55.6</v>
      </c>
      <c r="O32">
        <f t="shared" si="1"/>
        <v>10</v>
      </c>
      <c r="P32">
        <f t="shared" si="1"/>
        <v>8</v>
      </c>
      <c r="Q32">
        <f t="shared" si="1"/>
        <v>10</v>
      </c>
      <c r="R32">
        <f t="shared" si="1"/>
        <v>4</v>
      </c>
      <c r="S32">
        <v>1</v>
      </c>
      <c r="T32">
        <f t="shared" si="2"/>
        <v>32</v>
      </c>
      <c r="U32">
        <f t="shared" si="3"/>
        <v>23.6</v>
      </c>
      <c r="V32">
        <f t="shared" si="4"/>
        <v>1</v>
      </c>
    </row>
    <row r="33" spans="1:22" x14ac:dyDescent="0.35">
      <c r="A33" s="11" t="s">
        <v>67</v>
      </c>
      <c r="B33" s="12" t="s">
        <v>68</v>
      </c>
      <c r="C33" s="13">
        <v>0</v>
      </c>
      <c r="D33" s="13">
        <v>5</v>
      </c>
      <c r="E33" s="13">
        <v>6</v>
      </c>
      <c r="F33" s="13">
        <v>4</v>
      </c>
      <c r="G33" s="13">
        <v>4</v>
      </c>
      <c r="H33" s="13">
        <v>2</v>
      </c>
      <c r="I33" s="13">
        <v>22</v>
      </c>
      <c r="J33" s="13">
        <v>9</v>
      </c>
      <c r="K33" s="13">
        <v>1</v>
      </c>
      <c r="L33" s="13">
        <v>76</v>
      </c>
      <c r="M33" s="14">
        <v>28</v>
      </c>
      <c r="N33">
        <f t="shared" si="0"/>
        <v>35.6</v>
      </c>
      <c r="O33">
        <f t="shared" si="1"/>
        <v>10</v>
      </c>
      <c r="P33">
        <f t="shared" si="1"/>
        <v>6</v>
      </c>
      <c r="Q33">
        <f t="shared" si="1"/>
        <v>6</v>
      </c>
      <c r="R33">
        <f t="shared" si="1"/>
        <v>0</v>
      </c>
      <c r="S33">
        <v>1</v>
      </c>
      <c r="T33">
        <f t="shared" si="2"/>
        <v>22</v>
      </c>
      <c r="U33">
        <f t="shared" si="3"/>
        <v>13.6</v>
      </c>
      <c r="V33">
        <f t="shared" si="4"/>
        <v>1</v>
      </c>
    </row>
    <row r="34" spans="1:22" x14ac:dyDescent="0.35">
      <c r="A34" s="7" t="s">
        <v>69</v>
      </c>
      <c r="B34" s="8" t="s">
        <v>70</v>
      </c>
      <c r="C34" s="9">
        <v>6</v>
      </c>
      <c r="D34" s="9">
        <v>3</v>
      </c>
      <c r="E34" s="9">
        <v>2</v>
      </c>
      <c r="F34" s="9">
        <v>2</v>
      </c>
      <c r="G34" s="9">
        <v>2</v>
      </c>
      <c r="H34" s="9">
        <v>4</v>
      </c>
      <c r="I34" s="9">
        <v>82</v>
      </c>
      <c r="J34" s="9">
        <v>95</v>
      </c>
      <c r="K34" s="9">
        <v>8</v>
      </c>
      <c r="L34" s="9">
        <v>46</v>
      </c>
      <c r="M34" s="10">
        <v>76</v>
      </c>
      <c r="N34">
        <f t="shared" si="0"/>
        <v>42.7</v>
      </c>
      <c r="O34">
        <f t="shared" si="1"/>
        <v>0</v>
      </c>
      <c r="P34">
        <f t="shared" si="1"/>
        <v>0</v>
      </c>
      <c r="Q34">
        <f t="shared" si="1"/>
        <v>0</v>
      </c>
      <c r="R34">
        <f t="shared" si="1"/>
        <v>6</v>
      </c>
      <c r="S34">
        <v>1</v>
      </c>
      <c r="T34">
        <f t="shared" si="2"/>
        <v>12</v>
      </c>
      <c r="U34">
        <f t="shared" si="3"/>
        <v>30.7</v>
      </c>
      <c r="V34">
        <f t="shared" si="4"/>
        <v>0</v>
      </c>
    </row>
    <row r="35" spans="1:22" x14ac:dyDescent="0.35">
      <c r="A35" s="11" t="s">
        <v>71</v>
      </c>
      <c r="B35" s="12" t="s">
        <v>72</v>
      </c>
      <c r="C35" s="13">
        <v>7</v>
      </c>
      <c r="D35" s="13">
        <v>3</v>
      </c>
      <c r="E35" s="13">
        <v>2</v>
      </c>
      <c r="F35" s="13">
        <v>4</v>
      </c>
      <c r="G35" s="13">
        <v>4</v>
      </c>
      <c r="H35" s="13">
        <v>2</v>
      </c>
      <c r="I35" s="13">
        <v>67</v>
      </c>
      <c r="J35" s="13">
        <v>26</v>
      </c>
      <c r="K35" s="13">
        <v>50</v>
      </c>
      <c r="L35" s="13">
        <v>90</v>
      </c>
      <c r="M35" s="14">
        <v>34</v>
      </c>
      <c r="N35">
        <f t="shared" si="0"/>
        <v>45.7</v>
      </c>
      <c r="O35">
        <f t="shared" si="1"/>
        <v>0</v>
      </c>
      <c r="P35">
        <f t="shared" si="1"/>
        <v>6</v>
      </c>
      <c r="Q35">
        <f t="shared" si="1"/>
        <v>6</v>
      </c>
      <c r="R35">
        <f t="shared" si="1"/>
        <v>0</v>
      </c>
      <c r="S35">
        <v>1</v>
      </c>
      <c r="T35">
        <f t="shared" si="2"/>
        <v>19</v>
      </c>
      <c r="U35">
        <f t="shared" si="3"/>
        <v>26.7</v>
      </c>
      <c r="V35">
        <f t="shared" si="4"/>
        <v>0</v>
      </c>
    </row>
    <row r="36" spans="1:22" x14ac:dyDescent="0.35">
      <c r="A36" s="7" t="s">
        <v>73</v>
      </c>
      <c r="B36" s="8" t="s">
        <v>74</v>
      </c>
      <c r="C36" s="9">
        <v>2</v>
      </c>
      <c r="D36" s="9">
        <v>2</v>
      </c>
      <c r="E36" s="9">
        <v>6</v>
      </c>
      <c r="F36" s="9">
        <v>5</v>
      </c>
      <c r="G36" s="9">
        <v>4</v>
      </c>
      <c r="H36" s="9">
        <v>5</v>
      </c>
      <c r="I36" s="9">
        <v>34</v>
      </c>
      <c r="J36" s="9">
        <v>59</v>
      </c>
      <c r="K36" s="9">
        <v>59</v>
      </c>
      <c r="L36" s="9">
        <v>7</v>
      </c>
      <c r="M36" s="10">
        <v>1</v>
      </c>
      <c r="N36">
        <f t="shared" si="0"/>
        <v>50</v>
      </c>
      <c r="O36">
        <f t="shared" si="1"/>
        <v>10</v>
      </c>
      <c r="P36">
        <f t="shared" si="1"/>
        <v>8</v>
      </c>
      <c r="Q36">
        <f t="shared" si="1"/>
        <v>6</v>
      </c>
      <c r="R36">
        <f t="shared" si="1"/>
        <v>8</v>
      </c>
      <c r="S36">
        <v>1</v>
      </c>
      <c r="T36">
        <f t="shared" si="2"/>
        <v>34</v>
      </c>
      <c r="U36">
        <f t="shared" si="3"/>
        <v>16</v>
      </c>
      <c r="V36">
        <f t="shared" si="4"/>
        <v>1</v>
      </c>
    </row>
    <row r="37" spans="1:22" x14ac:dyDescent="0.35">
      <c r="A37" s="11" t="s">
        <v>75</v>
      </c>
      <c r="B37" s="12" t="s">
        <v>76</v>
      </c>
      <c r="C37" s="13">
        <v>4</v>
      </c>
      <c r="D37" s="13">
        <v>6</v>
      </c>
      <c r="E37" s="13">
        <v>5</v>
      </c>
      <c r="F37" s="13">
        <v>5</v>
      </c>
      <c r="G37" s="13">
        <v>6</v>
      </c>
      <c r="H37" s="13">
        <v>4</v>
      </c>
      <c r="I37" s="13">
        <v>56</v>
      </c>
      <c r="J37" s="13">
        <v>75</v>
      </c>
      <c r="K37" s="13">
        <v>51</v>
      </c>
      <c r="L37" s="13">
        <v>47</v>
      </c>
      <c r="M37" s="14">
        <v>71</v>
      </c>
      <c r="N37">
        <f t="shared" si="0"/>
        <v>68</v>
      </c>
      <c r="O37">
        <f t="shared" si="1"/>
        <v>8</v>
      </c>
      <c r="P37">
        <f t="shared" si="1"/>
        <v>8</v>
      </c>
      <c r="Q37">
        <f t="shared" si="1"/>
        <v>10</v>
      </c>
      <c r="R37">
        <f t="shared" si="1"/>
        <v>6</v>
      </c>
      <c r="S37">
        <v>1</v>
      </c>
      <c r="T37">
        <f t="shared" si="2"/>
        <v>38</v>
      </c>
      <c r="U37">
        <f t="shared" si="3"/>
        <v>30</v>
      </c>
      <c r="V37">
        <f t="shared" si="4"/>
        <v>1</v>
      </c>
    </row>
    <row r="38" spans="1:22" x14ac:dyDescent="0.35">
      <c r="A38" s="7" t="s">
        <v>77</v>
      </c>
      <c r="B38" s="8" t="s">
        <v>78</v>
      </c>
      <c r="C38" s="9">
        <v>6</v>
      </c>
      <c r="D38" s="9">
        <v>4</v>
      </c>
      <c r="E38" s="9">
        <v>5</v>
      </c>
      <c r="F38" s="9">
        <v>5</v>
      </c>
      <c r="G38" s="9">
        <v>5</v>
      </c>
      <c r="H38" s="9">
        <v>4</v>
      </c>
      <c r="I38" s="9">
        <v>70</v>
      </c>
      <c r="J38" s="9">
        <v>71</v>
      </c>
      <c r="K38" s="9">
        <v>27</v>
      </c>
      <c r="L38" s="9">
        <v>77</v>
      </c>
      <c r="M38" s="10">
        <v>13</v>
      </c>
      <c r="N38">
        <f t="shared" si="0"/>
        <v>61.8</v>
      </c>
      <c r="O38">
        <f t="shared" si="1"/>
        <v>8</v>
      </c>
      <c r="P38">
        <f t="shared" si="1"/>
        <v>8</v>
      </c>
      <c r="Q38">
        <f t="shared" si="1"/>
        <v>8</v>
      </c>
      <c r="R38">
        <f t="shared" si="1"/>
        <v>6</v>
      </c>
      <c r="S38">
        <v>1</v>
      </c>
      <c r="T38">
        <f t="shared" si="2"/>
        <v>36</v>
      </c>
      <c r="U38">
        <f t="shared" si="3"/>
        <v>25.8</v>
      </c>
      <c r="V38">
        <f t="shared" si="4"/>
        <v>1</v>
      </c>
    </row>
    <row r="39" spans="1:22" x14ac:dyDescent="0.35">
      <c r="A39" s="11" t="s">
        <v>79</v>
      </c>
      <c r="B39" s="12" t="s">
        <v>80</v>
      </c>
      <c r="C39" s="13">
        <v>2</v>
      </c>
      <c r="D39" s="13">
        <v>2</v>
      </c>
      <c r="E39" s="13">
        <v>4</v>
      </c>
      <c r="F39" s="13">
        <v>4</v>
      </c>
      <c r="G39" s="13">
        <v>4</v>
      </c>
      <c r="H39" s="13">
        <v>6</v>
      </c>
      <c r="I39" s="13">
        <v>30</v>
      </c>
      <c r="J39" s="13">
        <v>55</v>
      </c>
      <c r="K39" s="13">
        <v>59</v>
      </c>
      <c r="L39" s="13">
        <v>77</v>
      </c>
      <c r="M39" s="14">
        <v>58</v>
      </c>
      <c r="N39">
        <f t="shared" si="0"/>
        <v>57.9</v>
      </c>
      <c r="O39">
        <f t="shared" si="1"/>
        <v>6</v>
      </c>
      <c r="P39">
        <f t="shared" si="1"/>
        <v>6</v>
      </c>
      <c r="Q39">
        <f t="shared" si="1"/>
        <v>6</v>
      </c>
      <c r="R39">
        <f t="shared" si="1"/>
        <v>10</v>
      </c>
      <c r="S39">
        <v>1</v>
      </c>
      <c r="T39">
        <f t="shared" si="2"/>
        <v>30</v>
      </c>
      <c r="U39">
        <f t="shared" si="3"/>
        <v>27.9</v>
      </c>
      <c r="V39">
        <f t="shared" si="4"/>
        <v>1</v>
      </c>
    </row>
    <row r="40" spans="1:22" x14ac:dyDescent="0.35">
      <c r="A40" s="7" t="s">
        <v>81</v>
      </c>
      <c r="B40" s="8" t="s">
        <v>38</v>
      </c>
      <c r="C40" s="9">
        <v>5</v>
      </c>
      <c r="D40" s="9">
        <v>6</v>
      </c>
      <c r="E40" s="9">
        <v>6</v>
      </c>
      <c r="F40" s="9">
        <v>6</v>
      </c>
      <c r="G40" s="9">
        <v>5</v>
      </c>
      <c r="H40" s="9">
        <v>5</v>
      </c>
      <c r="I40" s="9">
        <v>57</v>
      </c>
      <c r="J40" s="9">
        <v>22</v>
      </c>
      <c r="K40" s="9">
        <v>16</v>
      </c>
      <c r="L40" s="9">
        <v>20</v>
      </c>
      <c r="M40" s="10">
        <v>67</v>
      </c>
      <c r="N40">
        <f t="shared" si="0"/>
        <v>61.2</v>
      </c>
      <c r="O40">
        <f t="shared" si="1"/>
        <v>10</v>
      </c>
      <c r="P40">
        <f t="shared" si="1"/>
        <v>10</v>
      </c>
      <c r="Q40">
        <f t="shared" si="1"/>
        <v>8</v>
      </c>
      <c r="R40">
        <f t="shared" si="1"/>
        <v>8</v>
      </c>
      <c r="S40">
        <v>1</v>
      </c>
      <c r="T40">
        <f t="shared" si="2"/>
        <v>43</v>
      </c>
      <c r="U40">
        <f t="shared" si="3"/>
        <v>18.2</v>
      </c>
      <c r="V40">
        <f t="shared" si="4"/>
        <v>1</v>
      </c>
    </row>
    <row r="41" spans="1:22" x14ac:dyDescent="0.35">
      <c r="A41" s="11" t="s">
        <v>82</v>
      </c>
      <c r="B41" s="12" t="s">
        <v>83</v>
      </c>
      <c r="C41" s="13">
        <v>6</v>
      </c>
      <c r="D41" s="13">
        <v>2</v>
      </c>
      <c r="E41" s="13">
        <v>5</v>
      </c>
      <c r="F41" s="13">
        <v>3</v>
      </c>
      <c r="G41" s="13">
        <v>3</v>
      </c>
      <c r="H41" s="13">
        <v>6</v>
      </c>
      <c r="I41" s="13">
        <v>67</v>
      </c>
      <c r="J41" s="13">
        <v>98</v>
      </c>
      <c r="K41" s="13">
        <v>28</v>
      </c>
      <c r="L41" s="13">
        <v>6</v>
      </c>
      <c r="M41" s="14">
        <v>20</v>
      </c>
      <c r="N41">
        <f t="shared" si="0"/>
        <v>53.9</v>
      </c>
      <c r="O41">
        <f t="shared" si="1"/>
        <v>8</v>
      </c>
      <c r="P41">
        <f t="shared" si="1"/>
        <v>4</v>
      </c>
      <c r="Q41">
        <f t="shared" si="1"/>
        <v>4</v>
      </c>
      <c r="R41">
        <f t="shared" si="1"/>
        <v>10</v>
      </c>
      <c r="S41">
        <v>1</v>
      </c>
      <c r="T41">
        <f t="shared" si="2"/>
        <v>32</v>
      </c>
      <c r="U41">
        <f t="shared" si="3"/>
        <v>21.9</v>
      </c>
      <c r="V41">
        <f t="shared" si="4"/>
        <v>1</v>
      </c>
    </row>
    <row r="42" spans="1:22" x14ac:dyDescent="0.35">
      <c r="A42" s="7" t="s">
        <v>84</v>
      </c>
      <c r="B42" s="8" t="s">
        <v>38</v>
      </c>
      <c r="C42" s="9">
        <v>7</v>
      </c>
      <c r="D42" s="9">
        <v>4</v>
      </c>
      <c r="E42" s="9">
        <v>6</v>
      </c>
      <c r="F42" s="9">
        <v>4</v>
      </c>
      <c r="G42" s="9">
        <v>3</v>
      </c>
      <c r="H42" s="9">
        <v>3</v>
      </c>
      <c r="I42" s="9">
        <v>12</v>
      </c>
      <c r="J42" s="9">
        <v>86</v>
      </c>
      <c r="K42" s="9">
        <v>61</v>
      </c>
      <c r="L42" s="9">
        <v>94</v>
      </c>
      <c r="M42" s="10">
        <v>74</v>
      </c>
      <c r="N42">
        <f t="shared" si="0"/>
        <v>63.7</v>
      </c>
      <c r="O42">
        <f t="shared" si="1"/>
        <v>10</v>
      </c>
      <c r="P42">
        <f t="shared" si="1"/>
        <v>6</v>
      </c>
      <c r="Q42">
        <f t="shared" si="1"/>
        <v>4</v>
      </c>
      <c r="R42">
        <f t="shared" si="1"/>
        <v>4</v>
      </c>
      <c r="S42">
        <v>1</v>
      </c>
      <c r="T42">
        <f t="shared" si="2"/>
        <v>31</v>
      </c>
      <c r="U42">
        <f t="shared" si="3"/>
        <v>32.700000000000003</v>
      </c>
      <c r="V42">
        <f t="shared" si="4"/>
        <v>0</v>
      </c>
    </row>
    <row r="43" spans="1:22" x14ac:dyDescent="0.35">
      <c r="A43" s="11" t="s">
        <v>46</v>
      </c>
      <c r="B43" s="12" t="s">
        <v>16</v>
      </c>
      <c r="C43" s="13">
        <v>0</v>
      </c>
      <c r="D43" s="13">
        <v>3</v>
      </c>
      <c r="E43" s="13">
        <v>4</v>
      </c>
      <c r="F43" s="13">
        <v>3</v>
      </c>
      <c r="G43" s="13">
        <v>5</v>
      </c>
      <c r="H43" s="13">
        <v>2</v>
      </c>
      <c r="I43" s="13">
        <v>82</v>
      </c>
      <c r="J43" s="13">
        <v>70</v>
      </c>
      <c r="K43" s="13">
        <v>18</v>
      </c>
      <c r="L43" s="13">
        <v>28</v>
      </c>
      <c r="M43" s="14">
        <v>34</v>
      </c>
      <c r="N43">
        <f t="shared" si="0"/>
        <v>41.2</v>
      </c>
      <c r="O43">
        <f t="shared" si="1"/>
        <v>6</v>
      </c>
      <c r="P43">
        <f t="shared" si="1"/>
        <v>4</v>
      </c>
      <c r="Q43">
        <f t="shared" si="1"/>
        <v>8</v>
      </c>
      <c r="R43">
        <f t="shared" si="1"/>
        <v>0</v>
      </c>
      <c r="S43">
        <v>1</v>
      </c>
      <c r="T43">
        <f t="shared" si="2"/>
        <v>18</v>
      </c>
      <c r="U43">
        <f t="shared" si="3"/>
        <v>23.2</v>
      </c>
      <c r="V43">
        <f t="shared" si="4"/>
        <v>0</v>
      </c>
    </row>
    <row r="44" spans="1:22" x14ac:dyDescent="0.35">
      <c r="A44" s="7" t="s">
        <v>85</v>
      </c>
      <c r="B44" s="8" t="s">
        <v>86</v>
      </c>
      <c r="C44" s="9">
        <v>8</v>
      </c>
      <c r="D44" s="9">
        <v>5</v>
      </c>
      <c r="E44" s="9">
        <v>4</v>
      </c>
      <c r="F44" s="9">
        <v>6</v>
      </c>
      <c r="G44" s="9">
        <v>2</v>
      </c>
      <c r="H44" s="9">
        <v>6</v>
      </c>
      <c r="I44" s="9">
        <v>32</v>
      </c>
      <c r="J44" s="9">
        <v>88</v>
      </c>
      <c r="K44" s="9">
        <v>15</v>
      </c>
      <c r="L44" s="9">
        <v>45</v>
      </c>
      <c r="M44" s="10">
        <v>24</v>
      </c>
      <c r="N44">
        <f t="shared" si="0"/>
        <v>54.4</v>
      </c>
      <c r="O44">
        <f t="shared" si="1"/>
        <v>6</v>
      </c>
      <c r="P44">
        <f t="shared" si="1"/>
        <v>10</v>
      </c>
      <c r="Q44">
        <f t="shared" si="1"/>
        <v>0</v>
      </c>
      <c r="R44">
        <f t="shared" si="1"/>
        <v>10</v>
      </c>
      <c r="S44">
        <v>1</v>
      </c>
      <c r="T44">
        <f t="shared" si="2"/>
        <v>34</v>
      </c>
      <c r="U44">
        <f t="shared" si="3"/>
        <v>20.399999999999999</v>
      </c>
      <c r="V44">
        <f t="shared" si="4"/>
        <v>1</v>
      </c>
    </row>
    <row r="45" spans="1:22" x14ac:dyDescent="0.35">
      <c r="A45" s="11" t="s">
        <v>87</v>
      </c>
      <c r="B45" s="12" t="s">
        <v>55</v>
      </c>
      <c r="C45" s="13">
        <v>2</v>
      </c>
      <c r="D45" s="13">
        <v>2</v>
      </c>
      <c r="E45" s="13">
        <v>5</v>
      </c>
      <c r="F45" s="13">
        <v>5</v>
      </c>
      <c r="G45" s="13">
        <v>2</v>
      </c>
      <c r="H45" s="13">
        <v>2</v>
      </c>
      <c r="I45" s="13">
        <v>65</v>
      </c>
      <c r="J45" s="13">
        <v>87</v>
      </c>
      <c r="K45" s="13">
        <v>53</v>
      </c>
      <c r="L45" s="13">
        <v>98</v>
      </c>
      <c r="M45" s="14">
        <v>50</v>
      </c>
      <c r="N45">
        <f t="shared" si="0"/>
        <v>53.3</v>
      </c>
      <c r="O45">
        <f t="shared" si="1"/>
        <v>8</v>
      </c>
      <c r="P45">
        <f t="shared" si="1"/>
        <v>8</v>
      </c>
      <c r="Q45">
        <f t="shared" si="1"/>
        <v>0</v>
      </c>
      <c r="R45">
        <f t="shared" si="1"/>
        <v>0</v>
      </c>
      <c r="S45">
        <v>1</v>
      </c>
      <c r="T45">
        <f t="shared" si="2"/>
        <v>18</v>
      </c>
      <c r="U45">
        <f t="shared" si="3"/>
        <v>35.299999999999997</v>
      </c>
      <c r="V45">
        <f t="shared" si="4"/>
        <v>0</v>
      </c>
    </row>
    <row r="46" spans="1:22" x14ac:dyDescent="0.35">
      <c r="A46" s="7" t="s">
        <v>88</v>
      </c>
      <c r="B46" s="8" t="s">
        <v>26</v>
      </c>
      <c r="C46" s="9">
        <v>3</v>
      </c>
      <c r="D46" s="9">
        <v>2</v>
      </c>
      <c r="E46" s="9">
        <v>3</v>
      </c>
      <c r="F46" s="9">
        <v>3</v>
      </c>
      <c r="G46" s="9">
        <v>6</v>
      </c>
      <c r="H46" s="9">
        <v>6</v>
      </c>
      <c r="I46" s="9">
        <v>10</v>
      </c>
      <c r="J46" s="9">
        <v>21</v>
      </c>
      <c r="K46" s="9">
        <v>35</v>
      </c>
      <c r="L46" s="9">
        <v>98</v>
      </c>
      <c r="M46" s="10">
        <v>21</v>
      </c>
      <c r="N46">
        <f t="shared" si="0"/>
        <v>49.5</v>
      </c>
      <c r="O46">
        <f t="shared" si="1"/>
        <v>4</v>
      </c>
      <c r="P46">
        <f t="shared" si="1"/>
        <v>4</v>
      </c>
      <c r="Q46">
        <f t="shared" si="1"/>
        <v>10</v>
      </c>
      <c r="R46">
        <f t="shared" si="1"/>
        <v>10</v>
      </c>
      <c r="S46">
        <v>1</v>
      </c>
      <c r="T46">
        <f t="shared" si="2"/>
        <v>31</v>
      </c>
      <c r="U46">
        <f t="shared" si="3"/>
        <v>18.5</v>
      </c>
      <c r="V46">
        <f t="shared" si="4"/>
        <v>1</v>
      </c>
    </row>
    <row r="47" spans="1:22" x14ac:dyDescent="0.35">
      <c r="A47" s="11" t="s">
        <v>89</v>
      </c>
      <c r="B47" s="12" t="s">
        <v>90</v>
      </c>
      <c r="C47" s="13">
        <v>2</v>
      </c>
      <c r="D47" s="13">
        <v>3</v>
      </c>
      <c r="E47" s="13">
        <v>6</v>
      </c>
      <c r="F47" s="13">
        <v>3</v>
      </c>
      <c r="G47" s="13">
        <v>6</v>
      </c>
      <c r="H47" s="13">
        <v>3</v>
      </c>
      <c r="I47" s="13">
        <v>53</v>
      </c>
      <c r="J47" s="13">
        <v>50</v>
      </c>
      <c r="K47" s="13">
        <v>16</v>
      </c>
      <c r="L47" s="13">
        <v>44</v>
      </c>
      <c r="M47" s="14">
        <v>8</v>
      </c>
      <c r="N47">
        <f t="shared" si="0"/>
        <v>47.1</v>
      </c>
      <c r="O47">
        <f t="shared" si="1"/>
        <v>10</v>
      </c>
      <c r="P47">
        <f t="shared" si="1"/>
        <v>4</v>
      </c>
      <c r="Q47">
        <f t="shared" si="1"/>
        <v>10</v>
      </c>
      <c r="R47">
        <f t="shared" si="1"/>
        <v>4</v>
      </c>
      <c r="S47">
        <v>1</v>
      </c>
      <c r="T47">
        <f t="shared" si="2"/>
        <v>30</v>
      </c>
      <c r="U47">
        <f t="shared" si="3"/>
        <v>17.100000000000001</v>
      </c>
      <c r="V47">
        <f t="shared" si="4"/>
        <v>1</v>
      </c>
    </row>
    <row r="48" spans="1:22" x14ac:dyDescent="0.35">
      <c r="A48" s="7" t="s">
        <v>91</v>
      </c>
      <c r="B48" s="8" t="s">
        <v>70</v>
      </c>
      <c r="C48" s="9">
        <v>1</v>
      </c>
      <c r="D48" s="9">
        <v>5</v>
      </c>
      <c r="E48" s="9">
        <v>3</v>
      </c>
      <c r="F48" s="9">
        <v>6</v>
      </c>
      <c r="G48" s="9">
        <v>4</v>
      </c>
      <c r="H48" s="9">
        <v>4</v>
      </c>
      <c r="I48" s="9">
        <v>38</v>
      </c>
      <c r="J48" s="9">
        <v>43</v>
      </c>
      <c r="K48" s="9">
        <v>49</v>
      </c>
      <c r="L48" s="9">
        <v>89</v>
      </c>
      <c r="M48" s="10">
        <v>16</v>
      </c>
      <c r="N48">
        <f t="shared" si="0"/>
        <v>50.5</v>
      </c>
      <c r="O48">
        <f t="shared" si="1"/>
        <v>4</v>
      </c>
      <c r="P48">
        <f t="shared" si="1"/>
        <v>10</v>
      </c>
      <c r="Q48">
        <f t="shared" si="1"/>
        <v>6</v>
      </c>
      <c r="R48">
        <f t="shared" si="1"/>
        <v>6</v>
      </c>
      <c r="S48">
        <v>1</v>
      </c>
      <c r="T48">
        <f t="shared" si="2"/>
        <v>27</v>
      </c>
      <c r="U48">
        <f t="shared" si="3"/>
        <v>23.5</v>
      </c>
      <c r="V48">
        <f t="shared" si="4"/>
        <v>1</v>
      </c>
    </row>
    <row r="49" spans="1:22" x14ac:dyDescent="0.35">
      <c r="A49" s="11" t="s">
        <v>92</v>
      </c>
      <c r="B49" s="12" t="s">
        <v>45</v>
      </c>
      <c r="C49" s="13">
        <v>6</v>
      </c>
      <c r="D49" s="13">
        <v>6</v>
      </c>
      <c r="E49" s="13">
        <v>4</v>
      </c>
      <c r="F49" s="13">
        <v>6</v>
      </c>
      <c r="G49" s="13">
        <v>5</v>
      </c>
      <c r="H49" s="13">
        <v>3</v>
      </c>
      <c r="I49" s="13">
        <v>99</v>
      </c>
      <c r="J49" s="13">
        <v>95</v>
      </c>
      <c r="K49" s="13">
        <v>48</v>
      </c>
      <c r="L49" s="13">
        <v>16</v>
      </c>
      <c r="M49" s="14">
        <v>11</v>
      </c>
      <c r="N49">
        <f t="shared" si="0"/>
        <v>62.9</v>
      </c>
      <c r="O49">
        <f t="shared" si="1"/>
        <v>6</v>
      </c>
      <c r="P49">
        <f t="shared" si="1"/>
        <v>10</v>
      </c>
      <c r="Q49">
        <f t="shared" si="1"/>
        <v>8</v>
      </c>
      <c r="R49">
        <f t="shared" si="1"/>
        <v>4</v>
      </c>
      <c r="S49">
        <v>1</v>
      </c>
      <c r="T49">
        <f t="shared" si="2"/>
        <v>36</v>
      </c>
      <c r="U49">
        <f t="shared" si="3"/>
        <v>26.9</v>
      </c>
      <c r="V49">
        <f t="shared" si="4"/>
        <v>1</v>
      </c>
    </row>
    <row r="50" spans="1:22" x14ac:dyDescent="0.35">
      <c r="A50" s="7" t="s">
        <v>93</v>
      </c>
      <c r="B50" s="8" t="s">
        <v>32</v>
      </c>
      <c r="C50" s="9">
        <v>6</v>
      </c>
      <c r="D50" s="9">
        <v>5</v>
      </c>
      <c r="E50" s="9">
        <v>6</v>
      </c>
      <c r="F50" s="9">
        <v>5</v>
      </c>
      <c r="G50" s="9">
        <v>6</v>
      </c>
      <c r="H50" s="9">
        <v>3</v>
      </c>
      <c r="I50" s="9">
        <v>78</v>
      </c>
      <c r="J50" s="9">
        <v>22</v>
      </c>
      <c r="K50" s="9">
        <v>95</v>
      </c>
      <c r="L50" s="9">
        <v>18</v>
      </c>
      <c r="M50" s="10">
        <v>15</v>
      </c>
      <c r="N50">
        <f t="shared" si="0"/>
        <v>60.8</v>
      </c>
      <c r="O50">
        <f t="shared" si="1"/>
        <v>10</v>
      </c>
      <c r="P50">
        <f t="shared" si="1"/>
        <v>8</v>
      </c>
      <c r="Q50">
        <f t="shared" si="1"/>
        <v>10</v>
      </c>
      <c r="R50">
        <f t="shared" si="1"/>
        <v>4</v>
      </c>
      <c r="S50">
        <v>1</v>
      </c>
      <c r="T50">
        <f t="shared" si="2"/>
        <v>38</v>
      </c>
      <c r="U50">
        <f t="shared" si="3"/>
        <v>22.8</v>
      </c>
      <c r="V50">
        <f t="shared" si="4"/>
        <v>1</v>
      </c>
    </row>
    <row r="51" spans="1:22" x14ac:dyDescent="0.35">
      <c r="A51" s="11" t="s">
        <v>94</v>
      </c>
      <c r="B51" s="12" t="s">
        <v>48</v>
      </c>
      <c r="C51" s="13">
        <v>6</v>
      </c>
      <c r="D51" s="13">
        <v>3</v>
      </c>
      <c r="E51" s="13">
        <v>3</v>
      </c>
      <c r="F51" s="13">
        <v>6</v>
      </c>
      <c r="G51" s="13">
        <v>4</v>
      </c>
      <c r="H51" s="13">
        <v>5</v>
      </c>
      <c r="I51" s="13">
        <v>25</v>
      </c>
      <c r="J51" s="13">
        <v>73</v>
      </c>
      <c r="K51" s="13">
        <v>78</v>
      </c>
      <c r="L51" s="13">
        <v>61</v>
      </c>
      <c r="M51" s="14">
        <v>29</v>
      </c>
      <c r="N51">
        <f t="shared" si="0"/>
        <v>60.6</v>
      </c>
      <c r="O51">
        <f t="shared" si="1"/>
        <v>4</v>
      </c>
      <c r="P51">
        <f t="shared" si="1"/>
        <v>10</v>
      </c>
      <c r="Q51">
        <f t="shared" si="1"/>
        <v>6</v>
      </c>
      <c r="R51">
        <f t="shared" si="1"/>
        <v>8</v>
      </c>
      <c r="S51">
        <v>1</v>
      </c>
      <c r="T51">
        <f t="shared" si="2"/>
        <v>34</v>
      </c>
      <c r="U51">
        <f t="shared" si="3"/>
        <v>26.6</v>
      </c>
      <c r="V51">
        <f t="shared" si="4"/>
        <v>1</v>
      </c>
    </row>
    <row r="52" spans="1:22" x14ac:dyDescent="0.35">
      <c r="A52" s="7" t="s">
        <v>95</v>
      </c>
      <c r="B52" s="8" t="s">
        <v>96</v>
      </c>
      <c r="C52" s="9">
        <v>6</v>
      </c>
      <c r="D52" s="9">
        <v>5</v>
      </c>
      <c r="E52" s="9">
        <v>5</v>
      </c>
      <c r="F52" s="9">
        <v>6</v>
      </c>
      <c r="G52" s="9">
        <v>2</v>
      </c>
      <c r="H52" s="9">
        <v>4</v>
      </c>
      <c r="I52" s="9">
        <v>65</v>
      </c>
      <c r="J52" s="9">
        <v>66</v>
      </c>
      <c r="K52" s="9">
        <v>87</v>
      </c>
      <c r="L52" s="9">
        <v>5</v>
      </c>
      <c r="M52" s="10">
        <v>65</v>
      </c>
      <c r="N52">
        <f t="shared" si="0"/>
        <v>58.8</v>
      </c>
      <c r="O52">
        <f t="shared" si="1"/>
        <v>8</v>
      </c>
      <c r="P52">
        <f t="shared" si="1"/>
        <v>10</v>
      </c>
      <c r="Q52">
        <f t="shared" si="1"/>
        <v>0</v>
      </c>
      <c r="R52">
        <f t="shared" si="1"/>
        <v>6</v>
      </c>
      <c r="S52">
        <v>1</v>
      </c>
      <c r="T52">
        <f t="shared" si="2"/>
        <v>30</v>
      </c>
      <c r="U52">
        <f t="shared" si="3"/>
        <v>28.8</v>
      </c>
      <c r="V52">
        <f t="shared" si="4"/>
        <v>1</v>
      </c>
    </row>
    <row r="53" spans="1:22" x14ac:dyDescent="0.35">
      <c r="A53" s="11" t="s">
        <v>97</v>
      </c>
      <c r="B53" s="12" t="s">
        <v>90</v>
      </c>
      <c r="C53" s="13">
        <v>8</v>
      </c>
      <c r="D53" s="13">
        <v>2</v>
      </c>
      <c r="E53" s="13">
        <v>2</v>
      </c>
      <c r="F53" s="13">
        <v>3</v>
      </c>
      <c r="G53" s="13">
        <v>4</v>
      </c>
      <c r="H53" s="13">
        <v>3</v>
      </c>
      <c r="I53" s="13">
        <v>18</v>
      </c>
      <c r="J53" s="13">
        <v>83</v>
      </c>
      <c r="K53" s="13">
        <v>86</v>
      </c>
      <c r="L53" s="13">
        <v>67</v>
      </c>
      <c r="M53" s="14">
        <v>90</v>
      </c>
      <c r="N53">
        <f t="shared" si="0"/>
        <v>56.4</v>
      </c>
      <c r="O53">
        <f t="shared" si="1"/>
        <v>0</v>
      </c>
      <c r="P53">
        <f t="shared" si="1"/>
        <v>4</v>
      </c>
      <c r="Q53">
        <f t="shared" si="1"/>
        <v>6</v>
      </c>
      <c r="R53">
        <f t="shared" si="1"/>
        <v>4</v>
      </c>
      <c r="S53">
        <v>1</v>
      </c>
      <c r="T53">
        <f t="shared" si="2"/>
        <v>22</v>
      </c>
      <c r="U53">
        <f t="shared" si="3"/>
        <v>34.4</v>
      </c>
      <c r="V53">
        <f t="shared" si="4"/>
        <v>0</v>
      </c>
    </row>
    <row r="54" spans="1:22" x14ac:dyDescent="0.35">
      <c r="A54" s="7" t="s">
        <v>98</v>
      </c>
      <c r="B54" s="8" t="s">
        <v>99</v>
      </c>
      <c r="C54" s="9">
        <v>0</v>
      </c>
      <c r="D54" s="9">
        <v>3</v>
      </c>
      <c r="E54" s="9">
        <v>4</v>
      </c>
      <c r="F54" s="9">
        <v>6</v>
      </c>
      <c r="G54" s="9">
        <v>4</v>
      </c>
      <c r="H54" s="9">
        <v>4</v>
      </c>
      <c r="I54" s="9">
        <v>41</v>
      </c>
      <c r="J54" s="9">
        <v>88</v>
      </c>
      <c r="K54" s="9">
        <v>4</v>
      </c>
      <c r="L54" s="9">
        <v>24</v>
      </c>
      <c r="M54" s="10">
        <v>37</v>
      </c>
      <c r="N54">
        <f t="shared" si="0"/>
        <v>47.4</v>
      </c>
      <c r="O54">
        <f t="shared" si="1"/>
        <v>6</v>
      </c>
      <c r="P54">
        <f t="shared" si="1"/>
        <v>10</v>
      </c>
      <c r="Q54">
        <f t="shared" si="1"/>
        <v>6</v>
      </c>
      <c r="R54">
        <f t="shared" si="1"/>
        <v>6</v>
      </c>
      <c r="S54">
        <v>1</v>
      </c>
      <c r="T54">
        <f t="shared" si="2"/>
        <v>28</v>
      </c>
      <c r="U54">
        <f t="shared" si="3"/>
        <v>19.399999999999999</v>
      </c>
      <c r="V54">
        <f t="shared" si="4"/>
        <v>1</v>
      </c>
    </row>
    <row r="55" spans="1:22" x14ac:dyDescent="0.35">
      <c r="A55" s="11" t="s">
        <v>100</v>
      </c>
      <c r="B55" s="12" t="s">
        <v>101</v>
      </c>
      <c r="C55" s="13">
        <v>7</v>
      </c>
      <c r="D55" s="13">
        <v>3</v>
      </c>
      <c r="E55" s="13">
        <v>4</v>
      </c>
      <c r="F55" s="13">
        <v>4</v>
      </c>
      <c r="G55" s="13">
        <v>5</v>
      </c>
      <c r="H55" s="13">
        <v>6</v>
      </c>
      <c r="I55" s="13">
        <v>54</v>
      </c>
      <c r="J55" s="13">
        <v>42</v>
      </c>
      <c r="K55" s="13">
        <v>82</v>
      </c>
      <c r="L55" s="13">
        <v>99</v>
      </c>
      <c r="M55" s="14">
        <v>81</v>
      </c>
      <c r="N55">
        <f t="shared" si="0"/>
        <v>72.8</v>
      </c>
      <c r="O55">
        <f t="shared" si="1"/>
        <v>6</v>
      </c>
      <c r="P55">
        <f t="shared" si="1"/>
        <v>6</v>
      </c>
      <c r="Q55">
        <f t="shared" si="1"/>
        <v>8</v>
      </c>
      <c r="R55">
        <f t="shared" si="1"/>
        <v>10</v>
      </c>
      <c r="S55">
        <v>1</v>
      </c>
      <c r="T55">
        <f t="shared" si="2"/>
        <v>37</v>
      </c>
      <c r="U55">
        <f t="shared" si="3"/>
        <v>35.799999999999997</v>
      </c>
      <c r="V55">
        <f t="shared" si="4"/>
        <v>1</v>
      </c>
    </row>
    <row r="56" spans="1:22" x14ac:dyDescent="0.35">
      <c r="A56" s="7" t="s">
        <v>102</v>
      </c>
      <c r="B56" s="8" t="s">
        <v>70</v>
      </c>
      <c r="C56" s="9">
        <v>3</v>
      </c>
      <c r="D56" s="9">
        <v>6</v>
      </c>
      <c r="E56" s="9">
        <v>5</v>
      </c>
      <c r="F56" s="9">
        <v>2</v>
      </c>
      <c r="G56" s="9">
        <v>4</v>
      </c>
      <c r="H56" s="9">
        <v>6</v>
      </c>
      <c r="I56" s="9">
        <v>51</v>
      </c>
      <c r="J56" s="9">
        <v>96</v>
      </c>
      <c r="K56" s="9">
        <v>78</v>
      </c>
      <c r="L56" s="9">
        <v>72</v>
      </c>
      <c r="M56" s="10">
        <v>39</v>
      </c>
      <c r="N56">
        <f t="shared" si="0"/>
        <v>62.6</v>
      </c>
      <c r="O56">
        <f t="shared" si="1"/>
        <v>8</v>
      </c>
      <c r="P56">
        <f t="shared" si="1"/>
        <v>0</v>
      </c>
      <c r="Q56">
        <f t="shared" si="1"/>
        <v>6</v>
      </c>
      <c r="R56">
        <f t="shared" si="1"/>
        <v>10</v>
      </c>
      <c r="S56">
        <v>1</v>
      </c>
      <c r="T56">
        <f t="shared" si="2"/>
        <v>29</v>
      </c>
      <c r="U56">
        <f t="shared" si="3"/>
        <v>33.6</v>
      </c>
      <c r="V56">
        <f t="shared" si="4"/>
        <v>0</v>
      </c>
    </row>
    <row r="57" spans="1:22" x14ac:dyDescent="0.35">
      <c r="A57" s="11" t="s">
        <v>103</v>
      </c>
      <c r="B57" s="12" t="s">
        <v>55</v>
      </c>
      <c r="C57" s="13">
        <v>8</v>
      </c>
      <c r="D57" s="13">
        <v>6</v>
      </c>
      <c r="E57" s="13">
        <v>2</v>
      </c>
      <c r="F57" s="13">
        <v>2</v>
      </c>
      <c r="G57" s="13">
        <v>6</v>
      </c>
      <c r="H57" s="13">
        <v>6</v>
      </c>
      <c r="I57" s="13">
        <v>86</v>
      </c>
      <c r="J57" s="13">
        <v>67</v>
      </c>
      <c r="K57" s="13">
        <v>94</v>
      </c>
      <c r="L57" s="13">
        <v>38</v>
      </c>
      <c r="M57" s="14">
        <v>45</v>
      </c>
      <c r="N57">
        <f t="shared" si="0"/>
        <v>63</v>
      </c>
      <c r="O57">
        <f t="shared" si="1"/>
        <v>0</v>
      </c>
      <c r="P57">
        <f t="shared" si="1"/>
        <v>0</v>
      </c>
      <c r="Q57">
        <f t="shared" si="1"/>
        <v>10</v>
      </c>
      <c r="R57">
        <f t="shared" si="1"/>
        <v>10</v>
      </c>
      <c r="S57">
        <v>1</v>
      </c>
      <c r="T57">
        <f t="shared" si="2"/>
        <v>30</v>
      </c>
      <c r="U57">
        <f t="shared" si="3"/>
        <v>33</v>
      </c>
      <c r="V57">
        <f t="shared" si="4"/>
        <v>0</v>
      </c>
    </row>
    <row r="58" spans="1:22" x14ac:dyDescent="0.35">
      <c r="A58" s="7" t="s">
        <v>104</v>
      </c>
      <c r="B58" s="8" t="s">
        <v>32</v>
      </c>
      <c r="C58" s="9">
        <v>7</v>
      </c>
      <c r="D58" s="9">
        <v>5</v>
      </c>
      <c r="E58" s="9">
        <v>6</v>
      </c>
      <c r="F58" s="9">
        <v>4</v>
      </c>
      <c r="G58" s="9">
        <v>6</v>
      </c>
      <c r="H58" s="9">
        <v>5</v>
      </c>
      <c r="I58" s="9">
        <v>15</v>
      </c>
      <c r="J58" s="9">
        <v>79</v>
      </c>
      <c r="K58" s="9">
        <v>11</v>
      </c>
      <c r="L58" s="9">
        <v>20</v>
      </c>
      <c r="M58" s="10">
        <v>58</v>
      </c>
      <c r="N58">
        <f t="shared" si="0"/>
        <v>59.3</v>
      </c>
      <c r="O58">
        <f t="shared" si="1"/>
        <v>10</v>
      </c>
      <c r="P58">
        <f t="shared" si="1"/>
        <v>6</v>
      </c>
      <c r="Q58">
        <f t="shared" si="1"/>
        <v>10</v>
      </c>
      <c r="R58">
        <f t="shared" si="1"/>
        <v>8</v>
      </c>
      <c r="S58">
        <v>1</v>
      </c>
      <c r="T58">
        <f t="shared" si="2"/>
        <v>41</v>
      </c>
      <c r="U58">
        <f t="shared" si="3"/>
        <v>18.3</v>
      </c>
      <c r="V58">
        <f t="shared" si="4"/>
        <v>1</v>
      </c>
    </row>
    <row r="59" spans="1:22" x14ac:dyDescent="0.35">
      <c r="A59" s="11" t="s">
        <v>105</v>
      </c>
      <c r="B59" s="12" t="s">
        <v>70</v>
      </c>
      <c r="C59" s="13">
        <v>3</v>
      </c>
      <c r="D59" s="13">
        <v>6</v>
      </c>
      <c r="E59" s="13">
        <v>3</v>
      </c>
      <c r="F59" s="13">
        <v>5</v>
      </c>
      <c r="G59" s="13">
        <v>5</v>
      </c>
      <c r="H59" s="13">
        <v>2</v>
      </c>
      <c r="I59" s="13">
        <v>49</v>
      </c>
      <c r="J59" s="13">
        <v>99</v>
      </c>
      <c r="K59" s="13">
        <v>78</v>
      </c>
      <c r="L59" s="13">
        <v>70</v>
      </c>
      <c r="M59" s="14">
        <v>60</v>
      </c>
      <c r="N59">
        <f t="shared" si="0"/>
        <v>60.6</v>
      </c>
      <c r="O59">
        <f t="shared" si="1"/>
        <v>4</v>
      </c>
      <c r="P59">
        <f t="shared" si="1"/>
        <v>8</v>
      </c>
      <c r="Q59">
        <f t="shared" si="1"/>
        <v>8</v>
      </c>
      <c r="R59">
        <f t="shared" si="1"/>
        <v>0</v>
      </c>
      <c r="S59">
        <v>1</v>
      </c>
      <c r="T59">
        <f t="shared" si="2"/>
        <v>25</v>
      </c>
      <c r="U59">
        <f t="shared" si="3"/>
        <v>35.6</v>
      </c>
      <c r="V59">
        <f t="shared" si="4"/>
        <v>0</v>
      </c>
    </row>
    <row r="60" spans="1:22" x14ac:dyDescent="0.35">
      <c r="A60" s="7" t="s">
        <v>106</v>
      </c>
      <c r="B60" s="8" t="s">
        <v>107</v>
      </c>
      <c r="C60" s="9">
        <v>3</v>
      </c>
      <c r="D60" s="9">
        <v>6</v>
      </c>
      <c r="E60" s="9">
        <v>3</v>
      </c>
      <c r="F60" s="9">
        <v>5</v>
      </c>
      <c r="G60" s="9">
        <v>4</v>
      </c>
      <c r="H60" s="9">
        <v>2</v>
      </c>
      <c r="I60" s="9">
        <v>94</v>
      </c>
      <c r="J60" s="9">
        <v>27</v>
      </c>
      <c r="K60" s="9">
        <v>20</v>
      </c>
      <c r="L60" s="9">
        <v>13</v>
      </c>
      <c r="M60" s="10">
        <v>49</v>
      </c>
      <c r="N60">
        <f t="shared" si="0"/>
        <v>43.3</v>
      </c>
      <c r="O60">
        <f t="shared" si="1"/>
        <v>4</v>
      </c>
      <c r="P60">
        <f t="shared" si="1"/>
        <v>8</v>
      </c>
      <c r="Q60">
        <f t="shared" si="1"/>
        <v>6</v>
      </c>
      <c r="R60">
        <f t="shared" si="1"/>
        <v>0</v>
      </c>
      <c r="S60">
        <v>1</v>
      </c>
      <c r="T60">
        <f t="shared" si="2"/>
        <v>23</v>
      </c>
      <c r="U60">
        <f t="shared" si="3"/>
        <v>20.3</v>
      </c>
      <c r="V60">
        <f t="shared" si="4"/>
        <v>1</v>
      </c>
    </row>
    <row r="61" spans="1:22" x14ac:dyDescent="0.35">
      <c r="A61" s="11" t="s">
        <v>108</v>
      </c>
      <c r="B61" s="12" t="s">
        <v>83</v>
      </c>
      <c r="C61" s="13">
        <v>8</v>
      </c>
      <c r="D61" s="13">
        <v>4</v>
      </c>
      <c r="E61" s="13">
        <v>5</v>
      </c>
      <c r="F61" s="13">
        <v>6</v>
      </c>
      <c r="G61" s="13">
        <v>6</v>
      </c>
      <c r="H61" s="13">
        <v>2</v>
      </c>
      <c r="I61" s="13">
        <v>94</v>
      </c>
      <c r="J61" s="13">
        <v>99</v>
      </c>
      <c r="K61" s="13">
        <v>87</v>
      </c>
      <c r="L61" s="13">
        <v>99</v>
      </c>
      <c r="M61" s="14">
        <v>62</v>
      </c>
      <c r="N61">
        <f t="shared" si="0"/>
        <v>80.099999999999994</v>
      </c>
      <c r="O61">
        <f t="shared" si="1"/>
        <v>8</v>
      </c>
      <c r="P61">
        <f t="shared" si="1"/>
        <v>10</v>
      </c>
      <c r="Q61">
        <f t="shared" si="1"/>
        <v>10</v>
      </c>
      <c r="R61">
        <f t="shared" si="1"/>
        <v>0</v>
      </c>
      <c r="S61">
        <v>1</v>
      </c>
      <c r="T61">
        <f t="shared" si="2"/>
        <v>36</v>
      </c>
      <c r="U61">
        <f t="shared" si="3"/>
        <v>44.1</v>
      </c>
      <c r="V61">
        <f t="shared" si="4"/>
        <v>0</v>
      </c>
    </row>
    <row r="62" spans="1:22" x14ac:dyDescent="0.35">
      <c r="A62" s="7" t="s">
        <v>109</v>
      </c>
      <c r="B62" s="8" t="s">
        <v>110</v>
      </c>
      <c r="C62" s="9">
        <v>8</v>
      </c>
      <c r="D62" s="9">
        <v>2</v>
      </c>
      <c r="E62" s="9">
        <v>4</v>
      </c>
      <c r="F62" s="9">
        <v>5</v>
      </c>
      <c r="G62" s="9">
        <v>2</v>
      </c>
      <c r="H62" s="9">
        <v>4</v>
      </c>
      <c r="I62" s="9">
        <v>20</v>
      </c>
      <c r="J62" s="9">
        <v>78</v>
      </c>
      <c r="K62" s="9">
        <v>54</v>
      </c>
      <c r="L62" s="9">
        <v>34</v>
      </c>
      <c r="M62" s="10">
        <v>95</v>
      </c>
      <c r="N62">
        <f t="shared" si="0"/>
        <v>56.1</v>
      </c>
      <c r="O62">
        <f t="shared" si="1"/>
        <v>6</v>
      </c>
      <c r="P62">
        <f t="shared" si="1"/>
        <v>8</v>
      </c>
      <c r="Q62">
        <f t="shared" si="1"/>
        <v>0</v>
      </c>
      <c r="R62">
        <f t="shared" si="1"/>
        <v>6</v>
      </c>
      <c r="S62">
        <v>1</v>
      </c>
      <c r="T62">
        <f t="shared" si="2"/>
        <v>28</v>
      </c>
      <c r="U62">
        <f t="shared" si="3"/>
        <v>28.1</v>
      </c>
      <c r="V62">
        <f t="shared" si="4"/>
        <v>0</v>
      </c>
    </row>
    <row r="63" spans="1:22" x14ac:dyDescent="0.35">
      <c r="A63" s="11" t="s">
        <v>111</v>
      </c>
      <c r="B63" s="12" t="s">
        <v>74</v>
      </c>
      <c r="C63" s="13">
        <v>5</v>
      </c>
      <c r="D63" s="13">
        <v>2</v>
      </c>
      <c r="E63" s="13">
        <v>4</v>
      </c>
      <c r="F63" s="13">
        <v>5</v>
      </c>
      <c r="G63" s="13">
        <v>5</v>
      </c>
      <c r="H63" s="13">
        <v>3</v>
      </c>
      <c r="I63" s="13">
        <v>39</v>
      </c>
      <c r="J63" s="13">
        <v>16</v>
      </c>
      <c r="K63" s="13">
        <v>8</v>
      </c>
      <c r="L63" s="13">
        <v>66</v>
      </c>
      <c r="M63" s="14">
        <v>29</v>
      </c>
      <c r="N63">
        <f t="shared" si="0"/>
        <v>46.8</v>
      </c>
      <c r="O63">
        <f t="shared" si="1"/>
        <v>6</v>
      </c>
      <c r="P63">
        <f t="shared" si="1"/>
        <v>8</v>
      </c>
      <c r="Q63">
        <f t="shared" si="1"/>
        <v>8</v>
      </c>
      <c r="R63">
        <f t="shared" si="1"/>
        <v>4</v>
      </c>
      <c r="S63">
        <v>1</v>
      </c>
      <c r="T63">
        <f t="shared" si="2"/>
        <v>31</v>
      </c>
      <c r="U63">
        <f t="shared" si="3"/>
        <v>15.8</v>
      </c>
      <c r="V63">
        <f t="shared" si="4"/>
        <v>1</v>
      </c>
    </row>
    <row r="64" spans="1:22" x14ac:dyDescent="0.35">
      <c r="A64" s="7" t="s">
        <v>112</v>
      </c>
      <c r="B64" s="8" t="s">
        <v>113</v>
      </c>
      <c r="C64" s="9">
        <v>0</v>
      </c>
      <c r="D64" s="9">
        <v>6</v>
      </c>
      <c r="E64" s="9">
        <v>3</v>
      </c>
      <c r="F64" s="9">
        <v>5</v>
      </c>
      <c r="G64" s="9">
        <v>4</v>
      </c>
      <c r="H64" s="9">
        <v>2</v>
      </c>
      <c r="I64" s="9">
        <v>77</v>
      </c>
      <c r="J64" s="9">
        <v>80</v>
      </c>
      <c r="K64" s="9">
        <v>92</v>
      </c>
      <c r="L64" s="9">
        <v>43</v>
      </c>
      <c r="M64" s="10">
        <v>100</v>
      </c>
      <c r="N64">
        <f t="shared" si="0"/>
        <v>59.2</v>
      </c>
      <c r="O64">
        <f t="shared" si="1"/>
        <v>4</v>
      </c>
      <c r="P64">
        <f t="shared" si="1"/>
        <v>8</v>
      </c>
      <c r="Q64">
        <f t="shared" si="1"/>
        <v>6</v>
      </c>
      <c r="R64">
        <f t="shared" si="1"/>
        <v>0</v>
      </c>
      <c r="S64">
        <v>1</v>
      </c>
      <c r="T64">
        <f t="shared" si="2"/>
        <v>20</v>
      </c>
      <c r="U64">
        <f t="shared" si="3"/>
        <v>39.200000000000003</v>
      </c>
      <c r="V64">
        <f t="shared" si="4"/>
        <v>0</v>
      </c>
    </row>
    <row r="65" spans="1:22" x14ac:dyDescent="0.35">
      <c r="A65" s="11" t="s">
        <v>114</v>
      </c>
      <c r="B65" s="12" t="s">
        <v>101</v>
      </c>
      <c r="C65" s="13">
        <v>1</v>
      </c>
      <c r="D65" s="13">
        <v>4</v>
      </c>
      <c r="E65" s="13">
        <v>6</v>
      </c>
      <c r="F65" s="13">
        <v>3</v>
      </c>
      <c r="G65" s="13">
        <v>4</v>
      </c>
      <c r="H65" s="13">
        <v>2</v>
      </c>
      <c r="I65" s="13">
        <v>70</v>
      </c>
      <c r="J65" s="13">
        <v>39</v>
      </c>
      <c r="K65" s="13">
        <v>65</v>
      </c>
      <c r="L65" s="13">
        <v>57</v>
      </c>
      <c r="M65" s="14">
        <v>90</v>
      </c>
      <c r="N65">
        <f t="shared" si="0"/>
        <v>53.1</v>
      </c>
      <c r="O65">
        <f t="shared" si="1"/>
        <v>10</v>
      </c>
      <c r="P65">
        <f t="shared" si="1"/>
        <v>4</v>
      </c>
      <c r="Q65">
        <f t="shared" si="1"/>
        <v>6</v>
      </c>
      <c r="R65">
        <f t="shared" si="1"/>
        <v>0</v>
      </c>
      <c r="S65">
        <v>1</v>
      </c>
      <c r="T65">
        <f t="shared" si="2"/>
        <v>21</v>
      </c>
      <c r="U65">
        <f t="shared" si="3"/>
        <v>32.1</v>
      </c>
      <c r="V65">
        <f t="shared" si="4"/>
        <v>0</v>
      </c>
    </row>
    <row r="66" spans="1:22" x14ac:dyDescent="0.35">
      <c r="A66" s="7" t="s">
        <v>115</v>
      </c>
      <c r="B66" s="8" t="s">
        <v>41</v>
      </c>
      <c r="C66" s="9">
        <v>0</v>
      </c>
      <c r="D66" s="9">
        <v>4</v>
      </c>
      <c r="E66" s="9">
        <v>5</v>
      </c>
      <c r="F66" s="9">
        <v>4</v>
      </c>
      <c r="G66" s="9">
        <v>6</v>
      </c>
      <c r="H66" s="9">
        <v>2</v>
      </c>
      <c r="I66" s="9">
        <v>4</v>
      </c>
      <c r="J66" s="9">
        <v>85</v>
      </c>
      <c r="K66" s="9">
        <v>83</v>
      </c>
      <c r="L66" s="9">
        <v>10</v>
      </c>
      <c r="M66" s="10">
        <v>33</v>
      </c>
      <c r="N66">
        <f t="shared" si="0"/>
        <v>45.5</v>
      </c>
      <c r="O66">
        <f t="shared" si="1"/>
        <v>8</v>
      </c>
      <c r="P66">
        <f t="shared" si="1"/>
        <v>6</v>
      </c>
      <c r="Q66">
        <f t="shared" si="1"/>
        <v>10</v>
      </c>
      <c r="R66">
        <f t="shared" ref="R66:R129" si="5">IF(H66=2,0,IF(H66=3,4,IF(H66=4,6,IF(H66=5,8,IF(H66=6,10,0)))))</f>
        <v>0</v>
      </c>
      <c r="S66">
        <v>1</v>
      </c>
      <c r="T66">
        <f t="shared" si="2"/>
        <v>24</v>
      </c>
      <c r="U66">
        <f t="shared" si="3"/>
        <v>21.5</v>
      </c>
      <c r="V66">
        <f t="shared" si="4"/>
        <v>1</v>
      </c>
    </row>
    <row r="67" spans="1:22" x14ac:dyDescent="0.35">
      <c r="A67" s="11" t="s">
        <v>116</v>
      </c>
      <c r="B67" s="12" t="s">
        <v>117</v>
      </c>
      <c r="C67" s="13">
        <v>8</v>
      </c>
      <c r="D67" s="13">
        <v>5</v>
      </c>
      <c r="E67" s="13">
        <v>5</v>
      </c>
      <c r="F67" s="13">
        <v>4</v>
      </c>
      <c r="G67" s="13">
        <v>3</v>
      </c>
      <c r="H67" s="13">
        <v>3</v>
      </c>
      <c r="I67" s="13">
        <v>80</v>
      </c>
      <c r="J67" s="13">
        <v>91</v>
      </c>
      <c r="K67" s="13">
        <v>16</v>
      </c>
      <c r="L67" s="13">
        <v>12</v>
      </c>
      <c r="M67" s="14">
        <v>73</v>
      </c>
      <c r="N67">
        <f t="shared" ref="N67:N130" si="6">C67+IF(D67=6,2,0) +SUM(O67:R67) +SUM(I67:M67)/10</f>
        <v>57.2</v>
      </c>
      <c r="O67">
        <f t="shared" ref="O67:R130" si="7">IF(E67=2,0,IF(E67=3,4,IF(E67=4,6,IF(E67=5,8,IF(E67=6,10,0)))))</f>
        <v>8</v>
      </c>
      <c r="P67">
        <f t="shared" si="7"/>
        <v>6</v>
      </c>
      <c r="Q67">
        <f t="shared" si="7"/>
        <v>4</v>
      </c>
      <c r="R67">
        <f t="shared" si="5"/>
        <v>4</v>
      </c>
      <c r="S67">
        <v>1</v>
      </c>
      <c r="T67">
        <f t="shared" ref="T67:T130" si="8">C67+IF(D67=6,2,0) +SUM(O67:R67)</f>
        <v>30</v>
      </c>
      <c r="U67">
        <f t="shared" ref="U67:U130" si="9">SUM(I67:M67)/10</f>
        <v>27.2</v>
      </c>
      <c r="V67">
        <f t="shared" ref="V67:V130" si="10">IF(T67&gt;U67,1,0)</f>
        <v>1</v>
      </c>
    </row>
    <row r="68" spans="1:22" x14ac:dyDescent="0.35">
      <c r="A68" s="7" t="s">
        <v>118</v>
      </c>
      <c r="B68" s="8" t="s">
        <v>119</v>
      </c>
      <c r="C68" s="9">
        <v>6</v>
      </c>
      <c r="D68" s="9">
        <v>6</v>
      </c>
      <c r="E68" s="9">
        <v>2</v>
      </c>
      <c r="F68" s="9">
        <v>3</v>
      </c>
      <c r="G68" s="9">
        <v>6</v>
      </c>
      <c r="H68" s="9">
        <v>5</v>
      </c>
      <c r="I68" s="9">
        <v>27</v>
      </c>
      <c r="J68" s="9">
        <v>6</v>
      </c>
      <c r="K68" s="9">
        <v>19</v>
      </c>
      <c r="L68" s="9">
        <v>61</v>
      </c>
      <c r="M68" s="10">
        <v>63</v>
      </c>
      <c r="N68">
        <f t="shared" si="6"/>
        <v>47.6</v>
      </c>
      <c r="O68">
        <f t="shared" si="7"/>
        <v>0</v>
      </c>
      <c r="P68">
        <f t="shared" si="7"/>
        <v>4</v>
      </c>
      <c r="Q68">
        <f t="shared" si="7"/>
        <v>10</v>
      </c>
      <c r="R68">
        <f t="shared" si="5"/>
        <v>8</v>
      </c>
      <c r="S68">
        <v>1</v>
      </c>
      <c r="T68">
        <f t="shared" si="8"/>
        <v>30</v>
      </c>
      <c r="U68">
        <f t="shared" si="9"/>
        <v>17.600000000000001</v>
      </c>
      <c r="V68">
        <f t="shared" si="10"/>
        <v>1</v>
      </c>
    </row>
    <row r="69" spans="1:22" x14ac:dyDescent="0.35">
      <c r="A69" s="11" t="s">
        <v>120</v>
      </c>
      <c r="B69" s="12" t="s">
        <v>121</v>
      </c>
      <c r="C69" s="13">
        <v>0</v>
      </c>
      <c r="D69" s="13">
        <v>5</v>
      </c>
      <c r="E69" s="13">
        <v>5</v>
      </c>
      <c r="F69" s="13">
        <v>3</v>
      </c>
      <c r="G69" s="13">
        <v>2</v>
      </c>
      <c r="H69" s="13">
        <v>6</v>
      </c>
      <c r="I69" s="13">
        <v>26</v>
      </c>
      <c r="J69" s="13">
        <v>23</v>
      </c>
      <c r="K69" s="13">
        <v>48</v>
      </c>
      <c r="L69" s="13">
        <v>73</v>
      </c>
      <c r="M69" s="14">
        <v>63</v>
      </c>
      <c r="N69">
        <f t="shared" si="6"/>
        <v>45.3</v>
      </c>
      <c r="O69">
        <f t="shared" si="7"/>
        <v>8</v>
      </c>
      <c r="P69">
        <f t="shared" si="7"/>
        <v>4</v>
      </c>
      <c r="Q69">
        <f t="shared" si="7"/>
        <v>0</v>
      </c>
      <c r="R69">
        <f t="shared" si="5"/>
        <v>10</v>
      </c>
      <c r="S69">
        <v>1</v>
      </c>
      <c r="T69">
        <f t="shared" si="8"/>
        <v>22</v>
      </c>
      <c r="U69">
        <f t="shared" si="9"/>
        <v>23.3</v>
      </c>
      <c r="V69">
        <f t="shared" si="10"/>
        <v>0</v>
      </c>
    </row>
    <row r="70" spans="1:22" x14ac:dyDescent="0.35">
      <c r="A70" s="7" t="s">
        <v>122</v>
      </c>
      <c r="B70" s="8" t="s">
        <v>121</v>
      </c>
      <c r="C70" s="9">
        <v>8</v>
      </c>
      <c r="D70" s="9">
        <v>3</v>
      </c>
      <c r="E70" s="9">
        <v>5</v>
      </c>
      <c r="F70" s="9">
        <v>5</v>
      </c>
      <c r="G70" s="9">
        <v>6</v>
      </c>
      <c r="H70" s="9">
        <v>3</v>
      </c>
      <c r="I70" s="9">
        <v>28</v>
      </c>
      <c r="J70" s="9">
        <v>69</v>
      </c>
      <c r="K70" s="9">
        <v>99</v>
      </c>
      <c r="L70" s="9">
        <v>45</v>
      </c>
      <c r="M70" s="10">
        <v>61</v>
      </c>
      <c r="N70">
        <f t="shared" si="6"/>
        <v>68.2</v>
      </c>
      <c r="O70">
        <f t="shared" si="7"/>
        <v>8</v>
      </c>
      <c r="P70">
        <f t="shared" si="7"/>
        <v>8</v>
      </c>
      <c r="Q70">
        <f t="shared" si="7"/>
        <v>10</v>
      </c>
      <c r="R70">
        <f t="shared" si="5"/>
        <v>4</v>
      </c>
      <c r="S70">
        <v>1</v>
      </c>
      <c r="T70">
        <f t="shared" si="8"/>
        <v>38</v>
      </c>
      <c r="U70">
        <f t="shared" si="9"/>
        <v>30.2</v>
      </c>
      <c r="V70">
        <f t="shared" si="10"/>
        <v>1</v>
      </c>
    </row>
    <row r="71" spans="1:22" x14ac:dyDescent="0.35">
      <c r="A71" s="11" t="s">
        <v>123</v>
      </c>
      <c r="B71" s="12" t="s">
        <v>119</v>
      </c>
      <c r="C71" s="13">
        <v>1</v>
      </c>
      <c r="D71" s="13">
        <v>2</v>
      </c>
      <c r="E71" s="13">
        <v>3</v>
      </c>
      <c r="F71" s="13">
        <v>2</v>
      </c>
      <c r="G71" s="13">
        <v>3</v>
      </c>
      <c r="H71" s="13">
        <v>6</v>
      </c>
      <c r="I71" s="13">
        <v>51</v>
      </c>
      <c r="J71" s="13">
        <v>14</v>
      </c>
      <c r="K71" s="13">
        <v>33</v>
      </c>
      <c r="L71" s="13">
        <v>28</v>
      </c>
      <c r="M71" s="14">
        <v>43</v>
      </c>
      <c r="N71">
        <f t="shared" si="6"/>
        <v>35.9</v>
      </c>
      <c r="O71">
        <f t="shared" si="7"/>
        <v>4</v>
      </c>
      <c r="P71">
        <f t="shared" si="7"/>
        <v>0</v>
      </c>
      <c r="Q71">
        <f t="shared" si="7"/>
        <v>4</v>
      </c>
      <c r="R71">
        <f t="shared" si="5"/>
        <v>10</v>
      </c>
      <c r="S71">
        <v>1</v>
      </c>
      <c r="T71">
        <f t="shared" si="8"/>
        <v>19</v>
      </c>
      <c r="U71">
        <f t="shared" si="9"/>
        <v>16.899999999999999</v>
      </c>
      <c r="V71">
        <f t="shared" si="10"/>
        <v>1</v>
      </c>
    </row>
    <row r="72" spans="1:22" x14ac:dyDescent="0.35">
      <c r="A72" s="7" t="s">
        <v>124</v>
      </c>
      <c r="B72" s="8" t="s">
        <v>41</v>
      </c>
      <c r="C72" s="9">
        <v>3</v>
      </c>
      <c r="D72" s="9">
        <v>5</v>
      </c>
      <c r="E72" s="9">
        <v>6</v>
      </c>
      <c r="F72" s="9">
        <v>5</v>
      </c>
      <c r="G72" s="9">
        <v>2</v>
      </c>
      <c r="H72" s="9">
        <v>5</v>
      </c>
      <c r="I72" s="9">
        <v>73</v>
      </c>
      <c r="J72" s="9">
        <v>84</v>
      </c>
      <c r="K72" s="9">
        <v>48</v>
      </c>
      <c r="L72" s="9">
        <v>36</v>
      </c>
      <c r="M72" s="10">
        <v>4</v>
      </c>
      <c r="N72">
        <f t="shared" si="6"/>
        <v>53.5</v>
      </c>
      <c r="O72">
        <f t="shared" si="7"/>
        <v>10</v>
      </c>
      <c r="P72">
        <f t="shared" si="7"/>
        <v>8</v>
      </c>
      <c r="Q72">
        <f t="shared" si="7"/>
        <v>0</v>
      </c>
      <c r="R72">
        <f t="shared" si="5"/>
        <v>8</v>
      </c>
      <c r="S72">
        <v>1</v>
      </c>
      <c r="T72">
        <f t="shared" si="8"/>
        <v>29</v>
      </c>
      <c r="U72">
        <f t="shared" si="9"/>
        <v>24.5</v>
      </c>
      <c r="V72">
        <f t="shared" si="10"/>
        <v>1</v>
      </c>
    </row>
    <row r="73" spans="1:22" x14ac:dyDescent="0.35">
      <c r="A73" s="11" t="s">
        <v>125</v>
      </c>
      <c r="B73" s="12" t="s">
        <v>126</v>
      </c>
      <c r="C73" s="13">
        <v>4</v>
      </c>
      <c r="D73" s="13">
        <v>4</v>
      </c>
      <c r="E73" s="13">
        <v>5</v>
      </c>
      <c r="F73" s="13">
        <v>5</v>
      </c>
      <c r="G73" s="13">
        <v>3</v>
      </c>
      <c r="H73" s="13">
        <v>6</v>
      </c>
      <c r="I73" s="13">
        <v>44</v>
      </c>
      <c r="J73" s="13">
        <v>16</v>
      </c>
      <c r="K73" s="13">
        <v>68</v>
      </c>
      <c r="L73" s="13">
        <v>55</v>
      </c>
      <c r="M73" s="14">
        <v>66</v>
      </c>
      <c r="N73">
        <f t="shared" si="6"/>
        <v>58.9</v>
      </c>
      <c r="O73">
        <f t="shared" si="7"/>
        <v>8</v>
      </c>
      <c r="P73">
        <f t="shared" si="7"/>
        <v>8</v>
      </c>
      <c r="Q73">
        <f t="shared" si="7"/>
        <v>4</v>
      </c>
      <c r="R73">
        <f t="shared" si="5"/>
        <v>10</v>
      </c>
      <c r="S73">
        <v>1</v>
      </c>
      <c r="T73">
        <f t="shared" si="8"/>
        <v>34</v>
      </c>
      <c r="U73">
        <f t="shared" si="9"/>
        <v>24.9</v>
      </c>
      <c r="V73">
        <f t="shared" si="10"/>
        <v>1</v>
      </c>
    </row>
    <row r="74" spans="1:22" x14ac:dyDescent="0.35">
      <c r="A74" s="7" t="s">
        <v>127</v>
      </c>
      <c r="B74" s="8" t="s">
        <v>90</v>
      </c>
      <c r="C74" s="9">
        <v>2</v>
      </c>
      <c r="D74" s="9">
        <v>6</v>
      </c>
      <c r="E74" s="9">
        <v>6</v>
      </c>
      <c r="F74" s="9">
        <v>3</v>
      </c>
      <c r="G74" s="9">
        <v>6</v>
      </c>
      <c r="H74" s="9">
        <v>2</v>
      </c>
      <c r="I74" s="9">
        <v>71</v>
      </c>
      <c r="J74" s="9">
        <v>95</v>
      </c>
      <c r="K74" s="9">
        <v>90</v>
      </c>
      <c r="L74" s="9">
        <v>50</v>
      </c>
      <c r="M74" s="10">
        <v>91</v>
      </c>
      <c r="N74">
        <f t="shared" si="6"/>
        <v>67.7</v>
      </c>
      <c r="O74">
        <f t="shared" si="7"/>
        <v>10</v>
      </c>
      <c r="P74">
        <f t="shared" si="7"/>
        <v>4</v>
      </c>
      <c r="Q74">
        <f t="shared" si="7"/>
        <v>10</v>
      </c>
      <c r="R74">
        <f t="shared" si="5"/>
        <v>0</v>
      </c>
      <c r="S74">
        <v>1</v>
      </c>
      <c r="T74">
        <f t="shared" si="8"/>
        <v>28</v>
      </c>
      <c r="U74">
        <f t="shared" si="9"/>
        <v>39.700000000000003</v>
      </c>
      <c r="V74">
        <f t="shared" si="10"/>
        <v>0</v>
      </c>
    </row>
    <row r="75" spans="1:22" x14ac:dyDescent="0.35">
      <c r="A75" s="11" t="s">
        <v>128</v>
      </c>
      <c r="B75" s="12" t="s">
        <v>45</v>
      </c>
      <c r="C75" s="13">
        <v>5</v>
      </c>
      <c r="D75" s="13">
        <v>5</v>
      </c>
      <c r="E75" s="13">
        <v>2</v>
      </c>
      <c r="F75" s="13">
        <v>6</v>
      </c>
      <c r="G75" s="13">
        <v>2</v>
      </c>
      <c r="H75" s="13">
        <v>2</v>
      </c>
      <c r="I75" s="13">
        <v>90</v>
      </c>
      <c r="J75" s="13">
        <v>88</v>
      </c>
      <c r="K75" s="13">
        <v>73</v>
      </c>
      <c r="L75" s="13">
        <v>83</v>
      </c>
      <c r="M75" s="14">
        <v>51</v>
      </c>
      <c r="N75">
        <f t="shared" si="6"/>
        <v>53.5</v>
      </c>
      <c r="O75">
        <f t="shared" si="7"/>
        <v>0</v>
      </c>
      <c r="P75">
        <f t="shared" si="7"/>
        <v>10</v>
      </c>
      <c r="Q75">
        <f t="shared" si="7"/>
        <v>0</v>
      </c>
      <c r="R75">
        <f t="shared" si="5"/>
        <v>0</v>
      </c>
      <c r="S75">
        <v>1</v>
      </c>
      <c r="T75">
        <f t="shared" si="8"/>
        <v>15</v>
      </c>
      <c r="U75">
        <f t="shared" si="9"/>
        <v>38.5</v>
      </c>
      <c r="V75">
        <f t="shared" si="10"/>
        <v>0</v>
      </c>
    </row>
    <row r="76" spans="1:22" x14ac:dyDescent="0.35">
      <c r="A76" s="7" t="s">
        <v>129</v>
      </c>
      <c r="B76" s="8" t="s">
        <v>130</v>
      </c>
      <c r="C76" s="9">
        <v>1</v>
      </c>
      <c r="D76" s="9">
        <v>5</v>
      </c>
      <c r="E76" s="9">
        <v>2</v>
      </c>
      <c r="F76" s="9">
        <v>2</v>
      </c>
      <c r="G76" s="9">
        <v>3</v>
      </c>
      <c r="H76" s="9">
        <v>5</v>
      </c>
      <c r="I76" s="9">
        <v>11</v>
      </c>
      <c r="J76" s="9">
        <v>24</v>
      </c>
      <c r="K76" s="9">
        <v>35</v>
      </c>
      <c r="L76" s="9">
        <v>70</v>
      </c>
      <c r="M76" s="10">
        <v>6</v>
      </c>
      <c r="N76">
        <f t="shared" si="6"/>
        <v>27.6</v>
      </c>
      <c r="O76">
        <f t="shared" si="7"/>
        <v>0</v>
      </c>
      <c r="P76">
        <f t="shared" si="7"/>
        <v>0</v>
      </c>
      <c r="Q76">
        <f t="shared" si="7"/>
        <v>4</v>
      </c>
      <c r="R76">
        <f t="shared" si="5"/>
        <v>8</v>
      </c>
      <c r="S76">
        <v>1</v>
      </c>
      <c r="T76">
        <f t="shared" si="8"/>
        <v>13</v>
      </c>
      <c r="U76">
        <f t="shared" si="9"/>
        <v>14.6</v>
      </c>
      <c r="V76">
        <f t="shared" si="10"/>
        <v>0</v>
      </c>
    </row>
    <row r="77" spans="1:22" x14ac:dyDescent="0.35">
      <c r="A77" s="11" t="s">
        <v>131</v>
      </c>
      <c r="B77" s="12" t="s">
        <v>70</v>
      </c>
      <c r="C77" s="13">
        <v>5</v>
      </c>
      <c r="D77" s="13">
        <v>2</v>
      </c>
      <c r="E77" s="13">
        <v>2</v>
      </c>
      <c r="F77" s="13">
        <v>6</v>
      </c>
      <c r="G77" s="13">
        <v>5</v>
      </c>
      <c r="H77" s="13">
        <v>6</v>
      </c>
      <c r="I77" s="13">
        <v>44</v>
      </c>
      <c r="J77" s="13">
        <v>43</v>
      </c>
      <c r="K77" s="13">
        <v>19</v>
      </c>
      <c r="L77" s="13">
        <v>86</v>
      </c>
      <c r="M77" s="14">
        <v>18</v>
      </c>
      <c r="N77">
        <f t="shared" si="6"/>
        <v>54</v>
      </c>
      <c r="O77">
        <f t="shared" si="7"/>
        <v>0</v>
      </c>
      <c r="P77">
        <f t="shared" si="7"/>
        <v>10</v>
      </c>
      <c r="Q77">
        <f t="shared" si="7"/>
        <v>8</v>
      </c>
      <c r="R77">
        <f t="shared" si="5"/>
        <v>10</v>
      </c>
      <c r="S77">
        <v>1</v>
      </c>
      <c r="T77">
        <f t="shared" si="8"/>
        <v>33</v>
      </c>
      <c r="U77">
        <f t="shared" si="9"/>
        <v>21</v>
      </c>
      <c r="V77">
        <f t="shared" si="10"/>
        <v>1</v>
      </c>
    </row>
    <row r="78" spans="1:22" x14ac:dyDescent="0.35">
      <c r="A78" s="7" t="s">
        <v>132</v>
      </c>
      <c r="B78" s="8" t="s">
        <v>133</v>
      </c>
      <c r="C78" s="9">
        <v>2</v>
      </c>
      <c r="D78" s="9">
        <v>5</v>
      </c>
      <c r="E78" s="9">
        <v>4</v>
      </c>
      <c r="F78" s="9">
        <v>3</v>
      </c>
      <c r="G78" s="9">
        <v>6</v>
      </c>
      <c r="H78" s="9">
        <v>6</v>
      </c>
      <c r="I78" s="9">
        <v>15</v>
      </c>
      <c r="J78" s="9">
        <v>69</v>
      </c>
      <c r="K78" s="9">
        <v>48</v>
      </c>
      <c r="L78" s="9">
        <v>14</v>
      </c>
      <c r="M78" s="10">
        <v>32</v>
      </c>
      <c r="N78">
        <f t="shared" si="6"/>
        <v>49.8</v>
      </c>
      <c r="O78">
        <f t="shared" si="7"/>
        <v>6</v>
      </c>
      <c r="P78">
        <f t="shared" si="7"/>
        <v>4</v>
      </c>
      <c r="Q78">
        <f t="shared" si="7"/>
        <v>10</v>
      </c>
      <c r="R78">
        <f t="shared" si="5"/>
        <v>10</v>
      </c>
      <c r="S78">
        <v>1</v>
      </c>
      <c r="T78">
        <f t="shared" si="8"/>
        <v>32</v>
      </c>
      <c r="U78">
        <f t="shared" si="9"/>
        <v>17.8</v>
      </c>
      <c r="V78">
        <f t="shared" si="10"/>
        <v>1</v>
      </c>
    </row>
    <row r="79" spans="1:22" x14ac:dyDescent="0.35">
      <c r="A79" s="11" t="s">
        <v>134</v>
      </c>
      <c r="B79" s="12" t="s">
        <v>45</v>
      </c>
      <c r="C79" s="13">
        <v>6</v>
      </c>
      <c r="D79" s="13">
        <v>3</v>
      </c>
      <c r="E79" s="13">
        <v>4</v>
      </c>
      <c r="F79" s="13">
        <v>5</v>
      </c>
      <c r="G79" s="13">
        <v>3</v>
      </c>
      <c r="H79" s="13">
        <v>4</v>
      </c>
      <c r="I79" s="13">
        <v>38</v>
      </c>
      <c r="J79" s="13">
        <v>48</v>
      </c>
      <c r="K79" s="13">
        <v>3</v>
      </c>
      <c r="L79" s="13">
        <v>38</v>
      </c>
      <c r="M79" s="14">
        <v>91</v>
      </c>
      <c r="N79">
        <f t="shared" si="6"/>
        <v>51.8</v>
      </c>
      <c r="O79">
        <f t="shared" si="7"/>
        <v>6</v>
      </c>
      <c r="P79">
        <f t="shared" si="7"/>
        <v>8</v>
      </c>
      <c r="Q79">
        <f t="shared" si="7"/>
        <v>4</v>
      </c>
      <c r="R79">
        <f t="shared" si="5"/>
        <v>6</v>
      </c>
      <c r="S79">
        <v>1</v>
      </c>
      <c r="T79">
        <f t="shared" si="8"/>
        <v>30</v>
      </c>
      <c r="U79">
        <f t="shared" si="9"/>
        <v>21.8</v>
      </c>
      <c r="V79">
        <f t="shared" si="10"/>
        <v>1</v>
      </c>
    </row>
    <row r="80" spans="1:22" x14ac:dyDescent="0.35">
      <c r="A80" s="7" t="s">
        <v>135</v>
      </c>
      <c r="B80" s="8" t="s">
        <v>38</v>
      </c>
      <c r="C80" s="9">
        <v>3</v>
      </c>
      <c r="D80" s="9">
        <v>6</v>
      </c>
      <c r="E80" s="9">
        <v>3</v>
      </c>
      <c r="F80" s="9">
        <v>6</v>
      </c>
      <c r="G80" s="9">
        <v>3</v>
      </c>
      <c r="H80" s="9">
        <v>5</v>
      </c>
      <c r="I80" s="9">
        <v>66</v>
      </c>
      <c r="J80" s="9">
        <v>42</v>
      </c>
      <c r="K80" s="9">
        <v>40</v>
      </c>
      <c r="L80" s="9">
        <v>91</v>
      </c>
      <c r="M80" s="10">
        <v>74</v>
      </c>
      <c r="N80">
        <f t="shared" si="6"/>
        <v>62.3</v>
      </c>
      <c r="O80">
        <f t="shared" si="7"/>
        <v>4</v>
      </c>
      <c r="P80">
        <f t="shared" si="7"/>
        <v>10</v>
      </c>
      <c r="Q80">
        <f t="shared" si="7"/>
        <v>4</v>
      </c>
      <c r="R80">
        <f t="shared" si="5"/>
        <v>8</v>
      </c>
      <c r="S80">
        <v>1</v>
      </c>
      <c r="T80">
        <f t="shared" si="8"/>
        <v>31</v>
      </c>
      <c r="U80">
        <f t="shared" si="9"/>
        <v>31.3</v>
      </c>
      <c r="V80">
        <f t="shared" si="10"/>
        <v>0</v>
      </c>
    </row>
    <row r="81" spans="1:22" x14ac:dyDescent="0.35">
      <c r="A81" s="11" t="s">
        <v>136</v>
      </c>
      <c r="B81" s="12" t="s">
        <v>137</v>
      </c>
      <c r="C81" s="13">
        <v>7</v>
      </c>
      <c r="D81" s="13">
        <v>4</v>
      </c>
      <c r="E81" s="13">
        <v>2</v>
      </c>
      <c r="F81" s="13">
        <v>4</v>
      </c>
      <c r="G81" s="13">
        <v>6</v>
      </c>
      <c r="H81" s="13">
        <v>5</v>
      </c>
      <c r="I81" s="13">
        <v>28</v>
      </c>
      <c r="J81" s="13">
        <v>1</v>
      </c>
      <c r="K81" s="13">
        <v>36</v>
      </c>
      <c r="L81" s="13">
        <v>63</v>
      </c>
      <c r="M81" s="14">
        <v>49</v>
      </c>
      <c r="N81">
        <f t="shared" si="6"/>
        <v>48.7</v>
      </c>
      <c r="O81">
        <f t="shared" si="7"/>
        <v>0</v>
      </c>
      <c r="P81">
        <f t="shared" si="7"/>
        <v>6</v>
      </c>
      <c r="Q81">
        <f t="shared" si="7"/>
        <v>10</v>
      </c>
      <c r="R81">
        <f t="shared" si="5"/>
        <v>8</v>
      </c>
      <c r="S81">
        <v>1</v>
      </c>
      <c r="T81">
        <f t="shared" si="8"/>
        <v>31</v>
      </c>
      <c r="U81">
        <f t="shared" si="9"/>
        <v>17.7</v>
      </c>
      <c r="V81">
        <f t="shared" si="10"/>
        <v>1</v>
      </c>
    </row>
    <row r="82" spans="1:22" x14ac:dyDescent="0.35">
      <c r="A82" s="7" t="s">
        <v>138</v>
      </c>
      <c r="B82" s="8" t="s">
        <v>139</v>
      </c>
      <c r="C82" s="9">
        <v>0</v>
      </c>
      <c r="D82" s="9">
        <v>6</v>
      </c>
      <c r="E82" s="9">
        <v>5</v>
      </c>
      <c r="F82" s="9">
        <v>6</v>
      </c>
      <c r="G82" s="9">
        <v>5</v>
      </c>
      <c r="H82" s="9">
        <v>6</v>
      </c>
      <c r="I82" s="9">
        <v>12</v>
      </c>
      <c r="J82" s="9">
        <v>20</v>
      </c>
      <c r="K82" s="9">
        <v>10</v>
      </c>
      <c r="L82" s="9">
        <v>73</v>
      </c>
      <c r="M82" s="10">
        <v>68</v>
      </c>
      <c r="N82">
        <f t="shared" si="6"/>
        <v>56.3</v>
      </c>
      <c r="O82">
        <f t="shared" si="7"/>
        <v>8</v>
      </c>
      <c r="P82">
        <f t="shared" si="7"/>
        <v>10</v>
      </c>
      <c r="Q82">
        <f t="shared" si="7"/>
        <v>8</v>
      </c>
      <c r="R82">
        <f t="shared" si="5"/>
        <v>10</v>
      </c>
      <c r="S82">
        <v>1</v>
      </c>
      <c r="T82">
        <f t="shared" si="8"/>
        <v>38</v>
      </c>
      <c r="U82">
        <f t="shared" si="9"/>
        <v>18.3</v>
      </c>
      <c r="V82">
        <f t="shared" si="10"/>
        <v>1</v>
      </c>
    </row>
    <row r="83" spans="1:22" x14ac:dyDescent="0.35">
      <c r="A83" s="11" t="s">
        <v>140</v>
      </c>
      <c r="B83" s="12" t="s">
        <v>45</v>
      </c>
      <c r="C83" s="13">
        <v>4</v>
      </c>
      <c r="D83" s="13">
        <v>5</v>
      </c>
      <c r="E83" s="13">
        <v>4</v>
      </c>
      <c r="F83" s="13">
        <v>2</v>
      </c>
      <c r="G83" s="13">
        <v>3</v>
      </c>
      <c r="H83" s="13">
        <v>4</v>
      </c>
      <c r="I83" s="13">
        <v>21</v>
      </c>
      <c r="J83" s="13">
        <v>58</v>
      </c>
      <c r="K83" s="13">
        <v>66</v>
      </c>
      <c r="L83" s="13">
        <v>93</v>
      </c>
      <c r="M83" s="14">
        <v>89</v>
      </c>
      <c r="N83">
        <f t="shared" si="6"/>
        <v>52.7</v>
      </c>
      <c r="O83">
        <f t="shared" si="7"/>
        <v>6</v>
      </c>
      <c r="P83">
        <f t="shared" si="7"/>
        <v>0</v>
      </c>
      <c r="Q83">
        <f t="shared" si="7"/>
        <v>4</v>
      </c>
      <c r="R83">
        <f t="shared" si="5"/>
        <v>6</v>
      </c>
      <c r="S83">
        <v>1</v>
      </c>
      <c r="T83">
        <f t="shared" si="8"/>
        <v>20</v>
      </c>
      <c r="U83">
        <f t="shared" si="9"/>
        <v>32.700000000000003</v>
      </c>
      <c r="V83">
        <f t="shared" si="10"/>
        <v>0</v>
      </c>
    </row>
    <row r="84" spans="1:22" x14ac:dyDescent="0.35">
      <c r="A84" s="7" t="s">
        <v>141</v>
      </c>
      <c r="B84" s="8" t="s">
        <v>99</v>
      </c>
      <c r="C84" s="9">
        <v>0</v>
      </c>
      <c r="D84" s="9">
        <v>2</v>
      </c>
      <c r="E84" s="9">
        <v>2</v>
      </c>
      <c r="F84" s="9">
        <v>4</v>
      </c>
      <c r="G84" s="9">
        <v>3</v>
      </c>
      <c r="H84" s="9">
        <v>3</v>
      </c>
      <c r="I84" s="9">
        <v>3</v>
      </c>
      <c r="J84" s="9">
        <v>25</v>
      </c>
      <c r="K84" s="9">
        <v>93</v>
      </c>
      <c r="L84" s="9">
        <v>92</v>
      </c>
      <c r="M84" s="10">
        <v>73</v>
      </c>
      <c r="N84">
        <f t="shared" si="6"/>
        <v>42.6</v>
      </c>
      <c r="O84">
        <f t="shared" si="7"/>
        <v>0</v>
      </c>
      <c r="P84">
        <f t="shared" si="7"/>
        <v>6</v>
      </c>
      <c r="Q84">
        <f t="shared" si="7"/>
        <v>4</v>
      </c>
      <c r="R84">
        <f t="shared" si="5"/>
        <v>4</v>
      </c>
      <c r="S84">
        <v>1</v>
      </c>
      <c r="T84">
        <f t="shared" si="8"/>
        <v>14</v>
      </c>
      <c r="U84">
        <f t="shared" si="9"/>
        <v>28.6</v>
      </c>
      <c r="V84">
        <f t="shared" si="10"/>
        <v>0</v>
      </c>
    </row>
    <row r="85" spans="1:22" x14ac:dyDescent="0.35">
      <c r="A85" s="11" t="s">
        <v>142</v>
      </c>
      <c r="B85" s="12" t="s">
        <v>130</v>
      </c>
      <c r="C85" s="13">
        <v>4</v>
      </c>
      <c r="D85" s="13">
        <v>4</v>
      </c>
      <c r="E85" s="13">
        <v>2</v>
      </c>
      <c r="F85" s="13">
        <v>6</v>
      </c>
      <c r="G85" s="13">
        <v>5</v>
      </c>
      <c r="H85" s="13">
        <v>2</v>
      </c>
      <c r="I85" s="13">
        <v>81</v>
      </c>
      <c r="J85" s="13">
        <v>5</v>
      </c>
      <c r="K85" s="13">
        <v>60</v>
      </c>
      <c r="L85" s="13">
        <v>2</v>
      </c>
      <c r="M85" s="14">
        <v>91</v>
      </c>
      <c r="N85">
        <f t="shared" si="6"/>
        <v>45.9</v>
      </c>
      <c r="O85">
        <f t="shared" si="7"/>
        <v>0</v>
      </c>
      <c r="P85">
        <f t="shared" si="7"/>
        <v>10</v>
      </c>
      <c r="Q85">
        <f t="shared" si="7"/>
        <v>8</v>
      </c>
      <c r="R85">
        <f t="shared" si="5"/>
        <v>0</v>
      </c>
      <c r="S85">
        <v>1</v>
      </c>
      <c r="T85">
        <f t="shared" si="8"/>
        <v>22</v>
      </c>
      <c r="U85">
        <f t="shared" si="9"/>
        <v>23.9</v>
      </c>
      <c r="V85">
        <f t="shared" si="10"/>
        <v>0</v>
      </c>
    </row>
    <row r="86" spans="1:22" x14ac:dyDescent="0.35">
      <c r="A86" s="7" t="s">
        <v>143</v>
      </c>
      <c r="B86" s="8" t="s">
        <v>70</v>
      </c>
      <c r="C86" s="9">
        <v>1</v>
      </c>
      <c r="D86" s="9">
        <v>4</v>
      </c>
      <c r="E86" s="9">
        <v>6</v>
      </c>
      <c r="F86" s="9">
        <v>4</v>
      </c>
      <c r="G86" s="9">
        <v>3</v>
      </c>
      <c r="H86" s="9">
        <v>6</v>
      </c>
      <c r="I86" s="9">
        <v>100</v>
      </c>
      <c r="J86" s="9">
        <v>100</v>
      </c>
      <c r="K86" s="9">
        <v>100</v>
      </c>
      <c r="L86" s="9">
        <v>36</v>
      </c>
      <c r="M86" s="10">
        <v>10</v>
      </c>
      <c r="N86">
        <f t="shared" si="6"/>
        <v>65.599999999999994</v>
      </c>
      <c r="O86">
        <f t="shared" si="7"/>
        <v>10</v>
      </c>
      <c r="P86">
        <f t="shared" si="7"/>
        <v>6</v>
      </c>
      <c r="Q86">
        <f t="shared" si="7"/>
        <v>4</v>
      </c>
      <c r="R86">
        <f t="shared" si="5"/>
        <v>10</v>
      </c>
      <c r="S86">
        <v>1</v>
      </c>
      <c r="T86">
        <f t="shared" si="8"/>
        <v>31</v>
      </c>
      <c r="U86">
        <f t="shared" si="9"/>
        <v>34.6</v>
      </c>
      <c r="V86">
        <f t="shared" si="10"/>
        <v>0</v>
      </c>
    </row>
    <row r="87" spans="1:22" x14ac:dyDescent="0.35">
      <c r="A87" s="11" t="s">
        <v>144</v>
      </c>
      <c r="B87" s="12" t="s">
        <v>145</v>
      </c>
      <c r="C87" s="13">
        <v>2</v>
      </c>
      <c r="D87" s="13">
        <v>3</v>
      </c>
      <c r="E87" s="13">
        <v>3</v>
      </c>
      <c r="F87" s="13">
        <v>5</v>
      </c>
      <c r="G87" s="13">
        <v>6</v>
      </c>
      <c r="H87" s="13">
        <v>6</v>
      </c>
      <c r="I87" s="13">
        <v>32</v>
      </c>
      <c r="J87" s="13">
        <v>27</v>
      </c>
      <c r="K87" s="13">
        <v>15</v>
      </c>
      <c r="L87" s="13">
        <v>59</v>
      </c>
      <c r="M87" s="14">
        <v>26</v>
      </c>
      <c r="N87">
        <f t="shared" si="6"/>
        <v>49.9</v>
      </c>
      <c r="O87">
        <f t="shared" si="7"/>
        <v>4</v>
      </c>
      <c r="P87">
        <f t="shared" si="7"/>
        <v>8</v>
      </c>
      <c r="Q87">
        <f t="shared" si="7"/>
        <v>10</v>
      </c>
      <c r="R87">
        <f t="shared" si="5"/>
        <v>10</v>
      </c>
      <c r="S87">
        <v>1</v>
      </c>
      <c r="T87">
        <f t="shared" si="8"/>
        <v>34</v>
      </c>
      <c r="U87">
        <f t="shared" si="9"/>
        <v>15.9</v>
      </c>
      <c r="V87">
        <f t="shared" si="10"/>
        <v>1</v>
      </c>
    </row>
    <row r="88" spans="1:22" x14ac:dyDescent="0.35">
      <c r="A88" s="7" t="s">
        <v>146</v>
      </c>
      <c r="B88" s="8" t="s">
        <v>147</v>
      </c>
      <c r="C88" s="9">
        <v>3</v>
      </c>
      <c r="D88" s="9">
        <v>5</v>
      </c>
      <c r="E88" s="9">
        <v>2</v>
      </c>
      <c r="F88" s="9">
        <v>6</v>
      </c>
      <c r="G88" s="9">
        <v>3</v>
      </c>
      <c r="H88" s="9">
        <v>3</v>
      </c>
      <c r="I88" s="9">
        <v>95</v>
      </c>
      <c r="J88" s="9">
        <v>15</v>
      </c>
      <c r="K88" s="9">
        <v>44</v>
      </c>
      <c r="L88" s="9">
        <v>29</v>
      </c>
      <c r="M88" s="10">
        <v>14</v>
      </c>
      <c r="N88">
        <f t="shared" si="6"/>
        <v>40.700000000000003</v>
      </c>
      <c r="O88">
        <f t="shared" si="7"/>
        <v>0</v>
      </c>
      <c r="P88">
        <f t="shared" si="7"/>
        <v>10</v>
      </c>
      <c r="Q88">
        <f t="shared" si="7"/>
        <v>4</v>
      </c>
      <c r="R88">
        <f t="shared" si="5"/>
        <v>4</v>
      </c>
      <c r="S88">
        <v>1</v>
      </c>
      <c r="T88">
        <f t="shared" si="8"/>
        <v>21</v>
      </c>
      <c r="U88">
        <f t="shared" si="9"/>
        <v>19.7</v>
      </c>
      <c r="V88">
        <f t="shared" si="10"/>
        <v>1</v>
      </c>
    </row>
    <row r="89" spans="1:22" x14ac:dyDescent="0.35">
      <c r="A89" s="11" t="s">
        <v>148</v>
      </c>
      <c r="B89" s="12" t="s">
        <v>28</v>
      </c>
      <c r="C89" s="13">
        <v>2</v>
      </c>
      <c r="D89" s="13">
        <v>4</v>
      </c>
      <c r="E89" s="13">
        <v>2</v>
      </c>
      <c r="F89" s="13">
        <v>6</v>
      </c>
      <c r="G89" s="13">
        <v>4</v>
      </c>
      <c r="H89" s="13">
        <v>4</v>
      </c>
      <c r="I89" s="13">
        <v>84</v>
      </c>
      <c r="J89" s="13">
        <v>95</v>
      </c>
      <c r="K89" s="13">
        <v>31</v>
      </c>
      <c r="L89" s="13">
        <v>8</v>
      </c>
      <c r="M89" s="14">
        <v>54</v>
      </c>
      <c r="N89">
        <f t="shared" si="6"/>
        <v>51.2</v>
      </c>
      <c r="O89">
        <f t="shared" si="7"/>
        <v>0</v>
      </c>
      <c r="P89">
        <f t="shared" si="7"/>
        <v>10</v>
      </c>
      <c r="Q89">
        <f t="shared" si="7"/>
        <v>6</v>
      </c>
      <c r="R89">
        <f t="shared" si="5"/>
        <v>6</v>
      </c>
      <c r="S89">
        <v>1</v>
      </c>
      <c r="T89">
        <f t="shared" si="8"/>
        <v>24</v>
      </c>
      <c r="U89">
        <f t="shared" si="9"/>
        <v>27.2</v>
      </c>
      <c r="V89">
        <f t="shared" si="10"/>
        <v>0</v>
      </c>
    </row>
    <row r="90" spans="1:22" x14ac:dyDescent="0.35">
      <c r="A90" s="7" t="s">
        <v>149</v>
      </c>
      <c r="B90" s="8" t="s">
        <v>150</v>
      </c>
      <c r="C90" s="9">
        <v>5</v>
      </c>
      <c r="D90" s="9">
        <v>2</v>
      </c>
      <c r="E90" s="9">
        <v>3</v>
      </c>
      <c r="F90" s="9">
        <v>4</v>
      </c>
      <c r="G90" s="9">
        <v>3</v>
      </c>
      <c r="H90" s="9">
        <v>6</v>
      </c>
      <c r="I90" s="9">
        <v>30</v>
      </c>
      <c r="J90" s="9">
        <v>24</v>
      </c>
      <c r="K90" s="9">
        <v>66</v>
      </c>
      <c r="L90" s="9">
        <v>41</v>
      </c>
      <c r="M90" s="10">
        <v>82</v>
      </c>
      <c r="N90">
        <f t="shared" si="6"/>
        <v>53.3</v>
      </c>
      <c r="O90">
        <f t="shared" si="7"/>
        <v>4</v>
      </c>
      <c r="P90">
        <f t="shared" si="7"/>
        <v>6</v>
      </c>
      <c r="Q90">
        <f t="shared" si="7"/>
        <v>4</v>
      </c>
      <c r="R90">
        <f t="shared" si="5"/>
        <v>10</v>
      </c>
      <c r="S90">
        <v>1</v>
      </c>
      <c r="T90">
        <f t="shared" si="8"/>
        <v>29</v>
      </c>
      <c r="U90">
        <f t="shared" si="9"/>
        <v>24.3</v>
      </c>
      <c r="V90">
        <f t="shared" si="10"/>
        <v>1</v>
      </c>
    </row>
    <row r="91" spans="1:22" x14ac:dyDescent="0.35">
      <c r="A91" s="11" t="s">
        <v>151</v>
      </c>
      <c r="B91" s="12" t="s">
        <v>70</v>
      </c>
      <c r="C91" s="13">
        <v>1</v>
      </c>
      <c r="D91" s="13">
        <v>3</v>
      </c>
      <c r="E91" s="13">
        <v>6</v>
      </c>
      <c r="F91" s="13">
        <v>4</v>
      </c>
      <c r="G91" s="13">
        <v>6</v>
      </c>
      <c r="H91" s="13">
        <v>2</v>
      </c>
      <c r="I91" s="13">
        <v>30</v>
      </c>
      <c r="J91" s="13">
        <v>35</v>
      </c>
      <c r="K91" s="13">
        <v>100</v>
      </c>
      <c r="L91" s="13">
        <v>100</v>
      </c>
      <c r="M91" s="14">
        <v>100</v>
      </c>
      <c r="N91">
        <f t="shared" si="6"/>
        <v>63.5</v>
      </c>
      <c r="O91">
        <f t="shared" si="7"/>
        <v>10</v>
      </c>
      <c r="P91">
        <f t="shared" si="7"/>
        <v>6</v>
      </c>
      <c r="Q91">
        <f t="shared" si="7"/>
        <v>10</v>
      </c>
      <c r="R91">
        <f t="shared" si="5"/>
        <v>0</v>
      </c>
      <c r="S91">
        <v>1</v>
      </c>
      <c r="T91">
        <f t="shared" si="8"/>
        <v>27</v>
      </c>
      <c r="U91">
        <f t="shared" si="9"/>
        <v>36.5</v>
      </c>
      <c r="V91">
        <f t="shared" si="10"/>
        <v>0</v>
      </c>
    </row>
    <row r="92" spans="1:22" x14ac:dyDescent="0.35">
      <c r="A92" s="7" t="s">
        <v>152</v>
      </c>
      <c r="B92" s="8" t="s">
        <v>153</v>
      </c>
      <c r="C92" s="9">
        <v>1</v>
      </c>
      <c r="D92" s="9">
        <v>5</v>
      </c>
      <c r="E92" s="9">
        <v>4</v>
      </c>
      <c r="F92" s="9">
        <v>2</v>
      </c>
      <c r="G92" s="9">
        <v>5</v>
      </c>
      <c r="H92" s="9">
        <v>6</v>
      </c>
      <c r="I92" s="9">
        <v>54</v>
      </c>
      <c r="J92" s="9">
        <v>50</v>
      </c>
      <c r="K92" s="9">
        <v>9</v>
      </c>
      <c r="L92" s="9">
        <v>59</v>
      </c>
      <c r="M92" s="10">
        <v>54</v>
      </c>
      <c r="N92">
        <f t="shared" si="6"/>
        <v>47.6</v>
      </c>
      <c r="O92">
        <f t="shared" si="7"/>
        <v>6</v>
      </c>
      <c r="P92">
        <f t="shared" si="7"/>
        <v>0</v>
      </c>
      <c r="Q92">
        <f t="shared" si="7"/>
        <v>8</v>
      </c>
      <c r="R92">
        <f t="shared" si="5"/>
        <v>10</v>
      </c>
      <c r="S92">
        <v>1</v>
      </c>
      <c r="T92">
        <f t="shared" si="8"/>
        <v>25</v>
      </c>
      <c r="U92">
        <f t="shared" si="9"/>
        <v>22.6</v>
      </c>
      <c r="V92">
        <f t="shared" si="10"/>
        <v>1</v>
      </c>
    </row>
    <row r="93" spans="1:22" x14ac:dyDescent="0.35">
      <c r="A93" s="11" t="s">
        <v>154</v>
      </c>
      <c r="B93" s="12" t="s">
        <v>155</v>
      </c>
      <c r="C93" s="13">
        <v>6</v>
      </c>
      <c r="D93" s="13">
        <v>2</v>
      </c>
      <c r="E93" s="13">
        <v>3</v>
      </c>
      <c r="F93" s="13">
        <v>5</v>
      </c>
      <c r="G93" s="13">
        <v>4</v>
      </c>
      <c r="H93" s="13">
        <v>4</v>
      </c>
      <c r="I93" s="13">
        <v>50</v>
      </c>
      <c r="J93" s="13">
        <v>30</v>
      </c>
      <c r="K93" s="13">
        <v>14</v>
      </c>
      <c r="L93" s="13">
        <v>20</v>
      </c>
      <c r="M93" s="14">
        <v>88</v>
      </c>
      <c r="N93">
        <f t="shared" si="6"/>
        <v>50.2</v>
      </c>
      <c r="O93">
        <f t="shared" si="7"/>
        <v>4</v>
      </c>
      <c r="P93">
        <f t="shared" si="7"/>
        <v>8</v>
      </c>
      <c r="Q93">
        <f t="shared" si="7"/>
        <v>6</v>
      </c>
      <c r="R93">
        <f t="shared" si="5"/>
        <v>6</v>
      </c>
      <c r="S93">
        <v>1</v>
      </c>
      <c r="T93">
        <f t="shared" si="8"/>
        <v>30</v>
      </c>
      <c r="U93">
        <f t="shared" si="9"/>
        <v>20.2</v>
      </c>
      <c r="V93">
        <f t="shared" si="10"/>
        <v>1</v>
      </c>
    </row>
    <row r="94" spans="1:22" x14ac:dyDescent="0.35">
      <c r="A94" s="7" t="s">
        <v>156</v>
      </c>
      <c r="B94" s="8" t="s">
        <v>157</v>
      </c>
      <c r="C94" s="9">
        <v>6</v>
      </c>
      <c r="D94" s="9">
        <v>3</v>
      </c>
      <c r="E94" s="9">
        <v>6</v>
      </c>
      <c r="F94" s="9">
        <v>5</v>
      </c>
      <c r="G94" s="9">
        <v>4</v>
      </c>
      <c r="H94" s="9">
        <v>5</v>
      </c>
      <c r="I94" s="9">
        <v>62</v>
      </c>
      <c r="J94" s="9">
        <v>47</v>
      </c>
      <c r="K94" s="9">
        <v>19</v>
      </c>
      <c r="L94" s="9">
        <v>10</v>
      </c>
      <c r="M94" s="10">
        <v>40</v>
      </c>
      <c r="N94">
        <f t="shared" si="6"/>
        <v>55.8</v>
      </c>
      <c r="O94">
        <f t="shared" si="7"/>
        <v>10</v>
      </c>
      <c r="P94">
        <f t="shared" si="7"/>
        <v>8</v>
      </c>
      <c r="Q94">
        <f t="shared" si="7"/>
        <v>6</v>
      </c>
      <c r="R94">
        <f t="shared" si="5"/>
        <v>8</v>
      </c>
      <c r="S94">
        <v>1</v>
      </c>
      <c r="T94">
        <f t="shared" si="8"/>
        <v>38</v>
      </c>
      <c r="U94">
        <f t="shared" si="9"/>
        <v>17.8</v>
      </c>
      <c r="V94">
        <f t="shared" si="10"/>
        <v>1</v>
      </c>
    </row>
    <row r="95" spans="1:22" x14ac:dyDescent="0.35">
      <c r="A95" s="11" t="s">
        <v>158</v>
      </c>
      <c r="B95" s="12" t="s">
        <v>159</v>
      </c>
      <c r="C95" s="13">
        <v>0</v>
      </c>
      <c r="D95" s="13">
        <v>3</v>
      </c>
      <c r="E95" s="13">
        <v>6</v>
      </c>
      <c r="F95" s="13">
        <v>3</v>
      </c>
      <c r="G95" s="13">
        <v>5</v>
      </c>
      <c r="H95" s="13">
        <v>6</v>
      </c>
      <c r="I95" s="13">
        <v>12</v>
      </c>
      <c r="J95" s="13">
        <v>60</v>
      </c>
      <c r="K95" s="13">
        <v>63</v>
      </c>
      <c r="L95" s="13">
        <v>37</v>
      </c>
      <c r="M95" s="14">
        <v>71</v>
      </c>
      <c r="N95">
        <f t="shared" si="6"/>
        <v>56.3</v>
      </c>
      <c r="O95">
        <f t="shared" si="7"/>
        <v>10</v>
      </c>
      <c r="P95">
        <f t="shared" si="7"/>
        <v>4</v>
      </c>
      <c r="Q95">
        <f t="shared" si="7"/>
        <v>8</v>
      </c>
      <c r="R95">
        <f t="shared" si="5"/>
        <v>10</v>
      </c>
      <c r="S95">
        <v>1</v>
      </c>
      <c r="T95">
        <f t="shared" si="8"/>
        <v>32</v>
      </c>
      <c r="U95">
        <f t="shared" si="9"/>
        <v>24.3</v>
      </c>
      <c r="V95">
        <f t="shared" si="10"/>
        <v>1</v>
      </c>
    </row>
    <row r="96" spans="1:22" x14ac:dyDescent="0.35">
      <c r="A96" s="7" t="s">
        <v>160</v>
      </c>
      <c r="B96" s="8" t="s">
        <v>161</v>
      </c>
      <c r="C96" s="9">
        <v>2</v>
      </c>
      <c r="D96" s="9">
        <v>3</v>
      </c>
      <c r="E96" s="9">
        <v>2</v>
      </c>
      <c r="F96" s="9">
        <v>2</v>
      </c>
      <c r="G96" s="9">
        <v>3</v>
      </c>
      <c r="H96" s="9">
        <v>2</v>
      </c>
      <c r="I96" s="9">
        <v>56</v>
      </c>
      <c r="J96" s="9">
        <v>63</v>
      </c>
      <c r="K96" s="9">
        <v>26</v>
      </c>
      <c r="L96" s="9">
        <v>92</v>
      </c>
      <c r="M96" s="10">
        <v>13</v>
      </c>
      <c r="N96">
        <f t="shared" si="6"/>
        <v>31</v>
      </c>
      <c r="O96">
        <f t="shared" si="7"/>
        <v>0</v>
      </c>
      <c r="P96">
        <f t="shared" si="7"/>
        <v>0</v>
      </c>
      <c r="Q96">
        <f t="shared" si="7"/>
        <v>4</v>
      </c>
      <c r="R96">
        <f t="shared" si="5"/>
        <v>0</v>
      </c>
      <c r="S96">
        <v>1</v>
      </c>
      <c r="T96">
        <f t="shared" si="8"/>
        <v>6</v>
      </c>
      <c r="U96">
        <f t="shared" si="9"/>
        <v>25</v>
      </c>
      <c r="V96">
        <f t="shared" si="10"/>
        <v>0</v>
      </c>
    </row>
    <row r="97" spans="1:22" x14ac:dyDescent="0.35">
      <c r="A97" s="11" t="s">
        <v>162</v>
      </c>
      <c r="B97" s="12" t="s">
        <v>30</v>
      </c>
      <c r="C97" s="13">
        <v>5</v>
      </c>
      <c r="D97" s="13">
        <v>5</v>
      </c>
      <c r="E97" s="13">
        <v>6</v>
      </c>
      <c r="F97" s="13">
        <v>6</v>
      </c>
      <c r="G97" s="13">
        <v>5</v>
      </c>
      <c r="H97" s="13">
        <v>6</v>
      </c>
      <c r="I97" s="13">
        <v>45</v>
      </c>
      <c r="J97" s="13">
        <v>97</v>
      </c>
      <c r="K97" s="13">
        <v>5</v>
      </c>
      <c r="L97" s="13">
        <v>73</v>
      </c>
      <c r="M97" s="14">
        <v>12</v>
      </c>
      <c r="N97">
        <f t="shared" si="6"/>
        <v>66.2</v>
      </c>
      <c r="O97">
        <f t="shared" si="7"/>
        <v>10</v>
      </c>
      <c r="P97">
        <f t="shared" si="7"/>
        <v>10</v>
      </c>
      <c r="Q97">
        <f t="shared" si="7"/>
        <v>8</v>
      </c>
      <c r="R97">
        <f t="shared" si="5"/>
        <v>10</v>
      </c>
      <c r="S97">
        <v>1</v>
      </c>
      <c r="T97">
        <f t="shared" si="8"/>
        <v>43</v>
      </c>
      <c r="U97">
        <f t="shared" si="9"/>
        <v>23.2</v>
      </c>
      <c r="V97">
        <f t="shared" si="10"/>
        <v>1</v>
      </c>
    </row>
    <row r="98" spans="1:22" x14ac:dyDescent="0.35">
      <c r="A98" s="7" t="s">
        <v>163</v>
      </c>
      <c r="B98" s="8" t="s">
        <v>164</v>
      </c>
      <c r="C98" s="9">
        <v>2</v>
      </c>
      <c r="D98" s="9">
        <v>4</v>
      </c>
      <c r="E98" s="9">
        <v>5</v>
      </c>
      <c r="F98" s="9">
        <v>2</v>
      </c>
      <c r="G98" s="9">
        <v>4</v>
      </c>
      <c r="H98" s="9">
        <v>6</v>
      </c>
      <c r="I98" s="9">
        <v>96</v>
      </c>
      <c r="J98" s="9">
        <v>60</v>
      </c>
      <c r="K98" s="9">
        <v>4</v>
      </c>
      <c r="L98" s="9">
        <v>45</v>
      </c>
      <c r="M98" s="10">
        <v>21</v>
      </c>
      <c r="N98">
        <f t="shared" si="6"/>
        <v>48.6</v>
      </c>
      <c r="O98">
        <f t="shared" si="7"/>
        <v>8</v>
      </c>
      <c r="P98">
        <f t="shared" si="7"/>
        <v>0</v>
      </c>
      <c r="Q98">
        <f t="shared" si="7"/>
        <v>6</v>
      </c>
      <c r="R98">
        <f t="shared" si="5"/>
        <v>10</v>
      </c>
      <c r="S98">
        <v>1</v>
      </c>
      <c r="T98">
        <f t="shared" si="8"/>
        <v>26</v>
      </c>
      <c r="U98">
        <f t="shared" si="9"/>
        <v>22.6</v>
      </c>
      <c r="V98">
        <f t="shared" si="10"/>
        <v>1</v>
      </c>
    </row>
    <row r="99" spans="1:22" x14ac:dyDescent="0.35">
      <c r="A99" s="11" t="s">
        <v>165</v>
      </c>
      <c r="B99" s="12" t="s">
        <v>166</v>
      </c>
      <c r="C99" s="13">
        <v>7</v>
      </c>
      <c r="D99" s="13">
        <v>3</v>
      </c>
      <c r="E99" s="13">
        <v>3</v>
      </c>
      <c r="F99" s="13">
        <v>6</v>
      </c>
      <c r="G99" s="13">
        <v>5</v>
      </c>
      <c r="H99" s="13">
        <v>5</v>
      </c>
      <c r="I99" s="13">
        <v>57</v>
      </c>
      <c r="J99" s="13">
        <v>31</v>
      </c>
      <c r="K99" s="13">
        <v>22</v>
      </c>
      <c r="L99" s="13">
        <v>59</v>
      </c>
      <c r="M99" s="14">
        <v>61</v>
      </c>
      <c r="N99">
        <f t="shared" si="6"/>
        <v>60</v>
      </c>
      <c r="O99">
        <f t="shared" si="7"/>
        <v>4</v>
      </c>
      <c r="P99">
        <f t="shared" si="7"/>
        <v>10</v>
      </c>
      <c r="Q99">
        <f t="shared" si="7"/>
        <v>8</v>
      </c>
      <c r="R99">
        <f t="shared" si="5"/>
        <v>8</v>
      </c>
      <c r="S99">
        <v>1</v>
      </c>
      <c r="T99">
        <f t="shared" si="8"/>
        <v>37</v>
      </c>
      <c r="U99">
        <f t="shared" si="9"/>
        <v>23</v>
      </c>
      <c r="V99">
        <f t="shared" si="10"/>
        <v>1</v>
      </c>
    </row>
    <row r="100" spans="1:22" x14ac:dyDescent="0.35">
      <c r="A100" s="7" t="s">
        <v>167</v>
      </c>
      <c r="B100" s="8" t="s">
        <v>18</v>
      </c>
      <c r="C100" s="9">
        <v>5</v>
      </c>
      <c r="D100" s="9">
        <v>6</v>
      </c>
      <c r="E100" s="9">
        <v>4</v>
      </c>
      <c r="F100" s="9">
        <v>2</v>
      </c>
      <c r="G100" s="9">
        <v>5</v>
      </c>
      <c r="H100" s="9">
        <v>5</v>
      </c>
      <c r="I100" s="9">
        <v>18</v>
      </c>
      <c r="J100" s="9">
        <v>86</v>
      </c>
      <c r="K100" s="9">
        <v>25</v>
      </c>
      <c r="L100" s="9">
        <v>29</v>
      </c>
      <c r="M100" s="10">
        <v>9</v>
      </c>
      <c r="N100">
        <f t="shared" si="6"/>
        <v>45.7</v>
      </c>
      <c r="O100">
        <f t="shared" si="7"/>
        <v>6</v>
      </c>
      <c r="P100">
        <f t="shared" si="7"/>
        <v>0</v>
      </c>
      <c r="Q100">
        <f t="shared" si="7"/>
        <v>8</v>
      </c>
      <c r="R100">
        <f t="shared" si="5"/>
        <v>8</v>
      </c>
      <c r="S100">
        <v>1</v>
      </c>
      <c r="T100">
        <f t="shared" si="8"/>
        <v>29</v>
      </c>
      <c r="U100">
        <f t="shared" si="9"/>
        <v>16.7</v>
      </c>
      <c r="V100">
        <f t="shared" si="10"/>
        <v>1</v>
      </c>
    </row>
    <row r="101" spans="1:22" x14ac:dyDescent="0.35">
      <c r="A101" s="11" t="s">
        <v>168</v>
      </c>
      <c r="B101" s="12" t="s">
        <v>169</v>
      </c>
      <c r="C101" s="13">
        <v>5</v>
      </c>
      <c r="D101" s="13">
        <v>4</v>
      </c>
      <c r="E101" s="13">
        <v>6</v>
      </c>
      <c r="F101" s="13">
        <v>2</v>
      </c>
      <c r="G101" s="13">
        <v>5</v>
      </c>
      <c r="H101" s="13">
        <v>4</v>
      </c>
      <c r="I101" s="13">
        <v>93</v>
      </c>
      <c r="J101" s="13">
        <v>47</v>
      </c>
      <c r="K101" s="13">
        <v>47</v>
      </c>
      <c r="L101" s="13">
        <v>34</v>
      </c>
      <c r="M101" s="14">
        <v>39</v>
      </c>
      <c r="N101">
        <f t="shared" si="6"/>
        <v>55</v>
      </c>
      <c r="O101">
        <f t="shared" si="7"/>
        <v>10</v>
      </c>
      <c r="P101">
        <f t="shared" si="7"/>
        <v>0</v>
      </c>
      <c r="Q101">
        <f t="shared" si="7"/>
        <v>8</v>
      </c>
      <c r="R101">
        <f t="shared" si="5"/>
        <v>6</v>
      </c>
      <c r="S101">
        <v>1</v>
      </c>
      <c r="T101">
        <f t="shared" si="8"/>
        <v>29</v>
      </c>
      <c r="U101">
        <f t="shared" si="9"/>
        <v>26</v>
      </c>
      <c r="V101">
        <f t="shared" si="10"/>
        <v>1</v>
      </c>
    </row>
    <row r="102" spans="1:22" x14ac:dyDescent="0.35">
      <c r="A102" s="7" t="s">
        <v>170</v>
      </c>
      <c r="B102" s="8" t="s">
        <v>171</v>
      </c>
      <c r="C102" s="9">
        <v>3</v>
      </c>
      <c r="D102" s="9">
        <v>6</v>
      </c>
      <c r="E102" s="9">
        <v>2</v>
      </c>
      <c r="F102" s="9">
        <v>3</v>
      </c>
      <c r="G102" s="9">
        <v>2</v>
      </c>
      <c r="H102" s="9">
        <v>6</v>
      </c>
      <c r="I102" s="9">
        <v>89</v>
      </c>
      <c r="J102" s="9">
        <v>30</v>
      </c>
      <c r="K102" s="9">
        <v>43</v>
      </c>
      <c r="L102" s="9">
        <v>25</v>
      </c>
      <c r="M102" s="10">
        <v>1</v>
      </c>
      <c r="N102">
        <f t="shared" si="6"/>
        <v>37.799999999999997</v>
      </c>
      <c r="O102">
        <f t="shared" si="7"/>
        <v>0</v>
      </c>
      <c r="P102">
        <f t="shared" si="7"/>
        <v>4</v>
      </c>
      <c r="Q102">
        <f t="shared" si="7"/>
        <v>0</v>
      </c>
      <c r="R102">
        <f t="shared" si="5"/>
        <v>10</v>
      </c>
      <c r="S102">
        <v>1</v>
      </c>
      <c r="T102">
        <f t="shared" si="8"/>
        <v>19</v>
      </c>
      <c r="U102">
        <f t="shared" si="9"/>
        <v>18.8</v>
      </c>
      <c r="V102">
        <f t="shared" si="10"/>
        <v>1</v>
      </c>
    </row>
    <row r="103" spans="1:22" x14ac:dyDescent="0.35">
      <c r="A103" s="11" t="s">
        <v>172</v>
      </c>
      <c r="B103" s="12" t="s">
        <v>130</v>
      </c>
      <c r="C103" s="13">
        <v>6</v>
      </c>
      <c r="D103" s="13">
        <v>2</v>
      </c>
      <c r="E103" s="13">
        <v>3</v>
      </c>
      <c r="F103" s="13">
        <v>2</v>
      </c>
      <c r="G103" s="13">
        <v>3</v>
      </c>
      <c r="H103" s="13">
        <v>6</v>
      </c>
      <c r="I103" s="13">
        <v>67</v>
      </c>
      <c r="J103" s="13">
        <v>74</v>
      </c>
      <c r="K103" s="13">
        <v>49</v>
      </c>
      <c r="L103" s="13">
        <v>43</v>
      </c>
      <c r="M103" s="14">
        <v>52</v>
      </c>
      <c r="N103">
        <f t="shared" si="6"/>
        <v>52.5</v>
      </c>
      <c r="O103">
        <f t="shared" si="7"/>
        <v>4</v>
      </c>
      <c r="P103">
        <f t="shared" si="7"/>
        <v>0</v>
      </c>
      <c r="Q103">
        <f t="shared" si="7"/>
        <v>4</v>
      </c>
      <c r="R103">
        <f t="shared" si="5"/>
        <v>10</v>
      </c>
      <c r="S103">
        <v>1</v>
      </c>
      <c r="T103">
        <f t="shared" si="8"/>
        <v>24</v>
      </c>
      <c r="U103">
        <f t="shared" si="9"/>
        <v>28.5</v>
      </c>
      <c r="V103">
        <f t="shared" si="10"/>
        <v>0</v>
      </c>
    </row>
    <row r="104" spans="1:22" x14ac:dyDescent="0.35">
      <c r="A104" s="7" t="s">
        <v>173</v>
      </c>
      <c r="B104" s="8" t="s">
        <v>174</v>
      </c>
      <c r="C104" s="9">
        <v>8</v>
      </c>
      <c r="D104" s="9">
        <v>3</v>
      </c>
      <c r="E104" s="9">
        <v>2</v>
      </c>
      <c r="F104" s="9">
        <v>6</v>
      </c>
      <c r="G104" s="9">
        <v>5</v>
      </c>
      <c r="H104" s="9">
        <v>3</v>
      </c>
      <c r="I104" s="9">
        <v>41</v>
      </c>
      <c r="J104" s="9">
        <v>29</v>
      </c>
      <c r="K104" s="9">
        <v>52</v>
      </c>
      <c r="L104" s="9">
        <v>81</v>
      </c>
      <c r="M104" s="10">
        <v>26</v>
      </c>
      <c r="N104">
        <f t="shared" si="6"/>
        <v>52.9</v>
      </c>
      <c r="O104">
        <f t="shared" si="7"/>
        <v>0</v>
      </c>
      <c r="P104">
        <f t="shared" si="7"/>
        <v>10</v>
      </c>
      <c r="Q104">
        <f t="shared" si="7"/>
        <v>8</v>
      </c>
      <c r="R104">
        <f t="shared" si="5"/>
        <v>4</v>
      </c>
      <c r="S104">
        <v>1</v>
      </c>
      <c r="T104">
        <f t="shared" si="8"/>
        <v>30</v>
      </c>
      <c r="U104">
        <f t="shared" si="9"/>
        <v>22.9</v>
      </c>
      <c r="V104">
        <f t="shared" si="10"/>
        <v>1</v>
      </c>
    </row>
    <row r="105" spans="1:22" x14ac:dyDescent="0.35">
      <c r="A105" s="11" t="s">
        <v>175</v>
      </c>
      <c r="B105" s="12" t="s">
        <v>45</v>
      </c>
      <c r="C105" s="13">
        <v>8</v>
      </c>
      <c r="D105" s="13">
        <v>2</v>
      </c>
      <c r="E105" s="13">
        <v>4</v>
      </c>
      <c r="F105" s="13">
        <v>3</v>
      </c>
      <c r="G105" s="13">
        <v>5</v>
      </c>
      <c r="H105" s="13">
        <v>4</v>
      </c>
      <c r="I105" s="13">
        <v>32</v>
      </c>
      <c r="J105" s="13">
        <v>83</v>
      </c>
      <c r="K105" s="13">
        <v>14</v>
      </c>
      <c r="L105" s="13">
        <v>77</v>
      </c>
      <c r="M105" s="14">
        <v>71</v>
      </c>
      <c r="N105">
        <f t="shared" si="6"/>
        <v>59.7</v>
      </c>
      <c r="O105">
        <f t="shared" si="7"/>
        <v>6</v>
      </c>
      <c r="P105">
        <f t="shared" si="7"/>
        <v>4</v>
      </c>
      <c r="Q105">
        <f t="shared" si="7"/>
        <v>8</v>
      </c>
      <c r="R105">
        <f t="shared" si="5"/>
        <v>6</v>
      </c>
      <c r="S105">
        <v>1</v>
      </c>
      <c r="T105">
        <f t="shared" si="8"/>
        <v>32</v>
      </c>
      <c r="U105">
        <f t="shared" si="9"/>
        <v>27.7</v>
      </c>
      <c r="V105">
        <f t="shared" si="10"/>
        <v>1</v>
      </c>
    </row>
    <row r="106" spans="1:22" x14ac:dyDescent="0.35">
      <c r="A106" s="7" t="s">
        <v>176</v>
      </c>
      <c r="B106" s="8" t="s">
        <v>177</v>
      </c>
      <c r="C106" s="9">
        <v>6</v>
      </c>
      <c r="D106" s="9">
        <v>5</v>
      </c>
      <c r="E106" s="9">
        <v>2</v>
      </c>
      <c r="F106" s="9">
        <v>6</v>
      </c>
      <c r="G106" s="9">
        <v>6</v>
      </c>
      <c r="H106" s="9">
        <v>4</v>
      </c>
      <c r="I106" s="9">
        <v>48</v>
      </c>
      <c r="J106" s="9">
        <v>39</v>
      </c>
      <c r="K106" s="9">
        <v>45</v>
      </c>
      <c r="L106" s="9">
        <v>39</v>
      </c>
      <c r="M106" s="10">
        <v>59</v>
      </c>
      <c r="N106">
        <f t="shared" si="6"/>
        <v>55</v>
      </c>
      <c r="O106">
        <f t="shared" si="7"/>
        <v>0</v>
      </c>
      <c r="P106">
        <f t="shared" si="7"/>
        <v>10</v>
      </c>
      <c r="Q106">
        <f t="shared" si="7"/>
        <v>10</v>
      </c>
      <c r="R106">
        <f t="shared" si="5"/>
        <v>6</v>
      </c>
      <c r="S106">
        <v>1</v>
      </c>
      <c r="T106">
        <f t="shared" si="8"/>
        <v>32</v>
      </c>
      <c r="U106">
        <f t="shared" si="9"/>
        <v>23</v>
      </c>
      <c r="V106">
        <f t="shared" si="10"/>
        <v>1</v>
      </c>
    </row>
    <row r="107" spans="1:22" x14ac:dyDescent="0.35">
      <c r="A107" s="11" t="s">
        <v>178</v>
      </c>
      <c r="B107" s="12" t="s">
        <v>119</v>
      </c>
      <c r="C107" s="13">
        <v>1</v>
      </c>
      <c r="D107" s="13">
        <v>3</v>
      </c>
      <c r="E107" s="13">
        <v>2</v>
      </c>
      <c r="F107" s="13">
        <v>3</v>
      </c>
      <c r="G107" s="13">
        <v>5</v>
      </c>
      <c r="H107" s="13">
        <v>2</v>
      </c>
      <c r="I107" s="13">
        <v>11</v>
      </c>
      <c r="J107" s="13">
        <v>23</v>
      </c>
      <c r="K107" s="13">
        <v>92</v>
      </c>
      <c r="L107" s="13">
        <v>50</v>
      </c>
      <c r="M107" s="14">
        <v>36</v>
      </c>
      <c r="N107">
        <f t="shared" si="6"/>
        <v>34.200000000000003</v>
      </c>
      <c r="O107">
        <f t="shared" si="7"/>
        <v>0</v>
      </c>
      <c r="P107">
        <f t="shared" si="7"/>
        <v>4</v>
      </c>
      <c r="Q107">
        <f t="shared" si="7"/>
        <v>8</v>
      </c>
      <c r="R107">
        <f t="shared" si="5"/>
        <v>0</v>
      </c>
      <c r="S107">
        <v>1</v>
      </c>
      <c r="T107">
        <f t="shared" si="8"/>
        <v>13</v>
      </c>
      <c r="U107">
        <f t="shared" si="9"/>
        <v>21.2</v>
      </c>
      <c r="V107">
        <f t="shared" si="10"/>
        <v>0</v>
      </c>
    </row>
    <row r="108" spans="1:22" x14ac:dyDescent="0.35">
      <c r="A108" s="7" t="s">
        <v>179</v>
      </c>
      <c r="B108" s="8" t="s">
        <v>180</v>
      </c>
      <c r="C108" s="9">
        <v>0</v>
      </c>
      <c r="D108" s="9">
        <v>5</v>
      </c>
      <c r="E108" s="9">
        <v>3</v>
      </c>
      <c r="F108" s="9">
        <v>5</v>
      </c>
      <c r="G108" s="9">
        <v>2</v>
      </c>
      <c r="H108" s="9">
        <v>5</v>
      </c>
      <c r="I108" s="9">
        <v>20</v>
      </c>
      <c r="J108" s="9">
        <v>51</v>
      </c>
      <c r="K108" s="9">
        <v>64</v>
      </c>
      <c r="L108" s="9">
        <v>67</v>
      </c>
      <c r="M108" s="10">
        <v>72</v>
      </c>
      <c r="N108">
        <f t="shared" si="6"/>
        <v>47.4</v>
      </c>
      <c r="O108">
        <f t="shared" si="7"/>
        <v>4</v>
      </c>
      <c r="P108">
        <f t="shared" si="7"/>
        <v>8</v>
      </c>
      <c r="Q108">
        <f t="shared" si="7"/>
        <v>0</v>
      </c>
      <c r="R108">
        <f t="shared" si="5"/>
        <v>8</v>
      </c>
      <c r="S108">
        <v>1</v>
      </c>
      <c r="T108">
        <f t="shared" si="8"/>
        <v>20</v>
      </c>
      <c r="U108">
        <f t="shared" si="9"/>
        <v>27.4</v>
      </c>
      <c r="V108">
        <f t="shared" si="10"/>
        <v>0</v>
      </c>
    </row>
    <row r="109" spans="1:22" x14ac:dyDescent="0.35">
      <c r="A109" s="11" t="s">
        <v>181</v>
      </c>
      <c r="B109" s="12" t="s">
        <v>182</v>
      </c>
      <c r="C109" s="13">
        <v>7</v>
      </c>
      <c r="D109" s="13">
        <v>4</v>
      </c>
      <c r="E109" s="13">
        <v>6</v>
      </c>
      <c r="F109" s="13">
        <v>2</v>
      </c>
      <c r="G109" s="13">
        <v>5</v>
      </c>
      <c r="H109" s="13">
        <v>5</v>
      </c>
      <c r="I109" s="13">
        <v>90</v>
      </c>
      <c r="J109" s="13">
        <v>9</v>
      </c>
      <c r="K109" s="13">
        <v>61</v>
      </c>
      <c r="L109" s="13">
        <v>28</v>
      </c>
      <c r="M109" s="14">
        <v>92</v>
      </c>
      <c r="N109">
        <f t="shared" si="6"/>
        <v>61</v>
      </c>
      <c r="O109">
        <f t="shared" si="7"/>
        <v>10</v>
      </c>
      <c r="P109">
        <f t="shared" si="7"/>
        <v>0</v>
      </c>
      <c r="Q109">
        <f t="shared" si="7"/>
        <v>8</v>
      </c>
      <c r="R109">
        <f t="shared" si="5"/>
        <v>8</v>
      </c>
      <c r="S109">
        <v>1</v>
      </c>
      <c r="T109">
        <f t="shared" si="8"/>
        <v>33</v>
      </c>
      <c r="U109">
        <f t="shared" si="9"/>
        <v>28</v>
      </c>
      <c r="V109">
        <f t="shared" si="10"/>
        <v>1</v>
      </c>
    </row>
    <row r="110" spans="1:22" x14ac:dyDescent="0.35">
      <c r="A110" s="7" t="s">
        <v>183</v>
      </c>
      <c r="B110" s="8" t="s">
        <v>155</v>
      </c>
      <c r="C110" s="9">
        <v>4</v>
      </c>
      <c r="D110" s="9">
        <v>2</v>
      </c>
      <c r="E110" s="9">
        <v>6</v>
      </c>
      <c r="F110" s="9">
        <v>6</v>
      </c>
      <c r="G110" s="9">
        <v>6</v>
      </c>
      <c r="H110" s="9">
        <v>4</v>
      </c>
      <c r="I110" s="9">
        <v>91</v>
      </c>
      <c r="J110" s="9">
        <v>63</v>
      </c>
      <c r="K110" s="9">
        <v>88</v>
      </c>
      <c r="L110" s="9">
        <v>68</v>
      </c>
      <c r="M110" s="10">
        <v>75</v>
      </c>
      <c r="N110">
        <f t="shared" si="6"/>
        <v>78.5</v>
      </c>
      <c r="O110">
        <f t="shared" si="7"/>
        <v>10</v>
      </c>
      <c r="P110">
        <f t="shared" si="7"/>
        <v>10</v>
      </c>
      <c r="Q110">
        <f t="shared" si="7"/>
        <v>10</v>
      </c>
      <c r="R110">
        <f t="shared" si="5"/>
        <v>6</v>
      </c>
      <c r="S110">
        <v>1</v>
      </c>
      <c r="T110">
        <f t="shared" si="8"/>
        <v>40</v>
      </c>
      <c r="U110">
        <f t="shared" si="9"/>
        <v>38.5</v>
      </c>
      <c r="V110">
        <f t="shared" si="10"/>
        <v>1</v>
      </c>
    </row>
    <row r="111" spans="1:22" x14ac:dyDescent="0.35">
      <c r="A111" s="11" t="s">
        <v>184</v>
      </c>
      <c r="B111" s="12" t="s">
        <v>185</v>
      </c>
      <c r="C111" s="13">
        <v>3</v>
      </c>
      <c r="D111" s="13">
        <v>3</v>
      </c>
      <c r="E111" s="13">
        <v>4</v>
      </c>
      <c r="F111" s="13">
        <v>5</v>
      </c>
      <c r="G111" s="13">
        <v>6</v>
      </c>
      <c r="H111" s="13">
        <v>3</v>
      </c>
      <c r="I111" s="13">
        <v>59</v>
      </c>
      <c r="J111" s="13">
        <v>13</v>
      </c>
      <c r="K111" s="13">
        <v>14</v>
      </c>
      <c r="L111" s="13">
        <v>22</v>
      </c>
      <c r="M111" s="14">
        <v>96</v>
      </c>
      <c r="N111">
        <f t="shared" si="6"/>
        <v>51.4</v>
      </c>
      <c r="O111">
        <f t="shared" si="7"/>
        <v>6</v>
      </c>
      <c r="P111">
        <f t="shared" si="7"/>
        <v>8</v>
      </c>
      <c r="Q111">
        <f t="shared" si="7"/>
        <v>10</v>
      </c>
      <c r="R111">
        <f t="shared" si="5"/>
        <v>4</v>
      </c>
      <c r="S111">
        <v>1</v>
      </c>
      <c r="T111">
        <f t="shared" si="8"/>
        <v>31</v>
      </c>
      <c r="U111">
        <f t="shared" si="9"/>
        <v>20.399999999999999</v>
      </c>
      <c r="V111">
        <f t="shared" si="10"/>
        <v>1</v>
      </c>
    </row>
    <row r="112" spans="1:22" x14ac:dyDescent="0.35">
      <c r="A112" s="7" t="s">
        <v>186</v>
      </c>
      <c r="B112" s="8" t="s">
        <v>70</v>
      </c>
      <c r="C112" s="9">
        <v>1</v>
      </c>
      <c r="D112" s="9">
        <v>3</v>
      </c>
      <c r="E112" s="9">
        <v>3</v>
      </c>
      <c r="F112" s="9">
        <v>4</v>
      </c>
      <c r="G112" s="9">
        <v>3</v>
      </c>
      <c r="H112" s="9">
        <v>4</v>
      </c>
      <c r="I112" s="9">
        <v>7</v>
      </c>
      <c r="J112" s="9">
        <v>13</v>
      </c>
      <c r="K112" s="9">
        <v>73</v>
      </c>
      <c r="L112" s="9">
        <v>73</v>
      </c>
      <c r="M112" s="10">
        <v>78</v>
      </c>
      <c r="N112">
        <f t="shared" si="6"/>
        <v>45.4</v>
      </c>
      <c r="O112">
        <f t="shared" si="7"/>
        <v>4</v>
      </c>
      <c r="P112">
        <f t="shared" si="7"/>
        <v>6</v>
      </c>
      <c r="Q112">
        <f t="shared" si="7"/>
        <v>4</v>
      </c>
      <c r="R112">
        <f t="shared" si="5"/>
        <v>6</v>
      </c>
      <c r="S112">
        <v>1</v>
      </c>
      <c r="T112">
        <f t="shared" si="8"/>
        <v>21</v>
      </c>
      <c r="U112">
        <f t="shared" si="9"/>
        <v>24.4</v>
      </c>
      <c r="V112">
        <f t="shared" si="10"/>
        <v>0</v>
      </c>
    </row>
    <row r="113" spans="1:22" x14ac:dyDescent="0.35">
      <c r="A113" s="11" t="s">
        <v>187</v>
      </c>
      <c r="B113" s="12" t="s">
        <v>188</v>
      </c>
      <c r="C113" s="13">
        <v>7</v>
      </c>
      <c r="D113" s="13">
        <v>3</v>
      </c>
      <c r="E113" s="13">
        <v>6</v>
      </c>
      <c r="F113" s="13">
        <v>2</v>
      </c>
      <c r="G113" s="13">
        <v>4</v>
      </c>
      <c r="H113" s="13">
        <v>6</v>
      </c>
      <c r="I113" s="13">
        <v>39</v>
      </c>
      <c r="J113" s="13">
        <v>69</v>
      </c>
      <c r="K113" s="13">
        <v>10</v>
      </c>
      <c r="L113" s="13">
        <v>10</v>
      </c>
      <c r="M113" s="14">
        <v>91</v>
      </c>
      <c r="N113">
        <f t="shared" si="6"/>
        <v>54.9</v>
      </c>
      <c r="O113">
        <f t="shared" si="7"/>
        <v>10</v>
      </c>
      <c r="P113">
        <f t="shared" si="7"/>
        <v>0</v>
      </c>
      <c r="Q113">
        <f t="shared" si="7"/>
        <v>6</v>
      </c>
      <c r="R113">
        <f t="shared" si="5"/>
        <v>10</v>
      </c>
      <c r="S113">
        <v>1</v>
      </c>
      <c r="T113">
        <f t="shared" si="8"/>
        <v>33</v>
      </c>
      <c r="U113">
        <f t="shared" si="9"/>
        <v>21.9</v>
      </c>
      <c r="V113">
        <f t="shared" si="10"/>
        <v>1</v>
      </c>
    </row>
    <row r="114" spans="1:22" x14ac:dyDescent="0.35">
      <c r="A114" s="7" t="s">
        <v>189</v>
      </c>
      <c r="B114" s="8" t="s">
        <v>70</v>
      </c>
      <c r="C114" s="9">
        <v>5</v>
      </c>
      <c r="D114" s="9">
        <v>6</v>
      </c>
      <c r="E114" s="9">
        <v>4</v>
      </c>
      <c r="F114" s="9">
        <v>3</v>
      </c>
      <c r="G114" s="9">
        <v>5</v>
      </c>
      <c r="H114" s="9">
        <v>2</v>
      </c>
      <c r="I114" s="9">
        <v>18</v>
      </c>
      <c r="J114" s="9">
        <v>29</v>
      </c>
      <c r="K114" s="9">
        <v>18</v>
      </c>
      <c r="L114" s="9">
        <v>5</v>
      </c>
      <c r="M114" s="10">
        <v>64</v>
      </c>
      <c r="N114">
        <f t="shared" si="6"/>
        <v>38.4</v>
      </c>
      <c r="O114">
        <f t="shared" si="7"/>
        <v>6</v>
      </c>
      <c r="P114">
        <f t="shared" si="7"/>
        <v>4</v>
      </c>
      <c r="Q114">
        <f t="shared" si="7"/>
        <v>8</v>
      </c>
      <c r="R114">
        <f t="shared" si="5"/>
        <v>0</v>
      </c>
      <c r="S114">
        <v>1</v>
      </c>
      <c r="T114">
        <f t="shared" si="8"/>
        <v>25</v>
      </c>
      <c r="U114">
        <f t="shared" si="9"/>
        <v>13.4</v>
      </c>
      <c r="V114">
        <f t="shared" si="10"/>
        <v>1</v>
      </c>
    </row>
    <row r="115" spans="1:22" x14ac:dyDescent="0.35">
      <c r="A115" s="11" t="s">
        <v>190</v>
      </c>
      <c r="B115" s="12" t="s">
        <v>101</v>
      </c>
      <c r="C115" s="13">
        <v>3</v>
      </c>
      <c r="D115" s="13">
        <v>3</v>
      </c>
      <c r="E115" s="13">
        <v>3</v>
      </c>
      <c r="F115" s="13">
        <v>6</v>
      </c>
      <c r="G115" s="13">
        <v>2</v>
      </c>
      <c r="H115" s="13">
        <v>2</v>
      </c>
      <c r="I115" s="13">
        <v>80</v>
      </c>
      <c r="J115" s="13">
        <v>5</v>
      </c>
      <c r="K115" s="13">
        <v>4</v>
      </c>
      <c r="L115" s="13">
        <v>59</v>
      </c>
      <c r="M115" s="14">
        <v>5</v>
      </c>
      <c r="N115">
        <f t="shared" si="6"/>
        <v>32.299999999999997</v>
      </c>
      <c r="O115">
        <f t="shared" si="7"/>
        <v>4</v>
      </c>
      <c r="P115">
        <f t="shared" si="7"/>
        <v>10</v>
      </c>
      <c r="Q115">
        <f t="shared" si="7"/>
        <v>0</v>
      </c>
      <c r="R115">
        <f t="shared" si="5"/>
        <v>0</v>
      </c>
      <c r="S115">
        <v>1</v>
      </c>
      <c r="T115">
        <f t="shared" si="8"/>
        <v>17</v>
      </c>
      <c r="U115">
        <f t="shared" si="9"/>
        <v>15.3</v>
      </c>
      <c r="V115">
        <f t="shared" si="10"/>
        <v>1</v>
      </c>
    </row>
    <row r="116" spans="1:22" x14ac:dyDescent="0.35">
      <c r="A116" s="7" t="s">
        <v>191</v>
      </c>
      <c r="B116" s="8" t="s">
        <v>16</v>
      </c>
      <c r="C116" s="9">
        <v>2</v>
      </c>
      <c r="D116" s="9">
        <v>4</v>
      </c>
      <c r="E116" s="9">
        <v>6</v>
      </c>
      <c r="F116" s="9">
        <v>3</v>
      </c>
      <c r="G116" s="9">
        <v>6</v>
      </c>
      <c r="H116" s="9">
        <v>6</v>
      </c>
      <c r="I116" s="9">
        <v>72</v>
      </c>
      <c r="J116" s="9">
        <v>51</v>
      </c>
      <c r="K116" s="9">
        <v>1</v>
      </c>
      <c r="L116" s="9">
        <v>33</v>
      </c>
      <c r="M116" s="10">
        <v>91</v>
      </c>
      <c r="N116">
        <f t="shared" si="6"/>
        <v>60.8</v>
      </c>
      <c r="O116">
        <f t="shared" si="7"/>
        <v>10</v>
      </c>
      <c r="P116">
        <f t="shared" si="7"/>
        <v>4</v>
      </c>
      <c r="Q116">
        <f t="shared" si="7"/>
        <v>10</v>
      </c>
      <c r="R116">
        <f t="shared" si="5"/>
        <v>10</v>
      </c>
      <c r="S116">
        <v>1</v>
      </c>
      <c r="T116">
        <f t="shared" si="8"/>
        <v>36</v>
      </c>
      <c r="U116">
        <f t="shared" si="9"/>
        <v>24.8</v>
      </c>
      <c r="V116">
        <f t="shared" si="10"/>
        <v>1</v>
      </c>
    </row>
    <row r="117" spans="1:22" x14ac:dyDescent="0.35">
      <c r="A117" s="11" t="s">
        <v>192</v>
      </c>
      <c r="B117" s="12" t="s">
        <v>30</v>
      </c>
      <c r="C117" s="13">
        <v>1</v>
      </c>
      <c r="D117" s="13">
        <v>4</v>
      </c>
      <c r="E117" s="13">
        <v>4</v>
      </c>
      <c r="F117" s="13">
        <v>3</v>
      </c>
      <c r="G117" s="13">
        <v>3</v>
      </c>
      <c r="H117" s="13">
        <v>6</v>
      </c>
      <c r="I117" s="13">
        <v>25</v>
      </c>
      <c r="J117" s="13">
        <v>23</v>
      </c>
      <c r="K117" s="13">
        <v>20</v>
      </c>
      <c r="L117" s="13">
        <v>93</v>
      </c>
      <c r="M117" s="14">
        <v>78</v>
      </c>
      <c r="N117">
        <f t="shared" si="6"/>
        <v>48.9</v>
      </c>
      <c r="O117">
        <f t="shared" si="7"/>
        <v>6</v>
      </c>
      <c r="P117">
        <f t="shared" si="7"/>
        <v>4</v>
      </c>
      <c r="Q117">
        <f t="shared" si="7"/>
        <v>4</v>
      </c>
      <c r="R117">
        <f t="shared" si="5"/>
        <v>10</v>
      </c>
      <c r="S117">
        <v>1</v>
      </c>
      <c r="T117">
        <f t="shared" si="8"/>
        <v>25</v>
      </c>
      <c r="U117">
        <f t="shared" si="9"/>
        <v>23.9</v>
      </c>
      <c r="V117">
        <f t="shared" si="10"/>
        <v>1</v>
      </c>
    </row>
    <row r="118" spans="1:22" x14ac:dyDescent="0.35">
      <c r="A118" s="7" t="s">
        <v>148</v>
      </c>
      <c r="B118" s="8" t="s">
        <v>193</v>
      </c>
      <c r="C118" s="9">
        <v>4</v>
      </c>
      <c r="D118" s="9">
        <v>5</v>
      </c>
      <c r="E118" s="9">
        <v>5</v>
      </c>
      <c r="F118" s="9">
        <v>3</v>
      </c>
      <c r="G118" s="9">
        <v>5</v>
      </c>
      <c r="H118" s="9">
        <v>2</v>
      </c>
      <c r="I118" s="9">
        <v>79</v>
      </c>
      <c r="J118" s="9">
        <v>53</v>
      </c>
      <c r="K118" s="9">
        <v>97</v>
      </c>
      <c r="L118" s="9">
        <v>34</v>
      </c>
      <c r="M118" s="10">
        <v>92</v>
      </c>
      <c r="N118">
        <f t="shared" si="6"/>
        <v>59.5</v>
      </c>
      <c r="O118">
        <f t="shared" si="7"/>
        <v>8</v>
      </c>
      <c r="P118">
        <f t="shared" si="7"/>
        <v>4</v>
      </c>
      <c r="Q118">
        <f t="shared" si="7"/>
        <v>8</v>
      </c>
      <c r="R118">
        <f t="shared" si="5"/>
        <v>0</v>
      </c>
      <c r="S118">
        <v>1</v>
      </c>
      <c r="T118">
        <f t="shared" si="8"/>
        <v>24</v>
      </c>
      <c r="U118">
        <f t="shared" si="9"/>
        <v>35.5</v>
      </c>
      <c r="V118">
        <f t="shared" si="10"/>
        <v>0</v>
      </c>
    </row>
    <row r="119" spans="1:22" x14ac:dyDescent="0.35">
      <c r="A119" s="11" t="s">
        <v>194</v>
      </c>
      <c r="B119" s="12" t="s">
        <v>86</v>
      </c>
      <c r="C119" s="13">
        <v>4</v>
      </c>
      <c r="D119" s="13">
        <v>2</v>
      </c>
      <c r="E119" s="13">
        <v>6</v>
      </c>
      <c r="F119" s="13">
        <v>4</v>
      </c>
      <c r="G119" s="13">
        <v>3</v>
      </c>
      <c r="H119" s="13">
        <v>2</v>
      </c>
      <c r="I119" s="13">
        <v>13</v>
      </c>
      <c r="J119" s="13">
        <v>81</v>
      </c>
      <c r="K119" s="13">
        <v>58</v>
      </c>
      <c r="L119" s="13">
        <v>45</v>
      </c>
      <c r="M119" s="14">
        <v>11</v>
      </c>
      <c r="N119">
        <f t="shared" si="6"/>
        <v>44.8</v>
      </c>
      <c r="O119">
        <f t="shared" si="7"/>
        <v>10</v>
      </c>
      <c r="P119">
        <f t="shared" si="7"/>
        <v>6</v>
      </c>
      <c r="Q119">
        <f t="shared" si="7"/>
        <v>4</v>
      </c>
      <c r="R119">
        <f t="shared" si="5"/>
        <v>0</v>
      </c>
      <c r="S119">
        <v>1</v>
      </c>
      <c r="T119">
        <f t="shared" si="8"/>
        <v>24</v>
      </c>
      <c r="U119">
        <f t="shared" si="9"/>
        <v>20.8</v>
      </c>
      <c r="V119">
        <f t="shared" si="10"/>
        <v>1</v>
      </c>
    </row>
    <row r="120" spans="1:22" x14ac:dyDescent="0.35">
      <c r="A120" s="7" t="s">
        <v>195</v>
      </c>
      <c r="B120" s="8" t="s">
        <v>155</v>
      </c>
      <c r="C120" s="9">
        <v>5</v>
      </c>
      <c r="D120" s="9">
        <v>2</v>
      </c>
      <c r="E120" s="9">
        <v>3</v>
      </c>
      <c r="F120" s="9">
        <v>3</v>
      </c>
      <c r="G120" s="9">
        <v>2</v>
      </c>
      <c r="H120" s="9">
        <v>6</v>
      </c>
      <c r="I120" s="9">
        <v>93</v>
      </c>
      <c r="J120" s="9">
        <v>31</v>
      </c>
      <c r="K120" s="9">
        <v>9</v>
      </c>
      <c r="L120" s="9">
        <v>50</v>
      </c>
      <c r="M120" s="10">
        <v>41</v>
      </c>
      <c r="N120">
        <f t="shared" si="6"/>
        <v>45.4</v>
      </c>
      <c r="O120">
        <f t="shared" si="7"/>
        <v>4</v>
      </c>
      <c r="P120">
        <f t="shared" si="7"/>
        <v>4</v>
      </c>
      <c r="Q120">
        <f t="shared" si="7"/>
        <v>0</v>
      </c>
      <c r="R120">
        <f t="shared" si="5"/>
        <v>10</v>
      </c>
      <c r="S120">
        <v>1</v>
      </c>
      <c r="T120">
        <f t="shared" si="8"/>
        <v>23</v>
      </c>
      <c r="U120">
        <f t="shared" si="9"/>
        <v>22.4</v>
      </c>
      <c r="V120">
        <f t="shared" si="10"/>
        <v>1</v>
      </c>
    </row>
    <row r="121" spans="1:22" x14ac:dyDescent="0.35">
      <c r="A121" s="11" t="s">
        <v>196</v>
      </c>
      <c r="B121" s="12" t="s">
        <v>197</v>
      </c>
      <c r="C121" s="13">
        <v>2</v>
      </c>
      <c r="D121" s="13">
        <v>2</v>
      </c>
      <c r="E121" s="13">
        <v>2</v>
      </c>
      <c r="F121" s="13">
        <v>2</v>
      </c>
      <c r="G121" s="13">
        <v>2</v>
      </c>
      <c r="H121" s="13">
        <v>2</v>
      </c>
      <c r="I121" s="13">
        <v>10</v>
      </c>
      <c r="J121" s="13">
        <v>93</v>
      </c>
      <c r="K121" s="13">
        <v>88</v>
      </c>
      <c r="L121" s="13">
        <v>23</v>
      </c>
      <c r="M121" s="14">
        <v>43</v>
      </c>
      <c r="N121">
        <f t="shared" si="6"/>
        <v>27.7</v>
      </c>
      <c r="O121">
        <f t="shared" si="7"/>
        <v>0</v>
      </c>
      <c r="P121">
        <f t="shared" si="7"/>
        <v>0</v>
      </c>
      <c r="Q121">
        <f t="shared" si="7"/>
        <v>0</v>
      </c>
      <c r="R121">
        <f t="shared" si="5"/>
        <v>0</v>
      </c>
      <c r="S121">
        <v>1</v>
      </c>
      <c r="T121">
        <f t="shared" si="8"/>
        <v>2</v>
      </c>
      <c r="U121">
        <f t="shared" si="9"/>
        <v>25.7</v>
      </c>
      <c r="V121">
        <f t="shared" si="10"/>
        <v>0</v>
      </c>
    </row>
    <row r="122" spans="1:22" x14ac:dyDescent="0.35">
      <c r="A122" s="7" t="s">
        <v>198</v>
      </c>
      <c r="B122" s="8" t="s">
        <v>199</v>
      </c>
      <c r="C122" s="9">
        <v>0</v>
      </c>
      <c r="D122" s="9">
        <v>3</v>
      </c>
      <c r="E122" s="9">
        <v>3</v>
      </c>
      <c r="F122" s="9">
        <v>2</v>
      </c>
      <c r="G122" s="9">
        <v>3</v>
      </c>
      <c r="H122" s="9">
        <v>6</v>
      </c>
      <c r="I122" s="9">
        <v>7</v>
      </c>
      <c r="J122" s="9">
        <v>69</v>
      </c>
      <c r="K122" s="9">
        <v>31</v>
      </c>
      <c r="L122" s="9">
        <v>13</v>
      </c>
      <c r="M122" s="10">
        <v>61</v>
      </c>
      <c r="N122">
        <f t="shared" si="6"/>
        <v>36.1</v>
      </c>
      <c r="O122">
        <f t="shared" si="7"/>
        <v>4</v>
      </c>
      <c r="P122">
        <f t="shared" si="7"/>
        <v>0</v>
      </c>
      <c r="Q122">
        <f t="shared" si="7"/>
        <v>4</v>
      </c>
      <c r="R122">
        <f t="shared" si="5"/>
        <v>10</v>
      </c>
      <c r="S122">
        <v>1</v>
      </c>
      <c r="T122">
        <f t="shared" si="8"/>
        <v>18</v>
      </c>
      <c r="U122">
        <f t="shared" si="9"/>
        <v>18.100000000000001</v>
      </c>
      <c r="V122">
        <f t="shared" si="10"/>
        <v>0</v>
      </c>
    </row>
    <row r="123" spans="1:22" x14ac:dyDescent="0.35">
      <c r="A123" s="11" t="s">
        <v>200</v>
      </c>
      <c r="B123" s="12" t="s">
        <v>201</v>
      </c>
      <c r="C123" s="13">
        <v>5</v>
      </c>
      <c r="D123" s="13">
        <v>3</v>
      </c>
      <c r="E123" s="13">
        <v>2</v>
      </c>
      <c r="F123" s="13">
        <v>2</v>
      </c>
      <c r="G123" s="13">
        <v>4</v>
      </c>
      <c r="H123" s="13">
        <v>6</v>
      </c>
      <c r="I123" s="13">
        <v>24</v>
      </c>
      <c r="J123" s="13">
        <v>79</v>
      </c>
      <c r="K123" s="13">
        <v>99</v>
      </c>
      <c r="L123" s="13">
        <v>6</v>
      </c>
      <c r="M123" s="14">
        <v>89</v>
      </c>
      <c r="N123">
        <f t="shared" si="6"/>
        <v>50.7</v>
      </c>
      <c r="O123">
        <f t="shared" si="7"/>
        <v>0</v>
      </c>
      <c r="P123">
        <f t="shared" si="7"/>
        <v>0</v>
      </c>
      <c r="Q123">
        <f t="shared" si="7"/>
        <v>6</v>
      </c>
      <c r="R123">
        <f t="shared" si="5"/>
        <v>10</v>
      </c>
      <c r="S123">
        <v>1</v>
      </c>
      <c r="T123">
        <f t="shared" si="8"/>
        <v>21</v>
      </c>
      <c r="U123">
        <f t="shared" si="9"/>
        <v>29.7</v>
      </c>
      <c r="V123">
        <f t="shared" si="10"/>
        <v>0</v>
      </c>
    </row>
    <row r="124" spans="1:22" x14ac:dyDescent="0.35">
      <c r="A124" s="7" t="s">
        <v>202</v>
      </c>
      <c r="B124" s="8" t="s">
        <v>203</v>
      </c>
      <c r="C124" s="9">
        <v>7</v>
      </c>
      <c r="D124" s="9">
        <v>2</v>
      </c>
      <c r="E124" s="9">
        <v>2</v>
      </c>
      <c r="F124" s="9">
        <v>4</v>
      </c>
      <c r="G124" s="9">
        <v>4</v>
      </c>
      <c r="H124" s="9">
        <v>6</v>
      </c>
      <c r="I124" s="9">
        <v>57</v>
      </c>
      <c r="J124" s="9">
        <v>11</v>
      </c>
      <c r="K124" s="9">
        <v>80</v>
      </c>
      <c r="L124" s="9">
        <v>27</v>
      </c>
      <c r="M124" s="10">
        <v>21</v>
      </c>
      <c r="N124">
        <f t="shared" si="6"/>
        <v>48.6</v>
      </c>
      <c r="O124">
        <f t="shared" si="7"/>
        <v>0</v>
      </c>
      <c r="P124">
        <f t="shared" si="7"/>
        <v>6</v>
      </c>
      <c r="Q124">
        <f t="shared" si="7"/>
        <v>6</v>
      </c>
      <c r="R124">
        <f t="shared" si="5"/>
        <v>10</v>
      </c>
      <c r="S124">
        <v>1</v>
      </c>
      <c r="T124">
        <f t="shared" si="8"/>
        <v>29</v>
      </c>
      <c r="U124">
        <f t="shared" si="9"/>
        <v>19.600000000000001</v>
      </c>
      <c r="V124">
        <f t="shared" si="10"/>
        <v>1</v>
      </c>
    </row>
    <row r="125" spans="1:22" x14ac:dyDescent="0.35">
      <c r="A125" s="11" t="s">
        <v>204</v>
      </c>
      <c r="B125" s="12" t="s">
        <v>205</v>
      </c>
      <c r="C125" s="13">
        <v>7</v>
      </c>
      <c r="D125" s="13">
        <v>6</v>
      </c>
      <c r="E125" s="13">
        <v>6</v>
      </c>
      <c r="F125" s="13">
        <v>2</v>
      </c>
      <c r="G125" s="13">
        <v>2</v>
      </c>
      <c r="H125" s="13">
        <v>4</v>
      </c>
      <c r="I125" s="13">
        <v>2</v>
      </c>
      <c r="J125" s="13">
        <v>65</v>
      </c>
      <c r="K125" s="13">
        <v>47</v>
      </c>
      <c r="L125" s="13">
        <v>64</v>
      </c>
      <c r="M125" s="14">
        <v>89</v>
      </c>
      <c r="N125">
        <f t="shared" si="6"/>
        <v>51.7</v>
      </c>
      <c r="O125">
        <f t="shared" si="7"/>
        <v>10</v>
      </c>
      <c r="P125">
        <f t="shared" si="7"/>
        <v>0</v>
      </c>
      <c r="Q125">
        <f t="shared" si="7"/>
        <v>0</v>
      </c>
      <c r="R125">
        <f t="shared" si="5"/>
        <v>6</v>
      </c>
      <c r="S125">
        <v>1</v>
      </c>
      <c r="T125">
        <f t="shared" si="8"/>
        <v>25</v>
      </c>
      <c r="U125">
        <f t="shared" si="9"/>
        <v>26.7</v>
      </c>
      <c r="V125">
        <f t="shared" si="10"/>
        <v>0</v>
      </c>
    </row>
    <row r="126" spans="1:22" x14ac:dyDescent="0.35">
      <c r="A126" s="7" t="s">
        <v>206</v>
      </c>
      <c r="B126" s="8" t="s">
        <v>155</v>
      </c>
      <c r="C126" s="9">
        <v>6</v>
      </c>
      <c r="D126" s="9">
        <v>4</v>
      </c>
      <c r="E126" s="9">
        <v>5</v>
      </c>
      <c r="F126" s="9">
        <v>3</v>
      </c>
      <c r="G126" s="9">
        <v>6</v>
      </c>
      <c r="H126" s="9">
        <v>2</v>
      </c>
      <c r="I126" s="9">
        <v>46</v>
      </c>
      <c r="J126" s="9">
        <v>75</v>
      </c>
      <c r="K126" s="9">
        <v>6</v>
      </c>
      <c r="L126" s="9">
        <v>45</v>
      </c>
      <c r="M126" s="10">
        <v>9</v>
      </c>
      <c r="N126">
        <f t="shared" si="6"/>
        <v>46.1</v>
      </c>
      <c r="O126">
        <f t="shared" si="7"/>
        <v>8</v>
      </c>
      <c r="P126">
        <f t="shared" si="7"/>
        <v>4</v>
      </c>
      <c r="Q126">
        <f t="shared" si="7"/>
        <v>10</v>
      </c>
      <c r="R126">
        <f t="shared" si="5"/>
        <v>0</v>
      </c>
      <c r="S126">
        <v>1</v>
      </c>
      <c r="T126">
        <f t="shared" si="8"/>
        <v>28</v>
      </c>
      <c r="U126">
        <f t="shared" si="9"/>
        <v>18.100000000000001</v>
      </c>
      <c r="V126">
        <f t="shared" si="10"/>
        <v>1</v>
      </c>
    </row>
    <row r="127" spans="1:22" x14ac:dyDescent="0.35">
      <c r="A127" s="11" t="s">
        <v>207</v>
      </c>
      <c r="B127" s="12" t="s">
        <v>51</v>
      </c>
      <c r="C127" s="13">
        <v>8</v>
      </c>
      <c r="D127" s="13">
        <v>3</v>
      </c>
      <c r="E127" s="13">
        <v>6</v>
      </c>
      <c r="F127" s="13">
        <v>4</v>
      </c>
      <c r="G127" s="13">
        <v>5</v>
      </c>
      <c r="H127" s="13">
        <v>2</v>
      </c>
      <c r="I127" s="13">
        <v>8</v>
      </c>
      <c r="J127" s="13">
        <v>35</v>
      </c>
      <c r="K127" s="13">
        <v>65</v>
      </c>
      <c r="L127" s="13">
        <v>30</v>
      </c>
      <c r="M127" s="14">
        <v>5</v>
      </c>
      <c r="N127">
        <f t="shared" si="6"/>
        <v>46.3</v>
      </c>
      <c r="O127">
        <f t="shared" si="7"/>
        <v>10</v>
      </c>
      <c r="P127">
        <f t="shared" si="7"/>
        <v>6</v>
      </c>
      <c r="Q127">
        <f t="shared" si="7"/>
        <v>8</v>
      </c>
      <c r="R127">
        <f t="shared" si="5"/>
        <v>0</v>
      </c>
      <c r="S127">
        <v>1</v>
      </c>
      <c r="T127">
        <f t="shared" si="8"/>
        <v>32</v>
      </c>
      <c r="U127">
        <f t="shared" si="9"/>
        <v>14.3</v>
      </c>
      <c r="V127">
        <f t="shared" si="10"/>
        <v>1</v>
      </c>
    </row>
    <row r="128" spans="1:22" x14ac:dyDescent="0.35">
      <c r="A128" s="7" t="s">
        <v>208</v>
      </c>
      <c r="B128" s="8" t="s">
        <v>30</v>
      </c>
      <c r="C128" s="9">
        <v>3</v>
      </c>
      <c r="D128" s="9">
        <v>6</v>
      </c>
      <c r="E128" s="9">
        <v>6</v>
      </c>
      <c r="F128" s="9">
        <v>3</v>
      </c>
      <c r="G128" s="9">
        <v>4</v>
      </c>
      <c r="H128" s="9">
        <v>5</v>
      </c>
      <c r="I128" s="9">
        <v>35</v>
      </c>
      <c r="J128" s="9">
        <v>1</v>
      </c>
      <c r="K128" s="9">
        <v>100</v>
      </c>
      <c r="L128" s="9">
        <v>65</v>
      </c>
      <c r="M128" s="10">
        <v>86</v>
      </c>
      <c r="N128">
        <f t="shared" si="6"/>
        <v>61.7</v>
      </c>
      <c r="O128">
        <f t="shared" si="7"/>
        <v>10</v>
      </c>
      <c r="P128">
        <f t="shared" si="7"/>
        <v>4</v>
      </c>
      <c r="Q128">
        <f t="shared" si="7"/>
        <v>6</v>
      </c>
      <c r="R128">
        <f t="shared" si="5"/>
        <v>8</v>
      </c>
      <c r="S128">
        <v>1</v>
      </c>
      <c r="T128">
        <f t="shared" si="8"/>
        <v>33</v>
      </c>
      <c r="U128">
        <f t="shared" si="9"/>
        <v>28.7</v>
      </c>
      <c r="V128">
        <f t="shared" si="10"/>
        <v>1</v>
      </c>
    </row>
    <row r="129" spans="1:22" x14ac:dyDescent="0.35">
      <c r="A129" s="11" t="s">
        <v>209</v>
      </c>
      <c r="B129" s="12" t="s">
        <v>210</v>
      </c>
      <c r="C129" s="13">
        <v>8</v>
      </c>
      <c r="D129" s="13">
        <v>3</v>
      </c>
      <c r="E129" s="13">
        <v>2</v>
      </c>
      <c r="F129" s="13">
        <v>3</v>
      </c>
      <c r="G129" s="13">
        <v>5</v>
      </c>
      <c r="H129" s="13">
        <v>5</v>
      </c>
      <c r="I129" s="13">
        <v>31</v>
      </c>
      <c r="J129" s="13">
        <v>75</v>
      </c>
      <c r="K129" s="13">
        <v>10</v>
      </c>
      <c r="L129" s="13">
        <v>37</v>
      </c>
      <c r="M129" s="14">
        <v>48</v>
      </c>
      <c r="N129">
        <f t="shared" si="6"/>
        <v>48.1</v>
      </c>
      <c r="O129">
        <f t="shared" si="7"/>
        <v>0</v>
      </c>
      <c r="P129">
        <f t="shared" si="7"/>
        <v>4</v>
      </c>
      <c r="Q129">
        <f t="shared" si="7"/>
        <v>8</v>
      </c>
      <c r="R129">
        <f t="shared" si="5"/>
        <v>8</v>
      </c>
      <c r="S129">
        <v>1</v>
      </c>
      <c r="T129">
        <f t="shared" si="8"/>
        <v>28</v>
      </c>
      <c r="U129">
        <f t="shared" si="9"/>
        <v>20.100000000000001</v>
      </c>
      <c r="V129">
        <f t="shared" si="10"/>
        <v>1</v>
      </c>
    </row>
    <row r="130" spans="1:22" x14ac:dyDescent="0.35">
      <c r="A130" s="7" t="s">
        <v>211</v>
      </c>
      <c r="B130" s="8" t="s">
        <v>78</v>
      </c>
      <c r="C130" s="9">
        <v>4</v>
      </c>
      <c r="D130" s="9">
        <v>3</v>
      </c>
      <c r="E130" s="9">
        <v>4</v>
      </c>
      <c r="F130" s="9">
        <v>2</v>
      </c>
      <c r="G130" s="9">
        <v>5</v>
      </c>
      <c r="H130" s="9">
        <v>6</v>
      </c>
      <c r="I130" s="9">
        <v>53</v>
      </c>
      <c r="J130" s="9">
        <v>74</v>
      </c>
      <c r="K130" s="9">
        <v>66</v>
      </c>
      <c r="L130" s="9">
        <v>37</v>
      </c>
      <c r="M130" s="10">
        <v>55</v>
      </c>
      <c r="N130">
        <f t="shared" si="6"/>
        <v>56.5</v>
      </c>
      <c r="O130">
        <f t="shared" si="7"/>
        <v>6</v>
      </c>
      <c r="P130">
        <f t="shared" si="7"/>
        <v>0</v>
      </c>
      <c r="Q130">
        <f t="shared" si="7"/>
        <v>8</v>
      </c>
      <c r="R130">
        <f t="shared" si="7"/>
        <v>10</v>
      </c>
      <c r="S130">
        <v>1</v>
      </c>
      <c r="T130">
        <f t="shared" si="8"/>
        <v>28</v>
      </c>
      <c r="U130">
        <f t="shared" si="9"/>
        <v>28.5</v>
      </c>
      <c r="V130">
        <f t="shared" si="10"/>
        <v>0</v>
      </c>
    </row>
    <row r="131" spans="1:22" x14ac:dyDescent="0.35">
      <c r="A131" s="11" t="s">
        <v>212</v>
      </c>
      <c r="B131" s="12" t="s">
        <v>101</v>
      </c>
      <c r="C131" s="13">
        <v>4</v>
      </c>
      <c r="D131" s="13">
        <v>6</v>
      </c>
      <c r="E131" s="13">
        <v>5</v>
      </c>
      <c r="F131" s="13">
        <v>3</v>
      </c>
      <c r="G131" s="13">
        <v>4</v>
      </c>
      <c r="H131" s="13">
        <v>4</v>
      </c>
      <c r="I131" s="13">
        <v>43</v>
      </c>
      <c r="J131" s="13">
        <v>49</v>
      </c>
      <c r="K131" s="13">
        <v>12</v>
      </c>
      <c r="L131" s="13">
        <v>36</v>
      </c>
      <c r="M131" s="14">
        <v>87</v>
      </c>
      <c r="N131">
        <f t="shared" ref="N131:N194" si="11">C131+IF(D131=6,2,0) +SUM(O131:R131) +SUM(I131:M131)/10</f>
        <v>52.7</v>
      </c>
      <c r="O131">
        <f t="shared" ref="O131:R194" si="12">IF(E131=2,0,IF(E131=3,4,IF(E131=4,6,IF(E131=5,8,IF(E131=6,10,0)))))</f>
        <v>8</v>
      </c>
      <c r="P131">
        <f t="shared" si="12"/>
        <v>4</v>
      </c>
      <c r="Q131">
        <f t="shared" si="12"/>
        <v>6</v>
      </c>
      <c r="R131">
        <f t="shared" si="12"/>
        <v>6</v>
      </c>
      <c r="S131">
        <v>1</v>
      </c>
      <c r="T131">
        <f t="shared" ref="T131:T194" si="13">C131+IF(D131=6,2,0) +SUM(O131:R131)</f>
        <v>30</v>
      </c>
      <c r="U131">
        <f t="shared" ref="U131:U194" si="14">SUM(I131:M131)/10</f>
        <v>22.7</v>
      </c>
      <c r="V131">
        <f t="shared" ref="V131:V194" si="15">IF(T131&gt;U131,1,0)</f>
        <v>1</v>
      </c>
    </row>
    <row r="132" spans="1:22" x14ac:dyDescent="0.35">
      <c r="A132" s="7" t="s">
        <v>213</v>
      </c>
      <c r="B132" s="8" t="s">
        <v>72</v>
      </c>
      <c r="C132" s="9">
        <v>4</v>
      </c>
      <c r="D132" s="9">
        <v>4</v>
      </c>
      <c r="E132" s="9">
        <v>6</v>
      </c>
      <c r="F132" s="9">
        <v>2</v>
      </c>
      <c r="G132" s="9">
        <v>5</v>
      </c>
      <c r="H132" s="9">
        <v>2</v>
      </c>
      <c r="I132" s="9">
        <v>60</v>
      </c>
      <c r="J132" s="9">
        <v>75</v>
      </c>
      <c r="K132" s="9">
        <v>10</v>
      </c>
      <c r="L132" s="9">
        <v>59</v>
      </c>
      <c r="M132" s="10">
        <v>5</v>
      </c>
      <c r="N132">
        <f t="shared" si="11"/>
        <v>42.9</v>
      </c>
      <c r="O132">
        <f t="shared" si="12"/>
        <v>10</v>
      </c>
      <c r="P132">
        <f t="shared" si="12"/>
        <v>0</v>
      </c>
      <c r="Q132">
        <f t="shared" si="12"/>
        <v>8</v>
      </c>
      <c r="R132">
        <f t="shared" si="12"/>
        <v>0</v>
      </c>
      <c r="S132">
        <v>1</v>
      </c>
      <c r="T132">
        <f t="shared" si="13"/>
        <v>22</v>
      </c>
      <c r="U132">
        <f t="shared" si="14"/>
        <v>20.9</v>
      </c>
      <c r="V132">
        <f t="shared" si="15"/>
        <v>1</v>
      </c>
    </row>
    <row r="133" spans="1:22" x14ac:dyDescent="0.35">
      <c r="A133" s="11" t="s">
        <v>214</v>
      </c>
      <c r="B133" s="12" t="s">
        <v>197</v>
      </c>
      <c r="C133" s="13">
        <v>7</v>
      </c>
      <c r="D133" s="13">
        <v>6</v>
      </c>
      <c r="E133" s="13">
        <v>4</v>
      </c>
      <c r="F133" s="13">
        <v>2</v>
      </c>
      <c r="G133" s="13">
        <v>2</v>
      </c>
      <c r="H133" s="13">
        <v>3</v>
      </c>
      <c r="I133" s="13">
        <v>89</v>
      </c>
      <c r="J133" s="13">
        <v>29</v>
      </c>
      <c r="K133" s="13">
        <v>58</v>
      </c>
      <c r="L133" s="13">
        <v>19</v>
      </c>
      <c r="M133" s="14">
        <v>97</v>
      </c>
      <c r="N133">
        <f t="shared" si="11"/>
        <v>48.2</v>
      </c>
      <c r="O133">
        <f t="shared" si="12"/>
        <v>6</v>
      </c>
      <c r="P133">
        <f t="shared" si="12"/>
        <v>0</v>
      </c>
      <c r="Q133">
        <f t="shared" si="12"/>
        <v>0</v>
      </c>
      <c r="R133">
        <f t="shared" si="12"/>
        <v>4</v>
      </c>
      <c r="S133">
        <v>1</v>
      </c>
      <c r="T133">
        <f t="shared" si="13"/>
        <v>19</v>
      </c>
      <c r="U133">
        <f t="shared" si="14"/>
        <v>29.2</v>
      </c>
      <c r="V133">
        <f t="shared" si="15"/>
        <v>0</v>
      </c>
    </row>
    <row r="134" spans="1:22" x14ac:dyDescent="0.35">
      <c r="A134" s="7" t="s">
        <v>215</v>
      </c>
      <c r="B134" s="8" t="s">
        <v>216</v>
      </c>
      <c r="C134" s="9">
        <v>5</v>
      </c>
      <c r="D134" s="9">
        <v>6</v>
      </c>
      <c r="E134" s="9">
        <v>5</v>
      </c>
      <c r="F134" s="9">
        <v>3</v>
      </c>
      <c r="G134" s="9">
        <v>5</v>
      </c>
      <c r="H134" s="9">
        <v>3</v>
      </c>
      <c r="I134" s="9">
        <v>61</v>
      </c>
      <c r="J134" s="9">
        <v>95</v>
      </c>
      <c r="K134" s="9">
        <v>36</v>
      </c>
      <c r="L134" s="9">
        <v>86</v>
      </c>
      <c r="M134" s="10">
        <v>36</v>
      </c>
      <c r="N134">
        <f t="shared" si="11"/>
        <v>62.4</v>
      </c>
      <c r="O134">
        <f t="shared" si="12"/>
        <v>8</v>
      </c>
      <c r="P134">
        <f t="shared" si="12"/>
        <v>4</v>
      </c>
      <c r="Q134">
        <f t="shared" si="12"/>
        <v>8</v>
      </c>
      <c r="R134">
        <f t="shared" si="12"/>
        <v>4</v>
      </c>
      <c r="S134">
        <v>1</v>
      </c>
      <c r="T134">
        <f t="shared" si="13"/>
        <v>31</v>
      </c>
      <c r="U134">
        <f t="shared" si="14"/>
        <v>31.4</v>
      </c>
      <c r="V134">
        <f t="shared" si="15"/>
        <v>0</v>
      </c>
    </row>
    <row r="135" spans="1:22" x14ac:dyDescent="0.35">
      <c r="A135" s="11" t="s">
        <v>217</v>
      </c>
      <c r="B135" s="12" t="s">
        <v>218</v>
      </c>
      <c r="C135" s="13">
        <v>7</v>
      </c>
      <c r="D135" s="13">
        <v>6</v>
      </c>
      <c r="E135" s="13">
        <v>2</v>
      </c>
      <c r="F135" s="13">
        <v>3</v>
      </c>
      <c r="G135" s="13">
        <v>3</v>
      </c>
      <c r="H135" s="13">
        <v>2</v>
      </c>
      <c r="I135" s="13">
        <v>2</v>
      </c>
      <c r="J135" s="13">
        <v>9</v>
      </c>
      <c r="K135" s="13">
        <v>56</v>
      </c>
      <c r="L135" s="13">
        <v>86</v>
      </c>
      <c r="M135" s="14">
        <v>71</v>
      </c>
      <c r="N135">
        <f t="shared" si="11"/>
        <v>39.4</v>
      </c>
      <c r="O135">
        <f t="shared" si="12"/>
        <v>0</v>
      </c>
      <c r="P135">
        <f t="shared" si="12"/>
        <v>4</v>
      </c>
      <c r="Q135">
        <f t="shared" si="12"/>
        <v>4</v>
      </c>
      <c r="R135">
        <f t="shared" si="12"/>
        <v>0</v>
      </c>
      <c r="S135">
        <v>1</v>
      </c>
      <c r="T135">
        <f t="shared" si="13"/>
        <v>17</v>
      </c>
      <c r="U135">
        <f t="shared" si="14"/>
        <v>22.4</v>
      </c>
      <c r="V135">
        <f t="shared" si="15"/>
        <v>0</v>
      </c>
    </row>
    <row r="136" spans="1:22" x14ac:dyDescent="0.35">
      <c r="A136" s="7" t="s">
        <v>219</v>
      </c>
      <c r="B136" s="8" t="s">
        <v>16</v>
      </c>
      <c r="C136" s="9">
        <v>6</v>
      </c>
      <c r="D136" s="9">
        <v>2</v>
      </c>
      <c r="E136" s="9">
        <v>4</v>
      </c>
      <c r="F136" s="9">
        <v>5</v>
      </c>
      <c r="G136" s="9">
        <v>6</v>
      </c>
      <c r="H136" s="9">
        <v>4</v>
      </c>
      <c r="I136" s="9">
        <v>21</v>
      </c>
      <c r="J136" s="9">
        <v>73</v>
      </c>
      <c r="K136" s="9">
        <v>39</v>
      </c>
      <c r="L136" s="9">
        <v>28</v>
      </c>
      <c r="M136" s="10">
        <v>25</v>
      </c>
      <c r="N136">
        <f t="shared" si="11"/>
        <v>54.6</v>
      </c>
      <c r="O136">
        <f t="shared" si="12"/>
        <v>6</v>
      </c>
      <c r="P136">
        <f t="shared" si="12"/>
        <v>8</v>
      </c>
      <c r="Q136">
        <f t="shared" si="12"/>
        <v>10</v>
      </c>
      <c r="R136">
        <f t="shared" si="12"/>
        <v>6</v>
      </c>
      <c r="S136">
        <v>1</v>
      </c>
      <c r="T136">
        <f t="shared" si="13"/>
        <v>36</v>
      </c>
      <c r="U136">
        <f t="shared" si="14"/>
        <v>18.600000000000001</v>
      </c>
      <c r="V136">
        <f t="shared" si="15"/>
        <v>1</v>
      </c>
    </row>
    <row r="137" spans="1:22" x14ac:dyDescent="0.35">
      <c r="A137" s="11" t="s">
        <v>220</v>
      </c>
      <c r="B137" s="12" t="s">
        <v>130</v>
      </c>
      <c r="C137" s="13">
        <v>0</v>
      </c>
      <c r="D137" s="13">
        <v>5</v>
      </c>
      <c r="E137" s="13">
        <v>2</v>
      </c>
      <c r="F137" s="13">
        <v>4</v>
      </c>
      <c r="G137" s="13">
        <v>3</v>
      </c>
      <c r="H137" s="13">
        <v>3</v>
      </c>
      <c r="I137" s="13">
        <v>52</v>
      </c>
      <c r="J137" s="13">
        <v>74</v>
      </c>
      <c r="K137" s="13">
        <v>79</v>
      </c>
      <c r="L137" s="13">
        <v>92</v>
      </c>
      <c r="M137" s="14">
        <v>69</v>
      </c>
      <c r="N137">
        <f t="shared" si="11"/>
        <v>50.6</v>
      </c>
      <c r="O137">
        <f t="shared" si="12"/>
        <v>0</v>
      </c>
      <c r="P137">
        <f t="shared" si="12"/>
        <v>6</v>
      </c>
      <c r="Q137">
        <f t="shared" si="12"/>
        <v>4</v>
      </c>
      <c r="R137">
        <f t="shared" si="12"/>
        <v>4</v>
      </c>
      <c r="S137">
        <v>1</v>
      </c>
      <c r="T137">
        <f t="shared" si="13"/>
        <v>14</v>
      </c>
      <c r="U137">
        <f t="shared" si="14"/>
        <v>36.6</v>
      </c>
      <c r="V137">
        <f t="shared" si="15"/>
        <v>0</v>
      </c>
    </row>
    <row r="138" spans="1:22" x14ac:dyDescent="0.35">
      <c r="A138" s="7" t="s">
        <v>221</v>
      </c>
      <c r="B138" s="8" t="s">
        <v>222</v>
      </c>
      <c r="C138" s="9">
        <v>1</v>
      </c>
      <c r="D138" s="9">
        <v>2</v>
      </c>
      <c r="E138" s="9">
        <v>2</v>
      </c>
      <c r="F138" s="9">
        <v>4</v>
      </c>
      <c r="G138" s="9">
        <v>5</v>
      </c>
      <c r="H138" s="9">
        <v>3</v>
      </c>
      <c r="I138" s="9">
        <v>97</v>
      </c>
      <c r="J138" s="9">
        <v>51</v>
      </c>
      <c r="K138" s="9">
        <v>38</v>
      </c>
      <c r="L138" s="9">
        <v>17</v>
      </c>
      <c r="M138" s="10">
        <v>5</v>
      </c>
      <c r="N138">
        <f t="shared" si="11"/>
        <v>39.799999999999997</v>
      </c>
      <c r="O138">
        <f t="shared" si="12"/>
        <v>0</v>
      </c>
      <c r="P138">
        <f t="shared" si="12"/>
        <v>6</v>
      </c>
      <c r="Q138">
        <f t="shared" si="12"/>
        <v>8</v>
      </c>
      <c r="R138">
        <f t="shared" si="12"/>
        <v>4</v>
      </c>
      <c r="S138">
        <v>1</v>
      </c>
      <c r="T138">
        <f t="shared" si="13"/>
        <v>19</v>
      </c>
      <c r="U138">
        <f t="shared" si="14"/>
        <v>20.8</v>
      </c>
      <c r="V138">
        <f t="shared" si="15"/>
        <v>0</v>
      </c>
    </row>
    <row r="139" spans="1:22" x14ac:dyDescent="0.35">
      <c r="A139" s="11" t="s">
        <v>223</v>
      </c>
      <c r="B139" s="12" t="s">
        <v>145</v>
      </c>
      <c r="C139" s="13">
        <v>3</v>
      </c>
      <c r="D139" s="13">
        <v>3</v>
      </c>
      <c r="E139" s="13">
        <v>2</v>
      </c>
      <c r="F139" s="13">
        <v>5</v>
      </c>
      <c r="G139" s="13">
        <v>3</v>
      </c>
      <c r="H139" s="13">
        <v>5</v>
      </c>
      <c r="I139" s="13">
        <v>68</v>
      </c>
      <c r="J139" s="13">
        <v>38</v>
      </c>
      <c r="K139" s="13">
        <v>31</v>
      </c>
      <c r="L139" s="13">
        <v>14</v>
      </c>
      <c r="M139" s="14">
        <v>54</v>
      </c>
      <c r="N139">
        <f t="shared" si="11"/>
        <v>43.5</v>
      </c>
      <c r="O139">
        <f t="shared" si="12"/>
        <v>0</v>
      </c>
      <c r="P139">
        <f t="shared" si="12"/>
        <v>8</v>
      </c>
      <c r="Q139">
        <f t="shared" si="12"/>
        <v>4</v>
      </c>
      <c r="R139">
        <f t="shared" si="12"/>
        <v>8</v>
      </c>
      <c r="S139">
        <v>1</v>
      </c>
      <c r="T139">
        <f t="shared" si="13"/>
        <v>23</v>
      </c>
      <c r="U139">
        <f t="shared" si="14"/>
        <v>20.5</v>
      </c>
      <c r="V139">
        <f t="shared" si="15"/>
        <v>1</v>
      </c>
    </row>
    <row r="140" spans="1:22" x14ac:dyDescent="0.35">
      <c r="A140" s="7" t="s">
        <v>224</v>
      </c>
      <c r="B140" s="8" t="s">
        <v>225</v>
      </c>
      <c r="C140" s="9">
        <v>7</v>
      </c>
      <c r="D140" s="9">
        <v>6</v>
      </c>
      <c r="E140" s="9">
        <v>2</v>
      </c>
      <c r="F140" s="9">
        <v>5</v>
      </c>
      <c r="G140" s="9">
        <v>6</v>
      </c>
      <c r="H140" s="9">
        <v>5</v>
      </c>
      <c r="I140" s="9">
        <v>19</v>
      </c>
      <c r="J140" s="9">
        <v>56</v>
      </c>
      <c r="K140" s="9">
        <v>50</v>
      </c>
      <c r="L140" s="9">
        <v>43</v>
      </c>
      <c r="M140" s="10">
        <v>66</v>
      </c>
      <c r="N140">
        <f t="shared" si="11"/>
        <v>58.4</v>
      </c>
      <c r="O140">
        <f t="shared" si="12"/>
        <v>0</v>
      </c>
      <c r="P140">
        <f t="shared" si="12"/>
        <v>8</v>
      </c>
      <c r="Q140">
        <f t="shared" si="12"/>
        <v>10</v>
      </c>
      <c r="R140">
        <f t="shared" si="12"/>
        <v>8</v>
      </c>
      <c r="S140">
        <v>1</v>
      </c>
      <c r="T140">
        <f t="shared" si="13"/>
        <v>35</v>
      </c>
      <c r="U140">
        <f t="shared" si="14"/>
        <v>23.4</v>
      </c>
      <c r="V140">
        <f t="shared" si="15"/>
        <v>1</v>
      </c>
    </row>
    <row r="141" spans="1:22" x14ac:dyDescent="0.35">
      <c r="A141" s="11" t="s">
        <v>226</v>
      </c>
      <c r="B141" s="12" t="s">
        <v>74</v>
      </c>
      <c r="C141" s="13">
        <v>6</v>
      </c>
      <c r="D141" s="13">
        <v>6</v>
      </c>
      <c r="E141" s="13">
        <v>5</v>
      </c>
      <c r="F141" s="13">
        <v>3</v>
      </c>
      <c r="G141" s="13">
        <v>2</v>
      </c>
      <c r="H141" s="13">
        <v>3</v>
      </c>
      <c r="I141" s="13">
        <v>16</v>
      </c>
      <c r="J141" s="13">
        <v>95</v>
      </c>
      <c r="K141" s="13">
        <v>97</v>
      </c>
      <c r="L141" s="13">
        <v>62</v>
      </c>
      <c r="M141" s="14">
        <v>46</v>
      </c>
      <c r="N141">
        <f t="shared" si="11"/>
        <v>55.6</v>
      </c>
      <c r="O141">
        <f t="shared" si="12"/>
        <v>8</v>
      </c>
      <c r="P141">
        <f t="shared" si="12"/>
        <v>4</v>
      </c>
      <c r="Q141">
        <f t="shared" si="12"/>
        <v>0</v>
      </c>
      <c r="R141">
        <f t="shared" si="12"/>
        <v>4</v>
      </c>
      <c r="S141">
        <v>1</v>
      </c>
      <c r="T141">
        <f t="shared" si="13"/>
        <v>24</v>
      </c>
      <c r="U141">
        <f t="shared" si="14"/>
        <v>31.6</v>
      </c>
      <c r="V141">
        <f t="shared" si="15"/>
        <v>0</v>
      </c>
    </row>
    <row r="142" spans="1:22" x14ac:dyDescent="0.35">
      <c r="A142" s="7" t="s">
        <v>227</v>
      </c>
      <c r="B142" s="8" t="s">
        <v>78</v>
      </c>
      <c r="C142" s="9">
        <v>6</v>
      </c>
      <c r="D142" s="9">
        <v>5</v>
      </c>
      <c r="E142" s="9">
        <v>3</v>
      </c>
      <c r="F142" s="9">
        <v>2</v>
      </c>
      <c r="G142" s="9">
        <v>3</v>
      </c>
      <c r="H142" s="9">
        <v>5</v>
      </c>
      <c r="I142" s="9">
        <v>55</v>
      </c>
      <c r="J142" s="9">
        <v>2</v>
      </c>
      <c r="K142" s="9">
        <v>64</v>
      </c>
      <c r="L142" s="9">
        <v>13</v>
      </c>
      <c r="M142" s="10">
        <v>72</v>
      </c>
      <c r="N142">
        <f t="shared" si="11"/>
        <v>42.6</v>
      </c>
      <c r="O142">
        <f t="shared" si="12"/>
        <v>4</v>
      </c>
      <c r="P142">
        <f t="shared" si="12"/>
        <v>0</v>
      </c>
      <c r="Q142">
        <f t="shared" si="12"/>
        <v>4</v>
      </c>
      <c r="R142">
        <f t="shared" si="12"/>
        <v>8</v>
      </c>
      <c r="S142">
        <v>1</v>
      </c>
      <c r="T142">
        <f t="shared" si="13"/>
        <v>22</v>
      </c>
      <c r="U142">
        <f t="shared" si="14"/>
        <v>20.6</v>
      </c>
      <c r="V142">
        <f t="shared" si="15"/>
        <v>1</v>
      </c>
    </row>
    <row r="143" spans="1:22" x14ac:dyDescent="0.35">
      <c r="A143" s="11" t="s">
        <v>228</v>
      </c>
      <c r="B143" s="12" t="s">
        <v>166</v>
      </c>
      <c r="C143" s="13">
        <v>6</v>
      </c>
      <c r="D143" s="13">
        <v>2</v>
      </c>
      <c r="E143" s="13">
        <v>4</v>
      </c>
      <c r="F143" s="13">
        <v>3</v>
      </c>
      <c r="G143" s="13">
        <v>3</v>
      </c>
      <c r="H143" s="13">
        <v>2</v>
      </c>
      <c r="I143" s="13">
        <v>54</v>
      </c>
      <c r="J143" s="13">
        <v>83</v>
      </c>
      <c r="K143" s="13">
        <v>36</v>
      </c>
      <c r="L143" s="13">
        <v>27</v>
      </c>
      <c r="M143" s="14">
        <v>21</v>
      </c>
      <c r="N143">
        <f t="shared" si="11"/>
        <v>42.1</v>
      </c>
      <c r="O143">
        <f t="shared" si="12"/>
        <v>6</v>
      </c>
      <c r="P143">
        <f t="shared" si="12"/>
        <v>4</v>
      </c>
      <c r="Q143">
        <f t="shared" si="12"/>
        <v>4</v>
      </c>
      <c r="R143">
        <f t="shared" si="12"/>
        <v>0</v>
      </c>
      <c r="S143">
        <v>1</v>
      </c>
      <c r="T143">
        <f t="shared" si="13"/>
        <v>20</v>
      </c>
      <c r="U143">
        <f t="shared" si="14"/>
        <v>22.1</v>
      </c>
      <c r="V143">
        <f t="shared" si="15"/>
        <v>0</v>
      </c>
    </row>
    <row r="144" spans="1:22" x14ac:dyDescent="0.35">
      <c r="A144" s="7" t="s">
        <v>229</v>
      </c>
      <c r="B144" s="8" t="s">
        <v>174</v>
      </c>
      <c r="C144" s="9">
        <v>1</v>
      </c>
      <c r="D144" s="9">
        <v>5</v>
      </c>
      <c r="E144" s="9">
        <v>2</v>
      </c>
      <c r="F144" s="9">
        <v>2</v>
      </c>
      <c r="G144" s="9">
        <v>4</v>
      </c>
      <c r="H144" s="9">
        <v>5</v>
      </c>
      <c r="I144" s="9">
        <v>19</v>
      </c>
      <c r="J144" s="9">
        <v>92</v>
      </c>
      <c r="K144" s="9">
        <v>24</v>
      </c>
      <c r="L144" s="9">
        <v>32</v>
      </c>
      <c r="M144" s="10">
        <v>91</v>
      </c>
      <c r="N144">
        <f t="shared" si="11"/>
        <v>40.799999999999997</v>
      </c>
      <c r="O144">
        <f t="shared" si="12"/>
        <v>0</v>
      </c>
      <c r="P144">
        <f t="shared" si="12"/>
        <v>0</v>
      </c>
      <c r="Q144">
        <f t="shared" si="12"/>
        <v>6</v>
      </c>
      <c r="R144">
        <f t="shared" si="12"/>
        <v>8</v>
      </c>
      <c r="S144">
        <v>1</v>
      </c>
      <c r="T144">
        <f t="shared" si="13"/>
        <v>15</v>
      </c>
      <c r="U144">
        <f t="shared" si="14"/>
        <v>25.8</v>
      </c>
      <c r="V144">
        <f t="shared" si="15"/>
        <v>0</v>
      </c>
    </row>
    <row r="145" spans="1:22" x14ac:dyDescent="0.35">
      <c r="A145" s="11" t="s">
        <v>230</v>
      </c>
      <c r="B145" s="12" t="s">
        <v>137</v>
      </c>
      <c r="C145" s="13">
        <v>7</v>
      </c>
      <c r="D145" s="13">
        <v>3</v>
      </c>
      <c r="E145" s="13">
        <v>2</v>
      </c>
      <c r="F145" s="13">
        <v>3</v>
      </c>
      <c r="G145" s="13">
        <v>5</v>
      </c>
      <c r="H145" s="13">
        <v>6</v>
      </c>
      <c r="I145" s="13">
        <v>25</v>
      </c>
      <c r="J145" s="13">
        <v>14</v>
      </c>
      <c r="K145" s="13">
        <v>19</v>
      </c>
      <c r="L145" s="13">
        <v>95</v>
      </c>
      <c r="M145" s="14">
        <v>91</v>
      </c>
      <c r="N145">
        <f t="shared" si="11"/>
        <v>53.4</v>
      </c>
      <c r="O145">
        <f t="shared" si="12"/>
        <v>0</v>
      </c>
      <c r="P145">
        <f t="shared" si="12"/>
        <v>4</v>
      </c>
      <c r="Q145">
        <f t="shared" si="12"/>
        <v>8</v>
      </c>
      <c r="R145">
        <f t="shared" si="12"/>
        <v>10</v>
      </c>
      <c r="S145">
        <v>1</v>
      </c>
      <c r="T145">
        <f t="shared" si="13"/>
        <v>29</v>
      </c>
      <c r="U145">
        <f t="shared" si="14"/>
        <v>24.4</v>
      </c>
      <c r="V145">
        <f t="shared" si="15"/>
        <v>1</v>
      </c>
    </row>
    <row r="146" spans="1:22" x14ac:dyDescent="0.35">
      <c r="A146" s="7" t="s">
        <v>231</v>
      </c>
      <c r="B146" s="8" t="s">
        <v>232</v>
      </c>
      <c r="C146" s="9">
        <v>8</v>
      </c>
      <c r="D146" s="9">
        <v>4</v>
      </c>
      <c r="E146" s="9">
        <v>3</v>
      </c>
      <c r="F146" s="9">
        <v>2</v>
      </c>
      <c r="G146" s="9">
        <v>3</v>
      </c>
      <c r="H146" s="9">
        <v>4</v>
      </c>
      <c r="I146" s="9">
        <v>37</v>
      </c>
      <c r="J146" s="9">
        <v>69</v>
      </c>
      <c r="K146" s="9">
        <v>12</v>
      </c>
      <c r="L146" s="9">
        <v>17</v>
      </c>
      <c r="M146" s="10">
        <v>48</v>
      </c>
      <c r="N146">
        <f t="shared" si="11"/>
        <v>40.299999999999997</v>
      </c>
      <c r="O146">
        <f t="shared" si="12"/>
        <v>4</v>
      </c>
      <c r="P146">
        <f t="shared" si="12"/>
        <v>0</v>
      </c>
      <c r="Q146">
        <f t="shared" si="12"/>
        <v>4</v>
      </c>
      <c r="R146">
        <f t="shared" si="12"/>
        <v>6</v>
      </c>
      <c r="S146">
        <v>1</v>
      </c>
      <c r="T146">
        <f t="shared" si="13"/>
        <v>22</v>
      </c>
      <c r="U146">
        <f t="shared" si="14"/>
        <v>18.3</v>
      </c>
      <c r="V146">
        <f t="shared" si="15"/>
        <v>1</v>
      </c>
    </row>
    <row r="147" spans="1:22" x14ac:dyDescent="0.35">
      <c r="A147" s="11" t="s">
        <v>233</v>
      </c>
      <c r="B147" s="12" t="s">
        <v>145</v>
      </c>
      <c r="C147" s="13">
        <v>3</v>
      </c>
      <c r="D147" s="13">
        <v>6</v>
      </c>
      <c r="E147" s="13">
        <v>6</v>
      </c>
      <c r="F147" s="13">
        <v>6</v>
      </c>
      <c r="G147" s="13">
        <v>3</v>
      </c>
      <c r="H147" s="13">
        <v>4</v>
      </c>
      <c r="I147" s="13">
        <v>79</v>
      </c>
      <c r="J147" s="13">
        <v>23</v>
      </c>
      <c r="K147" s="13">
        <v>17</v>
      </c>
      <c r="L147" s="13">
        <v>99</v>
      </c>
      <c r="M147" s="14">
        <v>29</v>
      </c>
      <c r="N147">
        <f t="shared" si="11"/>
        <v>59.7</v>
      </c>
      <c r="O147">
        <f t="shared" si="12"/>
        <v>10</v>
      </c>
      <c r="P147">
        <f t="shared" si="12"/>
        <v>10</v>
      </c>
      <c r="Q147">
        <f t="shared" si="12"/>
        <v>4</v>
      </c>
      <c r="R147">
        <f t="shared" si="12"/>
        <v>6</v>
      </c>
      <c r="S147">
        <v>1</v>
      </c>
      <c r="T147">
        <f t="shared" si="13"/>
        <v>35</v>
      </c>
      <c r="U147">
        <f t="shared" si="14"/>
        <v>24.7</v>
      </c>
      <c r="V147">
        <f t="shared" si="15"/>
        <v>1</v>
      </c>
    </row>
    <row r="148" spans="1:22" x14ac:dyDescent="0.35">
      <c r="A148" s="7" t="s">
        <v>234</v>
      </c>
      <c r="B148" s="8" t="s">
        <v>159</v>
      </c>
      <c r="C148" s="9">
        <v>4</v>
      </c>
      <c r="D148" s="9">
        <v>5</v>
      </c>
      <c r="E148" s="9">
        <v>2</v>
      </c>
      <c r="F148" s="9">
        <v>5</v>
      </c>
      <c r="G148" s="9">
        <v>4</v>
      </c>
      <c r="H148" s="9">
        <v>3</v>
      </c>
      <c r="I148" s="9">
        <v>41</v>
      </c>
      <c r="J148" s="9">
        <v>64</v>
      </c>
      <c r="K148" s="9">
        <v>91</v>
      </c>
      <c r="L148" s="9">
        <v>82</v>
      </c>
      <c r="M148" s="10">
        <v>100</v>
      </c>
      <c r="N148">
        <f t="shared" si="11"/>
        <v>59.8</v>
      </c>
      <c r="O148">
        <f t="shared" si="12"/>
        <v>0</v>
      </c>
      <c r="P148">
        <f t="shared" si="12"/>
        <v>8</v>
      </c>
      <c r="Q148">
        <f t="shared" si="12"/>
        <v>6</v>
      </c>
      <c r="R148">
        <f t="shared" si="12"/>
        <v>4</v>
      </c>
      <c r="S148">
        <v>1</v>
      </c>
      <c r="T148">
        <f t="shared" si="13"/>
        <v>22</v>
      </c>
      <c r="U148">
        <f t="shared" si="14"/>
        <v>37.799999999999997</v>
      </c>
      <c r="V148">
        <f t="shared" si="15"/>
        <v>0</v>
      </c>
    </row>
    <row r="149" spans="1:22" x14ac:dyDescent="0.35">
      <c r="A149" s="11" t="s">
        <v>235</v>
      </c>
      <c r="B149" s="12" t="s">
        <v>101</v>
      </c>
      <c r="C149" s="13">
        <v>5</v>
      </c>
      <c r="D149" s="13">
        <v>4</v>
      </c>
      <c r="E149" s="13">
        <v>5</v>
      </c>
      <c r="F149" s="13">
        <v>2</v>
      </c>
      <c r="G149" s="13">
        <v>3</v>
      </c>
      <c r="H149" s="13">
        <v>2</v>
      </c>
      <c r="I149" s="13">
        <v>87</v>
      </c>
      <c r="J149" s="13">
        <v>45</v>
      </c>
      <c r="K149" s="13">
        <v>47</v>
      </c>
      <c r="L149" s="13">
        <v>75</v>
      </c>
      <c r="M149" s="14">
        <v>51</v>
      </c>
      <c r="N149">
        <f t="shared" si="11"/>
        <v>47.5</v>
      </c>
      <c r="O149">
        <f t="shared" si="12"/>
        <v>8</v>
      </c>
      <c r="P149">
        <f t="shared" si="12"/>
        <v>0</v>
      </c>
      <c r="Q149">
        <f t="shared" si="12"/>
        <v>4</v>
      </c>
      <c r="R149">
        <f t="shared" si="12"/>
        <v>0</v>
      </c>
      <c r="S149">
        <v>1</v>
      </c>
      <c r="T149">
        <f t="shared" si="13"/>
        <v>17</v>
      </c>
      <c r="U149">
        <f t="shared" si="14"/>
        <v>30.5</v>
      </c>
      <c r="V149">
        <f t="shared" si="15"/>
        <v>0</v>
      </c>
    </row>
    <row r="150" spans="1:22" x14ac:dyDescent="0.35">
      <c r="A150" s="7" t="s">
        <v>236</v>
      </c>
      <c r="B150" s="8" t="s">
        <v>90</v>
      </c>
      <c r="C150" s="9">
        <v>8</v>
      </c>
      <c r="D150" s="9">
        <v>3</v>
      </c>
      <c r="E150" s="9">
        <v>6</v>
      </c>
      <c r="F150" s="9">
        <v>3</v>
      </c>
      <c r="G150" s="9">
        <v>6</v>
      </c>
      <c r="H150" s="9">
        <v>2</v>
      </c>
      <c r="I150" s="9">
        <v>84</v>
      </c>
      <c r="J150" s="9">
        <v>77</v>
      </c>
      <c r="K150" s="9">
        <v>71</v>
      </c>
      <c r="L150" s="9">
        <v>71</v>
      </c>
      <c r="M150" s="10">
        <v>9</v>
      </c>
      <c r="N150">
        <f t="shared" si="11"/>
        <v>63.2</v>
      </c>
      <c r="O150">
        <f t="shared" si="12"/>
        <v>10</v>
      </c>
      <c r="P150">
        <f t="shared" si="12"/>
        <v>4</v>
      </c>
      <c r="Q150">
        <f t="shared" si="12"/>
        <v>10</v>
      </c>
      <c r="R150">
        <f t="shared" si="12"/>
        <v>0</v>
      </c>
      <c r="S150">
        <v>1</v>
      </c>
      <c r="T150">
        <f t="shared" si="13"/>
        <v>32</v>
      </c>
      <c r="U150">
        <f t="shared" si="14"/>
        <v>31.2</v>
      </c>
      <c r="V150">
        <f t="shared" si="15"/>
        <v>1</v>
      </c>
    </row>
    <row r="151" spans="1:22" x14ac:dyDescent="0.35">
      <c r="A151" s="11" t="s">
        <v>237</v>
      </c>
      <c r="B151" s="12" t="s">
        <v>90</v>
      </c>
      <c r="C151" s="13">
        <v>1</v>
      </c>
      <c r="D151" s="13">
        <v>2</v>
      </c>
      <c r="E151" s="13">
        <v>4</v>
      </c>
      <c r="F151" s="13">
        <v>4</v>
      </c>
      <c r="G151" s="13">
        <v>5</v>
      </c>
      <c r="H151" s="13">
        <v>5</v>
      </c>
      <c r="I151" s="13">
        <v>20</v>
      </c>
      <c r="J151" s="13">
        <v>93</v>
      </c>
      <c r="K151" s="13">
        <v>68</v>
      </c>
      <c r="L151" s="13">
        <v>58</v>
      </c>
      <c r="M151" s="14">
        <v>23</v>
      </c>
      <c r="N151">
        <f t="shared" si="11"/>
        <v>55.2</v>
      </c>
      <c r="O151">
        <f t="shared" si="12"/>
        <v>6</v>
      </c>
      <c r="P151">
        <f t="shared" si="12"/>
        <v>6</v>
      </c>
      <c r="Q151">
        <f t="shared" si="12"/>
        <v>8</v>
      </c>
      <c r="R151">
        <f t="shared" si="12"/>
        <v>8</v>
      </c>
      <c r="S151">
        <v>1</v>
      </c>
      <c r="T151">
        <f t="shared" si="13"/>
        <v>29</v>
      </c>
      <c r="U151">
        <f t="shared" si="14"/>
        <v>26.2</v>
      </c>
      <c r="V151">
        <f t="shared" si="15"/>
        <v>1</v>
      </c>
    </row>
    <row r="152" spans="1:22" x14ac:dyDescent="0.35">
      <c r="A152" s="7" t="s">
        <v>238</v>
      </c>
      <c r="B152" s="8" t="s">
        <v>239</v>
      </c>
      <c r="C152" s="9">
        <v>7</v>
      </c>
      <c r="D152" s="9">
        <v>5</v>
      </c>
      <c r="E152" s="9">
        <v>6</v>
      </c>
      <c r="F152" s="9">
        <v>6</v>
      </c>
      <c r="G152" s="9">
        <v>2</v>
      </c>
      <c r="H152" s="9">
        <v>5</v>
      </c>
      <c r="I152" s="9">
        <v>80</v>
      </c>
      <c r="J152" s="9">
        <v>90</v>
      </c>
      <c r="K152" s="9">
        <v>62</v>
      </c>
      <c r="L152" s="9">
        <v>97</v>
      </c>
      <c r="M152" s="10">
        <v>3</v>
      </c>
      <c r="N152">
        <f t="shared" si="11"/>
        <v>68.2</v>
      </c>
      <c r="O152">
        <f t="shared" si="12"/>
        <v>10</v>
      </c>
      <c r="P152">
        <f t="shared" si="12"/>
        <v>10</v>
      </c>
      <c r="Q152">
        <f t="shared" si="12"/>
        <v>0</v>
      </c>
      <c r="R152">
        <f t="shared" si="12"/>
        <v>8</v>
      </c>
      <c r="S152">
        <v>1</v>
      </c>
      <c r="T152">
        <f t="shared" si="13"/>
        <v>35</v>
      </c>
      <c r="U152">
        <f t="shared" si="14"/>
        <v>33.200000000000003</v>
      </c>
      <c r="V152">
        <f t="shared" si="15"/>
        <v>1</v>
      </c>
    </row>
    <row r="153" spans="1:22" x14ac:dyDescent="0.35">
      <c r="A153" s="11" t="s">
        <v>240</v>
      </c>
      <c r="B153" s="12" t="s">
        <v>232</v>
      </c>
      <c r="C153" s="13">
        <v>6</v>
      </c>
      <c r="D153" s="13">
        <v>6</v>
      </c>
      <c r="E153" s="13">
        <v>6</v>
      </c>
      <c r="F153" s="13">
        <v>4</v>
      </c>
      <c r="G153" s="13">
        <v>4</v>
      </c>
      <c r="H153" s="13">
        <v>5</v>
      </c>
      <c r="I153" s="13">
        <v>77</v>
      </c>
      <c r="J153" s="13">
        <v>40</v>
      </c>
      <c r="K153" s="13">
        <v>93</v>
      </c>
      <c r="L153" s="13">
        <v>80</v>
      </c>
      <c r="M153" s="14">
        <v>71</v>
      </c>
      <c r="N153">
        <f t="shared" si="11"/>
        <v>74.099999999999994</v>
      </c>
      <c r="O153">
        <f t="shared" si="12"/>
        <v>10</v>
      </c>
      <c r="P153">
        <f t="shared" si="12"/>
        <v>6</v>
      </c>
      <c r="Q153">
        <f t="shared" si="12"/>
        <v>6</v>
      </c>
      <c r="R153">
        <f t="shared" si="12"/>
        <v>8</v>
      </c>
      <c r="S153">
        <v>1</v>
      </c>
      <c r="T153">
        <f t="shared" si="13"/>
        <v>38</v>
      </c>
      <c r="U153">
        <f t="shared" si="14"/>
        <v>36.1</v>
      </c>
      <c r="V153">
        <f t="shared" si="15"/>
        <v>1</v>
      </c>
    </row>
    <row r="154" spans="1:22" x14ac:dyDescent="0.35">
      <c r="A154" s="7" t="s">
        <v>241</v>
      </c>
      <c r="B154" s="8" t="s">
        <v>242</v>
      </c>
      <c r="C154" s="9">
        <v>4</v>
      </c>
      <c r="D154" s="9">
        <v>6</v>
      </c>
      <c r="E154" s="9">
        <v>5</v>
      </c>
      <c r="F154" s="9">
        <v>3</v>
      </c>
      <c r="G154" s="9">
        <v>5</v>
      </c>
      <c r="H154" s="9">
        <v>4</v>
      </c>
      <c r="I154" s="9">
        <v>65</v>
      </c>
      <c r="J154" s="9">
        <v>34</v>
      </c>
      <c r="K154" s="9">
        <v>51</v>
      </c>
      <c r="L154" s="9">
        <v>38</v>
      </c>
      <c r="M154" s="10">
        <v>65</v>
      </c>
      <c r="N154">
        <f t="shared" si="11"/>
        <v>57.3</v>
      </c>
      <c r="O154">
        <f t="shared" si="12"/>
        <v>8</v>
      </c>
      <c r="P154">
        <f t="shared" si="12"/>
        <v>4</v>
      </c>
      <c r="Q154">
        <f t="shared" si="12"/>
        <v>8</v>
      </c>
      <c r="R154">
        <f t="shared" si="12"/>
        <v>6</v>
      </c>
      <c r="S154">
        <v>1</v>
      </c>
      <c r="T154">
        <f t="shared" si="13"/>
        <v>32</v>
      </c>
      <c r="U154">
        <f t="shared" si="14"/>
        <v>25.3</v>
      </c>
      <c r="V154">
        <f t="shared" si="15"/>
        <v>1</v>
      </c>
    </row>
    <row r="155" spans="1:22" x14ac:dyDescent="0.35">
      <c r="A155" s="11" t="s">
        <v>243</v>
      </c>
      <c r="B155" s="12" t="s">
        <v>244</v>
      </c>
      <c r="C155" s="13">
        <v>0</v>
      </c>
      <c r="D155" s="13">
        <v>6</v>
      </c>
      <c r="E155" s="13">
        <v>4</v>
      </c>
      <c r="F155" s="13">
        <v>3</v>
      </c>
      <c r="G155" s="13">
        <v>3</v>
      </c>
      <c r="H155" s="13">
        <v>2</v>
      </c>
      <c r="I155" s="13">
        <v>62</v>
      </c>
      <c r="J155" s="13">
        <v>62</v>
      </c>
      <c r="K155" s="13">
        <v>86</v>
      </c>
      <c r="L155" s="13">
        <v>10</v>
      </c>
      <c r="M155" s="14">
        <v>2</v>
      </c>
      <c r="N155">
        <f t="shared" si="11"/>
        <v>38.200000000000003</v>
      </c>
      <c r="O155">
        <f t="shared" si="12"/>
        <v>6</v>
      </c>
      <c r="P155">
        <f t="shared" si="12"/>
        <v>4</v>
      </c>
      <c r="Q155">
        <f t="shared" si="12"/>
        <v>4</v>
      </c>
      <c r="R155">
        <f t="shared" si="12"/>
        <v>0</v>
      </c>
      <c r="S155">
        <v>1</v>
      </c>
      <c r="T155">
        <f t="shared" si="13"/>
        <v>16</v>
      </c>
      <c r="U155">
        <f t="shared" si="14"/>
        <v>22.2</v>
      </c>
      <c r="V155">
        <f t="shared" si="15"/>
        <v>0</v>
      </c>
    </row>
    <row r="156" spans="1:22" x14ac:dyDescent="0.35">
      <c r="A156" s="7" t="s">
        <v>245</v>
      </c>
      <c r="B156" s="8" t="s">
        <v>246</v>
      </c>
      <c r="C156" s="9">
        <v>8</v>
      </c>
      <c r="D156" s="9">
        <v>5</v>
      </c>
      <c r="E156" s="9">
        <v>4</v>
      </c>
      <c r="F156" s="9">
        <v>2</v>
      </c>
      <c r="G156" s="9">
        <v>4</v>
      </c>
      <c r="H156" s="9">
        <v>2</v>
      </c>
      <c r="I156" s="9">
        <v>70</v>
      </c>
      <c r="J156" s="9">
        <v>4</v>
      </c>
      <c r="K156" s="9">
        <v>92</v>
      </c>
      <c r="L156" s="9">
        <v>91</v>
      </c>
      <c r="M156" s="10">
        <v>21</v>
      </c>
      <c r="N156">
        <f t="shared" si="11"/>
        <v>47.8</v>
      </c>
      <c r="O156">
        <f t="shared" si="12"/>
        <v>6</v>
      </c>
      <c r="P156">
        <f t="shared" si="12"/>
        <v>0</v>
      </c>
      <c r="Q156">
        <f t="shared" si="12"/>
        <v>6</v>
      </c>
      <c r="R156">
        <f t="shared" si="12"/>
        <v>0</v>
      </c>
      <c r="S156">
        <v>1</v>
      </c>
      <c r="T156">
        <f t="shared" si="13"/>
        <v>20</v>
      </c>
      <c r="U156">
        <f t="shared" si="14"/>
        <v>27.8</v>
      </c>
      <c r="V156">
        <f t="shared" si="15"/>
        <v>0</v>
      </c>
    </row>
    <row r="157" spans="1:22" x14ac:dyDescent="0.35">
      <c r="A157" s="11" t="s">
        <v>247</v>
      </c>
      <c r="B157" s="12" t="s">
        <v>164</v>
      </c>
      <c r="C157" s="13">
        <v>1</v>
      </c>
      <c r="D157" s="13">
        <v>2</v>
      </c>
      <c r="E157" s="13">
        <v>6</v>
      </c>
      <c r="F157" s="13">
        <v>5</v>
      </c>
      <c r="G157" s="13">
        <v>6</v>
      </c>
      <c r="H157" s="13">
        <v>4</v>
      </c>
      <c r="I157" s="13">
        <v>66</v>
      </c>
      <c r="J157" s="13">
        <v>78</v>
      </c>
      <c r="K157" s="13">
        <v>26</v>
      </c>
      <c r="L157" s="13">
        <v>98</v>
      </c>
      <c r="M157" s="14">
        <v>56</v>
      </c>
      <c r="N157">
        <f t="shared" si="11"/>
        <v>67.400000000000006</v>
      </c>
      <c r="O157">
        <f t="shared" si="12"/>
        <v>10</v>
      </c>
      <c r="P157">
        <f t="shared" si="12"/>
        <v>8</v>
      </c>
      <c r="Q157">
        <f t="shared" si="12"/>
        <v>10</v>
      </c>
      <c r="R157">
        <f t="shared" si="12"/>
        <v>6</v>
      </c>
      <c r="S157">
        <v>1</v>
      </c>
      <c r="T157">
        <f t="shared" si="13"/>
        <v>35</v>
      </c>
      <c r="U157">
        <f t="shared" si="14"/>
        <v>32.4</v>
      </c>
      <c r="V157">
        <f t="shared" si="15"/>
        <v>1</v>
      </c>
    </row>
    <row r="158" spans="1:22" x14ac:dyDescent="0.35">
      <c r="A158" s="7" t="s">
        <v>248</v>
      </c>
      <c r="B158" s="8" t="s">
        <v>249</v>
      </c>
      <c r="C158" s="9">
        <v>3</v>
      </c>
      <c r="D158" s="9">
        <v>4</v>
      </c>
      <c r="E158" s="9">
        <v>6</v>
      </c>
      <c r="F158" s="9">
        <v>2</v>
      </c>
      <c r="G158" s="9">
        <v>2</v>
      </c>
      <c r="H158" s="9">
        <v>5</v>
      </c>
      <c r="I158" s="9">
        <v>54</v>
      </c>
      <c r="J158" s="9">
        <v>12</v>
      </c>
      <c r="K158" s="9">
        <v>13</v>
      </c>
      <c r="L158" s="9">
        <v>21</v>
      </c>
      <c r="M158" s="10">
        <v>24</v>
      </c>
      <c r="N158">
        <f t="shared" si="11"/>
        <v>33.4</v>
      </c>
      <c r="O158">
        <f t="shared" si="12"/>
        <v>10</v>
      </c>
      <c r="P158">
        <f t="shared" si="12"/>
        <v>0</v>
      </c>
      <c r="Q158">
        <f t="shared" si="12"/>
        <v>0</v>
      </c>
      <c r="R158">
        <f t="shared" si="12"/>
        <v>8</v>
      </c>
      <c r="S158">
        <v>1</v>
      </c>
      <c r="T158">
        <f t="shared" si="13"/>
        <v>21</v>
      </c>
      <c r="U158">
        <f t="shared" si="14"/>
        <v>12.4</v>
      </c>
      <c r="V158">
        <f t="shared" si="15"/>
        <v>1</v>
      </c>
    </row>
    <row r="159" spans="1:22" x14ac:dyDescent="0.35">
      <c r="A159" s="11" t="s">
        <v>250</v>
      </c>
      <c r="B159" s="12" t="s">
        <v>251</v>
      </c>
      <c r="C159" s="13">
        <v>6</v>
      </c>
      <c r="D159" s="13">
        <v>2</v>
      </c>
      <c r="E159" s="13">
        <v>3</v>
      </c>
      <c r="F159" s="13">
        <v>3</v>
      </c>
      <c r="G159" s="13">
        <v>3</v>
      </c>
      <c r="H159" s="13">
        <v>6</v>
      </c>
      <c r="I159" s="13">
        <v>27</v>
      </c>
      <c r="J159" s="13">
        <v>2</v>
      </c>
      <c r="K159" s="13">
        <v>84</v>
      </c>
      <c r="L159" s="13">
        <v>100</v>
      </c>
      <c r="M159" s="14">
        <v>27</v>
      </c>
      <c r="N159">
        <f t="shared" si="11"/>
        <v>52</v>
      </c>
      <c r="O159">
        <f t="shared" si="12"/>
        <v>4</v>
      </c>
      <c r="P159">
        <f t="shared" si="12"/>
        <v>4</v>
      </c>
      <c r="Q159">
        <f t="shared" si="12"/>
        <v>4</v>
      </c>
      <c r="R159">
        <f t="shared" si="12"/>
        <v>10</v>
      </c>
      <c r="S159">
        <v>1</v>
      </c>
      <c r="T159">
        <f t="shared" si="13"/>
        <v>28</v>
      </c>
      <c r="U159">
        <f t="shared" si="14"/>
        <v>24</v>
      </c>
      <c r="V159">
        <f t="shared" si="15"/>
        <v>1</v>
      </c>
    </row>
    <row r="160" spans="1:22" x14ac:dyDescent="0.35">
      <c r="A160" s="7" t="s">
        <v>252</v>
      </c>
      <c r="B160" s="8" t="s">
        <v>253</v>
      </c>
      <c r="C160" s="9">
        <v>1</v>
      </c>
      <c r="D160" s="9">
        <v>4</v>
      </c>
      <c r="E160" s="9">
        <v>6</v>
      </c>
      <c r="F160" s="9">
        <v>6</v>
      </c>
      <c r="G160" s="9">
        <v>2</v>
      </c>
      <c r="H160" s="9">
        <v>3</v>
      </c>
      <c r="I160" s="9">
        <v>43</v>
      </c>
      <c r="J160" s="9">
        <v>77</v>
      </c>
      <c r="K160" s="9">
        <v>31</v>
      </c>
      <c r="L160" s="9">
        <v>88</v>
      </c>
      <c r="M160" s="10">
        <v>67</v>
      </c>
      <c r="N160">
        <f t="shared" si="11"/>
        <v>55.6</v>
      </c>
      <c r="O160">
        <f t="shared" si="12"/>
        <v>10</v>
      </c>
      <c r="P160">
        <f t="shared" si="12"/>
        <v>10</v>
      </c>
      <c r="Q160">
        <f t="shared" si="12"/>
        <v>0</v>
      </c>
      <c r="R160">
        <f t="shared" si="12"/>
        <v>4</v>
      </c>
      <c r="S160">
        <v>1</v>
      </c>
      <c r="T160">
        <f t="shared" si="13"/>
        <v>25</v>
      </c>
      <c r="U160">
        <f t="shared" si="14"/>
        <v>30.6</v>
      </c>
      <c r="V160">
        <f t="shared" si="15"/>
        <v>0</v>
      </c>
    </row>
    <row r="161" spans="1:22" x14ac:dyDescent="0.35">
      <c r="A161" s="11" t="s">
        <v>254</v>
      </c>
      <c r="B161" s="12" t="s">
        <v>28</v>
      </c>
      <c r="C161" s="13">
        <v>3</v>
      </c>
      <c r="D161" s="13">
        <v>6</v>
      </c>
      <c r="E161" s="13">
        <v>6</v>
      </c>
      <c r="F161" s="13">
        <v>4</v>
      </c>
      <c r="G161" s="13">
        <v>3</v>
      </c>
      <c r="H161" s="13">
        <v>6</v>
      </c>
      <c r="I161" s="13">
        <v>63</v>
      </c>
      <c r="J161" s="13">
        <v>36</v>
      </c>
      <c r="K161" s="13">
        <v>68</v>
      </c>
      <c r="L161" s="13">
        <v>19</v>
      </c>
      <c r="M161" s="14">
        <v>39</v>
      </c>
      <c r="N161">
        <f t="shared" si="11"/>
        <v>57.5</v>
      </c>
      <c r="O161">
        <f t="shared" si="12"/>
        <v>10</v>
      </c>
      <c r="P161">
        <f t="shared" si="12"/>
        <v>6</v>
      </c>
      <c r="Q161">
        <f t="shared" si="12"/>
        <v>4</v>
      </c>
      <c r="R161">
        <f t="shared" si="12"/>
        <v>10</v>
      </c>
      <c r="S161">
        <v>1</v>
      </c>
      <c r="T161">
        <f t="shared" si="13"/>
        <v>35</v>
      </c>
      <c r="U161">
        <f t="shared" si="14"/>
        <v>22.5</v>
      </c>
      <c r="V161">
        <f t="shared" si="15"/>
        <v>1</v>
      </c>
    </row>
    <row r="162" spans="1:22" x14ac:dyDescent="0.35">
      <c r="A162" s="7" t="s">
        <v>255</v>
      </c>
      <c r="B162" s="8" t="s">
        <v>222</v>
      </c>
      <c r="C162" s="9">
        <v>1</v>
      </c>
      <c r="D162" s="9">
        <v>2</v>
      </c>
      <c r="E162" s="9">
        <v>6</v>
      </c>
      <c r="F162" s="9">
        <v>4</v>
      </c>
      <c r="G162" s="9">
        <v>2</v>
      </c>
      <c r="H162" s="9">
        <v>2</v>
      </c>
      <c r="I162" s="9">
        <v>32</v>
      </c>
      <c r="J162" s="9">
        <v>18</v>
      </c>
      <c r="K162" s="9">
        <v>1</v>
      </c>
      <c r="L162" s="9">
        <v>56</v>
      </c>
      <c r="M162" s="10">
        <v>7</v>
      </c>
      <c r="N162">
        <f t="shared" si="11"/>
        <v>28.4</v>
      </c>
      <c r="O162">
        <f t="shared" si="12"/>
        <v>10</v>
      </c>
      <c r="P162">
        <f t="shared" si="12"/>
        <v>6</v>
      </c>
      <c r="Q162">
        <f t="shared" si="12"/>
        <v>0</v>
      </c>
      <c r="R162">
        <f t="shared" si="12"/>
        <v>0</v>
      </c>
      <c r="S162">
        <v>1</v>
      </c>
      <c r="T162">
        <f t="shared" si="13"/>
        <v>17</v>
      </c>
      <c r="U162">
        <f t="shared" si="14"/>
        <v>11.4</v>
      </c>
      <c r="V162">
        <f t="shared" si="15"/>
        <v>1</v>
      </c>
    </row>
    <row r="163" spans="1:22" x14ac:dyDescent="0.35">
      <c r="A163" s="11" t="s">
        <v>256</v>
      </c>
      <c r="B163" s="12" t="s">
        <v>78</v>
      </c>
      <c r="C163" s="13">
        <v>4</v>
      </c>
      <c r="D163" s="13">
        <v>3</v>
      </c>
      <c r="E163" s="13">
        <v>3</v>
      </c>
      <c r="F163" s="13">
        <v>2</v>
      </c>
      <c r="G163" s="13">
        <v>6</v>
      </c>
      <c r="H163" s="13">
        <v>2</v>
      </c>
      <c r="I163" s="13">
        <v>60</v>
      </c>
      <c r="J163" s="13">
        <v>64</v>
      </c>
      <c r="K163" s="13">
        <v>100</v>
      </c>
      <c r="L163" s="13">
        <v>38</v>
      </c>
      <c r="M163" s="14">
        <v>70</v>
      </c>
      <c r="N163">
        <f t="shared" si="11"/>
        <v>51.2</v>
      </c>
      <c r="O163">
        <f t="shared" si="12"/>
        <v>4</v>
      </c>
      <c r="P163">
        <f t="shared" si="12"/>
        <v>0</v>
      </c>
      <c r="Q163">
        <f t="shared" si="12"/>
        <v>10</v>
      </c>
      <c r="R163">
        <f t="shared" si="12"/>
        <v>0</v>
      </c>
      <c r="S163">
        <v>1</v>
      </c>
      <c r="T163">
        <f t="shared" si="13"/>
        <v>18</v>
      </c>
      <c r="U163">
        <f t="shared" si="14"/>
        <v>33.200000000000003</v>
      </c>
      <c r="V163">
        <f t="shared" si="15"/>
        <v>0</v>
      </c>
    </row>
    <row r="164" spans="1:22" x14ac:dyDescent="0.35">
      <c r="A164" s="7" t="s">
        <v>257</v>
      </c>
      <c r="B164" s="8" t="s">
        <v>20</v>
      </c>
      <c r="C164" s="9">
        <v>0</v>
      </c>
      <c r="D164" s="9">
        <v>6</v>
      </c>
      <c r="E164" s="9">
        <v>6</v>
      </c>
      <c r="F164" s="9">
        <v>5</v>
      </c>
      <c r="G164" s="9">
        <v>3</v>
      </c>
      <c r="H164" s="9">
        <v>2</v>
      </c>
      <c r="I164" s="9">
        <v>39</v>
      </c>
      <c r="J164" s="9">
        <v>66</v>
      </c>
      <c r="K164" s="9">
        <v>84</v>
      </c>
      <c r="L164" s="9">
        <v>47</v>
      </c>
      <c r="M164" s="10">
        <v>21</v>
      </c>
      <c r="N164">
        <f t="shared" si="11"/>
        <v>49.7</v>
      </c>
      <c r="O164">
        <f t="shared" si="12"/>
        <v>10</v>
      </c>
      <c r="P164">
        <f t="shared" si="12"/>
        <v>8</v>
      </c>
      <c r="Q164">
        <f t="shared" si="12"/>
        <v>4</v>
      </c>
      <c r="R164">
        <f t="shared" si="12"/>
        <v>0</v>
      </c>
      <c r="S164">
        <v>1</v>
      </c>
      <c r="T164">
        <f t="shared" si="13"/>
        <v>24</v>
      </c>
      <c r="U164">
        <f t="shared" si="14"/>
        <v>25.7</v>
      </c>
      <c r="V164">
        <f t="shared" si="15"/>
        <v>0</v>
      </c>
    </row>
    <row r="165" spans="1:22" x14ac:dyDescent="0.35">
      <c r="A165" s="11" t="s">
        <v>258</v>
      </c>
      <c r="B165" s="12" t="s">
        <v>180</v>
      </c>
      <c r="C165" s="13">
        <v>2</v>
      </c>
      <c r="D165" s="13">
        <v>2</v>
      </c>
      <c r="E165" s="13">
        <v>5</v>
      </c>
      <c r="F165" s="13">
        <v>2</v>
      </c>
      <c r="G165" s="13">
        <v>3</v>
      </c>
      <c r="H165" s="13">
        <v>3</v>
      </c>
      <c r="I165" s="13">
        <v>11</v>
      </c>
      <c r="J165" s="13">
        <v>88</v>
      </c>
      <c r="K165" s="13">
        <v>90</v>
      </c>
      <c r="L165" s="13">
        <v>20</v>
      </c>
      <c r="M165" s="14">
        <v>65</v>
      </c>
      <c r="N165">
        <f t="shared" si="11"/>
        <v>45.4</v>
      </c>
      <c r="O165">
        <f t="shared" si="12"/>
        <v>8</v>
      </c>
      <c r="P165">
        <f t="shared" si="12"/>
        <v>0</v>
      </c>
      <c r="Q165">
        <f t="shared" si="12"/>
        <v>4</v>
      </c>
      <c r="R165">
        <f t="shared" si="12"/>
        <v>4</v>
      </c>
      <c r="S165">
        <v>1</v>
      </c>
      <c r="T165">
        <f t="shared" si="13"/>
        <v>18</v>
      </c>
      <c r="U165">
        <f t="shared" si="14"/>
        <v>27.4</v>
      </c>
      <c r="V165">
        <f t="shared" si="15"/>
        <v>0</v>
      </c>
    </row>
    <row r="166" spans="1:22" x14ac:dyDescent="0.35">
      <c r="A166" s="7" t="s">
        <v>259</v>
      </c>
      <c r="B166" s="8" t="s">
        <v>260</v>
      </c>
      <c r="C166" s="9">
        <v>2</v>
      </c>
      <c r="D166" s="9">
        <v>5</v>
      </c>
      <c r="E166" s="9">
        <v>5</v>
      </c>
      <c r="F166" s="9">
        <v>2</v>
      </c>
      <c r="G166" s="9">
        <v>6</v>
      </c>
      <c r="H166" s="9">
        <v>2</v>
      </c>
      <c r="I166" s="9">
        <v>79</v>
      </c>
      <c r="J166" s="9">
        <v>66</v>
      </c>
      <c r="K166" s="9">
        <v>91</v>
      </c>
      <c r="L166" s="9">
        <v>30</v>
      </c>
      <c r="M166" s="10">
        <v>90</v>
      </c>
      <c r="N166">
        <f t="shared" si="11"/>
        <v>55.6</v>
      </c>
      <c r="O166">
        <f t="shared" si="12"/>
        <v>8</v>
      </c>
      <c r="P166">
        <f t="shared" si="12"/>
        <v>0</v>
      </c>
      <c r="Q166">
        <f t="shared" si="12"/>
        <v>10</v>
      </c>
      <c r="R166">
        <f t="shared" si="12"/>
        <v>0</v>
      </c>
      <c r="S166">
        <v>1</v>
      </c>
      <c r="T166">
        <f t="shared" si="13"/>
        <v>20</v>
      </c>
      <c r="U166">
        <f t="shared" si="14"/>
        <v>35.6</v>
      </c>
      <c r="V166">
        <f t="shared" si="15"/>
        <v>0</v>
      </c>
    </row>
    <row r="167" spans="1:22" x14ac:dyDescent="0.35">
      <c r="A167" s="11" t="s">
        <v>261</v>
      </c>
      <c r="B167" s="12" t="s">
        <v>218</v>
      </c>
      <c r="C167" s="13">
        <v>5</v>
      </c>
      <c r="D167" s="13">
        <v>3</v>
      </c>
      <c r="E167" s="13">
        <v>6</v>
      </c>
      <c r="F167" s="13">
        <v>3</v>
      </c>
      <c r="G167" s="13">
        <v>3</v>
      </c>
      <c r="H167" s="13">
        <v>5</v>
      </c>
      <c r="I167" s="13">
        <v>15</v>
      </c>
      <c r="J167" s="13">
        <v>21</v>
      </c>
      <c r="K167" s="13">
        <v>66</v>
      </c>
      <c r="L167" s="13">
        <v>55</v>
      </c>
      <c r="M167" s="14">
        <v>90</v>
      </c>
      <c r="N167">
        <f t="shared" si="11"/>
        <v>55.7</v>
      </c>
      <c r="O167">
        <f t="shared" si="12"/>
        <v>10</v>
      </c>
      <c r="P167">
        <f t="shared" si="12"/>
        <v>4</v>
      </c>
      <c r="Q167">
        <f t="shared" si="12"/>
        <v>4</v>
      </c>
      <c r="R167">
        <f t="shared" si="12"/>
        <v>8</v>
      </c>
      <c r="S167">
        <v>1</v>
      </c>
      <c r="T167">
        <f t="shared" si="13"/>
        <v>31</v>
      </c>
      <c r="U167">
        <f t="shared" si="14"/>
        <v>24.7</v>
      </c>
      <c r="V167">
        <f t="shared" si="15"/>
        <v>1</v>
      </c>
    </row>
    <row r="168" spans="1:22" x14ac:dyDescent="0.35">
      <c r="A168" s="7" t="s">
        <v>262</v>
      </c>
      <c r="B168" s="8" t="s">
        <v>41</v>
      </c>
      <c r="C168" s="9">
        <v>4</v>
      </c>
      <c r="D168" s="9">
        <v>3</v>
      </c>
      <c r="E168" s="9">
        <v>6</v>
      </c>
      <c r="F168" s="9">
        <v>6</v>
      </c>
      <c r="G168" s="9">
        <v>4</v>
      </c>
      <c r="H168" s="9">
        <v>4</v>
      </c>
      <c r="I168" s="9">
        <v>15</v>
      </c>
      <c r="J168" s="9">
        <v>36</v>
      </c>
      <c r="K168" s="9">
        <v>51</v>
      </c>
      <c r="L168" s="9">
        <v>10</v>
      </c>
      <c r="M168" s="10">
        <v>68</v>
      </c>
      <c r="N168">
        <f t="shared" si="11"/>
        <v>54</v>
      </c>
      <c r="O168">
        <f t="shared" si="12"/>
        <v>10</v>
      </c>
      <c r="P168">
        <f t="shared" si="12"/>
        <v>10</v>
      </c>
      <c r="Q168">
        <f t="shared" si="12"/>
        <v>6</v>
      </c>
      <c r="R168">
        <f t="shared" si="12"/>
        <v>6</v>
      </c>
      <c r="S168">
        <v>1</v>
      </c>
      <c r="T168">
        <f t="shared" si="13"/>
        <v>36</v>
      </c>
      <c r="U168">
        <f t="shared" si="14"/>
        <v>18</v>
      </c>
      <c r="V168">
        <f t="shared" si="15"/>
        <v>1</v>
      </c>
    </row>
    <row r="169" spans="1:22" x14ac:dyDescent="0.35">
      <c r="A169" s="11" t="s">
        <v>263</v>
      </c>
      <c r="B169" s="12" t="s">
        <v>78</v>
      </c>
      <c r="C169" s="13">
        <v>5</v>
      </c>
      <c r="D169" s="13">
        <v>5</v>
      </c>
      <c r="E169" s="13">
        <v>6</v>
      </c>
      <c r="F169" s="13">
        <v>6</v>
      </c>
      <c r="G169" s="13">
        <v>6</v>
      </c>
      <c r="H169" s="13">
        <v>6</v>
      </c>
      <c r="I169" s="13">
        <v>63</v>
      </c>
      <c r="J169" s="13">
        <v>88</v>
      </c>
      <c r="K169" s="13">
        <v>72</v>
      </c>
      <c r="L169" s="13">
        <v>90</v>
      </c>
      <c r="M169" s="14">
        <v>83</v>
      </c>
      <c r="N169">
        <f t="shared" si="11"/>
        <v>84.6</v>
      </c>
      <c r="O169">
        <f t="shared" si="12"/>
        <v>10</v>
      </c>
      <c r="P169">
        <f t="shared" si="12"/>
        <v>10</v>
      </c>
      <c r="Q169">
        <f t="shared" si="12"/>
        <v>10</v>
      </c>
      <c r="R169">
        <f t="shared" si="12"/>
        <v>10</v>
      </c>
      <c r="S169">
        <v>1</v>
      </c>
      <c r="T169">
        <f t="shared" si="13"/>
        <v>45</v>
      </c>
      <c r="U169">
        <f t="shared" si="14"/>
        <v>39.6</v>
      </c>
      <c r="V169">
        <f t="shared" si="15"/>
        <v>1</v>
      </c>
    </row>
    <row r="170" spans="1:22" x14ac:dyDescent="0.35">
      <c r="A170" s="7" t="s">
        <v>264</v>
      </c>
      <c r="B170" s="8" t="s">
        <v>246</v>
      </c>
      <c r="C170" s="9">
        <v>8</v>
      </c>
      <c r="D170" s="9">
        <v>3</v>
      </c>
      <c r="E170" s="9">
        <v>5</v>
      </c>
      <c r="F170" s="9">
        <v>5</v>
      </c>
      <c r="G170" s="9">
        <v>5</v>
      </c>
      <c r="H170" s="9">
        <v>6</v>
      </c>
      <c r="I170" s="9">
        <v>55</v>
      </c>
      <c r="J170" s="9">
        <v>10</v>
      </c>
      <c r="K170" s="9">
        <v>80</v>
      </c>
      <c r="L170" s="9">
        <v>8</v>
      </c>
      <c r="M170" s="10">
        <v>78</v>
      </c>
      <c r="N170">
        <f t="shared" si="11"/>
        <v>65.099999999999994</v>
      </c>
      <c r="O170">
        <f t="shared" si="12"/>
        <v>8</v>
      </c>
      <c r="P170">
        <f t="shared" si="12"/>
        <v>8</v>
      </c>
      <c r="Q170">
        <f t="shared" si="12"/>
        <v>8</v>
      </c>
      <c r="R170">
        <f t="shared" si="12"/>
        <v>10</v>
      </c>
      <c r="S170">
        <v>1</v>
      </c>
      <c r="T170">
        <f t="shared" si="13"/>
        <v>42</v>
      </c>
      <c r="U170">
        <f t="shared" si="14"/>
        <v>23.1</v>
      </c>
      <c r="V170">
        <f t="shared" si="15"/>
        <v>1</v>
      </c>
    </row>
    <row r="171" spans="1:22" x14ac:dyDescent="0.35">
      <c r="A171" s="11" t="s">
        <v>265</v>
      </c>
      <c r="B171" s="12" t="s">
        <v>16</v>
      </c>
      <c r="C171" s="13">
        <v>7</v>
      </c>
      <c r="D171" s="13">
        <v>3</v>
      </c>
      <c r="E171" s="13">
        <v>5</v>
      </c>
      <c r="F171" s="13">
        <v>4</v>
      </c>
      <c r="G171" s="13">
        <v>5</v>
      </c>
      <c r="H171" s="13">
        <v>6</v>
      </c>
      <c r="I171" s="13">
        <v>24</v>
      </c>
      <c r="J171" s="13">
        <v>82</v>
      </c>
      <c r="K171" s="13">
        <v>37</v>
      </c>
      <c r="L171" s="13">
        <v>7</v>
      </c>
      <c r="M171" s="14">
        <v>12</v>
      </c>
      <c r="N171">
        <f t="shared" si="11"/>
        <v>55.2</v>
      </c>
      <c r="O171">
        <f t="shared" si="12"/>
        <v>8</v>
      </c>
      <c r="P171">
        <f t="shared" si="12"/>
        <v>6</v>
      </c>
      <c r="Q171">
        <f t="shared" si="12"/>
        <v>8</v>
      </c>
      <c r="R171">
        <f t="shared" si="12"/>
        <v>10</v>
      </c>
      <c r="S171">
        <v>1</v>
      </c>
      <c r="T171">
        <f t="shared" si="13"/>
        <v>39</v>
      </c>
      <c r="U171">
        <f t="shared" si="14"/>
        <v>16.2</v>
      </c>
      <c r="V171">
        <f t="shared" si="15"/>
        <v>1</v>
      </c>
    </row>
    <row r="172" spans="1:22" x14ac:dyDescent="0.35">
      <c r="A172" s="7" t="s">
        <v>266</v>
      </c>
      <c r="B172" s="8" t="s">
        <v>199</v>
      </c>
      <c r="C172" s="9">
        <v>0</v>
      </c>
      <c r="D172" s="9">
        <v>2</v>
      </c>
      <c r="E172" s="9">
        <v>3</v>
      </c>
      <c r="F172" s="9">
        <v>4</v>
      </c>
      <c r="G172" s="9">
        <v>6</v>
      </c>
      <c r="H172" s="9">
        <v>6</v>
      </c>
      <c r="I172" s="9">
        <v>19</v>
      </c>
      <c r="J172" s="9">
        <v>82</v>
      </c>
      <c r="K172" s="9">
        <v>75</v>
      </c>
      <c r="L172" s="9">
        <v>35</v>
      </c>
      <c r="M172" s="10">
        <v>75</v>
      </c>
      <c r="N172">
        <f t="shared" si="11"/>
        <v>58.6</v>
      </c>
      <c r="O172">
        <f t="shared" si="12"/>
        <v>4</v>
      </c>
      <c r="P172">
        <f t="shared" si="12"/>
        <v>6</v>
      </c>
      <c r="Q172">
        <f t="shared" si="12"/>
        <v>10</v>
      </c>
      <c r="R172">
        <f t="shared" si="12"/>
        <v>10</v>
      </c>
      <c r="S172">
        <v>1</v>
      </c>
      <c r="T172">
        <f t="shared" si="13"/>
        <v>30</v>
      </c>
      <c r="U172">
        <f t="shared" si="14"/>
        <v>28.6</v>
      </c>
      <c r="V172">
        <f t="shared" si="15"/>
        <v>1</v>
      </c>
    </row>
    <row r="173" spans="1:22" x14ac:dyDescent="0.35">
      <c r="A173" s="11" t="s">
        <v>267</v>
      </c>
      <c r="B173" s="12" t="s">
        <v>239</v>
      </c>
      <c r="C173" s="13">
        <v>5</v>
      </c>
      <c r="D173" s="13">
        <v>3</v>
      </c>
      <c r="E173" s="13">
        <v>5</v>
      </c>
      <c r="F173" s="13">
        <v>3</v>
      </c>
      <c r="G173" s="13">
        <v>3</v>
      </c>
      <c r="H173" s="13">
        <v>2</v>
      </c>
      <c r="I173" s="13">
        <v>33</v>
      </c>
      <c r="J173" s="13">
        <v>10</v>
      </c>
      <c r="K173" s="13">
        <v>92</v>
      </c>
      <c r="L173" s="13">
        <v>74</v>
      </c>
      <c r="M173" s="14">
        <v>79</v>
      </c>
      <c r="N173">
        <f t="shared" si="11"/>
        <v>49.8</v>
      </c>
      <c r="O173">
        <f t="shared" si="12"/>
        <v>8</v>
      </c>
      <c r="P173">
        <f t="shared" si="12"/>
        <v>4</v>
      </c>
      <c r="Q173">
        <f t="shared" si="12"/>
        <v>4</v>
      </c>
      <c r="R173">
        <f t="shared" si="12"/>
        <v>0</v>
      </c>
      <c r="S173">
        <v>1</v>
      </c>
      <c r="T173">
        <f t="shared" si="13"/>
        <v>21</v>
      </c>
      <c r="U173">
        <f t="shared" si="14"/>
        <v>28.8</v>
      </c>
      <c r="V173">
        <f t="shared" si="15"/>
        <v>0</v>
      </c>
    </row>
    <row r="174" spans="1:22" x14ac:dyDescent="0.35">
      <c r="A174" s="7" t="s">
        <v>268</v>
      </c>
      <c r="B174" s="8" t="s">
        <v>101</v>
      </c>
      <c r="C174" s="9">
        <v>4</v>
      </c>
      <c r="D174" s="9">
        <v>5</v>
      </c>
      <c r="E174" s="9">
        <v>5</v>
      </c>
      <c r="F174" s="9">
        <v>3</v>
      </c>
      <c r="G174" s="9">
        <v>4</v>
      </c>
      <c r="H174" s="9">
        <v>4</v>
      </c>
      <c r="I174" s="9">
        <v>94</v>
      </c>
      <c r="J174" s="9">
        <v>21</v>
      </c>
      <c r="K174" s="9">
        <v>58</v>
      </c>
      <c r="L174" s="9">
        <v>60</v>
      </c>
      <c r="M174" s="10">
        <v>36</v>
      </c>
      <c r="N174">
        <f t="shared" si="11"/>
        <v>54.9</v>
      </c>
      <c r="O174">
        <f t="shared" si="12"/>
        <v>8</v>
      </c>
      <c r="P174">
        <f t="shared" si="12"/>
        <v>4</v>
      </c>
      <c r="Q174">
        <f t="shared" si="12"/>
        <v>6</v>
      </c>
      <c r="R174">
        <f t="shared" si="12"/>
        <v>6</v>
      </c>
      <c r="S174">
        <v>1</v>
      </c>
      <c r="T174">
        <f t="shared" si="13"/>
        <v>28</v>
      </c>
      <c r="U174">
        <f t="shared" si="14"/>
        <v>26.9</v>
      </c>
      <c r="V174">
        <f t="shared" si="15"/>
        <v>1</v>
      </c>
    </row>
    <row r="175" spans="1:22" x14ac:dyDescent="0.35">
      <c r="A175" s="11" t="s">
        <v>269</v>
      </c>
      <c r="B175" s="12" t="s">
        <v>205</v>
      </c>
      <c r="C175" s="13">
        <v>1</v>
      </c>
      <c r="D175" s="13">
        <v>2</v>
      </c>
      <c r="E175" s="13">
        <v>6</v>
      </c>
      <c r="F175" s="13">
        <v>4</v>
      </c>
      <c r="G175" s="13">
        <v>6</v>
      </c>
      <c r="H175" s="13">
        <v>5</v>
      </c>
      <c r="I175" s="13">
        <v>5</v>
      </c>
      <c r="J175" s="13">
        <v>79</v>
      </c>
      <c r="K175" s="13">
        <v>31</v>
      </c>
      <c r="L175" s="13">
        <v>60</v>
      </c>
      <c r="M175" s="14">
        <v>44</v>
      </c>
      <c r="N175">
        <f t="shared" si="11"/>
        <v>56.9</v>
      </c>
      <c r="O175">
        <f t="shared" si="12"/>
        <v>10</v>
      </c>
      <c r="P175">
        <f t="shared" si="12"/>
        <v>6</v>
      </c>
      <c r="Q175">
        <f t="shared" si="12"/>
        <v>10</v>
      </c>
      <c r="R175">
        <f t="shared" si="12"/>
        <v>8</v>
      </c>
      <c r="S175">
        <v>1</v>
      </c>
      <c r="T175">
        <f t="shared" si="13"/>
        <v>35</v>
      </c>
      <c r="U175">
        <f t="shared" si="14"/>
        <v>21.9</v>
      </c>
      <c r="V175">
        <f t="shared" si="15"/>
        <v>1</v>
      </c>
    </row>
    <row r="176" spans="1:22" x14ac:dyDescent="0.35">
      <c r="A176" s="7" t="s">
        <v>270</v>
      </c>
      <c r="B176" s="8" t="s">
        <v>210</v>
      </c>
      <c r="C176" s="9">
        <v>0</v>
      </c>
      <c r="D176" s="9">
        <v>4</v>
      </c>
      <c r="E176" s="9">
        <v>4</v>
      </c>
      <c r="F176" s="9">
        <v>6</v>
      </c>
      <c r="G176" s="9">
        <v>4</v>
      </c>
      <c r="H176" s="9">
        <v>4</v>
      </c>
      <c r="I176" s="9">
        <v>60</v>
      </c>
      <c r="J176" s="9">
        <v>36</v>
      </c>
      <c r="K176" s="9">
        <v>6</v>
      </c>
      <c r="L176" s="9">
        <v>48</v>
      </c>
      <c r="M176" s="10">
        <v>31</v>
      </c>
      <c r="N176">
        <f t="shared" si="11"/>
        <v>46.1</v>
      </c>
      <c r="O176">
        <f t="shared" si="12"/>
        <v>6</v>
      </c>
      <c r="P176">
        <f t="shared" si="12"/>
        <v>10</v>
      </c>
      <c r="Q176">
        <f t="shared" si="12"/>
        <v>6</v>
      </c>
      <c r="R176">
        <f t="shared" si="12"/>
        <v>6</v>
      </c>
      <c r="S176">
        <v>1</v>
      </c>
      <c r="T176">
        <f t="shared" si="13"/>
        <v>28</v>
      </c>
      <c r="U176">
        <f t="shared" si="14"/>
        <v>18.100000000000001</v>
      </c>
      <c r="V176">
        <f t="shared" si="15"/>
        <v>1</v>
      </c>
    </row>
    <row r="177" spans="1:22" x14ac:dyDescent="0.35">
      <c r="A177" s="11" t="s">
        <v>271</v>
      </c>
      <c r="B177" s="12" t="s">
        <v>30</v>
      </c>
      <c r="C177" s="13">
        <v>6</v>
      </c>
      <c r="D177" s="13">
        <v>3</v>
      </c>
      <c r="E177" s="13">
        <v>2</v>
      </c>
      <c r="F177" s="13">
        <v>2</v>
      </c>
      <c r="G177" s="13">
        <v>6</v>
      </c>
      <c r="H177" s="13">
        <v>6</v>
      </c>
      <c r="I177" s="13">
        <v>47</v>
      </c>
      <c r="J177" s="13">
        <v>36</v>
      </c>
      <c r="K177" s="13">
        <v>64</v>
      </c>
      <c r="L177" s="13">
        <v>67</v>
      </c>
      <c r="M177" s="14">
        <v>13</v>
      </c>
      <c r="N177">
        <f t="shared" si="11"/>
        <v>48.7</v>
      </c>
      <c r="O177">
        <f t="shared" si="12"/>
        <v>0</v>
      </c>
      <c r="P177">
        <f t="shared" si="12"/>
        <v>0</v>
      </c>
      <c r="Q177">
        <f t="shared" si="12"/>
        <v>10</v>
      </c>
      <c r="R177">
        <f t="shared" si="12"/>
        <v>10</v>
      </c>
      <c r="S177">
        <v>1</v>
      </c>
      <c r="T177">
        <f t="shared" si="13"/>
        <v>26</v>
      </c>
      <c r="U177">
        <f t="shared" si="14"/>
        <v>22.7</v>
      </c>
      <c r="V177">
        <f t="shared" si="15"/>
        <v>1</v>
      </c>
    </row>
    <row r="178" spans="1:22" x14ac:dyDescent="0.35">
      <c r="A178" s="7" t="s">
        <v>272</v>
      </c>
      <c r="B178" s="8" t="s">
        <v>273</v>
      </c>
      <c r="C178" s="9">
        <v>0</v>
      </c>
      <c r="D178" s="9">
        <v>5</v>
      </c>
      <c r="E178" s="9">
        <v>5</v>
      </c>
      <c r="F178" s="9">
        <v>3</v>
      </c>
      <c r="G178" s="9">
        <v>3</v>
      </c>
      <c r="H178" s="9">
        <v>4</v>
      </c>
      <c r="I178" s="9">
        <v>92</v>
      </c>
      <c r="J178" s="9">
        <v>58</v>
      </c>
      <c r="K178" s="9">
        <v>73</v>
      </c>
      <c r="L178" s="9">
        <v>53</v>
      </c>
      <c r="M178" s="10">
        <v>68</v>
      </c>
      <c r="N178">
        <f t="shared" si="11"/>
        <v>56.4</v>
      </c>
      <c r="O178">
        <f t="shared" si="12"/>
        <v>8</v>
      </c>
      <c r="P178">
        <f t="shared" si="12"/>
        <v>4</v>
      </c>
      <c r="Q178">
        <f t="shared" si="12"/>
        <v>4</v>
      </c>
      <c r="R178">
        <f t="shared" si="12"/>
        <v>6</v>
      </c>
      <c r="S178">
        <v>1</v>
      </c>
      <c r="T178">
        <f t="shared" si="13"/>
        <v>22</v>
      </c>
      <c r="U178">
        <f t="shared" si="14"/>
        <v>34.4</v>
      </c>
      <c r="V178">
        <f t="shared" si="15"/>
        <v>0</v>
      </c>
    </row>
    <row r="179" spans="1:22" x14ac:dyDescent="0.35">
      <c r="A179" s="11" t="s">
        <v>274</v>
      </c>
      <c r="B179" s="12" t="s">
        <v>16</v>
      </c>
      <c r="C179" s="13">
        <v>3</v>
      </c>
      <c r="D179" s="13">
        <v>5</v>
      </c>
      <c r="E179" s="13">
        <v>4</v>
      </c>
      <c r="F179" s="13">
        <v>6</v>
      </c>
      <c r="G179" s="13">
        <v>6</v>
      </c>
      <c r="H179" s="13">
        <v>4</v>
      </c>
      <c r="I179" s="13">
        <v>70</v>
      </c>
      <c r="J179" s="13">
        <v>3</v>
      </c>
      <c r="K179" s="13">
        <v>92</v>
      </c>
      <c r="L179" s="13">
        <v>40</v>
      </c>
      <c r="M179" s="14">
        <v>41</v>
      </c>
      <c r="N179">
        <f t="shared" si="11"/>
        <v>59.6</v>
      </c>
      <c r="O179">
        <f t="shared" si="12"/>
        <v>6</v>
      </c>
      <c r="P179">
        <f t="shared" si="12"/>
        <v>10</v>
      </c>
      <c r="Q179">
        <f t="shared" si="12"/>
        <v>10</v>
      </c>
      <c r="R179">
        <f t="shared" si="12"/>
        <v>6</v>
      </c>
      <c r="S179">
        <v>1</v>
      </c>
      <c r="T179">
        <f t="shared" si="13"/>
        <v>35</v>
      </c>
      <c r="U179">
        <f t="shared" si="14"/>
        <v>24.6</v>
      </c>
      <c r="V179">
        <f t="shared" si="15"/>
        <v>1</v>
      </c>
    </row>
    <row r="180" spans="1:22" x14ac:dyDescent="0.35">
      <c r="A180" s="7" t="s">
        <v>275</v>
      </c>
      <c r="B180" s="8" t="s">
        <v>126</v>
      </c>
      <c r="C180" s="9">
        <v>5</v>
      </c>
      <c r="D180" s="9">
        <v>2</v>
      </c>
      <c r="E180" s="9">
        <v>4</v>
      </c>
      <c r="F180" s="9">
        <v>6</v>
      </c>
      <c r="G180" s="9">
        <v>5</v>
      </c>
      <c r="H180" s="9">
        <v>3</v>
      </c>
      <c r="I180" s="9">
        <v>78</v>
      </c>
      <c r="J180" s="9">
        <v>78</v>
      </c>
      <c r="K180" s="9">
        <v>90</v>
      </c>
      <c r="L180" s="9">
        <v>83</v>
      </c>
      <c r="M180" s="10">
        <v>63</v>
      </c>
      <c r="N180">
        <f t="shared" si="11"/>
        <v>72.2</v>
      </c>
      <c r="O180">
        <f t="shared" si="12"/>
        <v>6</v>
      </c>
      <c r="P180">
        <f t="shared" si="12"/>
        <v>10</v>
      </c>
      <c r="Q180">
        <f t="shared" si="12"/>
        <v>8</v>
      </c>
      <c r="R180">
        <f t="shared" si="12"/>
        <v>4</v>
      </c>
      <c r="S180">
        <v>1</v>
      </c>
      <c r="T180">
        <f t="shared" si="13"/>
        <v>33</v>
      </c>
      <c r="U180">
        <f t="shared" si="14"/>
        <v>39.200000000000003</v>
      </c>
      <c r="V180">
        <f t="shared" si="15"/>
        <v>0</v>
      </c>
    </row>
    <row r="181" spans="1:22" x14ac:dyDescent="0.35">
      <c r="A181" s="11" t="s">
        <v>276</v>
      </c>
      <c r="B181" s="12" t="s">
        <v>180</v>
      </c>
      <c r="C181" s="13">
        <v>0</v>
      </c>
      <c r="D181" s="13">
        <v>6</v>
      </c>
      <c r="E181" s="13">
        <v>5</v>
      </c>
      <c r="F181" s="13">
        <v>6</v>
      </c>
      <c r="G181" s="13">
        <v>6</v>
      </c>
      <c r="H181" s="13">
        <v>6</v>
      </c>
      <c r="I181" s="13">
        <v>43</v>
      </c>
      <c r="J181" s="13">
        <v>3</v>
      </c>
      <c r="K181" s="13">
        <v>56</v>
      </c>
      <c r="L181" s="13">
        <v>52</v>
      </c>
      <c r="M181" s="14">
        <v>41</v>
      </c>
      <c r="N181">
        <f t="shared" si="11"/>
        <v>59.5</v>
      </c>
      <c r="O181">
        <f t="shared" si="12"/>
        <v>8</v>
      </c>
      <c r="P181">
        <f t="shared" si="12"/>
        <v>10</v>
      </c>
      <c r="Q181">
        <f t="shared" si="12"/>
        <v>10</v>
      </c>
      <c r="R181">
        <f t="shared" si="12"/>
        <v>10</v>
      </c>
      <c r="S181">
        <v>1</v>
      </c>
      <c r="T181">
        <f t="shared" si="13"/>
        <v>40</v>
      </c>
      <c r="U181">
        <f t="shared" si="14"/>
        <v>19.5</v>
      </c>
      <c r="V181">
        <f t="shared" si="15"/>
        <v>1</v>
      </c>
    </row>
    <row r="182" spans="1:22" x14ac:dyDescent="0.35">
      <c r="A182" s="7" t="s">
        <v>277</v>
      </c>
      <c r="B182" s="8" t="s">
        <v>161</v>
      </c>
      <c r="C182" s="9">
        <v>1</v>
      </c>
      <c r="D182" s="9">
        <v>4</v>
      </c>
      <c r="E182" s="9">
        <v>4</v>
      </c>
      <c r="F182" s="9">
        <v>3</v>
      </c>
      <c r="G182" s="9">
        <v>6</v>
      </c>
      <c r="H182" s="9">
        <v>6</v>
      </c>
      <c r="I182" s="9">
        <v>33</v>
      </c>
      <c r="J182" s="9">
        <v>38</v>
      </c>
      <c r="K182" s="9">
        <v>27</v>
      </c>
      <c r="L182" s="9">
        <v>60</v>
      </c>
      <c r="M182" s="10">
        <v>80</v>
      </c>
      <c r="N182">
        <f t="shared" si="11"/>
        <v>54.8</v>
      </c>
      <c r="O182">
        <f t="shared" si="12"/>
        <v>6</v>
      </c>
      <c r="P182">
        <f t="shared" si="12"/>
        <v>4</v>
      </c>
      <c r="Q182">
        <f t="shared" si="12"/>
        <v>10</v>
      </c>
      <c r="R182">
        <f t="shared" si="12"/>
        <v>10</v>
      </c>
      <c r="S182">
        <v>1</v>
      </c>
      <c r="T182">
        <f t="shared" si="13"/>
        <v>31</v>
      </c>
      <c r="U182">
        <f t="shared" si="14"/>
        <v>23.8</v>
      </c>
      <c r="V182">
        <f t="shared" si="15"/>
        <v>1</v>
      </c>
    </row>
    <row r="183" spans="1:22" x14ac:dyDescent="0.35">
      <c r="A183" s="11" t="s">
        <v>278</v>
      </c>
      <c r="B183" s="12" t="s">
        <v>279</v>
      </c>
      <c r="C183" s="13">
        <v>5</v>
      </c>
      <c r="D183" s="13">
        <v>6</v>
      </c>
      <c r="E183" s="13">
        <v>2</v>
      </c>
      <c r="F183" s="13">
        <v>5</v>
      </c>
      <c r="G183" s="13">
        <v>5</v>
      </c>
      <c r="H183" s="13">
        <v>5</v>
      </c>
      <c r="I183" s="13">
        <v>80</v>
      </c>
      <c r="J183" s="13">
        <v>54</v>
      </c>
      <c r="K183" s="13">
        <v>22</v>
      </c>
      <c r="L183" s="13">
        <v>26</v>
      </c>
      <c r="M183" s="14">
        <v>62</v>
      </c>
      <c r="N183">
        <f t="shared" si="11"/>
        <v>55.4</v>
      </c>
      <c r="O183">
        <f t="shared" si="12"/>
        <v>0</v>
      </c>
      <c r="P183">
        <f t="shared" si="12"/>
        <v>8</v>
      </c>
      <c r="Q183">
        <f t="shared" si="12"/>
        <v>8</v>
      </c>
      <c r="R183">
        <f t="shared" si="12"/>
        <v>8</v>
      </c>
      <c r="S183">
        <v>1</v>
      </c>
      <c r="T183">
        <f t="shared" si="13"/>
        <v>31</v>
      </c>
      <c r="U183">
        <f t="shared" si="14"/>
        <v>24.4</v>
      </c>
      <c r="V183">
        <f t="shared" si="15"/>
        <v>1</v>
      </c>
    </row>
    <row r="184" spans="1:22" x14ac:dyDescent="0.35">
      <c r="A184" s="7" t="s">
        <v>280</v>
      </c>
      <c r="B184" s="8" t="s">
        <v>159</v>
      </c>
      <c r="C184" s="9">
        <v>6</v>
      </c>
      <c r="D184" s="9">
        <v>6</v>
      </c>
      <c r="E184" s="9">
        <v>2</v>
      </c>
      <c r="F184" s="9">
        <v>4</v>
      </c>
      <c r="G184" s="9">
        <v>5</v>
      </c>
      <c r="H184" s="9">
        <v>2</v>
      </c>
      <c r="I184" s="9">
        <v>34</v>
      </c>
      <c r="J184" s="9">
        <v>92</v>
      </c>
      <c r="K184" s="9">
        <v>51</v>
      </c>
      <c r="L184" s="9">
        <v>32</v>
      </c>
      <c r="M184" s="10">
        <v>80</v>
      </c>
      <c r="N184">
        <f t="shared" si="11"/>
        <v>50.9</v>
      </c>
      <c r="O184">
        <f t="shared" si="12"/>
        <v>0</v>
      </c>
      <c r="P184">
        <f t="shared" si="12"/>
        <v>6</v>
      </c>
      <c r="Q184">
        <f t="shared" si="12"/>
        <v>8</v>
      </c>
      <c r="R184">
        <f t="shared" si="12"/>
        <v>0</v>
      </c>
      <c r="S184">
        <v>1</v>
      </c>
      <c r="T184">
        <f t="shared" si="13"/>
        <v>22</v>
      </c>
      <c r="U184">
        <f t="shared" si="14"/>
        <v>28.9</v>
      </c>
      <c r="V184">
        <f t="shared" si="15"/>
        <v>0</v>
      </c>
    </row>
    <row r="185" spans="1:22" x14ac:dyDescent="0.35">
      <c r="A185" s="11" t="s">
        <v>281</v>
      </c>
      <c r="B185" s="12" t="s">
        <v>41</v>
      </c>
      <c r="C185" s="13">
        <v>8</v>
      </c>
      <c r="D185" s="13">
        <v>2</v>
      </c>
      <c r="E185" s="13">
        <v>4</v>
      </c>
      <c r="F185" s="13">
        <v>2</v>
      </c>
      <c r="G185" s="13">
        <v>6</v>
      </c>
      <c r="H185" s="13">
        <v>5</v>
      </c>
      <c r="I185" s="13">
        <v>17</v>
      </c>
      <c r="J185" s="13">
        <v>29</v>
      </c>
      <c r="K185" s="13">
        <v>83</v>
      </c>
      <c r="L185" s="13">
        <v>9</v>
      </c>
      <c r="M185" s="14">
        <v>54</v>
      </c>
      <c r="N185">
        <f t="shared" si="11"/>
        <v>51.2</v>
      </c>
      <c r="O185">
        <f t="shared" si="12"/>
        <v>6</v>
      </c>
      <c r="P185">
        <f t="shared" si="12"/>
        <v>0</v>
      </c>
      <c r="Q185">
        <f t="shared" si="12"/>
        <v>10</v>
      </c>
      <c r="R185">
        <f t="shared" si="12"/>
        <v>8</v>
      </c>
      <c r="S185">
        <v>1</v>
      </c>
      <c r="T185">
        <f t="shared" si="13"/>
        <v>32</v>
      </c>
      <c r="U185">
        <f t="shared" si="14"/>
        <v>19.2</v>
      </c>
      <c r="V185">
        <f t="shared" si="15"/>
        <v>1</v>
      </c>
    </row>
    <row r="186" spans="1:22" x14ac:dyDescent="0.35">
      <c r="A186" s="7" t="s">
        <v>282</v>
      </c>
      <c r="B186" s="8" t="s">
        <v>41</v>
      </c>
      <c r="C186" s="9">
        <v>1</v>
      </c>
      <c r="D186" s="9">
        <v>5</v>
      </c>
      <c r="E186" s="9">
        <v>6</v>
      </c>
      <c r="F186" s="9">
        <v>4</v>
      </c>
      <c r="G186" s="9">
        <v>3</v>
      </c>
      <c r="H186" s="9">
        <v>2</v>
      </c>
      <c r="I186" s="9">
        <v>14</v>
      </c>
      <c r="J186" s="9">
        <v>49</v>
      </c>
      <c r="K186" s="9">
        <v>64</v>
      </c>
      <c r="L186" s="9">
        <v>36</v>
      </c>
      <c r="M186" s="10">
        <v>2</v>
      </c>
      <c r="N186">
        <f t="shared" si="11"/>
        <v>37.5</v>
      </c>
      <c r="O186">
        <f t="shared" si="12"/>
        <v>10</v>
      </c>
      <c r="P186">
        <f t="shared" si="12"/>
        <v>6</v>
      </c>
      <c r="Q186">
        <f t="shared" si="12"/>
        <v>4</v>
      </c>
      <c r="R186">
        <f t="shared" si="12"/>
        <v>0</v>
      </c>
      <c r="S186">
        <v>1</v>
      </c>
      <c r="T186">
        <f t="shared" si="13"/>
        <v>21</v>
      </c>
      <c r="U186">
        <f t="shared" si="14"/>
        <v>16.5</v>
      </c>
      <c r="V186">
        <f t="shared" si="15"/>
        <v>1</v>
      </c>
    </row>
    <row r="187" spans="1:22" x14ac:dyDescent="0.35">
      <c r="A187" s="11" t="s">
        <v>283</v>
      </c>
      <c r="B187" s="12" t="s">
        <v>242</v>
      </c>
      <c r="C187" s="13">
        <v>6</v>
      </c>
      <c r="D187" s="13">
        <v>6</v>
      </c>
      <c r="E187" s="13">
        <v>3</v>
      </c>
      <c r="F187" s="13">
        <v>6</v>
      </c>
      <c r="G187" s="13">
        <v>2</v>
      </c>
      <c r="H187" s="13">
        <v>3</v>
      </c>
      <c r="I187" s="13">
        <v>27</v>
      </c>
      <c r="J187" s="13">
        <v>64</v>
      </c>
      <c r="K187" s="13">
        <v>47</v>
      </c>
      <c r="L187" s="13">
        <v>11</v>
      </c>
      <c r="M187" s="14">
        <v>24</v>
      </c>
      <c r="N187">
        <f t="shared" si="11"/>
        <v>43.3</v>
      </c>
      <c r="O187">
        <f t="shared" si="12"/>
        <v>4</v>
      </c>
      <c r="P187">
        <f t="shared" si="12"/>
        <v>10</v>
      </c>
      <c r="Q187">
        <f t="shared" si="12"/>
        <v>0</v>
      </c>
      <c r="R187">
        <f t="shared" si="12"/>
        <v>4</v>
      </c>
      <c r="S187">
        <v>1</v>
      </c>
      <c r="T187">
        <f t="shared" si="13"/>
        <v>26</v>
      </c>
      <c r="U187">
        <f t="shared" si="14"/>
        <v>17.3</v>
      </c>
      <c r="V187">
        <f t="shared" si="15"/>
        <v>1</v>
      </c>
    </row>
    <row r="188" spans="1:22" x14ac:dyDescent="0.35">
      <c r="A188" s="7" t="s">
        <v>284</v>
      </c>
      <c r="B188" s="8" t="s">
        <v>166</v>
      </c>
      <c r="C188" s="9">
        <v>3</v>
      </c>
      <c r="D188" s="9">
        <v>5</v>
      </c>
      <c r="E188" s="9">
        <v>3</v>
      </c>
      <c r="F188" s="9">
        <v>2</v>
      </c>
      <c r="G188" s="9">
        <v>6</v>
      </c>
      <c r="H188" s="9">
        <v>6</v>
      </c>
      <c r="I188" s="9">
        <v>77</v>
      </c>
      <c r="J188" s="9">
        <v>9</v>
      </c>
      <c r="K188" s="9">
        <v>73</v>
      </c>
      <c r="L188" s="9">
        <v>35</v>
      </c>
      <c r="M188" s="10">
        <v>96</v>
      </c>
      <c r="N188">
        <f t="shared" si="11"/>
        <v>56</v>
      </c>
      <c r="O188">
        <f t="shared" si="12"/>
        <v>4</v>
      </c>
      <c r="P188">
        <f t="shared" si="12"/>
        <v>0</v>
      </c>
      <c r="Q188">
        <f t="shared" si="12"/>
        <v>10</v>
      </c>
      <c r="R188">
        <f t="shared" si="12"/>
        <v>10</v>
      </c>
      <c r="S188">
        <v>1</v>
      </c>
      <c r="T188">
        <f t="shared" si="13"/>
        <v>27</v>
      </c>
      <c r="U188">
        <f t="shared" si="14"/>
        <v>29</v>
      </c>
      <c r="V188">
        <f t="shared" si="15"/>
        <v>0</v>
      </c>
    </row>
    <row r="189" spans="1:22" x14ac:dyDescent="0.35">
      <c r="A189" s="11" t="s">
        <v>285</v>
      </c>
      <c r="B189" s="12" t="s">
        <v>286</v>
      </c>
      <c r="C189" s="13">
        <v>2</v>
      </c>
      <c r="D189" s="13">
        <v>5</v>
      </c>
      <c r="E189" s="13">
        <v>4</v>
      </c>
      <c r="F189" s="13">
        <v>4</v>
      </c>
      <c r="G189" s="13">
        <v>2</v>
      </c>
      <c r="H189" s="13">
        <v>5</v>
      </c>
      <c r="I189" s="13">
        <v>46</v>
      </c>
      <c r="J189" s="13">
        <v>15</v>
      </c>
      <c r="K189" s="13">
        <v>67</v>
      </c>
      <c r="L189" s="13">
        <v>56</v>
      </c>
      <c r="M189" s="14">
        <v>9</v>
      </c>
      <c r="N189">
        <f t="shared" si="11"/>
        <v>41.3</v>
      </c>
      <c r="O189">
        <f t="shared" si="12"/>
        <v>6</v>
      </c>
      <c r="P189">
        <f t="shared" si="12"/>
        <v>6</v>
      </c>
      <c r="Q189">
        <f t="shared" si="12"/>
        <v>0</v>
      </c>
      <c r="R189">
        <f t="shared" si="12"/>
        <v>8</v>
      </c>
      <c r="S189">
        <v>1</v>
      </c>
      <c r="T189">
        <f t="shared" si="13"/>
        <v>22</v>
      </c>
      <c r="U189">
        <f t="shared" si="14"/>
        <v>19.3</v>
      </c>
      <c r="V189">
        <f t="shared" si="15"/>
        <v>1</v>
      </c>
    </row>
    <row r="190" spans="1:22" x14ac:dyDescent="0.35">
      <c r="A190" s="7" t="s">
        <v>287</v>
      </c>
      <c r="B190" s="8" t="s">
        <v>288</v>
      </c>
      <c r="C190" s="9">
        <v>3</v>
      </c>
      <c r="D190" s="9">
        <v>4</v>
      </c>
      <c r="E190" s="9">
        <v>6</v>
      </c>
      <c r="F190" s="9">
        <v>3</v>
      </c>
      <c r="G190" s="9">
        <v>2</v>
      </c>
      <c r="H190" s="9">
        <v>2</v>
      </c>
      <c r="I190" s="9">
        <v>79</v>
      </c>
      <c r="J190" s="9">
        <v>70</v>
      </c>
      <c r="K190" s="9">
        <v>42</v>
      </c>
      <c r="L190" s="9">
        <v>36</v>
      </c>
      <c r="M190" s="10">
        <v>76</v>
      </c>
      <c r="N190">
        <f t="shared" si="11"/>
        <v>47.3</v>
      </c>
      <c r="O190">
        <f t="shared" si="12"/>
        <v>10</v>
      </c>
      <c r="P190">
        <f t="shared" si="12"/>
        <v>4</v>
      </c>
      <c r="Q190">
        <f t="shared" si="12"/>
        <v>0</v>
      </c>
      <c r="R190">
        <f t="shared" si="12"/>
        <v>0</v>
      </c>
      <c r="S190">
        <v>1</v>
      </c>
      <c r="T190">
        <f t="shared" si="13"/>
        <v>17</v>
      </c>
      <c r="U190">
        <f t="shared" si="14"/>
        <v>30.3</v>
      </c>
      <c r="V190">
        <f t="shared" si="15"/>
        <v>0</v>
      </c>
    </row>
    <row r="191" spans="1:22" x14ac:dyDescent="0.35">
      <c r="A191" s="11" t="s">
        <v>289</v>
      </c>
      <c r="B191" s="12" t="s">
        <v>30</v>
      </c>
      <c r="C191" s="13">
        <v>3</v>
      </c>
      <c r="D191" s="13">
        <v>6</v>
      </c>
      <c r="E191" s="13">
        <v>3</v>
      </c>
      <c r="F191" s="13">
        <v>6</v>
      </c>
      <c r="G191" s="13">
        <v>2</v>
      </c>
      <c r="H191" s="13">
        <v>5</v>
      </c>
      <c r="I191" s="13">
        <v>25</v>
      </c>
      <c r="J191" s="13">
        <v>78</v>
      </c>
      <c r="K191" s="13">
        <v>36</v>
      </c>
      <c r="L191" s="13">
        <v>67</v>
      </c>
      <c r="M191" s="14">
        <v>37</v>
      </c>
      <c r="N191">
        <f t="shared" si="11"/>
        <v>51.3</v>
      </c>
      <c r="O191">
        <f t="shared" si="12"/>
        <v>4</v>
      </c>
      <c r="P191">
        <f t="shared" si="12"/>
        <v>10</v>
      </c>
      <c r="Q191">
        <f t="shared" si="12"/>
        <v>0</v>
      </c>
      <c r="R191">
        <f t="shared" si="12"/>
        <v>8</v>
      </c>
      <c r="S191">
        <v>1</v>
      </c>
      <c r="T191">
        <f t="shared" si="13"/>
        <v>27</v>
      </c>
      <c r="U191">
        <f t="shared" si="14"/>
        <v>24.3</v>
      </c>
      <c r="V191">
        <f t="shared" si="15"/>
        <v>1</v>
      </c>
    </row>
    <row r="192" spans="1:22" x14ac:dyDescent="0.35">
      <c r="A192" s="7" t="s">
        <v>290</v>
      </c>
      <c r="B192" s="8" t="s">
        <v>78</v>
      </c>
      <c r="C192" s="9">
        <v>4</v>
      </c>
      <c r="D192" s="9">
        <v>5</v>
      </c>
      <c r="E192" s="9">
        <v>4</v>
      </c>
      <c r="F192" s="9">
        <v>6</v>
      </c>
      <c r="G192" s="9">
        <v>5</v>
      </c>
      <c r="H192" s="9">
        <v>2</v>
      </c>
      <c r="I192" s="9">
        <v>53</v>
      </c>
      <c r="J192" s="9">
        <v>61</v>
      </c>
      <c r="K192" s="9">
        <v>85</v>
      </c>
      <c r="L192" s="9">
        <v>8</v>
      </c>
      <c r="M192" s="10">
        <v>76</v>
      </c>
      <c r="N192">
        <f t="shared" si="11"/>
        <v>56.3</v>
      </c>
      <c r="O192">
        <f t="shared" si="12"/>
        <v>6</v>
      </c>
      <c r="P192">
        <f t="shared" si="12"/>
        <v>10</v>
      </c>
      <c r="Q192">
        <f t="shared" si="12"/>
        <v>8</v>
      </c>
      <c r="R192">
        <f t="shared" si="12"/>
        <v>0</v>
      </c>
      <c r="S192">
        <v>1</v>
      </c>
      <c r="T192">
        <f t="shared" si="13"/>
        <v>28</v>
      </c>
      <c r="U192">
        <f t="shared" si="14"/>
        <v>28.3</v>
      </c>
      <c r="V192">
        <f t="shared" si="15"/>
        <v>0</v>
      </c>
    </row>
    <row r="193" spans="1:22" x14ac:dyDescent="0.35">
      <c r="A193" s="11" t="s">
        <v>264</v>
      </c>
      <c r="B193" s="12" t="s">
        <v>246</v>
      </c>
      <c r="C193" s="13">
        <v>7</v>
      </c>
      <c r="D193" s="13">
        <v>2</v>
      </c>
      <c r="E193" s="13">
        <v>4</v>
      </c>
      <c r="F193" s="13">
        <v>3</v>
      </c>
      <c r="G193" s="13">
        <v>6</v>
      </c>
      <c r="H193" s="13">
        <v>3</v>
      </c>
      <c r="I193" s="13">
        <v>13</v>
      </c>
      <c r="J193" s="13">
        <v>89</v>
      </c>
      <c r="K193" s="13">
        <v>20</v>
      </c>
      <c r="L193" s="13">
        <v>2</v>
      </c>
      <c r="M193" s="14">
        <v>36</v>
      </c>
      <c r="N193">
        <f t="shared" si="11"/>
        <v>47</v>
      </c>
      <c r="O193">
        <f t="shared" si="12"/>
        <v>6</v>
      </c>
      <c r="P193">
        <f t="shared" si="12"/>
        <v>4</v>
      </c>
      <c r="Q193">
        <f t="shared" si="12"/>
        <v>10</v>
      </c>
      <c r="R193">
        <f t="shared" si="12"/>
        <v>4</v>
      </c>
      <c r="S193">
        <v>1</v>
      </c>
      <c r="T193">
        <f t="shared" si="13"/>
        <v>31</v>
      </c>
      <c r="U193">
        <f t="shared" si="14"/>
        <v>16</v>
      </c>
      <c r="V193">
        <f t="shared" si="15"/>
        <v>1</v>
      </c>
    </row>
    <row r="194" spans="1:22" x14ac:dyDescent="0.35">
      <c r="A194" s="7" t="s">
        <v>291</v>
      </c>
      <c r="B194" s="8" t="s">
        <v>222</v>
      </c>
      <c r="C194" s="9">
        <v>3</v>
      </c>
      <c r="D194" s="9">
        <v>5</v>
      </c>
      <c r="E194" s="9">
        <v>5</v>
      </c>
      <c r="F194" s="9">
        <v>2</v>
      </c>
      <c r="G194" s="9">
        <v>5</v>
      </c>
      <c r="H194" s="9">
        <v>2</v>
      </c>
      <c r="I194" s="9">
        <v>25</v>
      </c>
      <c r="J194" s="9">
        <v>46</v>
      </c>
      <c r="K194" s="9">
        <v>91</v>
      </c>
      <c r="L194" s="9">
        <v>75</v>
      </c>
      <c r="M194" s="10">
        <v>91</v>
      </c>
      <c r="N194">
        <f t="shared" si="11"/>
        <v>51.8</v>
      </c>
      <c r="O194">
        <f t="shared" si="12"/>
        <v>8</v>
      </c>
      <c r="P194">
        <f t="shared" si="12"/>
        <v>0</v>
      </c>
      <c r="Q194">
        <f t="shared" si="12"/>
        <v>8</v>
      </c>
      <c r="R194">
        <f t="shared" ref="R194:R257" si="16">IF(H194=2,0,IF(H194=3,4,IF(H194=4,6,IF(H194=5,8,IF(H194=6,10,0)))))</f>
        <v>0</v>
      </c>
      <c r="S194">
        <v>1</v>
      </c>
      <c r="T194">
        <f t="shared" si="13"/>
        <v>19</v>
      </c>
      <c r="U194">
        <f t="shared" si="14"/>
        <v>32.799999999999997</v>
      </c>
      <c r="V194">
        <f t="shared" si="15"/>
        <v>0</v>
      </c>
    </row>
    <row r="195" spans="1:22" x14ac:dyDescent="0.35">
      <c r="A195" s="11" t="s">
        <v>292</v>
      </c>
      <c r="B195" s="12" t="s">
        <v>225</v>
      </c>
      <c r="C195" s="13">
        <v>7</v>
      </c>
      <c r="D195" s="13">
        <v>6</v>
      </c>
      <c r="E195" s="13">
        <v>4</v>
      </c>
      <c r="F195" s="13">
        <v>5</v>
      </c>
      <c r="G195" s="13">
        <v>4</v>
      </c>
      <c r="H195" s="13">
        <v>6</v>
      </c>
      <c r="I195" s="13">
        <v>52</v>
      </c>
      <c r="J195" s="13">
        <v>32</v>
      </c>
      <c r="K195" s="13">
        <v>57</v>
      </c>
      <c r="L195" s="13">
        <v>58</v>
      </c>
      <c r="M195" s="14">
        <v>67</v>
      </c>
      <c r="N195">
        <f t="shared" ref="N195:N258" si="17">C195+IF(D195=6,2,0) +SUM(O195:R195) +SUM(I195:M195)/10</f>
        <v>65.599999999999994</v>
      </c>
      <c r="O195">
        <f t="shared" ref="O195:R258" si="18">IF(E195=2,0,IF(E195=3,4,IF(E195=4,6,IF(E195=5,8,IF(E195=6,10,0)))))</f>
        <v>6</v>
      </c>
      <c r="P195">
        <f t="shared" si="18"/>
        <v>8</v>
      </c>
      <c r="Q195">
        <f t="shared" si="18"/>
        <v>6</v>
      </c>
      <c r="R195">
        <f t="shared" si="16"/>
        <v>10</v>
      </c>
      <c r="S195">
        <v>1</v>
      </c>
      <c r="T195">
        <f t="shared" ref="T195:T258" si="19">C195+IF(D195=6,2,0) +SUM(O195:R195)</f>
        <v>39</v>
      </c>
      <c r="U195">
        <f t="shared" ref="U195:U258" si="20">SUM(I195:M195)/10</f>
        <v>26.6</v>
      </c>
      <c r="V195">
        <f t="shared" ref="V195:V258" si="21">IF(T195&gt;U195,1,0)</f>
        <v>1</v>
      </c>
    </row>
    <row r="196" spans="1:22" x14ac:dyDescent="0.35">
      <c r="A196" s="7" t="s">
        <v>293</v>
      </c>
      <c r="B196" s="8" t="s">
        <v>239</v>
      </c>
      <c r="C196" s="9">
        <v>7</v>
      </c>
      <c r="D196" s="9">
        <v>6</v>
      </c>
      <c r="E196" s="9">
        <v>4</v>
      </c>
      <c r="F196" s="9">
        <v>6</v>
      </c>
      <c r="G196" s="9">
        <v>6</v>
      </c>
      <c r="H196" s="9">
        <v>5</v>
      </c>
      <c r="I196" s="9">
        <v>85</v>
      </c>
      <c r="J196" s="9">
        <v>37</v>
      </c>
      <c r="K196" s="9">
        <v>73</v>
      </c>
      <c r="L196" s="9">
        <v>73</v>
      </c>
      <c r="M196" s="10">
        <v>19</v>
      </c>
      <c r="N196">
        <f t="shared" si="17"/>
        <v>71.7</v>
      </c>
      <c r="O196">
        <f t="shared" si="18"/>
        <v>6</v>
      </c>
      <c r="P196">
        <f t="shared" si="18"/>
        <v>10</v>
      </c>
      <c r="Q196">
        <f t="shared" si="18"/>
        <v>10</v>
      </c>
      <c r="R196">
        <f t="shared" si="16"/>
        <v>8</v>
      </c>
      <c r="S196">
        <v>1</v>
      </c>
      <c r="T196">
        <f t="shared" si="19"/>
        <v>43</v>
      </c>
      <c r="U196">
        <f t="shared" si="20"/>
        <v>28.7</v>
      </c>
      <c r="V196">
        <f t="shared" si="21"/>
        <v>1</v>
      </c>
    </row>
    <row r="197" spans="1:22" x14ac:dyDescent="0.35">
      <c r="A197" s="11" t="s">
        <v>294</v>
      </c>
      <c r="B197" s="12" t="s">
        <v>28</v>
      </c>
      <c r="C197" s="13">
        <v>8</v>
      </c>
      <c r="D197" s="13">
        <v>3</v>
      </c>
      <c r="E197" s="13">
        <v>3</v>
      </c>
      <c r="F197" s="13">
        <v>4</v>
      </c>
      <c r="G197" s="13">
        <v>3</v>
      </c>
      <c r="H197" s="13">
        <v>5</v>
      </c>
      <c r="I197" s="13">
        <v>96</v>
      </c>
      <c r="J197" s="13">
        <v>17</v>
      </c>
      <c r="K197" s="13">
        <v>94</v>
      </c>
      <c r="L197" s="13">
        <v>90</v>
      </c>
      <c r="M197" s="14">
        <v>1</v>
      </c>
      <c r="N197">
        <f t="shared" si="17"/>
        <v>59.8</v>
      </c>
      <c r="O197">
        <f t="shared" si="18"/>
        <v>4</v>
      </c>
      <c r="P197">
        <f t="shared" si="18"/>
        <v>6</v>
      </c>
      <c r="Q197">
        <f t="shared" si="18"/>
        <v>4</v>
      </c>
      <c r="R197">
        <f t="shared" si="16"/>
        <v>8</v>
      </c>
      <c r="S197">
        <v>1</v>
      </c>
      <c r="T197">
        <f t="shared" si="19"/>
        <v>30</v>
      </c>
      <c r="U197">
        <f t="shared" si="20"/>
        <v>29.8</v>
      </c>
      <c r="V197">
        <f t="shared" si="21"/>
        <v>1</v>
      </c>
    </row>
    <row r="198" spans="1:22" x14ac:dyDescent="0.35">
      <c r="A198" s="7" t="s">
        <v>295</v>
      </c>
      <c r="B198" s="8" t="s">
        <v>180</v>
      </c>
      <c r="C198" s="9">
        <v>2</v>
      </c>
      <c r="D198" s="9">
        <v>3</v>
      </c>
      <c r="E198" s="9">
        <v>6</v>
      </c>
      <c r="F198" s="9">
        <v>4</v>
      </c>
      <c r="G198" s="9">
        <v>5</v>
      </c>
      <c r="H198" s="9">
        <v>6</v>
      </c>
      <c r="I198" s="9">
        <v>68</v>
      </c>
      <c r="J198" s="9">
        <v>10</v>
      </c>
      <c r="K198" s="9">
        <v>64</v>
      </c>
      <c r="L198" s="9">
        <v>85</v>
      </c>
      <c r="M198" s="10">
        <v>26</v>
      </c>
      <c r="N198">
        <f t="shared" si="17"/>
        <v>61.3</v>
      </c>
      <c r="O198">
        <f t="shared" si="18"/>
        <v>10</v>
      </c>
      <c r="P198">
        <f t="shared" si="18"/>
        <v>6</v>
      </c>
      <c r="Q198">
        <f t="shared" si="18"/>
        <v>8</v>
      </c>
      <c r="R198">
        <f t="shared" si="16"/>
        <v>10</v>
      </c>
      <c r="S198">
        <v>1</v>
      </c>
      <c r="T198">
        <f t="shared" si="19"/>
        <v>36</v>
      </c>
      <c r="U198">
        <f t="shared" si="20"/>
        <v>25.3</v>
      </c>
      <c r="V198">
        <f t="shared" si="21"/>
        <v>1</v>
      </c>
    </row>
    <row r="199" spans="1:22" x14ac:dyDescent="0.35">
      <c r="A199" s="11" t="s">
        <v>296</v>
      </c>
      <c r="B199" s="12" t="s">
        <v>222</v>
      </c>
      <c r="C199" s="13">
        <v>7</v>
      </c>
      <c r="D199" s="13">
        <v>2</v>
      </c>
      <c r="E199" s="13">
        <v>2</v>
      </c>
      <c r="F199" s="13">
        <v>6</v>
      </c>
      <c r="G199" s="13">
        <v>5</v>
      </c>
      <c r="H199" s="13">
        <v>3</v>
      </c>
      <c r="I199" s="13">
        <v>45</v>
      </c>
      <c r="J199" s="13">
        <v>81</v>
      </c>
      <c r="K199" s="13">
        <v>28</v>
      </c>
      <c r="L199" s="13">
        <v>11</v>
      </c>
      <c r="M199" s="14">
        <v>25</v>
      </c>
      <c r="N199">
        <f t="shared" si="17"/>
        <v>48</v>
      </c>
      <c r="O199">
        <f t="shared" si="18"/>
        <v>0</v>
      </c>
      <c r="P199">
        <f t="shared" si="18"/>
        <v>10</v>
      </c>
      <c r="Q199">
        <f t="shared" si="18"/>
        <v>8</v>
      </c>
      <c r="R199">
        <f t="shared" si="16"/>
        <v>4</v>
      </c>
      <c r="S199">
        <v>1</v>
      </c>
      <c r="T199">
        <f t="shared" si="19"/>
        <v>29</v>
      </c>
      <c r="U199">
        <f t="shared" si="20"/>
        <v>19</v>
      </c>
      <c r="V199">
        <f t="shared" si="21"/>
        <v>1</v>
      </c>
    </row>
    <row r="200" spans="1:22" x14ac:dyDescent="0.35">
      <c r="A200" s="7" t="s">
        <v>297</v>
      </c>
      <c r="B200" s="8" t="s">
        <v>161</v>
      </c>
      <c r="C200" s="9">
        <v>3</v>
      </c>
      <c r="D200" s="9">
        <v>2</v>
      </c>
      <c r="E200" s="9">
        <v>3</v>
      </c>
      <c r="F200" s="9">
        <v>2</v>
      </c>
      <c r="G200" s="9">
        <v>5</v>
      </c>
      <c r="H200" s="9">
        <v>4</v>
      </c>
      <c r="I200" s="9">
        <v>85</v>
      </c>
      <c r="J200" s="9">
        <v>28</v>
      </c>
      <c r="K200" s="9">
        <v>36</v>
      </c>
      <c r="L200" s="9">
        <v>9</v>
      </c>
      <c r="M200" s="10">
        <v>95</v>
      </c>
      <c r="N200">
        <f t="shared" si="17"/>
        <v>46.3</v>
      </c>
      <c r="O200">
        <f t="shared" si="18"/>
        <v>4</v>
      </c>
      <c r="P200">
        <f t="shared" si="18"/>
        <v>0</v>
      </c>
      <c r="Q200">
        <f t="shared" si="18"/>
        <v>8</v>
      </c>
      <c r="R200">
        <f t="shared" si="16"/>
        <v>6</v>
      </c>
      <c r="S200">
        <v>1</v>
      </c>
      <c r="T200">
        <f t="shared" si="19"/>
        <v>21</v>
      </c>
      <c r="U200">
        <f t="shared" si="20"/>
        <v>25.3</v>
      </c>
      <c r="V200">
        <f t="shared" si="21"/>
        <v>0</v>
      </c>
    </row>
    <row r="201" spans="1:22" x14ac:dyDescent="0.35">
      <c r="A201" s="11" t="s">
        <v>298</v>
      </c>
      <c r="B201" s="12" t="s">
        <v>299</v>
      </c>
      <c r="C201" s="13">
        <v>4</v>
      </c>
      <c r="D201" s="13">
        <v>3</v>
      </c>
      <c r="E201" s="13">
        <v>6</v>
      </c>
      <c r="F201" s="13">
        <v>4</v>
      </c>
      <c r="G201" s="13">
        <v>4</v>
      </c>
      <c r="H201" s="13">
        <v>3</v>
      </c>
      <c r="I201" s="13">
        <v>48</v>
      </c>
      <c r="J201" s="13">
        <v>71</v>
      </c>
      <c r="K201" s="13">
        <v>40</v>
      </c>
      <c r="L201" s="13">
        <v>67</v>
      </c>
      <c r="M201" s="14">
        <v>83</v>
      </c>
      <c r="N201">
        <f t="shared" si="17"/>
        <v>60.9</v>
      </c>
      <c r="O201">
        <f t="shared" si="18"/>
        <v>10</v>
      </c>
      <c r="P201">
        <f t="shared" si="18"/>
        <v>6</v>
      </c>
      <c r="Q201">
        <f t="shared" si="18"/>
        <v>6</v>
      </c>
      <c r="R201">
        <f t="shared" si="16"/>
        <v>4</v>
      </c>
      <c r="S201">
        <v>1</v>
      </c>
      <c r="T201">
        <f t="shared" si="19"/>
        <v>30</v>
      </c>
      <c r="U201">
        <f t="shared" si="20"/>
        <v>30.9</v>
      </c>
      <c r="V201">
        <f t="shared" si="21"/>
        <v>0</v>
      </c>
    </row>
    <row r="202" spans="1:22" x14ac:dyDescent="0.35">
      <c r="A202" s="7" t="s">
        <v>300</v>
      </c>
      <c r="B202" s="8" t="s">
        <v>242</v>
      </c>
      <c r="C202" s="9">
        <v>0</v>
      </c>
      <c r="D202" s="9">
        <v>5</v>
      </c>
      <c r="E202" s="9">
        <v>6</v>
      </c>
      <c r="F202" s="9">
        <v>4</v>
      </c>
      <c r="G202" s="9">
        <v>4</v>
      </c>
      <c r="H202" s="9">
        <v>5</v>
      </c>
      <c r="I202" s="9">
        <v>70</v>
      </c>
      <c r="J202" s="9">
        <v>42</v>
      </c>
      <c r="K202" s="9">
        <v>47</v>
      </c>
      <c r="L202" s="9">
        <v>24</v>
      </c>
      <c r="M202" s="10">
        <v>40</v>
      </c>
      <c r="N202">
        <f t="shared" si="17"/>
        <v>52.3</v>
      </c>
      <c r="O202">
        <f t="shared" si="18"/>
        <v>10</v>
      </c>
      <c r="P202">
        <f t="shared" si="18"/>
        <v>6</v>
      </c>
      <c r="Q202">
        <f t="shared" si="18"/>
        <v>6</v>
      </c>
      <c r="R202">
        <f t="shared" si="16"/>
        <v>8</v>
      </c>
      <c r="S202">
        <v>1</v>
      </c>
      <c r="T202">
        <f t="shared" si="19"/>
        <v>30</v>
      </c>
      <c r="U202">
        <f t="shared" si="20"/>
        <v>22.3</v>
      </c>
      <c r="V202">
        <f t="shared" si="21"/>
        <v>1</v>
      </c>
    </row>
    <row r="203" spans="1:22" x14ac:dyDescent="0.35">
      <c r="A203" s="11" t="s">
        <v>301</v>
      </c>
      <c r="B203" s="12" t="s">
        <v>302</v>
      </c>
      <c r="C203" s="13">
        <v>8</v>
      </c>
      <c r="D203" s="13">
        <v>4</v>
      </c>
      <c r="E203" s="13">
        <v>5</v>
      </c>
      <c r="F203" s="13">
        <v>4</v>
      </c>
      <c r="G203" s="13">
        <v>4</v>
      </c>
      <c r="H203" s="13">
        <v>5</v>
      </c>
      <c r="I203" s="13">
        <v>83</v>
      </c>
      <c r="J203" s="13">
        <v>18</v>
      </c>
      <c r="K203" s="13">
        <v>29</v>
      </c>
      <c r="L203" s="13">
        <v>17</v>
      </c>
      <c r="M203" s="14">
        <v>9</v>
      </c>
      <c r="N203">
        <f t="shared" si="17"/>
        <v>51.6</v>
      </c>
      <c r="O203">
        <f t="shared" si="18"/>
        <v>8</v>
      </c>
      <c r="P203">
        <f t="shared" si="18"/>
        <v>6</v>
      </c>
      <c r="Q203">
        <f t="shared" si="18"/>
        <v>6</v>
      </c>
      <c r="R203">
        <f t="shared" si="16"/>
        <v>8</v>
      </c>
      <c r="S203">
        <v>1</v>
      </c>
      <c r="T203">
        <f t="shared" si="19"/>
        <v>36</v>
      </c>
      <c r="U203">
        <f t="shared" si="20"/>
        <v>15.6</v>
      </c>
      <c r="V203">
        <f t="shared" si="21"/>
        <v>1</v>
      </c>
    </row>
    <row r="204" spans="1:22" x14ac:dyDescent="0.35">
      <c r="A204" s="7" t="s">
        <v>303</v>
      </c>
      <c r="B204" s="8" t="s">
        <v>90</v>
      </c>
      <c r="C204" s="9">
        <v>1</v>
      </c>
      <c r="D204" s="9">
        <v>6</v>
      </c>
      <c r="E204" s="9">
        <v>4</v>
      </c>
      <c r="F204" s="9">
        <v>6</v>
      </c>
      <c r="G204" s="9">
        <v>3</v>
      </c>
      <c r="H204" s="9">
        <v>2</v>
      </c>
      <c r="I204" s="9">
        <v>48</v>
      </c>
      <c r="J204" s="9">
        <v>65</v>
      </c>
      <c r="K204" s="9">
        <v>86</v>
      </c>
      <c r="L204" s="9">
        <v>18</v>
      </c>
      <c r="M204" s="10">
        <v>88</v>
      </c>
      <c r="N204">
        <f t="shared" si="17"/>
        <v>53.5</v>
      </c>
      <c r="O204">
        <f t="shared" si="18"/>
        <v>6</v>
      </c>
      <c r="P204">
        <f t="shared" si="18"/>
        <v>10</v>
      </c>
      <c r="Q204">
        <f t="shared" si="18"/>
        <v>4</v>
      </c>
      <c r="R204">
        <f t="shared" si="16"/>
        <v>0</v>
      </c>
      <c r="S204">
        <v>1</v>
      </c>
      <c r="T204">
        <f t="shared" si="19"/>
        <v>23</v>
      </c>
      <c r="U204">
        <f t="shared" si="20"/>
        <v>30.5</v>
      </c>
      <c r="V204">
        <f t="shared" si="21"/>
        <v>0</v>
      </c>
    </row>
    <row r="205" spans="1:22" x14ac:dyDescent="0.35">
      <c r="A205" s="11" t="s">
        <v>304</v>
      </c>
      <c r="B205" s="12" t="s">
        <v>70</v>
      </c>
      <c r="C205" s="13">
        <v>4</v>
      </c>
      <c r="D205" s="13">
        <v>5</v>
      </c>
      <c r="E205" s="13">
        <v>3</v>
      </c>
      <c r="F205" s="13">
        <v>5</v>
      </c>
      <c r="G205" s="13">
        <v>5</v>
      </c>
      <c r="H205" s="13">
        <v>2</v>
      </c>
      <c r="I205" s="13">
        <v>70</v>
      </c>
      <c r="J205" s="13">
        <v>20</v>
      </c>
      <c r="K205" s="13">
        <v>38</v>
      </c>
      <c r="L205" s="13">
        <v>18</v>
      </c>
      <c r="M205" s="14">
        <v>65</v>
      </c>
      <c r="N205">
        <f t="shared" si="17"/>
        <v>45.1</v>
      </c>
      <c r="O205">
        <f t="shared" si="18"/>
        <v>4</v>
      </c>
      <c r="P205">
        <f t="shared" si="18"/>
        <v>8</v>
      </c>
      <c r="Q205">
        <f t="shared" si="18"/>
        <v>8</v>
      </c>
      <c r="R205">
        <f t="shared" si="16"/>
        <v>0</v>
      </c>
      <c r="S205">
        <v>1</v>
      </c>
      <c r="T205">
        <f t="shared" si="19"/>
        <v>24</v>
      </c>
      <c r="U205">
        <f t="shared" si="20"/>
        <v>21.1</v>
      </c>
      <c r="V205">
        <f t="shared" si="21"/>
        <v>1</v>
      </c>
    </row>
    <row r="206" spans="1:22" x14ac:dyDescent="0.35">
      <c r="A206" s="7" t="s">
        <v>305</v>
      </c>
      <c r="B206" s="8" t="s">
        <v>306</v>
      </c>
      <c r="C206" s="9">
        <v>2</v>
      </c>
      <c r="D206" s="9">
        <v>2</v>
      </c>
      <c r="E206" s="9">
        <v>6</v>
      </c>
      <c r="F206" s="9">
        <v>5</v>
      </c>
      <c r="G206" s="9">
        <v>2</v>
      </c>
      <c r="H206" s="9">
        <v>6</v>
      </c>
      <c r="I206" s="9">
        <v>74</v>
      </c>
      <c r="J206" s="9">
        <v>61</v>
      </c>
      <c r="K206" s="9">
        <v>24</v>
      </c>
      <c r="L206" s="9">
        <v>72</v>
      </c>
      <c r="M206" s="10">
        <v>41</v>
      </c>
      <c r="N206">
        <f t="shared" si="17"/>
        <v>57.2</v>
      </c>
      <c r="O206">
        <f t="shared" si="18"/>
        <v>10</v>
      </c>
      <c r="P206">
        <f t="shared" si="18"/>
        <v>8</v>
      </c>
      <c r="Q206">
        <f t="shared" si="18"/>
        <v>0</v>
      </c>
      <c r="R206">
        <f t="shared" si="16"/>
        <v>10</v>
      </c>
      <c r="S206">
        <v>1</v>
      </c>
      <c r="T206">
        <f t="shared" si="19"/>
        <v>30</v>
      </c>
      <c r="U206">
        <f t="shared" si="20"/>
        <v>27.2</v>
      </c>
      <c r="V206">
        <f t="shared" si="21"/>
        <v>1</v>
      </c>
    </row>
    <row r="207" spans="1:22" x14ac:dyDescent="0.35">
      <c r="A207" s="11" t="s">
        <v>125</v>
      </c>
      <c r="B207" s="12" t="s">
        <v>307</v>
      </c>
      <c r="C207" s="13">
        <v>2</v>
      </c>
      <c r="D207" s="13">
        <v>2</v>
      </c>
      <c r="E207" s="13">
        <v>4</v>
      </c>
      <c r="F207" s="13">
        <v>4</v>
      </c>
      <c r="G207" s="13">
        <v>4</v>
      </c>
      <c r="H207" s="13">
        <v>3</v>
      </c>
      <c r="I207" s="13">
        <v>18</v>
      </c>
      <c r="J207" s="13">
        <v>50</v>
      </c>
      <c r="K207" s="13">
        <v>99</v>
      </c>
      <c r="L207" s="13">
        <v>35</v>
      </c>
      <c r="M207" s="14">
        <v>8</v>
      </c>
      <c r="N207">
        <f t="shared" si="17"/>
        <v>45</v>
      </c>
      <c r="O207">
        <f t="shared" si="18"/>
        <v>6</v>
      </c>
      <c r="P207">
        <f t="shared" si="18"/>
        <v>6</v>
      </c>
      <c r="Q207">
        <f t="shared" si="18"/>
        <v>6</v>
      </c>
      <c r="R207">
        <f t="shared" si="16"/>
        <v>4</v>
      </c>
      <c r="S207">
        <v>1</v>
      </c>
      <c r="T207">
        <f t="shared" si="19"/>
        <v>24</v>
      </c>
      <c r="U207">
        <f t="shared" si="20"/>
        <v>21</v>
      </c>
      <c r="V207">
        <f t="shared" si="21"/>
        <v>1</v>
      </c>
    </row>
    <row r="208" spans="1:22" x14ac:dyDescent="0.35">
      <c r="A208" s="7" t="s">
        <v>308</v>
      </c>
      <c r="B208" s="8" t="s">
        <v>166</v>
      </c>
      <c r="C208" s="9">
        <v>6</v>
      </c>
      <c r="D208" s="9">
        <v>6</v>
      </c>
      <c r="E208" s="9">
        <v>4</v>
      </c>
      <c r="F208" s="9">
        <v>3</v>
      </c>
      <c r="G208" s="9">
        <v>6</v>
      </c>
      <c r="H208" s="9">
        <v>2</v>
      </c>
      <c r="I208" s="9">
        <v>68</v>
      </c>
      <c r="J208" s="9">
        <v>82</v>
      </c>
      <c r="K208" s="9">
        <v>74</v>
      </c>
      <c r="L208" s="9">
        <v>4</v>
      </c>
      <c r="M208" s="10">
        <v>9</v>
      </c>
      <c r="N208">
        <f t="shared" si="17"/>
        <v>51.7</v>
      </c>
      <c r="O208">
        <f t="shared" si="18"/>
        <v>6</v>
      </c>
      <c r="P208">
        <f t="shared" si="18"/>
        <v>4</v>
      </c>
      <c r="Q208">
        <f t="shared" si="18"/>
        <v>10</v>
      </c>
      <c r="R208">
        <f t="shared" si="16"/>
        <v>0</v>
      </c>
      <c r="S208">
        <v>1</v>
      </c>
      <c r="T208">
        <f t="shared" si="19"/>
        <v>28</v>
      </c>
      <c r="U208">
        <f t="shared" si="20"/>
        <v>23.7</v>
      </c>
      <c r="V208">
        <f t="shared" si="21"/>
        <v>1</v>
      </c>
    </row>
    <row r="209" spans="1:22" x14ac:dyDescent="0.35">
      <c r="A209" s="11" t="s">
        <v>309</v>
      </c>
      <c r="B209" s="12" t="s">
        <v>239</v>
      </c>
      <c r="C209" s="13">
        <v>3</v>
      </c>
      <c r="D209" s="13">
        <v>4</v>
      </c>
      <c r="E209" s="13">
        <v>2</v>
      </c>
      <c r="F209" s="13">
        <v>2</v>
      </c>
      <c r="G209" s="13">
        <v>6</v>
      </c>
      <c r="H209" s="13">
        <v>4</v>
      </c>
      <c r="I209" s="13">
        <v>48</v>
      </c>
      <c r="J209" s="13">
        <v>56</v>
      </c>
      <c r="K209" s="13">
        <v>97</v>
      </c>
      <c r="L209" s="13">
        <v>34</v>
      </c>
      <c r="M209" s="14">
        <v>50</v>
      </c>
      <c r="N209">
        <f t="shared" si="17"/>
        <v>47.5</v>
      </c>
      <c r="O209">
        <f t="shared" si="18"/>
        <v>0</v>
      </c>
      <c r="P209">
        <f t="shared" si="18"/>
        <v>0</v>
      </c>
      <c r="Q209">
        <f t="shared" si="18"/>
        <v>10</v>
      </c>
      <c r="R209">
        <f t="shared" si="16"/>
        <v>6</v>
      </c>
      <c r="S209">
        <v>1</v>
      </c>
      <c r="T209">
        <f t="shared" si="19"/>
        <v>19</v>
      </c>
      <c r="U209">
        <f t="shared" si="20"/>
        <v>28.5</v>
      </c>
      <c r="V209">
        <f t="shared" si="21"/>
        <v>0</v>
      </c>
    </row>
    <row r="210" spans="1:22" x14ac:dyDescent="0.35">
      <c r="A210" s="7" t="s">
        <v>310</v>
      </c>
      <c r="B210" s="8" t="s">
        <v>311</v>
      </c>
      <c r="C210" s="9">
        <v>2</v>
      </c>
      <c r="D210" s="9">
        <v>5</v>
      </c>
      <c r="E210" s="9">
        <v>5</v>
      </c>
      <c r="F210" s="9">
        <v>5</v>
      </c>
      <c r="G210" s="9">
        <v>3</v>
      </c>
      <c r="H210" s="9">
        <v>2</v>
      </c>
      <c r="I210" s="9">
        <v>69</v>
      </c>
      <c r="J210" s="9">
        <v>49</v>
      </c>
      <c r="K210" s="9">
        <v>67</v>
      </c>
      <c r="L210" s="9">
        <v>20</v>
      </c>
      <c r="M210" s="10">
        <v>3</v>
      </c>
      <c r="N210">
        <f t="shared" si="17"/>
        <v>42.8</v>
      </c>
      <c r="O210">
        <f t="shared" si="18"/>
        <v>8</v>
      </c>
      <c r="P210">
        <f t="shared" si="18"/>
        <v>8</v>
      </c>
      <c r="Q210">
        <f t="shared" si="18"/>
        <v>4</v>
      </c>
      <c r="R210">
        <f t="shared" si="16"/>
        <v>0</v>
      </c>
      <c r="S210">
        <v>1</v>
      </c>
      <c r="T210">
        <f t="shared" si="19"/>
        <v>22</v>
      </c>
      <c r="U210">
        <f t="shared" si="20"/>
        <v>20.8</v>
      </c>
      <c r="V210">
        <f t="shared" si="21"/>
        <v>1</v>
      </c>
    </row>
    <row r="211" spans="1:22" x14ac:dyDescent="0.35">
      <c r="A211" s="11" t="s">
        <v>312</v>
      </c>
      <c r="B211" s="12" t="s">
        <v>313</v>
      </c>
      <c r="C211" s="13">
        <v>5</v>
      </c>
      <c r="D211" s="13">
        <v>2</v>
      </c>
      <c r="E211" s="13">
        <v>4</v>
      </c>
      <c r="F211" s="13">
        <v>5</v>
      </c>
      <c r="G211" s="13">
        <v>6</v>
      </c>
      <c r="H211" s="13">
        <v>4</v>
      </c>
      <c r="I211" s="13">
        <v>68</v>
      </c>
      <c r="J211" s="13">
        <v>37</v>
      </c>
      <c r="K211" s="13">
        <v>91</v>
      </c>
      <c r="L211" s="13">
        <v>56</v>
      </c>
      <c r="M211" s="14">
        <v>46</v>
      </c>
      <c r="N211">
        <f t="shared" si="17"/>
        <v>64.8</v>
      </c>
      <c r="O211">
        <f t="shared" si="18"/>
        <v>6</v>
      </c>
      <c r="P211">
        <f t="shared" si="18"/>
        <v>8</v>
      </c>
      <c r="Q211">
        <f t="shared" si="18"/>
        <v>10</v>
      </c>
      <c r="R211">
        <f t="shared" si="16"/>
        <v>6</v>
      </c>
      <c r="S211">
        <v>1</v>
      </c>
      <c r="T211">
        <f t="shared" si="19"/>
        <v>35</v>
      </c>
      <c r="U211">
        <f t="shared" si="20"/>
        <v>29.8</v>
      </c>
      <c r="V211">
        <f t="shared" si="21"/>
        <v>1</v>
      </c>
    </row>
    <row r="212" spans="1:22" x14ac:dyDescent="0.35">
      <c r="A212" s="7" t="s">
        <v>314</v>
      </c>
      <c r="B212" s="8" t="s">
        <v>249</v>
      </c>
      <c r="C212" s="9">
        <v>7</v>
      </c>
      <c r="D212" s="9">
        <v>2</v>
      </c>
      <c r="E212" s="9">
        <v>2</v>
      </c>
      <c r="F212" s="9">
        <v>3</v>
      </c>
      <c r="G212" s="9">
        <v>6</v>
      </c>
      <c r="H212" s="9">
        <v>5</v>
      </c>
      <c r="I212" s="9">
        <v>11</v>
      </c>
      <c r="J212" s="9">
        <v>6</v>
      </c>
      <c r="K212" s="9">
        <v>24</v>
      </c>
      <c r="L212" s="9">
        <v>72</v>
      </c>
      <c r="M212" s="10">
        <v>17</v>
      </c>
      <c r="N212">
        <f t="shared" si="17"/>
        <v>42</v>
      </c>
      <c r="O212">
        <f t="shared" si="18"/>
        <v>0</v>
      </c>
      <c r="P212">
        <f t="shared" si="18"/>
        <v>4</v>
      </c>
      <c r="Q212">
        <f t="shared" si="18"/>
        <v>10</v>
      </c>
      <c r="R212">
        <f t="shared" si="16"/>
        <v>8</v>
      </c>
      <c r="S212">
        <v>1</v>
      </c>
      <c r="T212">
        <f t="shared" si="19"/>
        <v>29</v>
      </c>
      <c r="U212">
        <f t="shared" si="20"/>
        <v>13</v>
      </c>
      <c r="V212">
        <f t="shared" si="21"/>
        <v>1</v>
      </c>
    </row>
    <row r="213" spans="1:22" x14ac:dyDescent="0.35">
      <c r="A213" s="11" t="s">
        <v>315</v>
      </c>
      <c r="B213" s="12" t="s">
        <v>316</v>
      </c>
      <c r="C213" s="13">
        <v>2</v>
      </c>
      <c r="D213" s="13">
        <v>2</v>
      </c>
      <c r="E213" s="13">
        <v>6</v>
      </c>
      <c r="F213" s="13">
        <v>2</v>
      </c>
      <c r="G213" s="13">
        <v>2</v>
      </c>
      <c r="H213" s="13">
        <v>4</v>
      </c>
      <c r="I213" s="13">
        <v>13</v>
      </c>
      <c r="J213" s="13">
        <v>7</v>
      </c>
      <c r="K213" s="13">
        <v>71</v>
      </c>
      <c r="L213" s="13">
        <v>64</v>
      </c>
      <c r="M213" s="14">
        <v>96</v>
      </c>
      <c r="N213">
        <f t="shared" si="17"/>
        <v>43.1</v>
      </c>
      <c r="O213">
        <f t="shared" si="18"/>
        <v>10</v>
      </c>
      <c r="P213">
        <f t="shared" si="18"/>
        <v>0</v>
      </c>
      <c r="Q213">
        <f t="shared" si="18"/>
        <v>0</v>
      </c>
      <c r="R213">
        <f t="shared" si="16"/>
        <v>6</v>
      </c>
      <c r="S213">
        <v>1</v>
      </c>
      <c r="T213">
        <f t="shared" si="19"/>
        <v>18</v>
      </c>
      <c r="U213">
        <f t="shared" si="20"/>
        <v>25.1</v>
      </c>
      <c r="V213">
        <f t="shared" si="21"/>
        <v>0</v>
      </c>
    </row>
    <row r="214" spans="1:22" x14ac:dyDescent="0.35">
      <c r="A214" s="7" t="s">
        <v>317</v>
      </c>
      <c r="B214" s="8" t="s">
        <v>232</v>
      </c>
      <c r="C214" s="9">
        <v>8</v>
      </c>
      <c r="D214" s="9">
        <v>4</v>
      </c>
      <c r="E214" s="9">
        <v>5</v>
      </c>
      <c r="F214" s="9">
        <v>5</v>
      </c>
      <c r="G214" s="9">
        <v>3</v>
      </c>
      <c r="H214" s="9">
        <v>4</v>
      </c>
      <c r="I214" s="9">
        <v>92</v>
      </c>
      <c r="J214" s="9">
        <v>71</v>
      </c>
      <c r="K214" s="9">
        <v>26</v>
      </c>
      <c r="L214" s="9">
        <v>42</v>
      </c>
      <c r="M214" s="10">
        <v>46</v>
      </c>
      <c r="N214">
        <f t="shared" si="17"/>
        <v>61.7</v>
      </c>
      <c r="O214">
        <f t="shared" si="18"/>
        <v>8</v>
      </c>
      <c r="P214">
        <f t="shared" si="18"/>
        <v>8</v>
      </c>
      <c r="Q214">
        <f t="shared" si="18"/>
        <v>4</v>
      </c>
      <c r="R214">
        <f t="shared" si="16"/>
        <v>6</v>
      </c>
      <c r="S214">
        <v>1</v>
      </c>
      <c r="T214">
        <f t="shared" si="19"/>
        <v>34</v>
      </c>
      <c r="U214">
        <f t="shared" si="20"/>
        <v>27.7</v>
      </c>
      <c r="V214">
        <f t="shared" si="21"/>
        <v>1</v>
      </c>
    </row>
    <row r="215" spans="1:22" x14ac:dyDescent="0.35">
      <c r="A215" s="11" t="s">
        <v>318</v>
      </c>
      <c r="B215" s="12" t="s">
        <v>279</v>
      </c>
      <c r="C215" s="13">
        <v>5</v>
      </c>
      <c r="D215" s="13">
        <v>6</v>
      </c>
      <c r="E215" s="13">
        <v>2</v>
      </c>
      <c r="F215" s="13">
        <v>6</v>
      </c>
      <c r="G215" s="13">
        <v>6</v>
      </c>
      <c r="H215" s="13">
        <v>5</v>
      </c>
      <c r="I215" s="13">
        <v>79</v>
      </c>
      <c r="J215" s="13">
        <v>19</v>
      </c>
      <c r="K215" s="13">
        <v>23</v>
      </c>
      <c r="L215" s="13">
        <v>18</v>
      </c>
      <c r="M215" s="14">
        <v>13</v>
      </c>
      <c r="N215">
        <f t="shared" si="17"/>
        <v>50.2</v>
      </c>
      <c r="O215">
        <f t="shared" si="18"/>
        <v>0</v>
      </c>
      <c r="P215">
        <f t="shared" si="18"/>
        <v>10</v>
      </c>
      <c r="Q215">
        <f t="shared" si="18"/>
        <v>10</v>
      </c>
      <c r="R215">
        <f t="shared" si="16"/>
        <v>8</v>
      </c>
      <c r="S215">
        <v>1</v>
      </c>
      <c r="T215">
        <f t="shared" si="19"/>
        <v>35</v>
      </c>
      <c r="U215">
        <f t="shared" si="20"/>
        <v>15.2</v>
      </c>
      <c r="V215">
        <f t="shared" si="21"/>
        <v>1</v>
      </c>
    </row>
    <row r="216" spans="1:22" x14ac:dyDescent="0.35">
      <c r="A216" s="7" t="s">
        <v>319</v>
      </c>
      <c r="B216" s="8" t="s">
        <v>197</v>
      </c>
      <c r="C216" s="9">
        <v>3</v>
      </c>
      <c r="D216" s="9">
        <v>2</v>
      </c>
      <c r="E216" s="9">
        <v>5</v>
      </c>
      <c r="F216" s="9">
        <v>3</v>
      </c>
      <c r="G216" s="9">
        <v>5</v>
      </c>
      <c r="H216" s="9">
        <v>2</v>
      </c>
      <c r="I216" s="9">
        <v>47</v>
      </c>
      <c r="J216" s="9">
        <v>7</v>
      </c>
      <c r="K216" s="9">
        <v>72</v>
      </c>
      <c r="L216" s="9">
        <v>74</v>
      </c>
      <c r="M216" s="10">
        <v>85</v>
      </c>
      <c r="N216">
        <f t="shared" si="17"/>
        <v>51.5</v>
      </c>
      <c r="O216">
        <f t="shared" si="18"/>
        <v>8</v>
      </c>
      <c r="P216">
        <f t="shared" si="18"/>
        <v>4</v>
      </c>
      <c r="Q216">
        <f t="shared" si="18"/>
        <v>8</v>
      </c>
      <c r="R216">
        <f t="shared" si="16"/>
        <v>0</v>
      </c>
      <c r="S216">
        <v>1</v>
      </c>
      <c r="T216">
        <f t="shared" si="19"/>
        <v>23</v>
      </c>
      <c r="U216">
        <f t="shared" si="20"/>
        <v>28.5</v>
      </c>
      <c r="V216">
        <f t="shared" si="21"/>
        <v>0</v>
      </c>
    </row>
    <row r="217" spans="1:22" x14ac:dyDescent="0.35">
      <c r="A217" s="11" t="s">
        <v>320</v>
      </c>
      <c r="B217" s="12" t="s">
        <v>145</v>
      </c>
      <c r="C217" s="13">
        <v>1</v>
      </c>
      <c r="D217" s="13">
        <v>6</v>
      </c>
      <c r="E217" s="13">
        <v>2</v>
      </c>
      <c r="F217" s="13">
        <v>5</v>
      </c>
      <c r="G217" s="13">
        <v>6</v>
      </c>
      <c r="H217" s="13">
        <v>3</v>
      </c>
      <c r="I217" s="13">
        <v>74</v>
      </c>
      <c r="J217" s="13">
        <v>64</v>
      </c>
      <c r="K217" s="13">
        <v>17</v>
      </c>
      <c r="L217" s="13">
        <v>76</v>
      </c>
      <c r="M217" s="14">
        <v>23</v>
      </c>
      <c r="N217">
        <f t="shared" si="17"/>
        <v>50.4</v>
      </c>
      <c r="O217">
        <f t="shared" si="18"/>
        <v>0</v>
      </c>
      <c r="P217">
        <f t="shared" si="18"/>
        <v>8</v>
      </c>
      <c r="Q217">
        <f t="shared" si="18"/>
        <v>10</v>
      </c>
      <c r="R217">
        <f t="shared" si="16"/>
        <v>4</v>
      </c>
      <c r="S217">
        <v>1</v>
      </c>
      <c r="T217">
        <f t="shared" si="19"/>
        <v>25</v>
      </c>
      <c r="U217">
        <f t="shared" si="20"/>
        <v>25.4</v>
      </c>
      <c r="V217">
        <f t="shared" si="21"/>
        <v>0</v>
      </c>
    </row>
    <row r="218" spans="1:22" x14ac:dyDescent="0.35">
      <c r="A218" s="7" t="s">
        <v>321</v>
      </c>
      <c r="B218" s="8" t="s">
        <v>322</v>
      </c>
      <c r="C218" s="9">
        <v>3</v>
      </c>
      <c r="D218" s="9">
        <v>4</v>
      </c>
      <c r="E218" s="9">
        <v>2</v>
      </c>
      <c r="F218" s="9">
        <v>4</v>
      </c>
      <c r="G218" s="9">
        <v>5</v>
      </c>
      <c r="H218" s="9">
        <v>6</v>
      </c>
      <c r="I218" s="9">
        <v>47</v>
      </c>
      <c r="J218" s="9">
        <v>80</v>
      </c>
      <c r="K218" s="9">
        <v>34</v>
      </c>
      <c r="L218" s="9">
        <v>4</v>
      </c>
      <c r="M218" s="10">
        <v>81</v>
      </c>
      <c r="N218">
        <f t="shared" si="17"/>
        <v>51.6</v>
      </c>
      <c r="O218">
        <f t="shared" si="18"/>
        <v>0</v>
      </c>
      <c r="P218">
        <f t="shared" si="18"/>
        <v>6</v>
      </c>
      <c r="Q218">
        <f t="shared" si="18"/>
        <v>8</v>
      </c>
      <c r="R218">
        <f t="shared" si="16"/>
        <v>10</v>
      </c>
      <c r="S218">
        <v>1</v>
      </c>
      <c r="T218">
        <f t="shared" si="19"/>
        <v>27</v>
      </c>
      <c r="U218">
        <f t="shared" si="20"/>
        <v>24.6</v>
      </c>
      <c r="V218">
        <f t="shared" si="21"/>
        <v>1</v>
      </c>
    </row>
    <row r="219" spans="1:22" x14ac:dyDescent="0.35">
      <c r="A219" s="11" t="s">
        <v>323</v>
      </c>
      <c r="B219" s="12" t="s">
        <v>324</v>
      </c>
      <c r="C219" s="13">
        <v>3</v>
      </c>
      <c r="D219" s="13">
        <v>4</v>
      </c>
      <c r="E219" s="13">
        <v>3</v>
      </c>
      <c r="F219" s="13">
        <v>2</v>
      </c>
      <c r="G219" s="13">
        <v>4</v>
      </c>
      <c r="H219" s="13">
        <v>4</v>
      </c>
      <c r="I219" s="13">
        <v>14</v>
      </c>
      <c r="J219" s="13">
        <v>35</v>
      </c>
      <c r="K219" s="13">
        <v>43</v>
      </c>
      <c r="L219" s="13">
        <v>57</v>
      </c>
      <c r="M219" s="14">
        <v>34</v>
      </c>
      <c r="N219">
        <f t="shared" si="17"/>
        <v>37.299999999999997</v>
      </c>
      <c r="O219">
        <f t="shared" si="18"/>
        <v>4</v>
      </c>
      <c r="P219">
        <f t="shared" si="18"/>
        <v>0</v>
      </c>
      <c r="Q219">
        <f t="shared" si="18"/>
        <v>6</v>
      </c>
      <c r="R219">
        <f t="shared" si="16"/>
        <v>6</v>
      </c>
      <c r="S219">
        <v>1</v>
      </c>
      <c r="T219">
        <f t="shared" si="19"/>
        <v>19</v>
      </c>
      <c r="U219">
        <f t="shared" si="20"/>
        <v>18.3</v>
      </c>
      <c r="V219">
        <f t="shared" si="21"/>
        <v>1</v>
      </c>
    </row>
    <row r="220" spans="1:22" x14ac:dyDescent="0.35">
      <c r="A220" s="7" t="s">
        <v>325</v>
      </c>
      <c r="B220" s="8" t="s">
        <v>326</v>
      </c>
      <c r="C220" s="9">
        <v>7</v>
      </c>
      <c r="D220" s="9">
        <v>3</v>
      </c>
      <c r="E220" s="9">
        <v>3</v>
      </c>
      <c r="F220" s="9">
        <v>2</v>
      </c>
      <c r="G220" s="9">
        <v>6</v>
      </c>
      <c r="H220" s="9">
        <v>5</v>
      </c>
      <c r="I220" s="9">
        <v>84</v>
      </c>
      <c r="J220" s="9">
        <v>70</v>
      </c>
      <c r="K220" s="9">
        <v>57</v>
      </c>
      <c r="L220" s="9">
        <v>62</v>
      </c>
      <c r="M220" s="10">
        <v>1</v>
      </c>
      <c r="N220">
        <f t="shared" si="17"/>
        <v>56.4</v>
      </c>
      <c r="O220">
        <f t="shared" si="18"/>
        <v>4</v>
      </c>
      <c r="P220">
        <f t="shared" si="18"/>
        <v>0</v>
      </c>
      <c r="Q220">
        <f t="shared" si="18"/>
        <v>10</v>
      </c>
      <c r="R220">
        <f t="shared" si="16"/>
        <v>8</v>
      </c>
      <c r="S220">
        <v>1</v>
      </c>
      <c r="T220">
        <f t="shared" si="19"/>
        <v>29</v>
      </c>
      <c r="U220">
        <f t="shared" si="20"/>
        <v>27.4</v>
      </c>
      <c r="V220">
        <f t="shared" si="21"/>
        <v>1</v>
      </c>
    </row>
    <row r="221" spans="1:22" x14ac:dyDescent="0.35">
      <c r="A221" s="11" t="s">
        <v>108</v>
      </c>
      <c r="B221" s="12" t="s">
        <v>327</v>
      </c>
      <c r="C221" s="13">
        <v>1</v>
      </c>
      <c r="D221" s="13">
        <v>5</v>
      </c>
      <c r="E221" s="13">
        <v>3</v>
      </c>
      <c r="F221" s="13">
        <v>5</v>
      </c>
      <c r="G221" s="13">
        <v>2</v>
      </c>
      <c r="H221" s="13">
        <v>4</v>
      </c>
      <c r="I221" s="13">
        <v>42</v>
      </c>
      <c r="J221" s="13">
        <v>82</v>
      </c>
      <c r="K221" s="13">
        <v>89</v>
      </c>
      <c r="L221" s="13">
        <v>2</v>
      </c>
      <c r="M221" s="14">
        <v>41</v>
      </c>
      <c r="N221">
        <f t="shared" si="17"/>
        <v>44.6</v>
      </c>
      <c r="O221">
        <f t="shared" si="18"/>
        <v>4</v>
      </c>
      <c r="P221">
        <f t="shared" si="18"/>
        <v>8</v>
      </c>
      <c r="Q221">
        <f t="shared" si="18"/>
        <v>0</v>
      </c>
      <c r="R221">
        <f t="shared" si="16"/>
        <v>6</v>
      </c>
      <c r="S221">
        <v>1</v>
      </c>
      <c r="T221">
        <f t="shared" si="19"/>
        <v>19</v>
      </c>
      <c r="U221">
        <f t="shared" si="20"/>
        <v>25.6</v>
      </c>
      <c r="V221">
        <f t="shared" si="21"/>
        <v>0</v>
      </c>
    </row>
    <row r="222" spans="1:22" x14ac:dyDescent="0.35">
      <c r="A222" s="7" t="s">
        <v>328</v>
      </c>
      <c r="B222" s="8" t="s">
        <v>68</v>
      </c>
      <c r="C222" s="9">
        <v>0</v>
      </c>
      <c r="D222" s="9">
        <v>6</v>
      </c>
      <c r="E222" s="9">
        <v>6</v>
      </c>
      <c r="F222" s="9">
        <v>4</v>
      </c>
      <c r="G222" s="9">
        <v>4</v>
      </c>
      <c r="H222" s="9">
        <v>3</v>
      </c>
      <c r="I222" s="9">
        <v>25</v>
      </c>
      <c r="J222" s="9">
        <v>40</v>
      </c>
      <c r="K222" s="9">
        <v>61</v>
      </c>
      <c r="L222" s="9">
        <v>59</v>
      </c>
      <c r="M222" s="10">
        <v>88</v>
      </c>
      <c r="N222">
        <f t="shared" si="17"/>
        <v>55.3</v>
      </c>
      <c r="O222">
        <f t="shared" si="18"/>
        <v>10</v>
      </c>
      <c r="P222">
        <f t="shared" si="18"/>
        <v>6</v>
      </c>
      <c r="Q222">
        <f t="shared" si="18"/>
        <v>6</v>
      </c>
      <c r="R222">
        <f t="shared" si="16"/>
        <v>4</v>
      </c>
      <c r="S222">
        <v>1</v>
      </c>
      <c r="T222">
        <f t="shared" si="19"/>
        <v>28</v>
      </c>
      <c r="U222">
        <f t="shared" si="20"/>
        <v>27.3</v>
      </c>
      <c r="V222">
        <f t="shared" si="21"/>
        <v>1</v>
      </c>
    </row>
    <row r="223" spans="1:22" x14ac:dyDescent="0.35">
      <c r="A223" s="11" t="s">
        <v>329</v>
      </c>
      <c r="B223" s="12" t="s">
        <v>188</v>
      </c>
      <c r="C223" s="13">
        <v>2</v>
      </c>
      <c r="D223" s="13">
        <v>4</v>
      </c>
      <c r="E223" s="13">
        <v>3</v>
      </c>
      <c r="F223" s="13">
        <v>3</v>
      </c>
      <c r="G223" s="13">
        <v>3</v>
      </c>
      <c r="H223" s="13">
        <v>2</v>
      </c>
      <c r="I223" s="13">
        <v>76</v>
      </c>
      <c r="J223" s="13">
        <v>21</v>
      </c>
      <c r="K223" s="13">
        <v>59</v>
      </c>
      <c r="L223" s="13">
        <v>79</v>
      </c>
      <c r="M223" s="14">
        <v>33</v>
      </c>
      <c r="N223">
        <f t="shared" si="17"/>
        <v>40.799999999999997</v>
      </c>
      <c r="O223">
        <f t="shared" si="18"/>
        <v>4</v>
      </c>
      <c r="P223">
        <f t="shared" si="18"/>
        <v>4</v>
      </c>
      <c r="Q223">
        <f t="shared" si="18"/>
        <v>4</v>
      </c>
      <c r="R223">
        <f t="shared" si="16"/>
        <v>0</v>
      </c>
      <c r="S223">
        <v>1</v>
      </c>
      <c r="T223">
        <f t="shared" si="19"/>
        <v>14</v>
      </c>
      <c r="U223">
        <f t="shared" si="20"/>
        <v>26.8</v>
      </c>
      <c r="V223">
        <f t="shared" si="21"/>
        <v>0</v>
      </c>
    </row>
    <row r="224" spans="1:22" x14ac:dyDescent="0.35">
      <c r="A224" s="7" t="s">
        <v>330</v>
      </c>
      <c r="B224" s="8" t="s">
        <v>30</v>
      </c>
      <c r="C224" s="9">
        <v>3</v>
      </c>
      <c r="D224" s="9">
        <v>6</v>
      </c>
      <c r="E224" s="9">
        <v>5</v>
      </c>
      <c r="F224" s="9">
        <v>2</v>
      </c>
      <c r="G224" s="9">
        <v>5</v>
      </c>
      <c r="H224" s="9">
        <v>4</v>
      </c>
      <c r="I224" s="9">
        <v>18</v>
      </c>
      <c r="J224" s="9">
        <v>33</v>
      </c>
      <c r="K224" s="9">
        <v>57</v>
      </c>
      <c r="L224" s="9">
        <v>34</v>
      </c>
      <c r="M224" s="10">
        <v>74</v>
      </c>
      <c r="N224">
        <f t="shared" si="17"/>
        <v>48.6</v>
      </c>
      <c r="O224">
        <f t="shared" si="18"/>
        <v>8</v>
      </c>
      <c r="P224">
        <f t="shared" si="18"/>
        <v>0</v>
      </c>
      <c r="Q224">
        <f t="shared" si="18"/>
        <v>8</v>
      </c>
      <c r="R224">
        <f t="shared" si="16"/>
        <v>6</v>
      </c>
      <c r="S224">
        <v>1</v>
      </c>
      <c r="T224">
        <f t="shared" si="19"/>
        <v>27</v>
      </c>
      <c r="U224">
        <f t="shared" si="20"/>
        <v>21.6</v>
      </c>
      <c r="V224">
        <f t="shared" si="21"/>
        <v>1</v>
      </c>
    </row>
    <row r="225" spans="1:22" x14ac:dyDescent="0.35">
      <c r="A225" s="11" t="s">
        <v>131</v>
      </c>
      <c r="B225" s="12" t="s">
        <v>171</v>
      </c>
      <c r="C225" s="13">
        <v>8</v>
      </c>
      <c r="D225" s="13">
        <v>4</v>
      </c>
      <c r="E225" s="13">
        <v>3</v>
      </c>
      <c r="F225" s="13">
        <v>2</v>
      </c>
      <c r="G225" s="13">
        <v>6</v>
      </c>
      <c r="H225" s="13">
        <v>5</v>
      </c>
      <c r="I225" s="13">
        <v>67</v>
      </c>
      <c r="J225" s="13">
        <v>34</v>
      </c>
      <c r="K225" s="13">
        <v>96</v>
      </c>
      <c r="L225" s="13">
        <v>61</v>
      </c>
      <c r="M225" s="14">
        <v>40</v>
      </c>
      <c r="N225">
        <f t="shared" si="17"/>
        <v>59.8</v>
      </c>
      <c r="O225">
        <f t="shared" si="18"/>
        <v>4</v>
      </c>
      <c r="P225">
        <f t="shared" si="18"/>
        <v>0</v>
      </c>
      <c r="Q225">
        <f t="shared" si="18"/>
        <v>10</v>
      </c>
      <c r="R225">
        <f t="shared" si="16"/>
        <v>8</v>
      </c>
      <c r="S225">
        <v>1</v>
      </c>
      <c r="T225">
        <f t="shared" si="19"/>
        <v>30</v>
      </c>
      <c r="U225">
        <f t="shared" si="20"/>
        <v>29.8</v>
      </c>
      <c r="V225">
        <f t="shared" si="21"/>
        <v>1</v>
      </c>
    </row>
    <row r="226" spans="1:22" x14ac:dyDescent="0.35">
      <c r="A226" s="7" t="s">
        <v>265</v>
      </c>
      <c r="B226" s="8" t="s">
        <v>16</v>
      </c>
      <c r="C226" s="9">
        <v>5</v>
      </c>
      <c r="D226" s="9">
        <v>4</v>
      </c>
      <c r="E226" s="9">
        <v>4</v>
      </c>
      <c r="F226" s="9">
        <v>6</v>
      </c>
      <c r="G226" s="9">
        <v>4</v>
      </c>
      <c r="H226" s="9">
        <v>5</v>
      </c>
      <c r="I226" s="9">
        <v>39</v>
      </c>
      <c r="J226" s="9">
        <v>12</v>
      </c>
      <c r="K226" s="9">
        <v>100</v>
      </c>
      <c r="L226" s="9">
        <v>47</v>
      </c>
      <c r="M226" s="10">
        <v>42</v>
      </c>
      <c r="N226">
        <f t="shared" si="17"/>
        <v>59</v>
      </c>
      <c r="O226">
        <f t="shared" si="18"/>
        <v>6</v>
      </c>
      <c r="P226">
        <f t="shared" si="18"/>
        <v>10</v>
      </c>
      <c r="Q226">
        <f t="shared" si="18"/>
        <v>6</v>
      </c>
      <c r="R226">
        <f t="shared" si="16"/>
        <v>8</v>
      </c>
      <c r="S226">
        <v>1</v>
      </c>
      <c r="T226">
        <f t="shared" si="19"/>
        <v>35</v>
      </c>
      <c r="U226">
        <f t="shared" si="20"/>
        <v>24</v>
      </c>
      <c r="V226">
        <f t="shared" si="21"/>
        <v>1</v>
      </c>
    </row>
    <row r="227" spans="1:22" x14ac:dyDescent="0.35">
      <c r="A227" s="11" t="s">
        <v>331</v>
      </c>
      <c r="B227" s="12" t="s">
        <v>155</v>
      </c>
      <c r="C227" s="13">
        <v>0</v>
      </c>
      <c r="D227" s="13">
        <v>3</v>
      </c>
      <c r="E227" s="13">
        <v>2</v>
      </c>
      <c r="F227" s="13">
        <v>4</v>
      </c>
      <c r="G227" s="13">
        <v>4</v>
      </c>
      <c r="H227" s="13">
        <v>2</v>
      </c>
      <c r="I227" s="13">
        <v>88</v>
      </c>
      <c r="J227" s="13">
        <v>79</v>
      </c>
      <c r="K227" s="13">
        <v>26</v>
      </c>
      <c r="L227" s="13">
        <v>8</v>
      </c>
      <c r="M227" s="14">
        <v>70</v>
      </c>
      <c r="N227">
        <f t="shared" si="17"/>
        <v>39.1</v>
      </c>
      <c r="O227">
        <f t="shared" si="18"/>
        <v>0</v>
      </c>
      <c r="P227">
        <f t="shared" si="18"/>
        <v>6</v>
      </c>
      <c r="Q227">
        <f t="shared" si="18"/>
        <v>6</v>
      </c>
      <c r="R227">
        <f t="shared" si="16"/>
        <v>0</v>
      </c>
      <c r="S227">
        <v>1</v>
      </c>
      <c r="T227">
        <f t="shared" si="19"/>
        <v>12</v>
      </c>
      <c r="U227">
        <f t="shared" si="20"/>
        <v>27.1</v>
      </c>
      <c r="V227">
        <f t="shared" si="21"/>
        <v>0</v>
      </c>
    </row>
    <row r="228" spans="1:22" x14ac:dyDescent="0.35">
      <c r="A228" s="7" t="s">
        <v>332</v>
      </c>
      <c r="B228" s="8" t="s">
        <v>117</v>
      </c>
      <c r="C228" s="9">
        <v>1</v>
      </c>
      <c r="D228" s="9">
        <v>2</v>
      </c>
      <c r="E228" s="9">
        <v>2</v>
      </c>
      <c r="F228" s="9">
        <v>6</v>
      </c>
      <c r="G228" s="9">
        <v>6</v>
      </c>
      <c r="H228" s="9">
        <v>3</v>
      </c>
      <c r="I228" s="9">
        <v>83</v>
      </c>
      <c r="J228" s="9">
        <v>76</v>
      </c>
      <c r="K228" s="9">
        <v>52</v>
      </c>
      <c r="L228" s="9">
        <v>43</v>
      </c>
      <c r="M228" s="10">
        <v>64</v>
      </c>
      <c r="N228">
        <f t="shared" si="17"/>
        <v>56.8</v>
      </c>
      <c r="O228">
        <f t="shared" si="18"/>
        <v>0</v>
      </c>
      <c r="P228">
        <f t="shared" si="18"/>
        <v>10</v>
      </c>
      <c r="Q228">
        <f t="shared" si="18"/>
        <v>10</v>
      </c>
      <c r="R228">
        <f t="shared" si="16"/>
        <v>4</v>
      </c>
      <c r="S228">
        <v>1</v>
      </c>
      <c r="T228">
        <f t="shared" si="19"/>
        <v>25</v>
      </c>
      <c r="U228">
        <f t="shared" si="20"/>
        <v>31.8</v>
      </c>
      <c r="V228">
        <f t="shared" si="21"/>
        <v>0</v>
      </c>
    </row>
    <row r="229" spans="1:22" x14ac:dyDescent="0.35">
      <c r="A229" s="11" t="s">
        <v>333</v>
      </c>
      <c r="B229" s="12" t="s">
        <v>216</v>
      </c>
      <c r="C229" s="13">
        <v>1</v>
      </c>
      <c r="D229" s="13">
        <v>6</v>
      </c>
      <c r="E229" s="13">
        <v>6</v>
      </c>
      <c r="F229" s="13">
        <v>3</v>
      </c>
      <c r="G229" s="13">
        <v>6</v>
      </c>
      <c r="H229" s="13">
        <v>4</v>
      </c>
      <c r="I229" s="13">
        <v>54</v>
      </c>
      <c r="J229" s="13">
        <v>50</v>
      </c>
      <c r="K229" s="13">
        <v>36</v>
      </c>
      <c r="L229" s="13">
        <v>23</v>
      </c>
      <c r="M229" s="14">
        <v>9</v>
      </c>
      <c r="N229">
        <f t="shared" si="17"/>
        <v>50.2</v>
      </c>
      <c r="O229">
        <f t="shared" si="18"/>
        <v>10</v>
      </c>
      <c r="P229">
        <f t="shared" si="18"/>
        <v>4</v>
      </c>
      <c r="Q229">
        <f t="shared" si="18"/>
        <v>10</v>
      </c>
      <c r="R229">
        <f t="shared" si="16"/>
        <v>6</v>
      </c>
      <c r="S229">
        <v>1</v>
      </c>
      <c r="T229">
        <f t="shared" si="19"/>
        <v>33</v>
      </c>
      <c r="U229">
        <f t="shared" si="20"/>
        <v>17.2</v>
      </c>
      <c r="V229">
        <f t="shared" si="21"/>
        <v>1</v>
      </c>
    </row>
    <row r="230" spans="1:22" x14ac:dyDescent="0.35">
      <c r="A230" s="7" t="s">
        <v>334</v>
      </c>
      <c r="B230" s="8" t="s">
        <v>242</v>
      </c>
      <c r="C230" s="9">
        <v>0</v>
      </c>
      <c r="D230" s="9">
        <v>3</v>
      </c>
      <c r="E230" s="9">
        <v>4</v>
      </c>
      <c r="F230" s="9">
        <v>6</v>
      </c>
      <c r="G230" s="9">
        <v>3</v>
      </c>
      <c r="H230" s="9">
        <v>5</v>
      </c>
      <c r="I230" s="9">
        <v>49</v>
      </c>
      <c r="J230" s="9">
        <v>31</v>
      </c>
      <c r="K230" s="9">
        <v>34</v>
      </c>
      <c r="L230" s="9">
        <v>22</v>
      </c>
      <c r="M230" s="10">
        <v>76</v>
      </c>
      <c r="N230">
        <f t="shared" si="17"/>
        <v>49.2</v>
      </c>
      <c r="O230">
        <f t="shared" si="18"/>
        <v>6</v>
      </c>
      <c r="P230">
        <f t="shared" si="18"/>
        <v>10</v>
      </c>
      <c r="Q230">
        <f t="shared" si="18"/>
        <v>4</v>
      </c>
      <c r="R230">
        <f t="shared" si="16"/>
        <v>8</v>
      </c>
      <c r="S230">
        <v>1</v>
      </c>
      <c r="T230">
        <f t="shared" si="19"/>
        <v>28</v>
      </c>
      <c r="U230">
        <f t="shared" si="20"/>
        <v>21.2</v>
      </c>
      <c r="V230">
        <f t="shared" si="21"/>
        <v>1</v>
      </c>
    </row>
    <row r="231" spans="1:22" x14ac:dyDescent="0.35">
      <c r="A231" s="11" t="s">
        <v>335</v>
      </c>
      <c r="B231" s="12" t="s">
        <v>177</v>
      </c>
      <c r="C231" s="13">
        <v>1</v>
      </c>
      <c r="D231" s="13">
        <v>3</v>
      </c>
      <c r="E231" s="13">
        <v>2</v>
      </c>
      <c r="F231" s="13">
        <v>2</v>
      </c>
      <c r="G231" s="13">
        <v>2</v>
      </c>
      <c r="H231" s="13">
        <v>3</v>
      </c>
      <c r="I231" s="13">
        <v>71</v>
      </c>
      <c r="J231" s="13">
        <v>20</v>
      </c>
      <c r="K231" s="13">
        <v>46</v>
      </c>
      <c r="L231" s="13">
        <v>6</v>
      </c>
      <c r="M231" s="14">
        <v>22</v>
      </c>
      <c r="N231">
        <f t="shared" si="17"/>
        <v>21.5</v>
      </c>
      <c r="O231">
        <f t="shared" si="18"/>
        <v>0</v>
      </c>
      <c r="P231">
        <f t="shared" si="18"/>
        <v>0</v>
      </c>
      <c r="Q231">
        <f t="shared" si="18"/>
        <v>0</v>
      </c>
      <c r="R231">
        <f t="shared" si="16"/>
        <v>4</v>
      </c>
      <c r="S231">
        <v>1</v>
      </c>
      <c r="T231">
        <f t="shared" si="19"/>
        <v>5</v>
      </c>
      <c r="U231">
        <f t="shared" si="20"/>
        <v>16.5</v>
      </c>
      <c r="V231">
        <f t="shared" si="21"/>
        <v>0</v>
      </c>
    </row>
    <row r="232" spans="1:22" x14ac:dyDescent="0.35">
      <c r="A232" s="7" t="s">
        <v>336</v>
      </c>
      <c r="B232" s="8" t="s">
        <v>210</v>
      </c>
      <c r="C232" s="9">
        <v>8</v>
      </c>
      <c r="D232" s="9">
        <v>5</v>
      </c>
      <c r="E232" s="9">
        <v>6</v>
      </c>
      <c r="F232" s="9">
        <v>4</v>
      </c>
      <c r="G232" s="9">
        <v>5</v>
      </c>
      <c r="H232" s="9">
        <v>4</v>
      </c>
      <c r="I232" s="9">
        <v>5</v>
      </c>
      <c r="J232" s="9">
        <v>48</v>
      </c>
      <c r="K232" s="9">
        <v>2</v>
      </c>
      <c r="L232" s="9">
        <v>12</v>
      </c>
      <c r="M232" s="10">
        <v>15</v>
      </c>
      <c r="N232">
        <f t="shared" si="17"/>
        <v>46.2</v>
      </c>
      <c r="O232">
        <f t="shared" si="18"/>
        <v>10</v>
      </c>
      <c r="P232">
        <f t="shared" si="18"/>
        <v>6</v>
      </c>
      <c r="Q232">
        <f t="shared" si="18"/>
        <v>8</v>
      </c>
      <c r="R232">
        <f t="shared" si="16"/>
        <v>6</v>
      </c>
      <c r="S232">
        <v>1</v>
      </c>
      <c r="T232">
        <f t="shared" si="19"/>
        <v>38</v>
      </c>
      <c r="U232">
        <f t="shared" si="20"/>
        <v>8.1999999999999993</v>
      </c>
      <c r="V232">
        <f t="shared" si="21"/>
        <v>1</v>
      </c>
    </row>
    <row r="233" spans="1:22" x14ac:dyDescent="0.35">
      <c r="A233" s="11" t="s">
        <v>337</v>
      </c>
      <c r="B233" s="12" t="s">
        <v>338</v>
      </c>
      <c r="C233" s="13">
        <v>7</v>
      </c>
      <c r="D233" s="13">
        <v>4</v>
      </c>
      <c r="E233" s="13">
        <v>3</v>
      </c>
      <c r="F233" s="13">
        <v>4</v>
      </c>
      <c r="G233" s="13">
        <v>6</v>
      </c>
      <c r="H233" s="13">
        <v>6</v>
      </c>
      <c r="I233" s="13">
        <v>27</v>
      </c>
      <c r="J233" s="13">
        <v>12</v>
      </c>
      <c r="K233" s="13">
        <v>19</v>
      </c>
      <c r="L233" s="13">
        <v>10</v>
      </c>
      <c r="M233" s="14">
        <v>66</v>
      </c>
      <c r="N233">
        <f t="shared" si="17"/>
        <v>50.4</v>
      </c>
      <c r="O233">
        <f t="shared" si="18"/>
        <v>4</v>
      </c>
      <c r="P233">
        <f t="shared" si="18"/>
        <v>6</v>
      </c>
      <c r="Q233">
        <f t="shared" si="18"/>
        <v>10</v>
      </c>
      <c r="R233">
        <f t="shared" si="16"/>
        <v>10</v>
      </c>
      <c r="S233">
        <v>1</v>
      </c>
      <c r="T233">
        <f t="shared" si="19"/>
        <v>37</v>
      </c>
      <c r="U233">
        <f t="shared" si="20"/>
        <v>13.4</v>
      </c>
      <c r="V233">
        <f t="shared" si="21"/>
        <v>1</v>
      </c>
    </row>
    <row r="234" spans="1:22" x14ac:dyDescent="0.35">
      <c r="A234" s="7" t="s">
        <v>339</v>
      </c>
      <c r="B234" s="8" t="s">
        <v>340</v>
      </c>
      <c r="C234" s="9">
        <v>6</v>
      </c>
      <c r="D234" s="9">
        <v>2</v>
      </c>
      <c r="E234" s="9">
        <v>5</v>
      </c>
      <c r="F234" s="9">
        <v>3</v>
      </c>
      <c r="G234" s="9">
        <v>5</v>
      </c>
      <c r="H234" s="9">
        <v>3</v>
      </c>
      <c r="I234" s="9">
        <v>95</v>
      </c>
      <c r="J234" s="9">
        <v>12</v>
      </c>
      <c r="K234" s="9">
        <v>76</v>
      </c>
      <c r="L234" s="9">
        <v>52</v>
      </c>
      <c r="M234" s="10">
        <v>36</v>
      </c>
      <c r="N234">
        <f t="shared" si="17"/>
        <v>57.1</v>
      </c>
      <c r="O234">
        <f t="shared" si="18"/>
        <v>8</v>
      </c>
      <c r="P234">
        <f t="shared" si="18"/>
        <v>4</v>
      </c>
      <c r="Q234">
        <f t="shared" si="18"/>
        <v>8</v>
      </c>
      <c r="R234">
        <f t="shared" si="16"/>
        <v>4</v>
      </c>
      <c r="S234">
        <v>1</v>
      </c>
      <c r="T234">
        <f t="shared" si="19"/>
        <v>30</v>
      </c>
      <c r="U234">
        <f t="shared" si="20"/>
        <v>27.1</v>
      </c>
      <c r="V234">
        <f t="shared" si="21"/>
        <v>1</v>
      </c>
    </row>
    <row r="235" spans="1:22" x14ac:dyDescent="0.35">
      <c r="A235" s="11" t="s">
        <v>341</v>
      </c>
      <c r="B235" s="12" t="s">
        <v>177</v>
      </c>
      <c r="C235" s="13">
        <v>4</v>
      </c>
      <c r="D235" s="13">
        <v>6</v>
      </c>
      <c r="E235" s="13">
        <v>4</v>
      </c>
      <c r="F235" s="13">
        <v>5</v>
      </c>
      <c r="G235" s="13">
        <v>5</v>
      </c>
      <c r="H235" s="13">
        <v>2</v>
      </c>
      <c r="I235" s="13">
        <v>48</v>
      </c>
      <c r="J235" s="13">
        <v>9</v>
      </c>
      <c r="K235" s="13">
        <v>45</v>
      </c>
      <c r="L235" s="13">
        <v>10</v>
      </c>
      <c r="M235" s="14">
        <v>3</v>
      </c>
      <c r="N235">
        <f t="shared" si="17"/>
        <v>39.5</v>
      </c>
      <c r="O235">
        <f t="shared" si="18"/>
        <v>6</v>
      </c>
      <c r="P235">
        <f t="shared" si="18"/>
        <v>8</v>
      </c>
      <c r="Q235">
        <f t="shared" si="18"/>
        <v>8</v>
      </c>
      <c r="R235">
        <f t="shared" si="16"/>
        <v>0</v>
      </c>
      <c r="S235">
        <v>1</v>
      </c>
      <c r="T235">
        <f t="shared" si="19"/>
        <v>28</v>
      </c>
      <c r="U235">
        <f t="shared" si="20"/>
        <v>11.5</v>
      </c>
      <c r="V235">
        <f t="shared" si="21"/>
        <v>1</v>
      </c>
    </row>
    <row r="236" spans="1:22" x14ac:dyDescent="0.35">
      <c r="A236" s="7" t="s">
        <v>342</v>
      </c>
      <c r="B236" s="8" t="s">
        <v>343</v>
      </c>
      <c r="C236" s="9">
        <v>2</v>
      </c>
      <c r="D236" s="9">
        <v>5</v>
      </c>
      <c r="E236" s="9">
        <v>2</v>
      </c>
      <c r="F236" s="9">
        <v>4</v>
      </c>
      <c r="G236" s="9">
        <v>4</v>
      </c>
      <c r="H236" s="9">
        <v>4</v>
      </c>
      <c r="I236" s="9">
        <v>46</v>
      </c>
      <c r="J236" s="9">
        <v>58</v>
      </c>
      <c r="K236" s="9">
        <v>72</v>
      </c>
      <c r="L236" s="9">
        <v>83</v>
      </c>
      <c r="M236" s="10">
        <v>48</v>
      </c>
      <c r="N236">
        <f t="shared" si="17"/>
        <v>50.7</v>
      </c>
      <c r="O236">
        <f t="shared" si="18"/>
        <v>0</v>
      </c>
      <c r="P236">
        <f t="shared" si="18"/>
        <v>6</v>
      </c>
      <c r="Q236">
        <f t="shared" si="18"/>
        <v>6</v>
      </c>
      <c r="R236">
        <f t="shared" si="16"/>
        <v>6</v>
      </c>
      <c r="S236">
        <v>1</v>
      </c>
      <c r="T236">
        <f t="shared" si="19"/>
        <v>20</v>
      </c>
      <c r="U236">
        <f t="shared" si="20"/>
        <v>30.7</v>
      </c>
      <c r="V236">
        <f t="shared" si="21"/>
        <v>0</v>
      </c>
    </row>
    <row r="237" spans="1:22" x14ac:dyDescent="0.35">
      <c r="A237" s="11" t="s">
        <v>344</v>
      </c>
      <c r="B237" s="12" t="s">
        <v>345</v>
      </c>
      <c r="C237" s="13">
        <v>7</v>
      </c>
      <c r="D237" s="13">
        <v>3</v>
      </c>
      <c r="E237" s="13">
        <v>3</v>
      </c>
      <c r="F237" s="13">
        <v>3</v>
      </c>
      <c r="G237" s="13">
        <v>3</v>
      </c>
      <c r="H237" s="13">
        <v>6</v>
      </c>
      <c r="I237" s="13">
        <v>72</v>
      </c>
      <c r="J237" s="13">
        <v>40</v>
      </c>
      <c r="K237" s="13">
        <v>54</v>
      </c>
      <c r="L237" s="13">
        <v>44</v>
      </c>
      <c r="M237" s="14">
        <v>78</v>
      </c>
      <c r="N237">
        <f t="shared" si="17"/>
        <v>57.8</v>
      </c>
      <c r="O237">
        <f t="shared" si="18"/>
        <v>4</v>
      </c>
      <c r="P237">
        <f t="shared" si="18"/>
        <v>4</v>
      </c>
      <c r="Q237">
        <f t="shared" si="18"/>
        <v>4</v>
      </c>
      <c r="R237">
        <f t="shared" si="16"/>
        <v>10</v>
      </c>
      <c r="S237">
        <v>1</v>
      </c>
      <c r="T237">
        <f t="shared" si="19"/>
        <v>29</v>
      </c>
      <c r="U237">
        <f t="shared" si="20"/>
        <v>28.8</v>
      </c>
      <c r="V237">
        <f t="shared" si="21"/>
        <v>1</v>
      </c>
    </row>
    <row r="238" spans="1:22" x14ac:dyDescent="0.35">
      <c r="A238" s="7" t="s">
        <v>346</v>
      </c>
      <c r="B238" s="8" t="s">
        <v>347</v>
      </c>
      <c r="C238" s="9">
        <v>4</v>
      </c>
      <c r="D238" s="9">
        <v>4</v>
      </c>
      <c r="E238" s="9">
        <v>5</v>
      </c>
      <c r="F238" s="9">
        <v>2</v>
      </c>
      <c r="G238" s="9">
        <v>3</v>
      </c>
      <c r="H238" s="9">
        <v>5</v>
      </c>
      <c r="I238" s="9">
        <v>80</v>
      </c>
      <c r="J238" s="9">
        <v>63</v>
      </c>
      <c r="K238" s="9">
        <v>36</v>
      </c>
      <c r="L238" s="9">
        <v>13</v>
      </c>
      <c r="M238" s="10">
        <v>38</v>
      </c>
      <c r="N238">
        <f t="shared" si="17"/>
        <v>47</v>
      </c>
      <c r="O238">
        <f t="shared" si="18"/>
        <v>8</v>
      </c>
      <c r="P238">
        <f t="shared" si="18"/>
        <v>0</v>
      </c>
      <c r="Q238">
        <f t="shared" si="18"/>
        <v>4</v>
      </c>
      <c r="R238">
        <f t="shared" si="16"/>
        <v>8</v>
      </c>
      <c r="S238">
        <v>1</v>
      </c>
      <c r="T238">
        <f t="shared" si="19"/>
        <v>24</v>
      </c>
      <c r="U238">
        <f t="shared" si="20"/>
        <v>23</v>
      </c>
      <c r="V238">
        <f t="shared" si="21"/>
        <v>1</v>
      </c>
    </row>
    <row r="239" spans="1:22" x14ac:dyDescent="0.35">
      <c r="A239" s="11" t="s">
        <v>348</v>
      </c>
      <c r="B239" s="12" t="s">
        <v>210</v>
      </c>
      <c r="C239" s="13">
        <v>7</v>
      </c>
      <c r="D239" s="13">
        <v>5</v>
      </c>
      <c r="E239" s="13">
        <v>3</v>
      </c>
      <c r="F239" s="13">
        <v>2</v>
      </c>
      <c r="G239" s="13">
        <v>5</v>
      </c>
      <c r="H239" s="13">
        <v>3</v>
      </c>
      <c r="I239" s="13">
        <v>89</v>
      </c>
      <c r="J239" s="13">
        <v>97</v>
      </c>
      <c r="K239" s="13">
        <v>66</v>
      </c>
      <c r="L239" s="13">
        <v>5</v>
      </c>
      <c r="M239" s="14">
        <v>68</v>
      </c>
      <c r="N239">
        <f t="shared" si="17"/>
        <v>55.5</v>
      </c>
      <c r="O239">
        <f t="shared" si="18"/>
        <v>4</v>
      </c>
      <c r="P239">
        <f t="shared" si="18"/>
        <v>0</v>
      </c>
      <c r="Q239">
        <f t="shared" si="18"/>
        <v>8</v>
      </c>
      <c r="R239">
        <f t="shared" si="16"/>
        <v>4</v>
      </c>
      <c r="S239">
        <v>1</v>
      </c>
      <c r="T239">
        <f t="shared" si="19"/>
        <v>23</v>
      </c>
      <c r="U239">
        <f t="shared" si="20"/>
        <v>32.5</v>
      </c>
      <c r="V239">
        <f t="shared" si="21"/>
        <v>0</v>
      </c>
    </row>
    <row r="240" spans="1:22" x14ac:dyDescent="0.35">
      <c r="A240" s="7" t="s">
        <v>349</v>
      </c>
      <c r="B240" s="8" t="s">
        <v>350</v>
      </c>
      <c r="C240" s="9">
        <v>8</v>
      </c>
      <c r="D240" s="9">
        <v>3</v>
      </c>
      <c r="E240" s="9">
        <v>5</v>
      </c>
      <c r="F240" s="9">
        <v>3</v>
      </c>
      <c r="G240" s="9">
        <v>6</v>
      </c>
      <c r="H240" s="9">
        <v>6</v>
      </c>
      <c r="I240" s="9">
        <v>98</v>
      </c>
      <c r="J240" s="9">
        <v>27</v>
      </c>
      <c r="K240" s="9">
        <v>75</v>
      </c>
      <c r="L240" s="9">
        <v>69</v>
      </c>
      <c r="M240" s="10">
        <v>29</v>
      </c>
      <c r="N240">
        <f t="shared" si="17"/>
        <v>69.8</v>
      </c>
      <c r="O240">
        <f t="shared" si="18"/>
        <v>8</v>
      </c>
      <c r="P240">
        <f t="shared" si="18"/>
        <v>4</v>
      </c>
      <c r="Q240">
        <f t="shared" si="18"/>
        <v>10</v>
      </c>
      <c r="R240">
        <f t="shared" si="16"/>
        <v>10</v>
      </c>
      <c r="S240">
        <v>1</v>
      </c>
      <c r="T240">
        <f t="shared" si="19"/>
        <v>40</v>
      </c>
      <c r="U240">
        <f t="shared" si="20"/>
        <v>29.8</v>
      </c>
      <c r="V240">
        <f t="shared" si="21"/>
        <v>1</v>
      </c>
    </row>
    <row r="241" spans="1:22" x14ac:dyDescent="0.35">
      <c r="A241" s="11" t="s">
        <v>351</v>
      </c>
      <c r="B241" s="12" t="s">
        <v>45</v>
      </c>
      <c r="C241" s="13">
        <v>2</v>
      </c>
      <c r="D241" s="13">
        <v>2</v>
      </c>
      <c r="E241" s="13">
        <v>3</v>
      </c>
      <c r="F241" s="13">
        <v>4</v>
      </c>
      <c r="G241" s="13">
        <v>2</v>
      </c>
      <c r="H241" s="13">
        <v>6</v>
      </c>
      <c r="I241" s="13">
        <v>43</v>
      </c>
      <c r="J241" s="13">
        <v>45</v>
      </c>
      <c r="K241" s="13">
        <v>16</v>
      </c>
      <c r="L241" s="13">
        <v>56</v>
      </c>
      <c r="M241" s="14">
        <v>7</v>
      </c>
      <c r="N241">
        <f t="shared" si="17"/>
        <v>38.700000000000003</v>
      </c>
      <c r="O241">
        <f t="shared" si="18"/>
        <v>4</v>
      </c>
      <c r="P241">
        <f t="shared" si="18"/>
        <v>6</v>
      </c>
      <c r="Q241">
        <f t="shared" si="18"/>
        <v>0</v>
      </c>
      <c r="R241">
        <f t="shared" si="16"/>
        <v>10</v>
      </c>
      <c r="S241">
        <v>1</v>
      </c>
      <c r="T241">
        <f t="shared" si="19"/>
        <v>22</v>
      </c>
      <c r="U241">
        <f t="shared" si="20"/>
        <v>16.7</v>
      </c>
      <c r="V241">
        <f t="shared" si="21"/>
        <v>1</v>
      </c>
    </row>
    <row r="242" spans="1:22" x14ac:dyDescent="0.35">
      <c r="A242" s="7" t="s">
        <v>352</v>
      </c>
      <c r="B242" s="8" t="s">
        <v>193</v>
      </c>
      <c r="C242" s="9">
        <v>7</v>
      </c>
      <c r="D242" s="9">
        <v>6</v>
      </c>
      <c r="E242" s="9">
        <v>6</v>
      </c>
      <c r="F242" s="9">
        <v>2</v>
      </c>
      <c r="G242" s="9">
        <v>3</v>
      </c>
      <c r="H242" s="9">
        <v>6</v>
      </c>
      <c r="I242" s="9">
        <v>19</v>
      </c>
      <c r="J242" s="9">
        <v>5</v>
      </c>
      <c r="K242" s="9">
        <v>76</v>
      </c>
      <c r="L242" s="9">
        <v>74</v>
      </c>
      <c r="M242" s="10">
        <v>16</v>
      </c>
      <c r="N242">
        <f t="shared" si="17"/>
        <v>52</v>
      </c>
      <c r="O242">
        <f t="shared" si="18"/>
        <v>10</v>
      </c>
      <c r="P242">
        <f t="shared" si="18"/>
        <v>0</v>
      </c>
      <c r="Q242">
        <f t="shared" si="18"/>
        <v>4</v>
      </c>
      <c r="R242">
        <f t="shared" si="16"/>
        <v>10</v>
      </c>
      <c r="S242">
        <v>1</v>
      </c>
      <c r="T242">
        <f t="shared" si="19"/>
        <v>33</v>
      </c>
      <c r="U242">
        <f t="shared" si="20"/>
        <v>19</v>
      </c>
      <c r="V242">
        <f t="shared" si="21"/>
        <v>1</v>
      </c>
    </row>
    <row r="243" spans="1:22" x14ac:dyDescent="0.35">
      <c r="A243" s="11" t="s">
        <v>353</v>
      </c>
      <c r="B243" s="12" t="s">
        <v>86</v>
      </c>
      <c r="C243" s="13">
        <v>2</v>
      </c>
      <c r="D243" s="13">
        <v>3</v>
      </c>
      <c r="E243" s="13">
        <v>2</v>
      </c>
      <c r="F243" s="13">
        <v>5</v>
      </c>
      <c r="G243" s="13">
        <v>5</v>
      </c>
      <c r="H243" s="13">
        <v>4</v>
      </c>
      <c r="I243" s="13">
        <v>60</v>
      </c>
      <c r="J243" s="13">
        <v>48</v>
      </c>
      <c r="K243" s="13">
        <v>73</v>
      </c>
      <c r="L243" s="13">
        <v>93</v>
      </c>
      <c r="M243" s="14">
        <v>51</v>
      </c>
      <c r="N243">
        <f t="shared" si="17"/>
        <v>56.5</v>
      </c>
      <c r="O243">
        <f t="shared" si="18"/>
        <v>0</v>
      </c>
      <c r="P243">
        <f t="shared" si="18"/>
        <v>8</v>
      </c>
      <c r="Q243">
        <f t="shared" si="18"/>
        <v>8</v>
      </c>
      <c r="R243">
        <f t="shared" si="16"/>
        <v>6</v>
      </c>
      <c r="S243">
        <v>1</v>
      </c>
      <c r="T243">
        <f t="shared" si="19"/>
        <v>24</v>
      </c>
      <c r="U243">
        <f t="shared" si="20"/>
        <v>32.5</v>
      </c>
      <c r="V243">
        <f t="shared" si="21"/>
        <v>0</v>
      </c>
    </row>
    <row r="244" spans="1:22" x14ac:dyDescent="0.35">
      <c r="A244" s="7" t="s">
        <v>354</v>
      </c>
      <c r="B244" s="8" t="s">
        <v>355</v>
      </c>
      <c r="C244" s="9">
        <v>4</v>
      </c>
      <c r="D244" s="9">
        <v>6</v>
      </c>
      <c r="E244" s="9">
        <v>3</v>
      </c>
      <c r="F244" s="9">
        <v>6</v>
      </c>
      <c r="G244" s="9">
        <v>5</v>
      </c>
      <c r="H244" s="9">
        <v>6</v>
      </c>
      <c r="I244" s="9">
        <v>82</v>
      </c>
      <c r="J244" s="9">
        <v>21</v>
      </c>
      <c r="K244" s="9">
        <v>64</v>
      </c>
      <c r="L244" s="9">
        <v>61</v>
      </c>
      <c r="M244" s="10">
        <v>93</v>
      </c>
      <c r="N244">
        <f t="shared" si="17"/>
        <v>70.099999999999994</v>
      </c>
      <c r="O244">
        <f t="shared" si="18"/>
        <v>4</v>
      </c>
      <c r="P244">
        <f t="shared" si="18"/>
        <v>10</v>
      </c>
      <c r="Q244">
        <f t="shared" si="18"/>
        <v>8</v>
      </c>
      <c r="R244">
        <f t="shared" si="16"/>
        <v>10</v>
      </c>
      <c r="S244">
        <v>1</v>
      </c>
      <c r="T244">
        <f t="shared" si="19"/>
        <v>38</v>
      </c>
      <c r="U244">
        <f t="shared" si="20"/>
        <v>32.1</v>
      </c>
      <c r="V244">
        <f t="shared" si="21"/>
        <v>1</v>
      </c>
    </row>
    <row r="245" spans="1:22" x14ac:dyDescent="0.35">
      <c r="A245" s="11" t="s">
        <v>356</v>
      </c>
      <c r="B245" s="12" t="s">
        <v>357</v>
      </c>
      <c r="C245" s="13">
        <v>2</v>
      </c>
      <c r="D245" s="13">
        <v>4</v>
      </c>
      <c r="E245" s="13">
        <v>2</v>
      </c>
      <c r="F245" s="13">
        <v>4</v>
      </c>
      <c r="G245" s="13">
        <v>3</v>
      </c>
      <c r="H245" s="13">
        <v>4</v>
      </c>
      <c r="I245" s="13">
        <v>65</v>
      </c>
      <c r="J245" s="13">
        <v>50</v>
      </c>
      <c r="K245" s="13">
        <v>15</v>
      </c>
      <c r="L245" s="13">
        <v>67</v>
      </c>
      <c r="M245" s="14">
        <v>88</v>
      </c>
      <c r="N245">
        <f t="shared" si="17"/>
        <v>46.5</v>
      </c>
      <c r="O245">
        <f t="shared" si="18"/>
        <v>0</v>
      </c>
      <c r="P245">
        <f t="shared" si="18"/>
        <v>6</v>
      </c>
      <c r="Q245">
        <f t="shared" si="18"/>
        <v>4</v>
      </c>
      <c r="R245">
        <f t="shared" si="16"/>
        <v>6</v>
      </c>
      <c r="S245">
        <v>1</v>
      </c>
      <c r="T245">
        <f t="shared" si="19"/>
        <v>18</v>
      </c>
      <c r="U245">
        <f t="shared" si="20"/>
        <v>28.5</v>
      </c>
      <c r="V245">
        <f t="shared" si="21"/>
        <v>0</v>
      </c>
    </row>
    <row r="246" spans="1:22" x14ac:dyDescent="0.35">
      <c r="A246" s="7" t="s">
        <v>358</v>
      </c>
      <c r="B246" s="8" t="s">
        <v>174</v>
      </c>
      <c r="C246" s="9">
        <v>8</v>
      </c>
      <c r="D246" s="9">
        <v>3</v>
      </c>
      <c r="E246" s="9">
        <v>6</v>
      </c>
      <c r="F246" s="9">
        <v>3</v>
      </c>
      <c r="G246" s="9">
        <v>6</v>
      </c>
      <c r="H246" s="9">
        <v>3</v>
      </c>
      <c r="I246" s="9">
        <v>85</v>
      </c>
      <c r="J246" s="9">
        <v>68</v>
      </c>
      <c r="K246" s="9">
        <v>59</v>
      </c>
      <c r="L246" s="9">
        <v>5</v>
      </c>
      <c r="M246" s="10">
        <v>29</v>
      </c>
      <c r="N246">
        <f t="shared" si="17"/>
        <v>60.6</v>
      </c>
      <c r="O246">
        <f t="shared" si="18"/>
        <v>10</v>
      </c>
      <c r="P246">
        <f t="shared" si="18"/>
        <v>4</v>
      </c>
      <c r="Q246">
        <f t="shared" si="18"/>
        <v>10</v>
      </c>
      <c r="R246">
        <f t="shared" si="16"/>
        <v>4</v>
      </c>
      <c r="S246">
        <v>1</v>
      </c>
      <c r="T246">
        <f t="shared" si="19"/>
        <v>36</v>
      </c>
      <c r="U246">
        <f t="shared" si="20"/>
        <v>24.6</v>
      </c>
      <c r="V246">
        <f t="shared" si="21"/>
        <v>1</v>
      </c>
    </row>
    <row r="247" spans="1:22" x14ac:dyDescent="0.35">
      <c r="A247" s="11" t="s">
        <v>359</v>
      </c>
      <c r="B247" s="12" t="s">
        <v>360</v>
      </c>
      <c r="C247" s="13">
        <v>7</v>
      </c>
      <c r="D247" s="13">
        <v>6</v>
      </c>
      <c r="E247" s="13">
        <v>2</v>
      </c>
      <c r="F247" s="13">
        <v>3</v>
      </c>
      <c r="G247" s="13">
        <v>2</v>
      </c>
      <c r="H247" s="13">
        <v>2</v>
      </c>
      <c r="I247" s="13">
        <v>91</v>
      </c>
      <c r="J247" s="13">
        <v>65</v>
      </c>
      <c r="K247" s="13">
        <v>12</v>
      </c>
      <c r="L247" s="13">
        <v>78</v>
      </c>
      <c r="M247" s="14">
        <v>87</v>
      </c>
      <c r="N247">
        <f t="shared" si="17"/>
        <v>46.3</v>
      </c>
      <c r="O247">
        <f t="shared" si="18"/>
        <v>0</v>
      </c>
      <c r="P247">
        <f t="shared" si="18"/>
        <v>4</v>
      </c>
      <c r="Q247">
        <f t="shared" si="18"/>
        <v>0</v>
      </c>
      <c r="R247">
        <f t="shared" si="16"/>
        <v>0</v>
      </c>
      <c r="S247">
        <v>1</v>
      </c>
      <c r="T247">
        <f t="shared" si="19"/>
        <v>13</v>
      </c>
      <c r="U247">
        <f t="shared" si="20"/>
        <v>33.299999999999997</v>
      </c>
      <c r="V247">
        <f t="shared" si="21"/>
        <v>0</v>
      </c>
    </row>
    <row r="248" spans="1:22" x14ac:dyDescent="0.35">
      <c r="A248" s="7" t="s">
        <v>361</v>
      </c>
      <c r="B248" s="8" t="s">
        <v>362</v>
      </c>
      <c r="C248" s="9">
        <v>2</v>
      </c>
      <c r="D248" s="9">
        <v>6</v>
      </c>
      <c r="E248" s="9">
        <v>6</v>
      </c>
      <c r="F248" s="9">
        <v>6</v>
      </c>
      <c r="G248" s="9">
        <v>2</v>
      </c>
      <c r="H248" s="9">
        <v>3</v>
      </c>
      <c r="I248" s="9">
        <v>65</v>
      </c>
      <c r="J248" s="9">
        <v>28</v>
      </c>
      <c r="K248" s="9">
        <v>80</v>
      </c>
      <c r="L248" s="9">
        <v>55</v>
      </c>
      <c r="M248" s="10">
        <v>60</v>
      </c>
      <c r="N248">
        <f t="shared" si="17"/>
        <v>56.8</v>
      </c>
      <c r="O248">
        <f t="shared" si="18"/>
        <v>10</v>
      </c>
      <c r="P248">
        <f t="shared" si="18"/>
        <v>10</v>
      </c>
      <c r="Q248">
        <f t="shared" si="18"/>
        <v>0</v>
      </c>
      <c r="R248">
        <f t="shared" si="16"/>
        <v>4</v>
      </c>
      <c r="S248">
        <v>1</v>
      </c>
      <c r="T248">
        <f t="shared" si="19"/>
        <v>28</v>
      </c>
      <c r="U248">
        <f t="shared" si="20"/>
        <v>28.8</v>
      </c>
      <c r="V248">
        <f t="shared" si="21"/>
        <v>0</v>
      </c>
    </row>
    <row r="249" spans="1:22" x14ac:dyDescent="0.35">
      <c r="A249" s="11" t="s">
        <v>363</v>
      </c>
      <c r="B249" s="12" t="s">
        <v>139</v>
      </c>
      <c r="C249" s="13">
        <v>4</v>
      </c>
      <c r="D249" s="13">
        <v>4</v>
      </c>
      <c r="E249" s="13">
        <v>2</v>
      </c>
      <c r="F249" s="13">
        <v>3</v>
      </c>
      <c r="G249" s="13">
        <v>3</v>
      </c>
      <c r="H249" s="13">
        <v>5</v>
      </c>
      <c r="I249" s="13">
        <v>14</v>
      </c>
      <c r="J249" s="13">
        <v>4</v>
      </c>
      <c r="K249" s="13">
        <v>93</v>
      </c>
      <c r="L249" s="13">
        <v>36</v>
      </c>
      <c r="M249" s="14">
        <v>26</v>
      </c>
      <c r="N249">
        <f t="shared" si="17"/>
        <v>37.299999999999997</v>
      </c>
      <c r="O249">
        <f t="shared" si="18"/>
        <v>0</v>
      </c>
      <c r="P249">
        <f t="shared" si="18"/>
        <v>4</v>
      </c>
      <c r="Q249">
        <f t="shared" si="18"/>
        <v>4</v>
      </c>
      <c r="R249">
        <f t="shared" si="16"/>
        <v>8</v>
      </c>
      <c r="S249">
        <v>1</v>
      </c>
      <c r="T249">
        <f t="shared" si="19"/>
        <v>20</v>
      </c>
      <c r="U249">
        <f t="shared" si="20"/>
        <v>17.3</v>
      </c>
      <c r="V249">
        <f t="shared" si="21"/>
        <v>1</v>
      </c>
    </row>
    <row r="250" spans="1:22" x14ac:dyDescent="0.35">
      <c r="A250" s="7" t="s">
        <v>364</v>
      </c>
      <c r="B250" s="8" t="s">
        <v>203</v>
      </c>
      <c r="C250" s="9">
        <v>0</v>
      </c>
      <c r="D250" s="9">
        <v>6</v>
      </c>
      <c r="E250" s="9">
        <v>2</v>
      </c>
      <c r="F250" s="9">
        <v>6</v>
      </c>
      <c r="G250" s="9">
        <v>5</v>
      </c>
      <c r="H250" s="9">
        <v>6</v>
      </c>
      <c r="I250" s="9">
        <v>15</v>
      </c>
      <c r="J250" s="9">
        <v>42</v>
      </c>
      <c r="K250" s="9">
        <v>90</v>
      </c>
      <c r="L250" s="9">
        <v>14</v>
      </c>
      <c r="M250" s="10">
        <v>88</v>
      </c>
      <c r="N250">
        <f t="shared" si="17"/>
        <v>54.9</v>
      </c>
      <c r="O250">
        <f t="shared" si="18"/>
        <v>0</v>
      </c>
      <c r="P250">
        <f t="shared" si="18"/>
        <v>10</v>
      </c>
      <c r="Q250">
        <f t="shared" si="18"/>
        <v>8</v>
      </c>
      <c r="R250">
        <f t="shared" si="16"/>
        <v>10</v>
      </c>
      <c r="S250">
        <v>1</v>
      </c>
      <c r="T250">
        <f t="shared" si="19"/>
        <v>30</v>
      </c>
      <c r="U250">
        <f t="shared" si="20"/>
        <v>24.9</v>
      </c>
      <c r="V250">
        <f t="shared" si="21"/>
        <v>1</v>
      </c>
    </row>
    <row r="251" spans="1:22" x14ac:dyDescent="0.35">
      <c r="A251" s="11" t="s">
        <v>365</v>
      </c>
      <c r="B251" s="12" t="s">
        <v>16</v>
      </c>
      <c r="C251" s="13">
        <v>8</v>
      </c>
      <c r="D251" s="13">
        <v>5</v>
      </c>
      <c r="E251" s="13">
        <v>4</v>
      </c>
      <c r="F251" s="13">
        <v>4</v>
      </c>
      <c r="G251" s="13">
        <v>4</v>
      </c>
      <c r="H251" s="13">
        <v>3</v>
      </c>
      <c r="I251" s="13">
        <v>39</v>
      </c>
      <c r="J251" s="13">
        <v>45</v>
      </c>
      <c r="K251" s="13">
        <v>68</v>
      </c>
      <c r="L251" s="13">
        <v>26</v>
      </c>
      <c r="M251" s="14">
        <v>30</v>
      </c>
      <c r="N251">
        <f t="shared" si="17"/>
        <v>50.8</v>
      </c>
      <c r="O251">
        <f t="shared" si="18"/>
        <v>6</v>
      </c>
      <c r="P251">
        <f t="shared" si="18"/>
        <v>6</v>
      </c>
      <c r="Q251">
        <f t="shared" si="18"/>
        <v>6</v>
      </c>
      <c r="R251">
        <f t="shared" si="16"/>
        <v>4</v>
      </c>
      <c r="S251">
        <v>1</v>
      </c>
      <c r="T251">
        <f t="shared" si="19"/>
        <v>30</v>
      </c>
      <c r="U251">
        <f t="shared" si="20"/>
        <v>20.8</v>
      </c>
      <c r="V251">
        <f t="shared" si="21"/>
        <v>1</v>
      </c>
    </row>
    <row r="252" spans="1:22" x14ac:dyDescent="0.35">
      <c r="A252" s="7" t="s">
        <v>366</v>
      </c>
      <c r="B252" s="8" t="s">
        <v>367</v>
      </c>
      <c r="C252" s="9">
        <v>3</v>
      </c>
      <c r="D252" s="9">
        <v>6</v>
      </c>
      <c r="E252" s="9">
        <v>3</v>
      </c>
      <c r="F252" s="9">
        <v>4</v>
      </c>
      <c r="G252" s="9">
        <v>3</v>
      </c>
      <c r="H252" s="9">
        <v>5</v>
      </c>
      <c r="I252" s="9">
        <v>86</v>
      </c>
      <c r="J252" s="9">
        <v>46</v>
      </c>
      <c r="K252" s="9">
        <v>9</v>
      </c>
      <c r="L252" s="9">
        <v>68</v>
      </c>
      <c r="M252" s="10">
        <v>39</v>
      </c>
      <c r="N252">
        <f t="shared" si="17"/>
        <v>51.8</v>
      </c>
      <c r="O252">
        <f t="shared" si="18"/>
        <v>4</v>
      </c>
      <c r="P252">
        <f t="shared" si="18"/>
        <v>6</v>
      </c>
      <c r="Q252">
        <f t="shared" si="18"/>
        <v>4</v>
      </c>
      <c r="R252">
        <f t="shared" si="16"/>
        <v>8</v>
      </c>
      <c r="S252">
        <v>1</v>
      </c>
      <c r="T252">
        <f t="shared" si="19"/>
        <v>27</v>
      </c>
      <c r="U252">
        <f t="shared" si="20"/>
        <v>24.8</v>
      </c>
      <c r="V252">
        <f t="shared" si="21"/>
        <v>1</v>
      </c>
    </row>
    <row r="253" spans="1:22" x14ac:dyDescent="0.35">
      <c r="A253" s="11" t="s">
        <v>368</v>
      </c>
      <c r="B253" s="12" t="s">
        <v>369</v>
      </c>
      <c r="C253" s="13">
        <v>7</v>
      </c>
      <c r="D253" s="13">
        <v>4</v>
      </c>
      <c r="E253" s="13">
        <v>6</v>
      </c>
      <c r="F253" s="13">
        <v>6</v>
      </c>
      <c r="G253" s="13">
        <v>6</v>
      </c>
      <c r="H253" s="13">
        <v>2</v>
      </c>
      <c r="I253" s="13">
        <v>17</v>
      </c>
      <c r="J253" s="13">
        <v>16</v>
      </c>
      <c r="K253" s="13">
        <v>12</v>
      </c>
      <c r="L253" s="13">
        <v>54</v>
      </c>
      <c r="M253" s="14">
        <v>91</v>
      </c>
      <c r="N253">
        <f t="shared" si="17"/>
        <v>56</v>
      </c>
      <c r="O253">
        <f t="shared" si="18"/>
        <v>10</v>
      </c>
      <c r="P253">
        <f t="shared" si="18"/>
        <v>10</v>
      </c>
      <c r="Q253">
        <f t="shared" si="18"/>
        <v>10</v>
      </c>
      <c r="R253">
        <f t="shared" si="16"/>
        <v>0</v>
      </c>
      <c r="S253">
        <v>1</v>
      </c>
      <c r="T253">
        <f t="shared" si="19"/>
        <v>37</v>
      </c>
      <c r="U253">
        <f t="shared" si="20"/>
        <v>19</v>
      </c>
      <c r="V253">
        <f t="shared" si="21"/>
        <v>1</v>
      </c>
    </row>
    <row r="254" spans="1:22" x14ac:dyDescent="0.35">
      <c r="A254" s="7" t="s">
        <v>370</v>
      </c>
      <c r="B254" s="8" t="s">
        <v>371</v>
      </c>
      <c r="C254" s="9">
        <v>4</v>
      </c>
      <c r="D254" s="9">
        <v>2</v>
      </c>
      <c r="E254" s="9">
        <v>4</v>
      </c>
      <c r="F254" s="9">
        <v>3</v>
      </c>
      <c r="G254" s="9">
        <v>5</v>
      </c>
      <c r="H254" s="9">
        <v>2</v>
      </c>
      <c r="I254" s="9">
        <v>68</v>
      </c>
      <c r="J254" s="9">
        <v>87</v>
      </c>
      <c r="K254" s="9">
        <v>48</v>
      </c>
      <c r="L254" s="9">
        <v>54</v>
      </c>
      <c r="M254" s="10">
        <v>39</v>
      </c>
      <c r="N254">
        <f t="shared" si="17"/>
        <v>51.6</v>
      </c>
      <c r="O254">
        <f t="shared" si="18"/>
        <v>6</v>
      </c>
      <c r="P254">
        <f t="shared" si="18"/>
        <v>4</v>
      </c>
      <c r="Q254">
        <f t="shared" si="18"/>
        <v>8</v>
      </c>
      <c r="R254">
        <f t="shared" si="16"/>
        <v>0</v>
      </c>
      <c r="S254">
        <v>1</v>
      </c>
      <c r="T254">
        <f t="shared" si="19"/>
        <v>22</v>
      </c>
      <c r="U254">
        <f t="shared" si="20"/>
        <v>29.6</v>
      </c>
      <c r="V254">
        <f t="shared" si="21"/>
        <v>0</v>
      </c>
    </row>
    <row r="255" spans="1:22" x14ac:dyDescent="0.35">
      <c r="A255" s="11" t="s">
        <v>372</v>
      </c>
      <c r="B255" s="12" t="s">
        <v>180</v>
      </c>
      <c r="C255" s="13">
        <v>8</v>
      </c>
      <c r="D255" s="13">
        <v>3</v>
      </c>
      <c r="E255" s="13">
        <v>5</v>
      </c>
      <c r="F255" s="13">
        <v>2</v>
      </c>
      <c r="G255" s="13">
        <v>5</v>
      </c>
      <c r="H255" s="13">
        <v>3</v>
      </c>
      <c r="I255" s="13">
        <v>99</v>
      </c>
      <c r="J255" s="13">
        <v>90</v>
      </c>
      <c r="K255" s="13">
        <v>59</v>
      </c>
      <c r="L255" s="13">
        <v>78</v>
      </c>
      <c r="M255" s="14">
        <v>93</v>
      </c>
      <c r="N255">
        <f t="shared" si="17"/>
        <v>69.900000000000006</v>
      </c>
      <c r="O255">
        <f t="shared" si="18"/>
        <v>8</v>
      </c>
      <c r="P255">
        <f t="shared" si="18"/>
        <v>0</v>
      </c>
      <c r="Q255">
        <f t="shared" si="18"/>
        <v>8</v>
      </c>
      <c r="R255">
        <f t="shared" si="16"/>
        <v>4</v>
      </c>
      <c r="S255">
        <v>1</v>
      </c>
      <c r="T255">
        <f t="shared" si="19"/>
        <v>28</v>
      </c>
      <c r="U255">
        <f t="shared" si="20"/>
        <v>41.9</v>
      </c>
      <c r="V255">
        <f t="shared" si="21"/>
        <v>0</v>
      </c>
    </row>
    <row r="256" spans="1:22" x14ac:dyDescent="0.35">
      <c r="A256" s="7" t="s">
        <v>373</v>
      </c>
      <c r="B256" s="8" t="s">
        <v>357</v>
      </c>
      <c r="C256" s="9">
        <v>1</v>
      </c>
      <c r="D256" s="9">
        <v>6</v>
      </c>
      <c r="E256" s="9">
        <v>6</v>
      </c>
      <c r="F256" s="9">
        <v>5</v>
      </c>
      <c r="G256" s="9">
        <v>3</v>
      </c>
      <c r="H256" s="9">
        <v>6</v>
      </c>
      <c r="I256" s="9">
        <v>58</v>
      </c>
      <c r="J256" s="9">
        <v>93</v>
      </c>
      <c r="K256" s="9">
        <v>93</v>
      </c>
      <c r="L256" s="9">
        <v>82</v>
      </c>
      <c r="M256" s="10">
        <v>17</v>
      </c>
      <c r="N256">
        <f t="shared" si="17"/>
        <v>69.3</v>
      </c>
      <c r="O256">
        <f t="shared" si="18"/>
        <v>10</v>
      </c>
      <c r="P256">
        <f t="shared" si="18"/>
        <v>8</v>
      </c>
      <c r="Q256">
        <f t="shared" si="18"/>
        <v>4</v>
      </c>
      <c r="R256">
        <f t="shared" si="16"/>
        <v>10</v>
      </c>
      <c r="S256">
        <v>1</v>
      </c>
      <c r="T256">
        <f t="shared" si="19"/>
        <v>35</v>
      </c>
      <c r="U256">
        <f t="shared" si="20"/>
        <v>34.299999999999997</v>
      </c>
      <c r="V256">
        <f t="shared" si="21"/>
        <v>1</v>
      </c>
    </row>
    <row r="257" spans="1:22" x14ac:dyDescent="0.35">
      <c r="A257" s="11" t="s">
        <v>374</v>
      </c>
      <c r="B257" s="12" t="s">
        <v>327</v>
      </c>
      <c r="C257" s="13">
        <v>6</v>
      </c>
      <c r="D257" s="13">
        <v>4</v>
      </c>
      <c r="E257" s="13">
        <v>5</v>
      </c>
      <c r="F257" s="13">
        <v>3</v>
      </c>
      <c r="G257" s="13">
        <v>2</v>
      </c>
      <c r="H257" s="13">
        <v>2</v>
      </c>
      <c r="I257" s="13">
        <v>38</v>
      </c>
      <c r="J257" s="13">
        <v>13</v>
      </c>
      <c r="K257" s="13">
        <v>62</v>
      </c>
      <c r="L257" s="13">
        <v>22</v>
      </c>
      <c r="M257" s="14">
        <v>14</v>
      </c>
      <c r="N257">
        <f t="shared" si="17"/>
        <v>32.9</v>
      </c>
      <c r="O257">
        <f t="shared" si="18"/>
        <v>8</v>
      </c>
      <c r="P257">
        <f t="shared" si="18"/>
        <v>4</v>
      </c>
      <c r="Q257">
        <f t="shared" si="18"/>
        <v>0</v>
      </c>
      <c r="R257">
        <f t="shared" si="16"/>
        <v>0</v>
      </c>
      <c r="S257">
        <v>1</v>
      </c>
      <c r="T257">
        <f t="shared" si="19"/>
        <v>18</v>
      </c>
      <c r="U257">
        <f t="shared" si="20"/>
        <v>14.9</v>
      </c>
      <c r="V257">
        <f t="shared" si="21"/>
        <v>1</v>
      </c>
    </row>
    <row r="258" spans="1:22" x14ac:dyDescent="0.35">
      <c r="A258" s="7" t="s">
        <v>375</v>
      </c>
      <c r="B258" s="8" t="s">
        <v>205</v>
      </c>
      <c r="C258" s="9">
        <v>6</v>
      </c>
      <c r="D258" s="9">
        <v>6</v>
      </c>
      <c r="E258" s="9">
        <v>3</v>
      </c>
      <c r="F258" s="9">
        <v>6</v>
      </c>
      <c r="G258" s="9">
        <v>6</v>
      </c>
      <c r="H258" s="9">
        <v>2</v>
      </c>
      <c r="I258" s="9">
        <v>1</v>
      </c>
      <c r="J258" s="9">
        <v>34</v>
      </c>
      <c r="K258" s="9">
        <v>76</v>
      </c>
      <c r="L258" s="9">
        <v>39</v>
      </c>
      <c r="M258" s="10">
        <v>56</v>
      </c>
      <c r="N258">
        <f t="shared" si="17"/>
        <v>52.6</v>
      </c>
      <c r="O258">
        <f t="shared" si="18"/>
        <v>4</v>
      </c>
      <c r="P258">
        <f t="shared" si="18"/>
        <v>10</v>
      </c>
      <c r="Q258">
        <f t="shared" si="18"/>
        <v>10</v>
      </c>
      <c r="R258">
        <f t="shared" si="18"/>
        <v>0</v>
      </c>
      <c r="S258">
        <v>1</v>
      </c>
      <c r="T258">
        <f t="shared" si="19"/>
        <v>32</v>
      </c>
      <c r="U258">
        <f t="shared" si="20"/>
        <v>20.6</v>
      </c>
      <c r="V258">
        <f t="shared" si="21"/>
        <v>1</v>
      </c>
    </row>
    <row r="259" spans="1:22" x14ac:dyDescent="0.35">
      <c r="A259" s="11" t="s">
        <v>376</v>
      </c>
      <c r="B259" s="12" t="s">
        <v>38</v>
      </c>
      <c r="C259" s="13">
        <v>3</v>
      </c>
      <c r="D259" s="13">
        <v>5</v>
      </c>
      <c r="E259" s="13">
        <v>3</v>
      </c>
      <c r="F259" s="13">
        <v>6</v>
      </c>
      <c r="G259" s="13">
        <v>2</v>
      </c>
      <c r="H259" s="13">
        <v>4</v>
      </c>
      <c r="I259" s="13">
        <v>91</v>
      </c>
      <c r="J259" s="13">
        <v>99</v>
      </c>
      <c r="K259" s="13">
        <v>61</v>
      </c>
      <c r="L259" s="13">
        <v>2</v>
      </c>
      <c r="M259" s="14">
        <v>52</v>
      </c>
      <c r="N259">
        <f t="shared" ref="N259:N322" si="22">C259+IF(D259=6,2,0) +SUM(O259:R259) +SUM(I259:M259)/10</f>
        <v>53.5</v>
      </c>
      <c r="O259">
        <f t="shared" ref="O259:R322" si="23">IF(E259=2,0,IF(E259=3,4,IF(E259=4,6,IF(E259=5,8,IF(E259=6,10,0)))))</f>
        <v>4</v>
      </c>
      <c r="P259">
        <f t="shared" si="23"/>
        <v>10</v>
      </c>
      <c r="Q259">
        <f t="shared" si="23"/>
        <v>0</v>
      </c>
      <c r="R259">
        <f t="shared" si="23"/>
        <v>6</v>
      </c>
      <c r="S259">
        <v>1</v>
      </c>
      <c r="T259">
        <f t="shared" ref="T259:T322" si="24">C259+IF(D259=6,2,0) +SUM(O259:R259)</f>
        <v>23</v>
      </c>
      <c r="U259">
        <f t="shared" ref="U259:U322" si="25">SUM(I259:M259)/10</f>
        <v>30.5</v>
      </c>
      <c r="V259">
        <f t="shared" ref="V259:V322" si="26">IF(T259&gt;U259,1,0)</f>
        <v>0</v>
      </c>
    </row>
    <row r="260" spans="1:22" x14ac:dyDescent="0.35">
      <c r="A260" s="7" t="s">
        <v>377</v>
      </c>
      <c r="B260" s="8" t="s">
        <v>180</v>
      </c>
      <c r="C260" s="9">
        <v>3</v>
      </c>
      <c r="D260" s="9">
        <v>4</v>
      </c>
      <c r="E260" s="9">
        <v>6</v>
      </c>
      <c r="F260" s="9">
        <v>2</v>
      </c>
      <c r="G260" s="9">
        <v>2</v>
      </c>
      <c r="H260" s="9">
        <v>4</v>
      </c>
      <c r="I260" s="9">
        <v>2</v>
      </c>
      <c r="J260" s="9">
        <v>85</v>
      </c>
      <c r="K260" s="9">
        <v>51</v>
      </c>
      <c r="L260" s="9">
        <v>87</v>
      </c>
      <c r="M260" s="10">
        <v>27</v>
      </c>
      <c r="N260">
        <f t="shared" si="22"/>
        <v>44.2</v>
      </c>
      <c r="O260">
        <f t="shared" si="23"/>
        <v>10</v>
      </c>
      <c r="P260">
        <f t="shared" si="23"/>
        <v>0</v>
      </c>
      <c r="Q260">
        <f t="shared" si="23"/>
        <v>0</v>
      </c>
      <c r="R260">
        <f t="shared" si="23"/>
        <v>6</v>
      </c>
      <c r="S260">
        <v>1</v>
      </c>
      <c r="T260">
        <f t="shared" si="24"/>
        <v>19</v>
      </c>
      <c r="U260">
        <f t="shared" si="25"/>
        <v>25.2</v>
      </c>
      <c r="V260">
        <f t="shared" si="26"/>
        <v>0</v>
      </c>
    </row>
    <row r="261" spans="1:22" x14ac:dyDescent="0.35">
      <c r="A261" s="11" t="s">
        <v>378</v>
      </c>
      <c r="B261" s="12" t="s">
        <v>30</v>
      </c>
      <c r="C261" s="13">
        <v>6</v>
      </c>
      <c r="D261" s="13">
        <v>3</v>
      </c>
      <c r="E261" s="13">
        <v>3</v>
      </c>
      <c r="F261" s="13">
        <v>6</v>
      </c>
      <c r="G261" s="13">
        <v>6</v>
      </c>
      <c r="H261" s="13">
        <v>3</v>
      </c>
      <c r="I261" s="13">
        <v>78</v>
      </c>
      <c r="J261" s="13">
        <v>57</v>
      </c>
      <c r="K261" s="13">
        <v>69</v>
      </c>
      <c r="L261" s="13">
        <v>18</v>
      </c>
      <c r="M261" s="14">
        <v>87</v>
      </c>
      <c r="N261">
        <f t="shared" si="22"/>
        <v>64.900000000000006</v>
      </c>
      <c r="O261">
        <f t="shared" si="23"/>
        <v>4</v>
      </c>
      <c r="P261">
        <f t="shared" si="23"/>
        <v>10</v>
      </c>
      <c r="Q261">
        <f t="shared" si="23"/>
        <v>10</v>
      </c>
      <c r="R261">
        <f t="shared" si="23"/>
        <v>4</v>
      </c>
      <c r="S261">
        <v>1</v>
      </c>
      <c r="T261">
        <f t="shared" si="24"/>
        <v>34</v>
      </c>
      <c r="U261">
        <f t="shared" si="25"/>
        <v>30.9</v>
      </c>
      <c r="V261">
        <f t="shared" si="26"/>
        <v>1</v>
      </c>
    </row>
    <row r="262" spans="1:22" x14ac:dyDescent="0.35">
      <c r="A262" s="7" t="s">
        <v>379</v>
      </c>
      <c r="B262" s="8" t="s">
        <v>180</v>
      </c>
      <c r="C262" s="9">
        <v>3</v>
      </c>
      <c r="D262" s="9">
        <v>5</v>
      </c>
      <c r="E262" s="9">
        <v>4</v>
      </c>
      <c r="F262" s="9">
        <v>5</v>
      </c>
      <c r="G262" s="9">
        <v>6</v>
      </c>
      <c r="H262" s="9">
        <v>4</v>
      </c>
      <c r="I262" s="9">
        <v>64</v>
      </c>
      <c r="J262" s="9">
        <v>35</v>
      </c>
      <c r="K262" s="9">
        <v>42</v>
      </c>
      <c r="L262" s="9">
        <v>54</v>
      </c>
      <c r="M262" s="10">
        <v>15</v>
      </c>
      <c r="N262">
        <f t="shared" si="22"/>
        <v>54</v>
      </c>
      <c r="O262">
        <f t="shared" si="23"/>
        <v>6</v>
      </c>
      <c r="P262">
        <f t="shared" si="23"/>
        <v>8</v>
      </c>
      <c r="Q262">
        <f t="shared" si="23"/>
        <v>10</v>
      </c>
      <c r="R262">
        <f t="shared" si="23"/>
        <v>6</v>
      </c>
      <c r="S262">
        <v>1</v>
      </c>
      <c r="T262">
        <f t="shared" si="24"/>
        <v>33</v>
      </c>
      <c r="U262">
        <f t="shared" si="25"/>
        <v>21</v>
      </c>
      <c r="V262">
        <f t="shared" si="26"/>
        <v>1</v>
      </c>
    </row>
    <row r="263" spans="1:22" x14ac:dyDescent="0.35">
      <c r="A263" s="11" t="s">
        <v>380</v>
      </c>
      <c r="B263" s="12" t="s">
        <v>381</v>
      </c>
      <c r="C263" s="13">
        <v>3</v>
      </c>
      <c r="D263" s="13">
        <v>2</v>
      </c>
      <c r="E263" s="13">
        <v>2</v>
      </c>
      <c r="F263" s="13">
        <v>4</v>
      </c>
      <c r="G263" s="13">
        <v>3</v>
      </c>
      <c r="H263" s="13">
        <v>5</v>
      </c>
      <c r="I263" s="13">
        <v>40</v>
      </c>
      <c r="J263" s="13">
        <v>28</v>
      </c>
      <c r="K263" s="13">
        <v>88</v>
      </c>
      <c r="L263" s="13">
        <v>11</v>
      </c>
      <c r="M263" s="14">
        <v>9</v>
      </c>
      <c r="N263">
        <f t="shared" si="22"/>
        <v>38.6</v>
      </c>
      <c r="O263">
        <f t="shared" si="23"/>
        <v>0</v>
      </c>
      <c r="P263">
        <f t="shared" si="23"/>
        <v>6</v>
      </c>
      <c r="Q263">
        <f t="shared" si="23"/>
        <v>4</v>
      </c>
      <c r="R263">
        <f t="shared" si="23"/>
        <v>8</v>
      </c>
      <c r="S263">
        <v>1</v>
      </c>
      <c r="T263">
        <f t="shared" si="24"/>
        <v>21</v>
      </c>
      <c r="U263">
        <f t="shared" si="25"/>
        <v>17.600000000000001</v>
      </c>
      <c r="V263">
        <f t="shared" si="26"/>
        <v>1</v>
      </c>
    </row>
    <row r="264" spans="1:22" x14ac:dyDescent="0.35">
      <c r="A264" s="7" t="s">
        <v>382</v>
      </c>
      <c r="B264" s="8" t="s">
        <v>45</v>
      </c>
      <c r="C264" s="9">
        <v>2</v>
      </c>
      <c r="D264" s="9">
        <v>5</v>
      </c>
      <c r="E264" s="9">
        <v>3</v>
      </c>
      <c r="F264" s="9">
        <v>4</v>
      </c>
      <c r="G264" s="9">
        <v>6</v>
      </c>
      <c r="H264" s="9">
        <v>3</v>
      </c>
      <c r="I264" s="9">
        <v>8</v>
      </c>
      <c r="J264" s="9">
        <v>46</v>
      </c>
      <c r="K264" s="9">
        <v>55</v>
      </c>
      <c r="L264" s="9">
        <v>39</v>
      </c>
      <c r="M264" s="10">
        <v>21</v>
      </c>
      <c r="N264">
        <f t="shared" si="22"/>
        <v>42.9</v>
      </c>
      <c r="O264">
        <f t="shared" si="23"/>
        <v>4</v>
      </c>
      <c r="P264">
        <f t="shared" si="23"/>
        <v>6</v>
      </c>
      <c r="Q264">
        <f t="shared" si="23"/>
        <v>10</v>
      </c>
      <c r="R264">
        <f t="shared" si="23"/>
        <v>4</v>
      </c>
      <c r="S264">
        <v>1</v>
      </c>
      <c r="T264">
        <f t="shared" si="24"/>
        <v>26</v>
      </c>
      <c r="U264">
        <f t="shared" si="25"/>
        <v>16.899999999999999</v>
      </c>
      <c r="V264">
        <f t="shared" si="26"/>
        <v>1</v>
      </c>
    </row>
    <row r="265" spans="1:22" x14ac:dyDescent="0.35">
      <c r="A265" s="11" t="s">
        <v>383</v>
      </c>
      <c r="B265" s="12" t="s">
        <v>384</v>
      </c>
      <c r="C265" s="13">
        <v>2</v>
      </c>
      <c r="D265" s="13">
        <v>5</v>
      </c>
      <c r="E265" s="13">
        <v>3</v>
      </c>
      <c r="F265" s="13">
        <v>6</v>
      </c>
      <c r="G265" s="13">
        <v>3</v>
      </c>
      <c r="H265" s="13">
        <v>3</v>
      </c>
      <c r="I265" s="13">
        <v>86</v>
      </c>
      <c r="J265" s="13">
        <v>36</v>
      </c>
      <c r="K265" s="13">
        <v>76</v>
      </c>
      <c r="L265" s="13">
        <v>91</v>
      </c>
      <c r="M265" s="14">
        <v>19</v>
      </c>
      <c r="N265">
        <f t="shared" si="22"/>
        <v>54.8</v>
      </c>
      <c r="O265">
        <f t="shared" si="23"/>
        <v>4</v>
      </c>
      <c r="P265">
        <f t="shared" si="23"/>
        <v>10</v>
      </c>
      <c r="Q265">
        <f t="shared" si="23"/>
        <v>4</v>
      </c>
      <c r="R265">
        <f t="shared" si="23"/>
        <v>4</v>
      </c>
      <c r="S265">
        <v>1</v>
      </c>
      <c r="T265">
        <f t="shared" si="24"/>
        <v>24</v>
      </c>
      <c r="U265">
        <f t="shared" si="25"/>
        <v>30.8</v>
      </c>
      <c r="V265">
        <f t="shared" si="26"/>
        <v>0</v>
      </c>
    </row>
    <row r="266" spans="1:22" x14ac:dyDescent="0.35">
      <c r="A266" s="7" t="s">
        <v>385</v>
      </c>
      <c r="B266" s="8" t="s">
        <v>288</v>
      </c>
      <c r="C266" s="9">
        <v>0</v>
      </c>
      <c r="D266" s="9">
        <v>4</v>
      </c>
      <c r="E266" s="9">
        <v>3</v>
      </c>
      <c r="F266" s="9">
        <v>5</v>
      </c>
      <c r="G266" s="9">
        <v>2</v>
      </c>
      <c r="H266" s="9">
        <v>6</v>
      </c>
      <c r="I266" s="9">
        <v>86</v>
      </c>
      <c r="J266" s="9">
        <v>76</v>
      </c>
      <c r="K266" s="9">
        <v>17</v>
      </c>
      <c r="L266" s="9">
        <v>68</v>
      </c>
      <c r="M266" s="10">
        <v>39</v>
      </c>
      <c r="N266">
        <f t="shared" si="22"/>
        <v>50.6</v>
      </c>
      <c r="O266">
        <f t="shared" si="23"/>
        <v>4</v>
      </c>
      <c r="P266">
        <f t="shared" si="23"/>
        <v>8</v>
      </c>
      <c r="Q266">
        <f t="shared" si="23"/>
        <v>0</v>
      </c>
      <c r="R266">
        <f t="shared" si="23"/>
        <v>10</v>
      </c>
      <c r="S266">
        <v>1</v>
      </c>
      <c r="T266">
        <f t="shared" si="24"/>
        <v>22</v>
      </c>
      <c r="U266">
        <f t="shared" si="25"/>
        <v>28.6</v>
      </c>
      <c r="V266">
        <f t="shared" si="26"/>
        <v>0</v>
      </c>
    </row>
    <row r="267" spans="1:22" x14ac:dyDescent="0.35">
      <c r="A267" s="11" t="s">
        <v>386</v>
      </c>
      <c r="B267" s="12" t="s">
        <v>311</v>
      </c>
      <c r="C267" s="13">
        <v>8</v>
      </c>
      <c r="D267" s="13">
        <v>4</v>
      </c>
      <c r="E267" s="13">
        <v>5</v>
      </c>
      <c r="F267" s="13">
        <v>5</v>
      </c>
      <c r="G267" s="13">
        <v>4</v>
      </c>
      <c r="H267" s="13">
        <v>5</v>
      </c>
      <c r="I267" s="13">
        <v>7</v>
      </c>
      <c r="J267" s="13">
        <v>8</v>
      </c>
      <c r="K267" s="13">
        <v>77</v>
      </c>
      <c r="L267" s="13">
        <v>77</v>
      </c>
      <c r="M267" s="14">
        <v>21</v>
      </c>
      <c r="N267">
        <f t="shared" si="22"/>
        <v>57</v>
      </c>
      <c r="O267">
        <f t="shared" si="23"/>
        <v>8</v>
      </c>
      <c r="P267">
        <f t="shared" si="23"/>
        <v>8</v>
      </c>
      <c r="Q267">
        <f t="shared" si="23"/>
        <v>6</v>
      </c>
      <c r="R267">
        <f t="shared" si="23"/>
        <v>8</v>
      </c>
      <c r="S267">
        <v>1</v>
      </c>
      <c r="T267">
        <f t="shared" si="24"/>
        <v>38</v>
      </c>
      <c r="U267">
        <f t="shared" si="25"/>
        <v>19</v>
      </c>
      <c r="V267">
        <f t="shared" si="26"/>
        <v>1</v>
      </c>
    </row>
    <row r="268" spans="1:22" x14ac:dyDescent="0.35">
      <c r="A268" s="7" t="s">
        <v>387</v>
      </c>
      <c r="B268" s="8" t="s">
        <v>388</v>
      </c>
      <c r="C268" s="9">
        <v>8</v>
      </c>
      <c r="D268" s="9">
        <v>2</v>
      </c>
      <c r="E268" s="9">
        <v>6</v>
      </c>
      <c r="F268" s="9">
        <v>4</v>
      </c>
      <c r="G268" s="9">
        <v>3</v>
      </c>
      <c r="H268" s="9">
        <v>2</v>
      </c>
      <c r="I268" s="9">
        <v>77</v>
      </c>
      <c r="J268" s="9">
        <v>98</v>
      </c>
      <c r="K268" s="9">
        <v>4</v>
      </c>
      <c r="L268" s="9">
        <v>85</v>
      </c>
      <c r="M268" s="10">
        <v>63</v>
      </c>
      <c r="N268">
        <f t="shared" si="22"/>
        <v>60.7</v>
      </c>
      <c r="O268">
        <f t="shared" si="23"/>
        <v>10</v>
      </c>
      <c r="P268">
        <f t="shared" si="23"/>
        <v>6</v>
      </c>
      <c r="Q268">
        <f t="shared" si="23"/>
        <v>4</v>
      </c>
      <c r="R268">
        <f t="shared" si="23"/>
        <v>0</v>
      </c>
      <c r="S268">
        <v>1</v>
      </c>
      <c r="T268">
        <f t="shared" si="24"/>
        <v>28</v>
      </c>
      <c r="U268">
        <f t="shared" si="25"/>
        <v>32.700000000000003</v>
      </c>
      <c r="V268">
        <f t="shared" si="26"/>
        <v>0</v>
      </c>
    </row>
    <row r="269" spans="1:22" x14ac:dyDescent="0.35">
      <c r="A269" s="11" t="s">
        <v>389</v>
      </c>
      <c r="B269" s="12" t="s">
        <v>324</v>
      </c>
      <c r="C269" s="13">
        <v>6</v>
      </c>
      <c r="D269" s="13">
        <v>4</v>
      </c>
      <c r="E269" s="13">
        <v>6</v>
      </c>
      <c r="F269" s="13">
        <v>3</v>
      </c>
      <c r="G269" s="13">
        <v>3</v>
      </c>
      <c r="H269" s="13">
        <v>3</v>
      </c>
      <c r="I269" s="13">
        <v>9</v>
      </c>
      <c r="J269" s="13">
        <v>15</v>
      </c>
      <c r="K269" s="13">
        <v>6</v>
      </c>
      <c r="L269" s="13">
        <v>65</v>
      </c>
      <c r="M269" s="14">
        <v>75</v>
      </c>
      <c r="N269">
        <f t="shared" si="22"/>
        <v>45</v>
      </c>
      <c r="O269">
        <f t="shared" si="23"/>
        <v>10</v>
      </c>
      <c r="P269">
        <f t="shared" si="23"/>
        <v>4</v>
      </c>
      <c r="Q269">
        <f t="shared" si="23"/>
        <v>4</v>
      </c>
      <c r="R269">
        <f t="shared" si="23"/>
        <v>4</v>
      </c>
      <c r="S269">
        <v>1</v>
      </c>
      <c r="T269">
        <f t="shared" si="24"/>
        <v>28</v>
      </c>
      <c r="U269">
        <f t="shared" si="25"/>
        <v>17</v>
      </c>
      <c r="V269">
        <f t="shared" si="26"/>
        <v>1</v>
      </c>
    </row>
    <row r="270" spans="1:22" x14ac:dyDescent="0.35">
      <c r="A270" s="7" t="s">
        <v>390</v>
      </c>
      <c r="B270" s="8" t="s">
        <v>391</v>
      </c>
      <c r="C270" s="9">
        <v>0</v>
      </c>
      <c r="D270" s="9">
        <v>5</v>
      </c>
      <c r="E270" s="9">
        <v>3</v>
      </c>
      <c r="F270" s="9">
        <v>3</v>
      </c>
      <c r="G270" s="9">
        <v>3</v>
      </c>
      <c r="H270" s="9">
        <v>5</v>
      </c>
      <c r="I270" s="9">
        <v>27</v>
      </c>
      <c r="J270" s="9">
        <v>30</v>
      </c>
      <c r="K270" s="9">
        <v>23</v>
      </c>
      <c r="L270" s="9">
        <v>16</v>
      </c>
      <c r="M270" s="10">
        <v>21</v>
      </c>
      <c r="N270">
        <f t="shared" si="22"/>
        <v>31.7</v>
      </c>
      <c r="O270">
        <f t="shared" si="23"/>
        <v>4</v>
      </c>
      <c r="P270">
        <f t="shared" si="23"/>
        <v>4</v>
      </c>
      <c r="Q270">
        <f t="shared" si="23"/>
        <v>4</v>
      </c>
      <c r="R270">
        <f t="shared" si="23"/>
        <v>8</v>
      </c>
      <c r="S270">
        <v>1</v>
      </c>
      <c r="T270">
        <f t="shared" si="24"/>
        <v>20</v>
      </c>
      <c r="U270">
        <f t="shared" si="25"/>
        <v>11.7</v>
      </c>
      <c r="V270">
        <f t="shared" si="26"/>
        <v>1</v>
      </c>
    </row>
    <row r="271" spans="1:22" x14ac:dyDescent="0.35">
      <c r="A271" s="11" t="s">
        <v>392</v>
      </c>
      <c r="B271" s="12" t="s">
        <v>16</v>
      </c>
      <c r="C271" s="13">
        <v>5</v>
      </c>
      <c r="D271" s="13">
        <v>2</v>
      </c>
      <c r="E271" s="13">
        <v>5</v>
      </c>
      <c r="F271" s="13">
        <v>5</v>
      </c>
      <c r="G271" s="13">
        <v>6</v>
      </c>
      <c r="H271" s="13">
        <v>5</v>
      </c>
      <c r="I271" s="13">
        <v>17</v>
      </c>
      <c r="J271" s="13">
        <v>23</v>
      </c>
      <c r="K271" s="13">
        <v>33</v>
      </c>
      <c r="L271" s="13">
        <v>16</v>
      </c>
      <c r="M271" s="14">
        <v>62</v>
      </c>
      <c r="N271">
        <f t="shared" si="22"/>
        <v>54.1</v>
      </c>
      <c r="O271">
        <f t="shared" si="23"/>
        <v>8</v>
      </c>
      <c r="P271">
        <f t="shared" si="23"/>
        <v>8</v>
      </c>
      <c r="Q271">
        <f t="shared" si="23"/>
        <v>10</v>
      </c>
      <c r="R271">
        <f t="shared" si="23"/>
        <v>8</v>
      </c>
      <c r="S271">
        <v>1</v>
      </c>
      <c r="T271">
        <f t="shared" si="24"/>
        <v>39</v>
      </c>
      <c r="U271">
        <f t="shared" si="25"/>
        <v>15.1</v>
      </c>
      <c r="V271">
        <f t="shared" si="26"/>
        <v>1</v>
      </c>
    </row>
    <row r="272" spans="1:22" x14ac:dyDescent="0.35">
      <c r="A272" s="7" t="s">
        <v>393</v>
      </c>
      <c r="B272" s="8" t="s">
        <v>251</v>
      </c>
      <c r="C272" s="9">
        <v>2</v>
      </c>
      <c r="D272" s="9">
        <v>5</v>
      </c>
      <c r="E272" s="9">
        <v>3</v>
      </c>
      <c r="F272" s="9">
        <v>6</v>
      </c>
      <c r="G272" s="9">
        <v>6</v>
      </c>
      <c r="H272" s="9">
        <v>2</v>
      </c>
      <c r="I272" s="9">
        <v>87</v>
      </c>
      <c r="J272" s="9">
        <v>23</v>
      </c>
      <c r="K272" s="9">
        <v>15</v>
      </c>
      <c r="L272" s="9">
        <v>44</v>
      </c>
      <c r="M272" s="10">
        <v>30</v>
      </c>
      <c r="N272">
        <f t="shared" si="22"/>
        <v>45.9</v>
      </c>
      <c r="O272">
        <f t="shared" si="23"/>
        <v>4</v>
      </c>
      <c r="P272">
        <f t="shared" si="23"/>
        <v>10</v>
      </c>
      <c r="Q272">
        <f t="shared" si="23"/>
        <v>10</v>
      </c>
      <c r="R272">
        <f t="shared" si="23"/>
        <v>0</v>
      </c>
      <c r="S272">
        <v>1</v>
      </c>
      <c r="T272">
        <f t="shared" si="24"/>
        <v>26</v>
      </c>
      <c r="U272">
        <f t="shared" si="25"/>
        <v>19.899999999999999</v>
      </c>
      <c r="V272">
        <f t="shared" si="26"/>
        <v>1</v>
      </c>
    </row>
    <row r="273" spans="1:22" x14ac:dyDescent="0.35">
      <c r="A273" s="11" t="s">
        <v>394</v>
      </c>
      <c r="B273" s="12" t="s">
        <v>395</v>
      </c>
      <c r="C273" s="13">
        <v>2</v>
      </c>
      <c r="D273" s="13">
        <v>6</v>
      </c>
      <c r="E273" s="13">
        <v>3</v>
      </c>
      <c r="F273" s="13">
        <v>3</v>
      </c>
      <c r="G273" s="13">
        <v>3</v>
      </c>
      <c r="H273" s="13">
        <v>6</v>
      </c>
      <c r="I273" s="13">
        <v>83</v>
      </c>
      <c r="J273" s="13">
        <v>27</v>
      </c>
      <c r="K273" s="13">
        <v>18</v>
      </c>
      <c r="L273" s="13">
        <v>41</v>
      </c>
      <c r="M273" s="14">
        <v>94</v>
      </c>
      <c r="N273">
        <f t="shared" si="22"/>
        <v>52.3</v>
      </c>
      <c r="O273">
        <f t="shared" si="23"/>
        <v>4</v>
      </c>
      <c r="P273">
        <f t="shared" si="23"/>
        <v>4</v>
      </c>
      <c r="Q273">
        <f t="shared" si="23"/>
        <v>4</v>
      </c>
      <c r="R273">
        <f t="shared" si="23"/>
        <v>10</v>
      </c>
      <c r="S273">
        <v>1</v>
      </c>
      <c r="T273">
        <f t="shared" si="24"/>
        <v>26</v>
      </c>
      <c r="U273">
        <f t="shared" si="25"/>
        <v>26.3</v>
      </c>
      <c r="V273">
        <f t="shared" si="26"/>
        <v>0</v>
      </c>
    </row>
    <row r="274" spans="1:22" x14ac:dyDescent="0.35">
      <c r="A274" s="7" t="s">
        <v>396</v>
      </c>
      <c r="B274" s="8" t="s">
        <v>397</v>
      </c>
      <c r="C274" s="9">
        <v>5</v>
      </c>
      <c r="D274" s="9">
        <v>5</v>
      </c>
      <c r="E274" s="9">
        <v>5</v>
      </c>
      <c r="F274" s="9">
        <v>2</v>
      </c>
      <c r="G274" s="9">
        <v>4</v>
      </c>
      <c r="H274" s="9">
        <v>5</v>
      </c>
      <c r="I274" s="9">
        <v>35</v>
      </c>
      <c r="J274" s="9">
        <v>16</v>
      </c>
      <c r="K274" s="9">
        <v>94</v>
      </c>
      <c r="L274" s="9">
        <v>87</v>
      </c>
      <c r="M274" s="10">
        <v>38</v>
      </c>
      <c r="N274">
        <f t="shared" si="22"/>
        <v>54</v>
      </c>
      <c r="O274">
        <f t="shared" si="23"/>
        <v>8</v>
      </c>
      <c r="P274">
        <f t="shared" si="23"/>
        <v>0</v>
      </c>
      <c r="Q274">
        <f t="shared" si="23"/>
        <v>6</v>
      </c>
      <c r="R274">
        <f t="shared" si="23"/>
        <v>8</v>
      </c>
      <c r="S274">
        <v>1</v>
      </c>
      <c r="T274">
        <f t="shared" si="24"/>
        <v>27</v>
      </c>
      <c r="U274">
        <f t="shared" si="25"/>
        <v>27</v>
      </c>
      <c r="V274">
        <f t="shared" si="26"/>
        <v>0</v>
      </c>
    </row>
    <row r="275" spans="1:22" x14ac:dyDescent="0.35">
      <c r="A275" s="11" t="s">
        <v>398</v>
      </c>
      <c r="B275" s="12" t="s">
        <v>399</v>
      </c>
      <c r="C275" s="13">
        <v>0</v>
      </c>
      <c r="D275" s="13">
        <v>5</v>
      </c>
      <c r="E275" s="13">
        <v>3</v>
      </c>
      <c r="F275" s="13">
        <v>3</v>
      </c>
      <c r="G275" s="13">
        <v>2</v>
      </c>
      <c r="H275" s="13">
        <v>2</v>
      </c>
      <c r="I275" s="13">
        <v>92</v>
      </c>
      <c r="J275" s="13">
        <v>79</v>
      </c>
      <c r="K275" s="13">
        <v>94</v>
      </c>
      <c r="L275" s="13">
        <v>42</v>
      </c>
      <c r="M275" s="14">
        <v>95</v>
      </c>
      <c r="N275">
        <f t="shared" si="22"/>
        <v>48.2</v>
      </c>
      <c r="O275">
        <f t="shared" si="23"/>
        <v>4</v>
      </c>
      <c r="P275">
        <f t="shared" si="23"/>
        <v>4</v>
      </c>
      <c r="Q275">
        <f t="shared" si="23"/>
        <v>0</v>
      </c>
      <c r="R275">
        <f t="shared" si="23"/>
        <v>0</v>
      </c>
      <c r="S275">
        <v>1</v>
      </c>
      <c r="T275">
        <f t="shared" si="24"/>
        <v>8</v>
      </c>
      <c r="U275">
        <f t="shared" si="25"/>
        <v>40.200000000000003</v>
      </c>
      <c r="V275">
        <f t="shared" si="26"/>
        <v>0</v>
      </c>
    </row>
    <row r="276" spans="1:22" x14ac:dyDescent="0.35">
      <c r="A276" s="7" t="s">
        <v>75</v>
      </c>
      <c r="B276" s="8" t="s">
        <v>76</v>
      </c>
      <c r="C276" s="9">
        <v>5</v>
      </c>
      <c r="D276" s="9">
        <v>3</v>
      </c>
      <c r="E276" s="9">
        <v>5</v>
      </c>
      <c r="F276" s="9">
        <v>3</v>
      </c>
      <c r="G276" s="9">
        <v>6</v>
      </c>
      <c r="H276" s="9">
        <v>6</v>
      </c>
      <c r="I276" s="9">
        <v>82</v>
      </c>
      <c r="J276" s="9">
        <v>7</v>
      </c>
      <c r="K276" s="9">
        <v>24</v>
      </c>
      <c r="L276" s="9">
        <v>80</v>
      </c>
      <c r="M276" s="10">
        <v>33</v>
      </c>
      <c r="N276">
        <f t="shared" si="22"/>
        <v>59.6</v>
      </c>
      <c r="O276">
        <f t="shared" si="23"/>
        <v>8</v>
      </c>
      <c r="P276">
        <f t="shared" si="23"/>
        <v>4</v>
      </c>
      <c r="Q276">
        <f t="shared" si="23"/>
        <v>10</v>
      </c>
      <c r="R276">
        <f t="shared" si="23"/>
        <v>10</v>
      </c>
      <c r="S276">
        <v>1</v>
      </c>
      <c r="T276">
        <f t="shared" si="24"/>
        <v>37</v>
      </c>
      <c r="U276">
        <f t="shared" si="25"/>
        <v>22.6</v>
      </c>
      <c r="V276">
        <f t="shared" si="26"/>
        <v>1</v>
      </c>
    </row>
    <row r="277" spans="1:22" x14ac:dyDescent="0.35">
      <c r="A277" s="11" t="s">
        <v>400</v>
      </c>
      <c r="B277" s="12" t="s">
        <v>101</v>
      </c>
      <c r="C277" s="13">
        <v>6</v>
      </c>
      <c r="D277" s="13">
        <v>4</v>
      </c>
      <c r="E277" s="13">
        <v>6</v>
      </c>
      <c r="F277" s="13">
        <v>6</v>
      </c>
      <c r="G277" s="13">
        <v>4</v>
      </c>
      <c r="H277" s="13">
        <v>4</v>
      </c>
      <c r="I277" s="13">
        <v>94</v>
      </c>
      <c r="J277" s="13">
        <v>44</v>
      </c>
      <c r="K277" s="13">
        <v>96</v>
      </c>
      <c r="L277" s="13">
        <v>9</v>
      </c>
      <c r="M277" s="14">
        <v>97</v>
      </c>
      <c r="N277">
        <f t="shared" si="22"/>
        <v>72</v>
      </c>
      <c r="O277">
        <f t="shared" si="23"/>
        <v>10</v>
      </c>
      <c r="P277">
        <f t="shared" si="23"/>
        <v>10</v>
      </c>
      <c r="Q277">
        <f t="shared" si="23"/>
        <v>6</v>
      </c>
      <c r="R277">
        <f t="shared" si="23"/>
        <v>6</v>
      </c>
      <c r="S277">
        <v>1</v>
      </c>
      <c r="T277">
        <f t="shared" si="24"/>
        <v>38</v>
      </c>
      <c r="U277">
        <f t="shared" si="25"/>
        <v>34</v>
      </c>
      <c r="V277">
        <f t="shared" si="26"/>
        <v>1</v>
      </c>
    </row>
    <row r="278" spans="1:22" x14ac:dyDescent="0.35">
      <c r="A278" s="7" t="s">
        <v>401</v>
      </c>
      <c r="B278" s="8" t="s">
        <v>402</v>
      </c>
      <c r="C278" s="9">
        <v>3</v>
      </c>
      <c r="D278" s="9">
        <v>5</v>
      </c>
      <c r="E278" s="9">
        <v>3</v>
      </c>
      <c r="F278" s="9">
        <v>6</v>
      </c>
      <c r="G278" s="9">
        <v>4</v>
      </c>
      <c r="H278" s="9">
        <v>2</v>
      </c>
      <c r="I278" s="9">
        <v>32</v>
      </c>
      <c r="J278" s="9">
        <v>50</v>
      </c>
      <c r="K278" s="9">
        <v>94</v>
      </c>
      <c r="L278" s="9">
        <v>52</v>
      </c>
      <c r="M278" s="10">
        <v>100</v>
      </c>
      <c r="N278">
        <f t="shared" si="22"/>
        <v>55.8</v>
      </c>
      <c r="O278">
        <f t="shared" si="23"/>
        <v>4</v>
      </c>
      <c r="P278">
        <f t="shared" si="23"/>
        <v>10</v>
      </c>
      <c r="Q278">
        <f t="shared" si="23"/>
        <v>6</v>
      </c>
      <c r="R278">
        <f t="shared" si="23"/>
        <v>0</v>
      </c>
      <c r="S278">
        <v>1</v>
      </c>
      <c r="T278">
        <f t="shared" si="24"/>
        <v>23</v>
      </c>
      <c r="U278">
        <f t="shared" si="25"/>
        <v>32.799999999999997</v>
      </c>
      <c r="V278">
        <f t="shared" si="26"/>
        <v>0</v>
      </c>
    </row>
    <row r="279" spans="1:22" x14ac:dyDescent="0.35">
      <c r="A279" s="11" t="s">
        <v>403</v>
      </c>
      <c r="B279" s="12" t="s">
        <v>64</v>
      </c>
      <c r="C279" s="13">
        <v>3</v>
      </c>
      <c r="D279" s="13">
        <v>2</v>
      </c>
      <c r="E279" s="13">
        <v>3</v>
      </c>
      <c r="F279" s="13">
        <v>5</v>
      </c>
      <c r="G279" s="13">
        <v>3</v>
      </c>
      <c r="H279" s="13">
        <v>6</v>
      </c>
      <c r="I279" s="13">
        <v>84</v>
      </c>
      <c r="J279" s="13">
        <v>53</v>
      </c>
      <c r="K279" s="13">
        <v>73</v>
      </c>
      <c r="L279" s="13">
        <v>7</v>
      </c>
      <c r="M279" s="14">
        <v>3</v>
      </c>
      <c r="N279">
        <f t="shared" si="22"/>
        <v>51</v>
      </c>
      <c r="O279">
        <f t="shared" si="23"/>
        <v>4</v>
      </c>
      <c r="P279">
        <f t="shared" si="23"/>
        <v>8</v>
      </c>
      <c r="Q279">
        <f t="shared" si="23"/>
        <v>4</v>
      </c>
      <c r="R279">
        <f t="shared" si="23"/>
        <v>10</v>
      </c>
      <c r="S279">
        <v>1</v>
      </c>
      <c r="T279">
        <f t="shared" si="24"/>
        <v>29</v>
      </c>
      <c r="U279">
        <f t="shared" si="25"/>
        <v>22</v>
      </c>
      <c r="V279">
        <f t="shared" si="26"/>
        <v>1</v>
      </c>
    </row>
    <row r="280" spans="1:22" x14ac:dyDescent="0.35">
      <c r="A280" s="7" t="s">
        <v>404</v>
      </c>
      <c r="B280" s="8" t="s">
        <v>397</v>
      </c>
      <c r="C280" s="9">
        <v>2</v>
      </c>
      <c r="D280" s="9">
        <v>2</v>
      </c>
      <c r="E280" s="9">
        <v>5</v>
      </c>
      <c r="F280" s="9">
        <v>5</v>
      </c>
      <c r="G280" s="9">
        <v>5</v>
      </c>
      <c r="H280" s="9">
        <v>4</v>
      </c>
      <c r="I280" s="9">
        <v>88</v>
      </c>
      <c r="J280" s="9">
        <v>37</v>
      </c>
      <c r="K280" s="9">
        <v>50</v>
      </c>
      <c r="L280" s="9">
        <v>19</v>
      </c>
      <c r="M280" s="10">
        <v>28</v>
      </c>
      <c r="N280">
        <f t="shared" si="22"/>
        <v>54.2</v>
      </c>
      <c r="O280">
        <f t="shared" si="23"/>
        <v>8</v>
      </c>
      <c r="P280">
        <f t="shared" si="23"/>
        <v>8</v>
      </c>
      <c r="Q280">
        <f t="shared" si="23"/>
        <v>8</v>
      </c>
      <c r="R280">
        <f t="shared" si="23"/>
        <v>6</v>
      </c>
      <c r="S280">
        <v>1</v>
      </c>
      <c r="T280">
        <f t="shared" si="24"/>
        <v>32</v>
      </c>
      <c r="U280">
        <f t="shared" si="25"/>
        <v>22.2</v>
      </c>
      <c r="V280">
        <f t="shared" si="26"/>
        <v>1</v>
      </c>
    </row>
    <row r="281" spans="1:22" x14ac:dyDescent="0.35">
      <c r="A281" s="11" t="s">
        <v>405</v>
      </c>
      <c r="B281" s="12" t="s">
        <v>197</v>
      </c>
      <c r="C281" s="13">
        <v>7</v>
      </c>
      <c r="D281" s="13">
        <v>2</v>
      </c>
      <c r="E281" s="13">
        <v>3</v>
      </c>
      <c r="F281" s="13">
        <v>5</v>
      </c>
      <c r="G281" s="13">
        <v>5</v>
      </c>
      <c r="H281" s="13">
        <v>2</v>
      </c>
      <c r="I281" s="13">
        <v>26</v>
      </c>
      <c r="J281" s="13">
        <v>30</v>
      </c>
      <c r="K281" s="13">
        <v>96</v>
      </c>
      <c r="L281" s="13">
        <v>59</v>
      </c>
      <c r="M281" s="14">
        <v>28</v>
      </c>
      <c r="N281">
        <f t="shared" si="22"/>
        <v>50.9</v>
      </c>
      <c r="O281">
        <f t="shared" si="23"/>
        <v>4</v>
      </c>
      <c r="P281">
        <f t="shared" si="23"/>
        <v>8</v>
      </c>
      <c r="Q281">
        <f t="shared" si="23"/>
        <v>8</v>
      </c>
      <c r="R281">
        <f t="shared" si="23"/>
        <v>0</v>
      </c>
      <c r="S281">
        <v>1</v>
      </c>
      <c r="T281">
        <f t="shared" si="24"/>
        <v>27</v>
      </c>
      <c r="U281">
        <f t="shared" si="25"/>
        <v>23.9</v>
      </c>
      <c r="V281">
        <f t="shared" si="26"/>
        <v>1</v>
      </c>
    </row>
    <row r="282" spans="1:22" x14ac:dyDescent="0.35">
      <c r="A282" s="7" t="s">
        <v>406</v>
      </c>
      <c r="B282" s="8" t="s">
        <v>38</v>
      </c>
      <c r="C282" s="9">
        <v>0</v>
      </c>
      <c r="D282" s="9">
        <v>5</v>
      </c>
      <c r="E282" s="9">
        <v>6</v>
      </c>
      <c r="F282" s="9">
        <v>2</v>
      </c>
      <c r="G282" s="9">
        <v>2</v>
      </c>
      <c r="H282" s="9">
        <v>3</v>
      </c>
      <c r="I282" s="9">
        <v>50</v>
      </c>
      <c r="J282" s="9">
        <v>5</v>
      </c>
      <c r="K282" s="9">
        <v>14</v>
      </c>
      <c r="L282" s="9">
        <v>44</v>
      </c>
      <c r="M282" s="10">
        <v>45</v>
      </c>
      <c r="N282">
        <f t="shared" si="22"/>
        <v>29.8</v>
      </c>
      <c r="O282">
        <f t="shared" si="23"/>
        <v>10</v>
      </c>
      <c r="P282">
        <f t="shared" si="23"/>
        <v>0</v>
      </c>
      <c r="Q282">
        <f t="shared" si="23"/>
        <v>0</v>
      </c>
      <c r="R282">
        <f t="shared" si="23"/>
        <v>4</v>
      </c>
      <c r="S282">
        <v>1</v>
      </c>
      <c r="T282">
        <f t="shared" si="24"/>
        <v>14</v>
      </c>
      <c r="U282">
        <f t="shared" si="25"/>
        <v>15.8</v>
      </c>
      <c r="V282">
        <f t="shared" si="26"/>
        <v>0</v>
      </c>
    </row>
    <row r="283" spans="1:22" x14ac:dyDescent="0.35">
      <c r="A283" s="11" t="s">
        <v>407</v>
      </c>
      <c r="B283" s="12" t="s">
        <v>395</v>
      </c>
      <c r="C283" s="13">
        <v>5</v>
      </c>
      <c r="D283" s="13">
        <v>5</v>
      </c>
      <c r="E283" s="13">
        <v>5</v>
      </c>
      <c r="F283" s="13">
        <v>4</v>
      </c>
      <c r="G283" s="13">
        <v>6</v>
      </c>
      <c r="H283" s="13">
        <v>5</v>
      </c>
      <c r="I283" s="13">
        <v>73</v>
      </c>
      <c r="J283" s="13">
        <v>49</v>
      </c>
      <c r="K283" s="13">
        <v>54</v>
      </c>
      <c r="L283" s="13">
        <v>67</v>
      </c>
      <c r="M283" s="14">
        <v>5</v>
      </c>
      <c r="N283">
        <f t="shared" si="22"/>
        <v>61.8</v>
      </c>
      <c r="O283">
        <f t="shared" si="23"/>
        <v>8</v>
      </c>
      <c r="P283">
        <f t="shared" si="23"/>
        <v>6</v>
      </c>
      <c r="Q283">
        <f t="shared" si="23"/>
        <v>10</v>
      </c>
      <c r="R283">
        <f t="shared" si="23"/>
        <v>8</v>
      </c>
      <c r="S283">
        <v>1</v>
      </c>
      <c r="T283">
        <f t="shared" si="24"/>
        <v>37</v>
      </c>
      <c r="U283">
        <f t="shared" si="25"/>
        <v>24.8</v>
      </c>
      <c r="V283">
        <f t="shared" si="26"/>
        <v>1</v>
      </c>
    </row>
    <row r="284" spans="1:22" x14ac:dyDescent="0.35">
      <c r="A284" s="7" t="s">
        <v>408</v>
      </c>
      <c r="B284" s="8" t="s">
        <v>316</v>
      </c>
      <c r="C284" s="9">
        <v>2</v>
      </c>
      <c r="D284" s="9">
        <v>3</v>
      </c>
      <c r="E284" s="9">
        <v>4</v>
      </c>
      <c r="F284" s="9">
        <v>2</v>
      </c>
      <c r="G284" s="9">
        <v>5</v>
      </c>
      <c r="H284" s="9">
        <v>6</v>
      </c>
      <c r="I284" s="9">
        <v>100</v>
      </c>
      <c r="J284" s="9">
        <v>13</v>
      </c>
      <c r="K284" s="9">
        <v>93</v>
      </c>
      <c r="L284" s="9">
        <v>32</v>
      </c>
      <c r="M284" s="10">
        <v>23</v>
      </c>
      <c r="N284">
        <f t="shared" si="22"/>
        <v>52.1</v>
      </c>
      <c r="O284">
        <f t="shared" si="23"/>
        <v>6</v>
      </c>
      <c r="P284">
        <f t="shared" si="23"/>
        <v>0</v>
      </c>
      <c r="Q284">
        <f t="shared" si="23"/>
        <v>8</v>
      </c>
      <c r="R284">
        <f t="shared" si="23"/>
        <v>10</v>
      </c>
      <c r="S284">
        <v>1</v>
      </c>
      <c r="T284">
        <f t="shared" si="24"/>
        <v>26</v>
      </c>
      <c r="U284">
        <f t="shared" si="25"/>
        <v>26.1</v>
      </c>
      <c r="V284">
        <f t="shared" si="26"/>
        <v>0</v>
      </c>
    </row>
    <row r="285" spans="1:22" x14ac:dyDescent="0.35">
      <c r="A285" s="11" t="s">
        <v>408</v>
      </c>
      <c r="B285" s="12" t="s">
        <v>409</v>
      </c>
      <c r="C285" s="13">
        <v>6</v>
      </c>
      <c r="D285" s="13">
        <v>4</v>
      </c>
      <c r="E285" s="13">
        <v>4</v>
      </c>
      <c r="F285" s="13">
        <v>3</v>
      </c>
      <c r="G285" s="13">
        <v>2</v>
      </c>
      <c r="H285" s="13">
        <v>5</v>
      </c>
      <c r="I285" s="13">
        <v>52</v>
      </c>
      <c r="J285" s="13">
        <v>46</v>
      </c>
      <c r="K285" s="13">
        <v>54</v>
      </c>
      <c r="L285" s="13">
        <v>22</v>
      </c>
      <c r="M285" s="14">
        <v>42</v>
      </c>
      <c r="N285">
        <f t="shared" si="22"/>
        <v>45.6</v>
      </c>
      <c r="O285">
        <f t="shared" si="23"/>
        <v>6</v>
      </c>
      <c r="P285">
        <f t="shared" si="23"/>
        <v>4</v>
      </c>
      <c r="Q285">
        <f t="shared" si="23"/>
        <v>0</v>
      </c>
      <c r="R285">
        <f t="shared" si="23"/>
        <v>8</v>
      </c>
      <c r="S285">
        <v>1</v>
      </c>
      <c r="T285">
        <f t="shared" si="24"/>
        <v>24</v>
      </c>
      <c r="U285">
        <f t="shared" si="25"/>
        <v>21.6</v>
      </c>
      <c r="V285">
        <f t="shared" si="26"/>
        <v>1</v>
      </c>
    </row>
    <row r="286" spans="1:22" x14ac:dyDescent="0.35">
      <c r="A286" s="7" t="s">
        <v>410</v>
      </c>
      <c r="B286" s="8" t="s">
        <v>70</v>
      </c>
      <c r="C286" s="9">
        <v>2</v>
      </c>
      <c r="D286" s="9">
        <v>5</v>
      </c>
      <c r="E286" s="9">
        <v>6</v>
      </c>
      <c r="F286" s="9">
        <v>4</v>
      </c>
      <c r="G286" s="9">
        <v>6</v>
      </c>
      <c r="H286" s="9">
        <v>3</v>
      </c>
      <c r="I286" s="9">
        <v>88</v>
      </c>
      <c r="J286" s="9">
        <v>14</v>
      </c>
      <c r="K286" s="9">
        <v>98</v>
      </c>
      <c r="L286" s="9">
        <v>46</v>
      </c>
      <c r="M286" s="10">
        <v>66</v>
      </c>
      <c r="N286">
        <f t="shared" si="22"/>
        <v>63.2</v>
      </c>
      <c r="O286">
        <f t="shared" si="23"/>
        <v>10</v>
      </c>
      <c r="P286">
        <f t="shared" si="23"/>
        <v>6</v>
      </c>
      <c r="Q286">
        <f t="shared" si="23"/>
        <v>10</v>
      </c>
      <c r="R286">
        <f t="shared" si="23"/>
        <v>4</v>
      </c>
      <c r="S286">
        <v>1</v>
      </c>
      <c r="T286">
        <f t="shared" si="24"/>
        <v>32</v>
      </c>
      <c r="U286">
        <f t="shared" si="25"/>
        <v>31.2</v>
      </c>
      <c r="V286">
        <f t="shared" si="26"/>
        <v>1</v>
      </c>
    </row>
    <row r="287" spans="1:22" x14ac:dyDescent="0.35">
      <c r="A287" s="11" t="s">
        <v>411</v>
      </c>
      <c r="B287" s="12" t="s">
        <v>412</v>
      </c>
      <c r="C287" s="13">
        <v>3</v>
      </c>
      <c r="D287" s="13">
        <v>2</v>
      </c>
      <c r="E287" s="13">
        <v>4</v>
      </c>
      <c r="F287" s="13">
        <v>2</v>
      </c>
      <c r="G287" s="13">
        <v>6</v>
      </c>
      <c r="H287" s="13">
        <v>6</v>
      </c>
      <c r="I287" s="13">
        <v>85</v>
      </c>
      <c r="J287" s="13">
        <v>91</v>
      </c>
      <c r="K287" s="13">
        <v>9</v>
      </c>
      <c r="L287" s="13">
        <v>9</v>
      </c>
      <c r="M287" s="14">
        <v>53</v>
      </c>
      <c r="N287">
        <f t="shared" si="22"/>
        <v>53.7</v>
      </c>
      <c r="O287">
        <f t="shared" si="23"/>
        <v>6</v>
      </c>
      <c r="P287">
        <f t="shared" si="23"/>
        <v>0</v>
      </c>
      <c r="Q287">
        <f t="shared" si="23"/>
        <v>10</v>
      </c>
      <c r="R287">
        <f t="shared" si="23"/>
        <v>10</v>
      </c>
      <c r="S287">
        <v>1</v>
      </c>
      <c r="T287">
        <f t="shared" si="24"/>
        <v>29</v>
      </c>
      <c r="U287">
        <f t="shared" si="25"/>
        <v>24.7</v>
      </c>
      <c r="V287">
        <f t="shared" si="26"/>
        <v>1</v>
      </c>
    </row>
    <row r="288" spans="1:22" x14ac:dyDescent="0.35">
      <c r="A288" s="7" t="s">
        <v>413</v>
      </c>
      <c r="B288" s="8" t="s">
        <v>414</v>
      </c>
      <c r="C288" s="9">
        <v>3</v>
      </c>
      <c r="D288" s="9">
        <v>4</v>
      </c>
      <c r="E288" s="9">
        <v>4</v>
      </c>
      <c r="F288" s="9">
        <v>4</v>
      </c>
      <c r="G288" s="9">
        <v>3</v>
      </c>
      <c r="H288" s="9">
        <v>3</v>
      </c>
      <c r="I288" s="9">
        <v>93</v>
      </c>
      <c r="J288" s="9">
        <v>12</v>
      </c>
      <c r="K288" s="9">
        <v>63</v>
      </c>
      <c r="L288" s="9">
        <v>3</v>
      </c>
      <c r="M288" s="10">
        <v>60</v>
      </c>
      <c r="N288">
        <f t="shared" si="22"/>
        <v>46.1</v>
      </c>
      <c r="O288">
        <f t="shared" si="23"/>
        <v>6</v>
      </c>
      <c r="P288">
        <f t="shared" si="23"/>
        <v>6</v>
      </c>
      <c r="Q288">
        <f t="shared" si="23"/>
        <v>4</v>
      </c>
      <c r="R288">
        <f t="shared" si="23"/>
        <v>4</v>
      </c>
      <c r="S288">
        <v>1</v>
      </c>
      <c r="T288">
        <f t="shared" si="24"/>
        <v>23</v>
      </c>
      <c r="U288">
        <f t="shared" si="25"/>
        <v>23.1</v>
      </c>
      <c r="V288">
        <f t="shared" si="26"/>
        <v>0</v>
      </c>
    </row>
    <row r="289" spans="1:22" x14ac:dyDescent="0.35">
      <c r="A289" s="11" t="s">
        <v>40</v>
      </c>
      <c r="B289" s="12" t="s">
        <v>43</v>
      </c>
      <c r="C289" s="13">
        <v>0</v>
      </c>
      <c r="D289" s="13">
        <v>6</v>
      </c>
      <c r="E289" s="13">
        <v>3</v>
      </c>
      <c r="F289" s="13">
        <v>5</v>
      </c>
      <c r="G289" s="13">
        <v>6</v>
      </c>
      <c r="H289" s="13">
        <v>3</v>
      </c>
      <c r="I289" s="13">
        <v>67</v>
      </c>
      <c r="J289" s="13">
        <v>66</v>
      </c>
      <c r="K289" s="13">
        <v>56</v>
      </c>
      <c r="L289" s="13">
        <v>41</v>
      </c>
      <c r="M289" s="14">
        <v>26</v>
      </c>
      <c r="N289">
        <f t="shared" si="22"/>
        <v>53.6</v>
      </c>
      <c r="O289">
        <f t="shared" si="23"/>
        <v>4</v>
      </c>
      <c r="P289">
        <f t="shared" si="23"/>
        <v>8</v>
      </c>
      <c r="Q289">
        <f t="shared" si="23"/>
        <v>10</v>
      </c>
      <c r="R289">
        <f t="shared" si="23"/>
        <v>4</v>
      </c>
      <c r="S289">
        <v>1</v>
      </c>
      <c r="T289">
        <f t="shared" si="24"/>
        <v>28</v>
      </c>
      <c r="U289">
        <f t="shared" si="25"/>
        <v>25.6</v>
      </c>
      <c r="V289">
        <f t="shared" si="26"/>
        <v>1</v>
      </c>
    </row>
    <row r="290" spans="1:22" x14ac:dyDescent="0.35">
      <c r="A290" s="7" t="s">
        <v>415</v>
      </c>
      <c r="B290" s="8" t="s">
        <v>416</v>
      </c>
      <c r="C290" s="9">
        <v>4</v>
      </c>
      <c r="D290" s="9">
        <v>5</v>
      </c>
      <c r="E290" s="9">
        <v>6</v>
      </c>
      <c r="F290" s="9">
        <v>5</v>
      </c>
      <c r="G290" s="9">
        <v>2</v>
      </c>
      <c r="H290" s="9">
        <v>4</v>
      </c>
      <c r="I290" s="9">
        <v>65</v>
      </c>
      <c r="J290" s="9">
        <v>75</v>
      </c>
      <c r="K290" s="9">
        <v>95</v>
      </c>
      <c r="L290" s="9">
        <v>100</v>
      </c>
      <c r="M290" s="10">
        <v>89</v>
      </c>
      <c r="N290">
        <f t="shared" si="22"/>
        <v>70.400000000000006</v>
      </c>
      <c r="O290">
        <f t="shared" si="23"/>
        <v>10</v>
      </c>
      <c r="P290">
        <f t="shared" si="23"/>
        <v>8</v>
      </c>
      <c r="Q290">
        <f t="shared" si="23"/>
        <v>0</v>
      </c>
      <c r="R290">
        <f t="shared" si="23"/>
        <v>6</v>
      </c>
      <c r="S290">
        <v>1</v>
      </c>
      <c r="T290">
        <f t="shared" si="24"/>
        <v>28</v>
      </c>
      <c r="U290">
        <f t="shared" si="25"/>
        <v>42.4</v>
      </c>
      <c r="V290">
        <f t="shared" si="26"/>
        <v>0</v>
      </c>
    </row>
    <row r="291" spans="1:22" x14ac:dyDescent="0.35">
      <c r="A291" s="11" t="s">
        <v>417</v>
      </c>
      <c r="B291" s="12" t="s">
        <v>110</v>
      </c>
      <c r="C291" s="13">
        <v>1</v>
      </c>
      <c r="D291" s="13">
        <v>3</v>
      </c>
      <c r="E291" s="13">
        <v>5</v>
      </c>
      <c r="F291" s="13">
        <v>2</v>
      </c>
      <c r="G291" s="13">
        <v>2</v>
      </c>
      <c r="H291" s="13">
        <v>5</v>
      </c>
      <c r="I291" s="13">
        <v>45</v>
      </c>
      <c r="J291" s="13">
        <v>30</v>
      </c>
      <c r="K291" s="13">
        <v>64</v>
      </c>
      <c r="L291" s="13">
        <v>95</v>
      </c>
      <c r="M291" s="14">
        <v>83</v>
      </c>
      <c r="N291">
        <f t="shared" si="22"/>
        <v>48.7</v>
      </c>
      <c r="O291">
        <f t="shared" si="23"/>
        <v>8</v>
      </c>
      <c r="P291">
        <f t="shared" si="23"/>
        <v>0</v>
      </c>
      <c r="Q291">
        <f t="shared" si="23"/>
        <v>0</v>
      </c>
      <c r="R291">
        <f t="shared" si="23"/>
        <v>8</v>
      </c>
      <c r="S291">
        <v>1</v>
      </c>
      <c r="T291">
        <f t="shared" si="24"/>
        <v>17</v>
      </c>
      <c r="U291">
        <f t="shared" si="25"/>
        <v>31.7</v>
      </c>
      <c r="V291">
        <f t="shared" si="26"/>
        <v>0</v>
      </c>
    </row>
    <row r="292" spans="1:22" x14ac:dyDescent="0.35">
      <c r="A292" s="7" t="s">
        <v>418</v>
      </c>
      <c r="B292" s="8" t="s">
        <v>171</v>
      </c>
      <c r="C292" s="9">
        <v>4</v>
      </c>
      <c r="D292" s="9">
        <v>6</v>
      </c>
      <c r="E292" s="9">
        <v>4</v>
      </c>
      <c r="F292" s="9">
        <v>2</v>
      </c>
      <c r="G292" s="9">
        <v>3</v>
      </c>
      <c r="H292" s="9">
        <v>5</v>
      </c>
      <c r="I292" s="9">
        <v>40</v>
      </c>
      <c r="J292" s="9">
        <v>80</v>
      </c>
      <c r="K292" s="9">
        <v>8</v>
      </c>
      <c r="L292" s="9">
        <v>99</v>
      </c>
      <c r="M292" s="10">
        <v>20</v>
      </c>
      <c r="N292">
        <f t="shared" si="22"/>
        <v>48.7</v>
      </c>
      <c r="O292">
        <f t="shared" si="23"/>
        <v>6</v>
      </c>
      <c r="P292">
        <f t="shared" si="23"/>
        <v>0</v>
      </c>
      <c r="Q292">
        <f t="shared" si="23"/>
        <v>4</v>
      </c>
      <c r="R292">
        <f t="shared" si="23"/>
        <v>8</v>
      </c>
      <c r="S292">
        <v>1</v>
      </c>
      <c r="T292">
        <f t="shared" si="24"/>
        <v>24</v>
      </c>
      <c r="U292">
        <f t="shared" si="25"/>
        <v>24.7</v>
      </c>
      <c r="V292">
        <f t="shared" si="26"/>
        <v>0</v>
      </c>
    </row>
    <row r="293" spans="1:22" x14ac:dyDescent="0.35">
      <c r="A293" s="11" t="s">
        <v>419</v>
      </c>
      <c r="B293" s="12" t="s">
        <v>260</v>
      </c>
      <c r="C293" s="13">
        <v>6</v>
      </c>
      <c r="D293" s="13">
        <v>3</v>
      </c>
      <c r="E293" s="13">
        <v>6</v>
      </c>
      <c r="F293" s="13">
        <v>2</v>
      </c>
      <c r="G293" s="13">
        <v>4</v>
      </c>
      <c r="H293" s="13">
        <v>6</v>
      </c>
      <c r="I293" s="13">
        <v>47</v>
      </c>
      <c r="J293" s="13">
        <v>54</v>
      </c>
      <c r="K293" s="13">
        <v>40</v>
      </c>
      <c r="L293" s="13">
        <v>83</v>
      </c>
      <c r="M293" s="14">
        <v>16</v>
      </c>
      <c r="N293">
        <f t="shared" si="22"/>
        <v>56</v>
      </c>
      <c r="O293">
        <f t="shared" si="23"/>
        <v>10</v>
      </c>
      <c r="P293">
        <f t="shared" si="23"/>
        <v>0</v>
      </c>
      <c r="Q293">
        <f t="shared" si="23"/>
        <v>6</v>
      </c>
      <c r="R293">
        <f t="shared" si="23"/>
        <v>10</v>
      </c>
      <c r="S293">
        <v>1</v>
      </c>
      <c r="T293">
        <f t="shared" si="24"/>
        <v>32</v>
      </c>
      <c r="U293">
        <f t="shared" si="25"/>
        <v>24</v>
      </c>
      <c r="V293">
        <f t="shared" si="26"/>
        <v>1</v>
      </c>
    </row>
    <row r="294" spans="1:22" x14ac:dyDescent="0.35">
      <c r="A294" s="7" t="s">
        <v>420</v>
      </c>
      <c r="B294" s="8" t="s">
        <v>188</v>
      </c>
      <c r="C294" s="9">
        <v>3</v>
      </c>
      <c r="D294" s="9">
        <v>2</v>
      </c>
      <c r="E294" s="9">
        <v>4</v>
      </c>
      <c r="F294" s="9">
        <v>5</v>
      </c>
      <c r="G294" s="9">
        <v>4</v>
      </c>
      <c r="H294" s="9">
        <v>6</v>
      </c>
      <c r="I294" s="9">
        <v>99</v>
      </c>
      <c r="J294" s="9">
        <v>60</v>
      </c>
      <c r="K294" s="9">
        <v>96</v>
      </c>
      <c r="L294" s="9">
        <v>89</v>
      </c>
      <c r="M294" s="10">
        <v>29</v>
      </c>
      <c r="N294">
        <f t="shared" si="22"/>
        <v>70.3</v>
      </c>
      <c r="O294">
        <f t="shared" si="23"/>
        <v>6</v>
      </c>
      <c r="P294">
        <f t="shared" si="23"/>
        <v>8</v>
      </c>
      <c r="Q294">
        <f t="shared" si="23"/>
        <v>6</v>
      </c>
      <c r="R294">
        <f t="shared" si="23"/>
        <v>10</v>
      </c>
      <c r="S294">
        <v>1</v>
      </c>
      <c r="T294">
        <f t="shared" si="24"/>
        <v>33</v>
      </c>
      <c r="U294">
        <f t="shared" si="25"/>
        <v>37.299999999999997</v>
      </c>
      <c r="V294">
        <f t="shared" si="26"/>
        <v>0</v>
      </c>
    </row>
    <row r="295" spans="1:22" x14ac:dyDescent="0.35">
      <c r="A295" s="11" t="s">
        <v>421</v>
      </c>
      <c r="B295" s="12" t="s">
        <v>249</v>
      </c>
      <c r="C295" s="13">
        <v>8</v>
      </c>
      <c r="D295" s="13">
        <v>2</v>
      </c>
      <c r="E295" s="13">
        <v>2</v>
      </c>
      <c r="F295" s="13">
        <v>4</v>
      </c>
      <c r="G295" s="13">
        <v>3</v>
      </c>
      <c r="H295" s="13">
        <v>5</v>
      </c>
      <c r="I295" s="13">
        <v>83</v>
      </c>
      <c r="J295" s="13">
        <v>29</v>
      </c>
      <c r="K295" s="13">
        <v>91</v>
      </c>
      <c r="L295" s="13">
        <v>26</v>
      </c>
      <c r="M295" s="14">
        <v>21</v>
      </c>
      <c r="N295">
        <f t="shared" si="22"/>
        <v>51</v>
      </c>
      <c r="O295">
        <f t="shared" si="23"/>
        <v>0</v>
      </c>
      <c r="P295">
        <f t="shared" si="23"/>
        <v>6</v>
      </c>
      <c r="Q295">
        <f t="shared" si="23"/>
        <v>4</v>
      </c>
      <c r="R295">
        <f t="shared" si="23"/>
        <v>8</v>
      </c>
      <c r="S295">
        <v>1</v>
      </c>
      <c r="T295">
        <f t="shared" si="24"/>
        <v>26</v>
      </c>
      <c r="U295">
        <f t="shared" si="25"/>
        <v>25</v>
      </c>
      <c r="V295">
        <f t="shared" si="26"/>
        <v>1</v>
      </c>
    </row>
    <row r="296" spans="1:22" x14ac:dyDescent="0.35">
      <c r="A296" s="7" t="s">
        <v>422</v>
      </c>
      <c r="B296" s="8" t="s">
        <v>340</v>
      </c>
      <c r="C296" s="9">
        <v>0</v>
      </c>
      <c r="D296" s="9">
        <v>4</v>
      </c>
      <c r="E296" s="9">
        <v>3</v>
      </c>
      <c r="F296" s="9">
        <v>6</v>
      </c>
      <c r="G296" s="9">
        <v>5</v>
      </c>
      <c r="H296" s="9">
        <v>5</v>
      </c>
      <c r="I296" s="9">
        <v>5</v>
      </c>
      <c r="J296" s="9">
        <v>26</v>
      </c>
      <c r="K296" s="9">
        <v>6</v>
      </c>
      <c r="L296" s="9">
        <v>82</v>
      </c>
      <c r="M296" s="10">
        <v>94</v>
      </c>
      <c r="N296">
        <f t="shared" si="22"/>
        <v>51.3</v>
      </c>
      <c r="O296">
        <f t="shared" si="23"/>
        <v>4</v>
      </c>
      <c r="P296">
        <f t="shared" si="23"/>
        <v>10</v>
      </c>
      <c r="Q296">
        <f t="shared" si="23"/>
        <v>8</v>
      </c>
      <c r="R296">
        <f t="shared" si="23"/>
        <v>8</v>
      </c>
      <c r="S296">
        <v>1</v>
      </c>
      <c r="T296">
        <f t="shared" si="24"/>
        <v>30</v>
      </c>
      <c r="U296">
        <f t="shared" si="25"/>
        <v>21.3</v>
      </c>
      <c r="V296">
        <f t="shared" si="26"/>
        <v>1</v>
      </c>
    </row>
    <row r="297" spans="1:22" x14ac:dyDescent="0.35">
      <c r="A297" s="11" t="s">
        <v>423</v>
      </c>
      <c r="B297" s="12" t="s">
        <v>76</v>
      </c>
      <c r="C297" s="13">
        <v>5</v>
      </c>
      <c r="D297" s="13">
        <v>3</v>
      </c>
      <c r="E297" s="13">
        <v>3</v>
      </c>
      <c r="F297" s="13">
        <v>3</v>
      </c>
      <c r="G297" s="13">
        <v>4</v>
      </c>
      <c r="H297" s="13">
        <v>3</v>
      </c>
      <c r="I297" s="13">
        <v>97</v>
      </c>
      <c r="J297" s="13">
        <v>83</v>
      </c>
      <c r="K297" s="13">
        <v>27</v>
      </c>
      <c r="L297" s="13">
        <v>61</v>
      </c>
      <c r="M297" s="14">
        <v>34</v>
      </c>
      <c r="N297">
        <f t="shared" si="22"/>
        <v>53.2</v>
      </c>
      <c r="O297">
        <f t="shared" si="23"/>
        <v>4</v>
      </c>
      <c r="P297">
        <f t="shared" si="23"/>
        <v>4</v>
      </c>
      <c r="Q297">
        <f t="shared" si="23"/>
        <v>6</v>
      </c>
      <c r="R297">
        <f t="shared" si="23"/>
        <v>4</v>
      </c>
      <c r="S297">
        <v>1</v>
      </c>
      <c r="T297">
        <f t="shared" si="24"/>
        <v>23</v>
      </c>
      <c r="U297">
        <f t="shared" si="25"/>
        <v>30.2</v>
      </c>
      <c r="V297">
        <f t="shared" si="26"/>
        <v>0</v>
      </c>
    </row>
    <row r="298" spans="1:22" x14ac:dyDescent="0.35">
      <c r="A298" s="7" t="s">
        <v>424</v>
      </c>
      <c r="B298" s="8" t="s">
        <v>425</v>
      </c>
      <c r="C298" s="9">
        <v>8</v>
      </c>
      <c r="D298" s="9">
        <v>5</v>
      </c>
      <c r="E298" s="9">
        <v>4</v>
      </c>
      <c r="F298" s="9">
        <v>6</v>
      </c>
      <c r="G298" s="9">
        <v>6</v>
      </c>
      <c r="H298" s="9">
        <v>5</v>
      </c>
      <c r="I298" s="9">
        <v>37</v>
      </c>
      <c r="J298" s="9">
        <v>52</v>
      </c>
      <c r="K298" s="9">
        <v>6</v>
      </c>
      <c r="L298" s="9">
        <v>34</v>
      </c>
      <c r="M298" s="10">
        <v>84</v>
      </c>
      <c r="N298">
        <f t="shared" si="22"/>
        <v>63.3</v>
      </c>
      <c r="O298">
        <f t="shared" si="23"/>
        <v>6</v>
      </c>
      <c r="P298">
        <f t="shared" si="23"/>
        <v>10</v>
      </c>
      <c r="Q298">
        <f t="shared" si="23"/>
        <v>10</v>
      </c>
      <c r="R298">
        <f t="shared" si="23"/>
        <v>8</v>
      </c>
      <c r="S298">
        <v>1</v>
      </c>
      <c r="T298">
        <f t="shared" si="24"/>
        <v>42</v>
      </c>
      <c r="U298">
        <f t="shared" si="25"/>
        <v>21.3</v>
      </c>
      <c r="V298">
        <f t="shared" si="26"/>
        <v>1</v>
      </c>
    </row>
    <row r="299" spans="1:22" x14ac:dyDescent="0.35">
      <c r="A299" s="11" t="s">
        <v>426</v>
      </c>
      <c r="B299" s="12" t="s">
        <v>427</v>
      </c>
      <c r="C299" s="13">
        <v>5</v>
      </c>
      <c r="D299" s="13">
        <v>2</v>
      </c>
      <c r="E299" s="13">
        <v>5</v>
      </c>
      <c r="F299" s="13">
        <v>3</v>
      </c>
      <c r="G299" s="13">
        <v>5</v>
      </c>
      <c r="H299" s="13">
        <v>5</v>
      </c>
      <c r="I299" s="13">
        <v>30</v>
      </c>
      <c r="J299" s="13">
        <v>42</v>
      </c>
      <c r="K299" s="13">
        <v>80</v>
      </c>
      <c r="L299" s="13">
        <v>74</v>
      </c>
      <c r="M299" s="14">
        <v>75</v>
      </c>
      <c r="N299">
        <f t="shared" si="22"/>
        <v>63.1</v>
      </c>
      <c r="O299">
        <f t="shared" si="23"/>
        <v>8</v>
      </c>
      <c r="P299">
        <f t="shared" si="23"/>
        <v>4</v>
      </c>
      <c r="Q299">
        <f t="shared" si="23"/>
        <v>8</v>
      </c>
      <c r="R299">
        <f t="shared" si="23"/>
        <v>8</v>
      </c>
      <c r="S299">
        <v>1</v>
      </c>
      <c r="T299">
        <f t="shared" si="24"/>
        <v>33</v>
      </c>
      <c r="U299">
        <f t="shared" si="25"/>
        <v>30.1</v>
      </c>
      <c r="V299">
        <f t="shared" si="26"/>
        <v>1</v>
      </c>
    </row>
    <row r="300" spans="1:22" x14ac:dyDescent="0.35">
      <c r="A300" s="7" t="s">
        <v>428</v>
      </c>
      <c r="B300" s="8" t="s">
        <v>429</v>
      </c>
      <c r="C300" s="9">
        <v>3</v>
      </c>
      <c r="D300" s="9">
        <v>2</v>
      </c>
      <c r="E300" s="9">
        <v>5</v>
      </c>
      <c r="F300" s="9">
        <v>5</v>
      </c>
      <c r="G300" s="9">
        <v>2</v>
      </c>
      <c r="H300" s="9">
        <v>2</v>
      </c>
      <c r="I300" s="9">
        <v>81</v>
      </c>
      <c r="J300" s="9">
        <v>88</v>
      </c>
      <c r="K300" s="9">
        <v>99</v>
      </c>
      <c r="L300" s="9">
        <v>75</v>
      </c>
      <c r="M300" s="10">
        <v>60</v>
      </c>
      <c r="N300">
        <f t="shared" si="22"/>
        <v>59.3</v>
      </c>
      <c r="O300">
        <f t="shared" si="23"/>
        <v>8</v>
      </c>
      <c r="P300">
        <f t="shared" si="23"/>
        <v>8</v>
      </c>
      <c r="Q300">
        <f t="shared" si="23"/>
        <v>0</v>
      </c>
      <c r="R300">
        <f t="shared" si="23"/>
        <v>0</v>
      </c>
      <c r="S300">
        <v>1</v>
      </c>
      <c r="T300">
        <f t="shared" si="24"/>
        <v>19</v>
      </c>
      <c r="U300">
        <f t="shared" si="25"/>
        <v>40.299999999999997</v>
      </c>
      <c r="V300">
        <f t="shared" si="26"/>
        <v>0</v>
      </c>
    </row>
    <row r="301" spans="1:22" x14ac:dyDescent="0.35">
      <c r="A301" s="11" t="s">
        <v>428</v>
      </c>
      <c r="B301" s="12" t="s">
        <v>430</v>
      </c>
      <c r="C301" s="13">
        <v>3</v>
      </c>
      <c r="D301" s="13">
        <v>6</v>
      </c>
      <c r="E301" s="13">
        <v>2</v>
      </c>
      <c r="F301" s="13">
        <v>5</v>
      </c>
      <c r="G301" s="13">
        <v>6</v>
      </c>
      <c r="H301" s="13">
        <v>4</v>
      </c>
      <c r="I301" s="13">
        <v>36</v>
      </c>
      <c r="J301" s="13">
        <v>63</v>
      </c>
      <c r="K301" s="13">
        <v>40</v>
      </c>
      <c r="L301" s="13">
        <v>82</v>
      </c>
      <c r="M301" s="14">
        <v>89</v>
      </c>
      <c r="N301">
        <f t="shared" si="22"/>
        <v>60</v>
      </c>
      <c r="O301">
        <f t="shared" si="23"/>
        <v>0</v>
      </c>
      <c r="P301">
        <f t="shared" si="23"/>
        <v>8</v>
      </c>
      <c r="Q301">
        <f t="shared" si="23"/>
        <v>10</v>
      </c>
      <c r="R301">
        <f t="shared" si="23"/>
        <v>6</v>
      </c>
      <c r="S301">
        <v>1</v>
      </c>
      <c r="T301">
        <f t="shared" si="24"/>
        <v>29</v>
      </c>
      <c r="U301">
        <f t="shared" si="25"/>
        <v>31</v>
      </c>
      <c r="V301">
        <f t="shared" si="26"/>
        <v>0</v>
      </c>
    </row>
    <row r="302" spans="1:22" x14ac:dyDescent="0.35">
      <c r="A302" s="7" t="s">
        <v>431</v>
      </c>
      <c r="B302" s="8" t="s">
        <v>242</v>
      </c>
      <c r="C302" s="9">
        <v>0</v>
      </c>
      <c r="D302" s="9">
        <v>6</v>
      </c>
      <c r="E302" s="9">
        <v>3</v>
      </c>
      <c r="F302" s="9">
        <v>2</v>
      </c>
      <c r="G302" s="9">
        <v>3</v>
      </c>
      <c r="H302" s="9">
        <v>5</v>
      </c>
      <c r="I302" s="9">
        <v>27</v>
      </c>
      <c r="J302" s="9">
        <v>62</v>
      </c>
      <c r="K302" s="9">
        <v>56</v>
      </c>
      <c r="L302" s="9">
        <v>66</v>
      </c>
      <c r="M302" s="10">
        <v>92</v>
      </c>
      <c r="N302">
        <f t="shared" si="22"/>
        <v>48.3</v>
      </c>
      <c r="O302">
        <f t="shared" si="23"/>
        <v>4</v>
      </c>
      <c r="P302">
        <f t="shared" si="23"/>
        <v>0</v>
      </c>
      <c r="Q302">
        <f t="shared" si="23"/>
        <v>4</v>
      </c>
      <c r="R302">
        <f t="shared" si="23"/>
        <v>8</v>
      </c>
      <c r="S302">
        <v>1</v>
      </c>
      <c r="T302">
        <f t="shared" si="24"/>
        <v>18</v>
      </c>
      <c r="U302">
        <f t="shared" si="25"/>
        <v>30.3</v>
      </c>
      <c r="V302">
        <f t="shared" si="26"/>
        <v>0</v>
      </c>
    </row>
    <row r="303" spans="1:22" x14ac:dyDescent="0.35">
      <c r="A303" s="11" t="s">
        <v>432</v>
      </c>
      <c r="B303" s="12" t="s">
        <v>429</v>
      </c>
      <c r="C303" s="13">
        <v>8</v>
      </c>
      <c r="D303" s="13">
        <v>5</v>
      </c>
      <c r="E303" s="13">
        <v>5</v>
      </c>
      <c r="F303" s="13">
        <v>5</v>
      </c>
      <c r="G303" s="13">
        <v>4</v>
      </c>
      <c r="H303" s="13">
        <v>6</v>
      </c>
      <c r="I303" s="13">
        <v>65</v>
      </c>
      <c r="J303" s="13">
        <v>57</v>
      </c>
      <c r="K303" s="13">
        <v>24</v>
      </c>
      <c r="L303" s="13">
        <v>97</v>
      </c>
      <c r="M303" s="14">
        <v>47</v>
      </c>
      <c r="N303">
        <f t="shared" si="22"/>
        <v>69</v>
      </c>
      <c r="O303">
        <f t="shared" si="23"/>
        <v>8</v>
      </c>
      <c r="P303">
        <f t="shared" si="23"/>
        <v>8</v>
      </c>
      <c r="Q303">
        <f t="shared" si="23"/>
        <v>6</v>
      </c>
      <c r="R303">
        <f t="shared" si="23"/>
        <v>10</v>
      </c>
      <c r="S303">
        <v>1</v>
      </c>
      <c r="T303">
        <f t="shared" si="24"/>
        <v>40</v>
      </c>
      <c r="U303">
        <f t="shared" si="25"/>
        <v>29</v>
      </c>
      <c r="V303">
        <f t="shared" si="26"/>
        <v>1</v>
      </c>
    </row>
    <row r="304" spans="1:22" x14ac:dyDescent="0.35">
      <c r="A304" s="7" t="s">
        <v>433</v>
      </c>
      <c r="B304" s="8" t="s">
        <v>434</v>
      </c>
      <c r="C304" s="9">
        <v>5</v>
      </c>
      <c r="D304" s="9">
        <v>2</v>
      </c>
      <c r="E304" s="9">
        <v>6</v>
      </c>
      <c r="F304" s="9">
        <v>4</v>
      </c>
      <c r="G304" s="9">
        <v>5</v>
      </c>
      <c r="H304" s="9">
        <v>6</v>
      </c>
      <c r="I304" s="9">
        <v>35</v>
      </c>
      <c r="J304" s="9">
        <v>77</v>
      </c>
      <c r="K304" s="9">
        <v>82</v>
      </c>
      <c r="L304" s="9">
        <v>42</v>
      </c>
      <c r="M304" s="10">
        <v>17</v>
      </c>
      <c r="N304">
        <f t="shared" si="22"/>
        <v>64.3</v>
      </c>
      <c r="O304">
        <f t="shared" si="23"/>
        <v>10</v>
      </c>
      <c r="P304">
        <f t="shared" si="23"/>
        <v>6</v>
      </c>
      <c r="Q304">
        <f t="shared" si="23"/>
        <v>8</v>
      </c>
      <c r="R304">
        <f t="shared" si="23"/>
        <v>10</v>
      </c>
      <c r="S304">
        <v>1</v>
      </c>
      <c r="T304">
        <f t="shared" si="24"/>
        <v>39</v>
      </c>
      <c r="U304">
        <f t="shared" si="25"/>
        <v>25.3</v>
      </c>
      <c r="V304">
        <f t="shared" si="26"/>
        <v>1</v>
      </c>
    </row>
    <row r="305" spans="1:22" x14ac:dyDescent="0.35">
      <c r="A305" s="11" t="s">
        <v>435</v>
      </c>
      <c r="B305" s="12" t="s">
        <v>436</v>
      </c>
      <c r="C305" s="13">
        <v>3</v>
      </c>
      <c r="D305" s="13">
        <v>5</v>
      </c>
      <c r="E305" s="13">
        <v>5</v>
      </c>
      <c r="F305" s="13">
        <v>2</v>
      </c>
      <c r="G305" s="13">
        <v>3</v>
      </c>
      <c r="H305" s="13">
        <v>6</v>
      </c>
      <c r="I305" s="13">
        <v>47</v>
      </c>
      <c r="J305" s="13">
        <v>52</v>
      </c>
      <c r="K305" s="13">
        <v>43</v>
      </c>
      <c r="L305" s="13">
        <v>47</v>
      </c>
      <c r="M305" s="14">
        <v>3</v>
      </c>
      <c r="N305">
        <f t="shared" si="22"/>
        <v>44.2</v>
      </c>
      <c r="O305">
        <f t="shared" si="23"/>
        <v>8</v>
      </c>
      <c r="P305">
        <f t="shared" si="23"/>
        <v>0</v>
      </c>
      <c r="Q305">
        <f t="shared" si="23"/>
        <v>4</v>
      </c>
      <c r="R305">
        <f t="shared" si="23"/>
        <v>10</v>
      </c>
      <c r="S305">
        <v>1</v>
      </c>
      <c r="T305">
        <f t="shared" si="24"/>
        <v>25</v>
      </c>
      <c r="U305">
        <f t="shared" si="25"/>
        <v>19.2</v>
      </c>
      <c r="V305">
        <f t="shared" si="26"/>
        <v>1</v>
      </c>
    </row>
    <row r="306" spans="1:22" x14ac:dyDescent="0.35">
      <c r="A306" s="7" t="s">
        <v>437</v>
      </c>
      <c r="B306" s="8" t="s">
        <v>438</v>
      </c>
      <c r="C306" s="9">
        <v>5</v>
      </c>
      <c r="D306" s="9">
        <v>2</v>
      </c>
      <c r="E306" s="9">
        <v>6</v>
      </c>
      <c r="F306" s="9">
        <v>3</v>
      </c>
      <c r="G306" s="9">
        <v>3</v>
      </c>
      <c r="H306" s="9">
        <v>5</v>
      </c>
      <c r="I306" s="9">
        <v>69</v>
      </c>
      <c r="J306" s="9">
        <v>15</v>
      </c>
      <c r="K306" s="9">
        <v>39</v>
      </c>
      <c r="L306" s="9">
        <v>69</v>
      </c>
      <c r="M306" s="10">
        <v>39</v>
      </c>
      <c r="N306">
        <f t="shared" si="22"/>
        <v>54.1</v>
      </c>
      <c r="O306">
        <f t="shared" si="23"/>
        <v>10</v>
      </c>
      <c r="P306">
        <f t="shared" si="23"/>
        <v>4</v>
      </c>
      <c r="Q306">
        <f t="shared" si="23"/>
        <v>4</v>
      </c>
      <c r="R306">
        <f t="shared" si="23"/>
        <v>8</v>
      </c>
      <c r="S306">
        <v>1</v>
      </c>
      <c r="T306">
        <f t="shared" si="24"/>
        <v>31</v>
      </c>
      <c r="U306">
        <f t="shared" si="25"/>
        <v>23.1</v>
      </c>
      <c r="V306">
        <f t="shared" si="26"/>
        <v>1</v>
      </c>
    </row>
    <row r="307" spans="1:22" x14ac:dyDescent="0.35">
      <c r="A307" s="11" t="s">
        <v>439</v>
      </c>
      <c r="B307" s="12" t="s">
        <v>395</v>
      </c>
      <c r="C307" s="13">
        <v>0</v>
      </c>
      <c r="D307" s="13">
        <v>3</v>
      </c>
      <c r="E307" s="13">
        <v>6</v>
      </c>
      <c r="F307" s="13">
        <v>4</v>
      </c>
      <c r="G307" s="13">
        <v>3</v>
      </c>
      <c r="H307" s="13">
        <v>6</v>
      </c>
      <c r="I307" s="13">
        <v>35</v>
      </c>
      <c r="J307" s="13">
        <v>41</v>
      </c>
      <c r="K307" s="13">
        <v>92</v>
      </c>
      <c r="L307" s="13">
        <v>96</v>
      </c>
      <c r="M307" s="14">
        <v>19</v>
      </c>
      <c r="N307">
        <f t="shared" si="22"/>
        <v>58.3</v>
      </c>
      <c r="O307">
        <f t="shared" si="23"/>
        <v>10</v>
      </c>
      <c r="P307">
        <f t="shared" si="23"/>
        <v>6</v>
      </c>
      <c r="Q307">
        <f t="shared" si="23"/>
        <v>4</v>
      </c>
      <c r="R307">
        <f t="shared" si="23"/>
        <v>10</v>
      </c>
      <c r="S307">
        <v>1</v>
      </c>
      <c r="T307">
        <f t="shared" si="24"/>
        <v>30</v>
      </c>
      <c r="U307">
        <f t="shared" si="25"/>
        <v>28.3</v>
      </c>
      <c r="V307">
        <f t="shared" si="26"/>
        <v>1</v>
      </c>
    </row>
    <row r="308" spans="1:22" x14ac:dyDescent="0.35">
      <c r="A308" s="7" t="s">
        <v>440</v>
      </c>
      <c r="B308" s="8" t="s">
        <v>251</v>
      </c>
      <c r="C308" s="9">
        <v>1</v>
      </c>
      <c r="D308" s="9">
        <v>6</v>
      </c>
      <c r="E308" s="9">
        <v>6</v>
      </c>
      <c r="F308" s="9">
        <v>5</v>
      </c>
      <c r="G308" s="9">
        <v>3</v>
      </c>
      <c r="H308" s="9">
        <v>6</v>
      </c>
      <c r="I308" s="9">
        <v>8</v>
      </c>
      <c r="J308" s="9">
        <v>17</v>
      </c>
      <c r="K308" s="9">
        <v>37</v>
      </c>
      <c r="L308" s="9">
        <v>10</v>
      </c>
      <c r="M308" s="10">
        <v>56</v>
      </c>
      <c r="N308">
        <f t="shared" si="22"/>
        <v>47.8</v>
      </c>
      <c r="O308">
        <f t="shared" si="23"/>
        <v>10</v>
      </c>
      <c r="P308">
        <f t="shared" si="23"/>
        <v>8</v>
      </c>
      <c r="Q308">
        <f t="shared" si="23"/>
        <v>4</v>
      </c>
      <c r="R308">
        <f t="shared" si="23"/>
        <v>10</v>
      </c>
      <c r="S308">
        <v>1</v>
      </c>
      <c r="T308">
        <f t="shared" si="24"/>
        <v>35</v>
      </c>
      <c r="U308">
        <f t="shared" si="25"/>
        <v>12.8</v>
      </c>
      <c r="V308">
        <f t="shared" si="26"/>
        <v>1</v>
      </c>
    </row>
    <row r="309" spans="1:22" x14ac:dyDescent="0.35">
      <c r="A309" s="11" t="s">
        <v>441</v>
      </c>
      <c r="B309" s="12" t="s">
        <v>177</v>
      </c>
      <c r="C309" s="13">
        <v>2</v>
      </c>
      <c r="D309" s="13">
        <v>5</v>
      </c>
      <c r="E309" s="13">
        <v>6</v>
      </c>
      <c r="F309" s="13">
        <v>2</v>
      </c>
      <c r="G309" s="13">
        <v>5</v>
      </c>
      <c r="H309" s="13">
        <v>3</v>
      </c>
      <c r="I309" s="13">
        <v>44</v>
      </c>
      <c r="J309" s="13">
        <v>32</v>
      </c>
      <c r="K309" s="13">
        <v>4</v>
      </c>
      <c r="L309" s="13">
        <v>95</v>
      </c>
      <c r="M309" s="14">
        <v>55</v>
      </c>
      <c r="N309">
        <f t="shared" si="22"/>
        <v>47</v>
      </c>
      <c r="O309">
        <f t="shared" si="23"/>
        <v>10</v>
      </c>
      <c r="P309">
        <f t="shared" si="23"/>
        <v>0</v>
      </c>
      <c r="Q309">
        <f t="shared" si="23"/>
        <v>8</v>
      </c>
      <c r="R309">
        <f t="shared" si="23"/>
        <v>4</v>
      </c>
      <c r="S309">
        <v>1</v>
      </c>
      <c r="T309">
        <f t="shared" si="24"/>
        <v>24</v>
      </c>
      <c r="U309">
        <f t="shared" si="25"/>
        <v>23</v>
      </c>
      <c r="V309">
        <f t="shared" si="26"/>
        <v>1</v>
      </c>
    </row>
    <row r="310" spans="1:22" x14ac:dyDescent="0.35">
      <c r="A310" s="7" t="s">
        <v>442</v>
      </c>
      <c r="B310" s="8" t="s">
        <v>70</v>
      </c>
      <c r="C310" s="9">
        <v>0</v>
      </c>
      <c r="D310" s="9">
        <v>6</v>
      </c>
      <c r="E310" s="9">
        <v>4</v>
      </c>
      <c r="F310" s="9">
        <v>2</v>
      </c>
      <c r="G310" s="9">
        <v>4</v>
      </c>
      <c r="H310" s="9">
        <v>5</v>
      </c>
      <c r="I310" s="9">
        <v>72</v>
      </c>
      <c r="J310" s="9">
        <v>100</v>
      </c>
      <c r="K310" s="9">
        <v>96</v>
      </c>
      <c r="L310" s="9">
        <v>5</v>
      </c>
      <c r="M310" s="10">
        <v>41</v>
      </c>
      <c r="N310">
        <f t="shared" si="22"/>
        <v>53.4</v>
      </c>
      <c r="O310">
        <f t="shared" si="23"/>
        <v>6</v>
      </c>
      <c r="P310">
        <f t="shared" si="23"/>
        <v>0</v>
      </c>
      <c r="Q310">
        <f t="shared" si="23"/>
        <v>6</v>
      </c>
      <c r="R310">
        <f t="shared" si="23"/>
        <v>8</v>
      </c>
      <c r="S310">
        <v>1</v>
      </c>
      <c r="T310">
        <f t="shared" si="24"/>
        <v>22</v>
      </c>
      <c r="U310">
        <f t="shared" si="25"/>
        <v>31.4</v>
      </c>
      <c r="V310">
        <f t="shared" si="26"/>
        <v>0</v>
      </c>
    </row>
    <row r="311" spans="1:22" x14ac:dyDescent="0.35">
      <c r="A311" s="11" t="s">
        <v>443</v>
      </c>
      <c r="B311" s="12" t="s">
        <v>357</v>
      </c>
      <c r="C311" s="13">
        <v>2</v>
      </c>
      <c r="D311" s="13">
        <v>6</v>
      </c>
      <c r="E311" s="13">
        <v>6</v>
      </c>
      <c r="F311" s="13">
        <v>4</v>
      </c>
      <c r="G311" s="13">
        <v>6</v>
      </c>
      <c r="H311" s="13">
        <v>2</v>
      </c>
      <c r="I311" s="13">
        <v>68</v>
      </c>
      <c r="J311" s="13">
        <v>15</v>
      </c>
      <c r="K311" s="13">
        <v>53</v>
      </c>
      <c r="L311" s="13">
        <v>47</v>
      </c>
      <c r="M311" s="14">
        <v>8</v>
      </c>
      <c r="N311">
        <f t="shared" si="22"/>
        <v>49.1</v>
      </c>
      <c r="O311">
        <f t="shared" si="23"/>
        <v>10</v>
      </c>
      <c r="P311">
        <f t="shared" si="23"/>
        <v>6</v>
      </c>
      <c r="Q311">
        <f t="shared" si="23"/>
        <v>10</v>
      </c>
      <c r="R311">
        <f t="shared" si="23"/>
        <v>0</v>
      </c>
      <c r="S311">
        <v>1</v>
      </c>
      <c r="T311">
        <f t="shared" si="24"/>
        <v>30</v>
      </c>
      <c r="U311">
        <f t="shared" si="25"/>
        <v>19.100000000000001</v>
      </c>
      <c r="V311">
        <f t="shared" si="26"/>
        <v>1</v>
      </c>
    </row>
    <row r="312" spans="1:22" x14ac:dyDescent="0.35">
      <c r="A312" s="7" t="s">
        <v>444</v>
      </c>
      <c r="B312" s="8" t="s">
        <v>445</v>
      </c>
      <c r="C312" s="9">
        <v>0</v>
      </c>
      <c r="D312" s="9">
        <v>3</v>
      </c>
      <c r="E312" s="9">
        <v>5</v>
      </c>
      <c r="F312" s="9">
        <v>2</v>
      </c>
      <c r="G312" s="9">
        <v>3</v>
      </c>
      <c r="H312" s="9">
        <v>6</v>
      </c>
      <c r="I312" s="9">
        <v>33</v>
      </c>
      <c r="J312" s="9">
        <v>86</v>
      </c>
      <c r="K312" s="9">
        <v>90</v>
      </c>
      <c r="L312" s="9">
        <v>78</v>
      </c>
      <c r="M312" s="10">
        <v>15</v>
      </c>
      <c r="N312">
        <f t="shared" si="22"/>
        <v>52.2</v>
      </c>
      <c r="O312">
        <f t="shared" si="23"/>
        <v>8</v>
      </c>
      <c r="P312">
        <f t="shared" si="23"/>
        <v>0</v>
      </c>
      <c r="Q312">
        <f t="shared" si="23"/>
        <v>4</v>
      </c>
      <c r="R312">
        <f t="shared" si="23"/>
        <v>10</v>
      </c>
      <c r="S312">
        <v>1</v>
      </c>
      <c r="T312">
        <f t="shared" si="24"/>
        <v>22</v>
      </c>
      <c r="U312">
        <f t="shared" si="25"/>
        <v>30.2</v>
      </c>
      <c r="V312">
        <f t="shared" si="26"/>
        <v>0</v>
      </c>
    </row>
    <row r="313" spans="1:22" x14ac:dyDescent="0.35">
      <c r="A313" s="11" t="s">
        <v>446</v>
      </c>
      <c r="B313" s="12" t="s">
        <v>30</v>
      </c>
      <c r="C313" s="13">
        <v>3</v>
      </c>
      <c r="D313" s="13">
        <v>2</v>
      </c>
      <c r="E313" s="13">
        <v>5</v>
      </c>
      <c r="F313" s="13">
        <v>3</v>
      </c>
      <c r="G313" s="13">
        <v>3</v>
      </c>
      <c r="H313" s="13">
        <v>4</v>
      </c>
      <c r="I313" s="13">
        <v>95</v>
      </c>
      <c r="J313" s="13">
        <v>25</v>
      </c>
      <c r="K313" s="13">
        <v>48</v>
      </c>
      <c r="L313" s="13">
        <v>27</v>
      </c>
      <c r="M313" s="14">
        <v>23</v>
      </c>
      <c r="N313">
        <f t="shared" si="22"/>
        <v>46.8</v>
      </c>
      <c r="O313">
        <f t="shared" si="23"/>
        <v>8</v>
      </c>
      <c r="P313">
        <f t="shared" si="23"/>
        <v>4</v>
      </c>
      <c r="Q313">
        <f t="shared" si="23"/>
        <v>4</v>
      </c>
      <c r="R313">
        <f t="shared" si="23"/>
        <v>6</v>
      </c>
      <c r="S313">
        <v>1</v>
      </c>
      <c r="T313">
        <f t="shared" si="24"/>
        <v>25</v>
      </c>
      <c r="U313">
        <f t="shared" si="25"/>
        <v>21.8</v>
      </c>
      <c r="V313">
        <f t="shared" si="26"/>
        <v>1</v>
      </c>
    </row>
    <row r="314" spans="1:22" x14ac:dyDescent="0.35">
      <c r="A314" s="7" t="s">
        <v>400</v>
      </c>
      <c r="B314" s="8" t="s">
        <v>409</v>
      </c>
      <c r="C314" s="9">
        <v>0</v>
      </c>
      <c r="D314" s="9">
        <v>4</v>
      </c>
      <c r="E314" s="9">
        <v>5</v>
      </c>
      <c r="F314" s="9">
        <v>6</v>
      </c>
      <c r="G314" s="9">
        <v>3</v>
      </c>
      <c r="H314" s="9">
        <v>5</v>
      </c>
      <c r="I314" s="9">
        <v>66</v>
      </c>
      <c r="J314" s="9">
        <v>31</v>
      </c>
      <c r="K314" s="9">
        <v>5</v>
      </c>
      <c r="L314" s="9">
        <v>9</v>
      </c>
      <c r="M314" s="10">
        <v>38</v>
      </c>
      <c r="N314">
        <f t="shared" si="22"/>
        <v>44.9</v>
      </c>
      <c r="O314">
        <f t="shared" si="23"/>
        <v>8</v>
      </c>
      <c r="P314">
        <f t="shared" si="23"/>
        <v>10</v>
      </c>
      <c r="Q314">
        <f t="shared" si="23"/>
        <v>4</v>
      </c>
      <c r="R314">
        <f t="shared" si="23"/>
        <v>8</v>
      </c>
      <c r="S314">
        <v>1</v>
      </c>
      <c r="T314">
        <f t="shared" si="24"/>
        <v>30</v>
      </c>
      <c r="U314">
        <f t="shared" si="25"/>
        <v>14.9</v>
      </c>
      <c r="V314">
        <f t="shared" si="26"/>
        <v>1</v>
      </c>
    </row>
    <row r="315" spans="1:22" x14ac:dyDescent="0.35">
      <c r="A315" s="11" t="s">
        <v>447</v>
      </c>
      <c r="B315" s="12" t="s">
        <v>448</v>
      </c>
      <c r="C315" s="13">
        <v>0</v>
      </c>
      <c r="D315" s="13">
        <v>4</v>
      </c>
      <c r="E315" s="13">
        <v>4</v>
      </c>
      <c r="F315" s="13">
        <v>5</v>
      </c>
      <c r="G315" s="13">
        <v>4</v>
      </c>
      <c r="H315" s="13">
        <v>3</v>
      </c>
      <c r="I315" s="13">
        <v>82</v>
      </c>
      <c r="J315" s="13">
        <v>31</v>
      </c>
      <c r="K315" s="13">
        <v>77</v>
      </c>
      <c r="L315" s="13">
        <v>49</v>
      </c>
      <c r="M315" s="14">
        <v>81</v>
      </c>
      <c r="N315">
        <f t="shared" si="22"/>
        <v>56</v>
      </c>
      <c r="O315">
        <f t="shared" si="23"/>
        <v>6</v>
      </c>
      <c r="P315">
        <f t="shared" si="23"/>
        <v>8</v>
      </c>
      <c r="Q315">
        <f t="shared" si="23"/>
        <v>6</v>
      </c>
      <c r="R315">
        <f t="shared" si="23"/>
        <v>4</v>
      </c>
      <c r="S315">
        <v>1</v>
      </c>
      <c r="T315">
        <f t="shared" si="24"/>
        <v>24</v>
      </c>
      <c r="U315">
        <f t="shared" si="25"/>
        <v>32</v>
      </c>
      <c r="V315">
        <f t="shared" si="26"/>
        <v>0</v>
      </c>
    </row>
    <row r="316" spans="1:22" x14ac:dyDescent="0.35">
      <c r="A316" s="7" t="s">
        <v>449</v>
      </c>
      <c r="B316" s="8" t="s">
        <v>34</v>
      </c>
      <c r="C316" s="9">
        <v>5</v>
      </c>
      <c r="D316" s="9">
        <v>2</v>
      </c>
      <c r="E316" s="9">
        <v>3</v>
      </c>
      <c r="F316" s="9">
        <v>2</v>
      </c>
      <c r="G316" s="9">
        <v>4</v>
      </c>
      <c r="H316" s="9">
        <v>3</v>
      </c>
      <c r="I316" s="9">
        <v>53</v>
      </c>
      <c r="J316" s="9">
        <v>95</v>
      </c>
      <c r="K316" s="9">
        <v>23</v>
      </c>
      <c r="L316" s="9">
        <v>16</v>
      </c>
      <c r="M316" s="10">
        <v>90</v>
      </c>
      <c r="N316">
        <f t="shared" si="22"/>
        <v>46.7</v>
      </c>
      <c r="O316">
        <f t="shared" si="23"/>
        <v>4</v>
      </c>
      <c r="P316">
        <f t="shared" si="23"/>
        <v>0</v>
      </c>
      <c r="Q316">
        <f t="shared" si="23"/>
        <v>6</v>
      </c>
      <c r="R316">
        <f t="shared" si="23"/>
        <v>4</v>
      </c>
      <c r="S316">
        <v>1</v>
      </c>
      <c r="T316">
        <f t="shared" si="24"/>
        <v>19</v>
      </c>
      <c r="U316">
        <f t="shared" si="25"/>
        <v>27.7</v>
      </c>
      <c r="V316">
        <f t="shared" si="26"/>
        <v>0</v>
      </c>
    </row>
    <row r="317" spans="1:22" x14ac:dyDescent="0.35">
      <c r="A317" s="11" t="s">
        <v>450</v>
      </c>
      <c r="B317" s="12" t="s">
        <v>395</v>
      </c>
      <c r="C317" s="13">
        <v>7</v>
      </c>
      <c r="D317" s="13">
        <v>2</v>
      </c>
      <c r="E317" s="13">
        <v>4</v>
      </c>
      <c r="F317" s="13">
        <v>3</v>
      </c>
      <c r="G317" s="13">
        <v>4</v>
      </c>
      <c r="H317" s="13">
        <v>2</v>
      </c>
      <c r="I317" s="13">
        <v>58</v>
      </c>
      <c r="J317" s="13">
        <v>56</v>
      </c>
      <c r="K317" s="13">
        <v>47</v>
      </c>
      <c r="L317" s="13">
        <v>61</v>
      </c>
      <c r="M317" s="14">
        <v>69</v>
      </c>
      <c r="N317">
        <f t="shared" si="22"/>
        <v>52.1</v>
      </c>
      <c r="O317">
        <f t="shared" si="23"/>
        <v>6</v>
      </c>
      <c r="P317">
        <f t="shared" si="23"/>
        <v>4</v>
      </c>
      <c r="Q317">
        <f t="shared" si="23"/>
        <v>6</v>
      </c>
      <c r="R317">
        <f t="shared" si="23"/>
        <v>0</v>
      </c>
      <c r="S317">
        <v>1</v>
      </c>
      <c r="T317">
        <f t="shared" si="24"/>
        <v>23</v>
      </c>
      <c r="U317">
        <f t="shared" si="25"/>
        <v>29.1</v>
      </c>
      <c r="V317">
        <f t="shared" si="26"/>
        <v>0</v>
      </c>
    </row>
    <row r="318" spans="1:22" x14ac:dyDescent="0.35">
      <c r="A318" s="7" t="s">
        <v>163</v>
      </c>
      <c r="B318" s="8" t="s">
        <v>164</v>
      </c>
      <c r="C318" s="9">
        <v>6</v>
      </c>
      <c r="D318" s="9">
        <v>6</v>
      </c>
      <c r="E318" s="9">
        <v>4</v>
      </c>
      <c r="F318" s="9">
        <v>3</v>
      </c>
      <c r="G318" s="9">
        <v>2</v>
      </c>
      <c r="H318" s="9">
        <v>3</v>
      </c>
      <c r="I318" s="9">
        <v>88</v>
      </c>
      <c r="J318" s="9">
        <v>10</v>
      </c>
      <c r="K318" s="9">
        <v>92</v>
      </c>
      <c r="L318" s="9">
        <v>82</v>
      </c>
      <c r="M318" s="10">
        <v>2</v>
      </c>
      <c r="N318">
        <f t="shared" si="22"/>
        <v>49.4</v>
      </c>
      <c r="O318">
        <f t="shared" si="23"/>
        <v>6</v>
      </c>
      <c r="P318">
        <f t="shared" si="23"/>
        <v>4</v>
      </c>
      <c r="Q318">
        <f t="shared" si="23"/>
        <v>0</v>
      </c>
      <c r="R318">
        <f t="shared" si="23"/>
        <v>4</v>
      </c>
      <c r="S318">
        <v>1</v>
      </c>
      <c r="T318">
        <f t="shared" si="24"/>
        <v>22</v>
      </c>
      <c r="U318">
        <f t="shared" si="25"/>
        <v>27.4</v>
      </c>
      <c r="V318">
        <f t="shared" si="26"/>
        <v>0</v>
      </c>
    </row>
    <row r="319" spans="1:22" x14ac:dyDescent="0.35">
      <c r="A319" s="11" t="s">
        <v>451</v>
      </c>
      <c r="B319" s="12" t="s">
        <v>23</v>
      </c>
      <c r="C319" s="13">
        <v>6</v>
      </c>
      <c r="D319" s="13">
        <v>4</v>
      </c>
      <c r="E319" s="13">
        <v>2</v>
      </c>
      <c r="F319" s="13">
        <v>3</v>
      </c>
      <c r="G319" s="13">
        <v>5</v>
      </c>
      <c r="H319" s="13">
        <v>4</v>
      </c>
      <c r="I319" s="13">
        <v>50</v>
      </c>
      <c r="J319" s="13">
        <v>3</v>
      </c>
      <c r="K319" s="13">
        <v>27</v>
      </c>
      <c r="L319" s="13">
        <v>70</v>
      </c>
      <c r="M319" s="14">
        <v>25</v>
      </c>
      <c r="N319">
        <f t="shared" si="22"/>
        <v>41.5</v>
      </c>
      <c r="O319">
        <f t="shared" si="23"/>
        <v>0</v>
      </c>
      <c r="P319">
        <f t="shared" si="23"/>
        <v>4</v>
      </c>
      <c r="Q319">
        <f t="shared" si="23"/>
        <v>8</v>
      </c>
      <c r="R319">
        <f t="shared" si="23"/>
        <v>6</v>
      </c>
      <c r="S319">
        <v>1</v>
      </c>
      <c r="T319">
        <f t="shared" si="24"/>
        <v>24</v>
      </c>
      <c r="U319">
        <f t="shared" si="25"/>
        <v>17.5</v>
      </c>
      <c r="V319">
        <f t="shared" si="26"/>
        <v>1</v>
      </c>
    </row>
    <row r="320" spans="1:22" x14ac:dyDescent="0.35">
      <c r="A320" s="7" t="s">
        <v>283</v>
      </c>
      <c r="B320" s="8" t="s">
        <v>452</v>
      </c>
      <c r="C320" s="9">
        <v>8</v>
      </c>
      <c r="D320" s="9">
        <v>2</v>
      </c>
      <c r="E320" s="9">
        <v>5</v>
      </c>
      <c r="F320" s="9">
        <v>3</v>
      </c>
      <c r="G320" s="9">
        <v>2</v>
      </c>
      <c r="H320" s="9">
        <v>3</v>
      </c>
      <c r="I320" s="9">
        <v>93</v>
      </c>
      <c r="J320" s="9">
        <v>98</v>
      </c>
      <c r="K320" s="9">
        <v>43</v>
      </c>
      <c r="L320" s="9">
        <v>97</v>
      </c>
      <c r="M320" s="10">
        <v>90</v>
      </c>
      <c r="N320">
        <f t="shared" si="22"/>
        <v>66.099999999999994</v>
      </c>
      <c r="O320">
        <f t="shared" si="23"/>
        <v>8</v>
      </c>
      <c r="P320">
        <f t="shared" si="23"/>
        <v>4</v>
      </c>
      <c r="Q320">
        <f t="shared" si="23"/>
        <v>0</v>
      </c>
      <c r="R320">
        <f t="shared" si="23"/>
        <v>4</v>
      </c>
      <c r="S320">
        <v>1</v>
      </c>
      <c r="T320">
        <f t="shared" si="24"/>
        <v>24</v>
      </c>
      <c r="U320">
        <f t="shared" si="25"/>
        <v>42.1</v>
      </c>
      <c r="V320">
        <f t="shared" si="26"/>
        <v>0</v>
      </c>
    </row>
    <row r="321" spans="1:22" x14ac:dyDescent="0.35">
      <c r="A321" s="11" t="s">
        <v>453</v>
      </c>
      <c r="B321" s="12" t="s">
        <v>130</v>
      </c>
      <c r="C321" s="13">
        <v>6</v>
      </c>
      <c r="D321" s="13">
        <v>4</v>
      </c>
      <c r="E321" s="13">
        <v>4</v>
      </c>
      <c r="F321" s="13">
        <v>5</v>
      </c>
      <c r="G321" s="13">
        <v>2</v>
      </c>
      <c r="H321" s="13">
        <v>4</v>
      </c>
      <c r="I321" s="13">
        <v>41</v>
      </c>
      <c r="J321" s="13">
        <v>62</v>
      </c>
      <c r="K321" s="13">
        <v>60</v>
      </c>
      <c r="L321" s="13">
        <v>18</v>
      </c>
      <c r="M321" s="14">
        <v>83</v>
      </c>
      <c r="N321">
        <f t="shared" si="22"/>
        <v>52.4</v>
      </c>
      <c r="O321">
        <f t="shared" si="23"/>
        <v>6</v>
      </c>
      <c r="P321">
        <f t="shared" si="23"/>
        <v>8</v>
      </c>
      <c r="Q321">
        <f t="shared" si="23"/>
        <v>0</v>
      </c>
      <c r="R321">
        <f t="shared" si="23"/>
        <v>6</v>
      </c>
      <c r="S321">
        <v>1</v>
      </c>
      <c r="T321">
        <f t="shared" si="24"/>
        <v>26</v>
      </c>
      <c r="U321">
        <f t="shared" si="25"/>
        <v>26.4</v>
      </c>
      <c r="V321">
        <f t="shared" si="26"/>
        <v>0</v>
      </c>
    </row>
    <row r="322" spans="1:22" x14ac:dyDescent="0.35">
      <c r="A322" s="7" t="s">
        <v>454</v>
      </c>
      <c r="B322" s="8" t="s">
        <v>369</v>
      </c>
      <c r="C322" s="9">
        <v>3</v>
      </c>
      <c r="D322" s="9">
        <v>2</v>
      </c>
      <c r="E322" s="9">
        <v>3</v>
      </c>
      <c r="F322" s="9">
        <v>4</v>
      </c>
      <c r="G322" s="9">
        <v>2</v>
      </c>
      <c r="H322" s="9">
        <v>4</v>
      </c>
      <c r="I322" s="9">
        <v>90</v>
      </c>
      <c r="J322" s="9">
        <v>26</v>
      </c>
      <c r="K322" s="9">
        <v>50</v>
      </c>
      <c r="L322" s="9">
        <v>74</v>
      </c>
      <c r="M322" s="10">
        <v>53</v>
      </c>
      <c r="N322">
        <f t="shared" si="22"/>
        <v>48.3</v>
      </c>
      <c r="O322">
        <f t="shared" si="23"/>
        <v>4</v>
      </c>
      <c r="P322">
        <f t="shared" si="23"/>
        <v>6</v>
      </c>
      <c r="Q322">
        <f t="shared" si="23"/>
        <v>0</v>
      </c>
      <c r="R322">
        <f t="shared" ref="R322:R385" si="27">IF(H322=2,0,IF(H322=3,4,IF(H322=4,6,IF(H322=5,8,IF(H322=6,10,0)))))</f>
        <v>6</v>
      </c>
      <c r="S322">
        <v>1</v>
      </c>
      <c r="T322">
        <f t="shared" si="24"/>
        <v>19</v>
      </c>
      <c r="U322">
        <f t="shared" si="25"/>
        <v>29.3</v>
      </c>
      <c r="V322">
        <f t="shared" si="26"/>
        <v>0</v>
      </c>
    </row>
    <row r="323" spans="1:22" x14ac:dyDescent="0.35">
      <c r="A323" s="11" t="s">
        <v>455</v>
      </c>
      <c r="B323" s="12" t="s">
        <v>369</v>
      </c>
      <c r="C323" s="13">
        <v>4</v>
      </c>
      <c r="D323" s="13">
        <v>4</v>
      </c>
      <c r="E323" s="13">
        <v>3</v>
      </c>
      <c r="F323" s="13">
        <v>2</v>
      </c>
      <c r="G323" s="13">
        <v>3</v>
      </c>
      <c r="H323" s="13">
        <v>2</v>
      </c>
      <c r="I323" s="13">
        <v>31</v>
      </c>
      <c r="J323" s="13">
        <v>59</v>
      </c>
      <c r="K323" s="13">
        <v>7</v>
      </c>
      <c r="L323" s="13">
        <v>38</v>
      </c>
      <c r="M323" s="14">
        <v>24</v>
      </c>
      <c r="N323">
        <f t="shared" ref="N323:N386" si="28">C323+IF(D323=6,2,0) +SUM(O323:R323) +SUM(I323:M323)/10</f>
        <v>27.9</v>
      </c>
      <c r="O323">
        <f t="shared" ref="O323:R386" si="29">IF(E323=2,0,IF(E323=3,4,IF(E323=4,6,IF(E323=5,8,IF(E323=6,10,0)))))</f>
        <v>4</v>
      </c>
      <c r="P323">
        <f t="shared" si="29"/>
        <v>0</v>
      </c>
      <c r="Q323">
        <f t="shared" si="29"/>
        <v>4</v>
      </c>
      <c r="R323">
        <f t="shared" si="27"/>
        <v>0</v>
      </c>
      <c r="S323">
        <v>1</v>
      </c>
      <c r="T323">
        <f t="shared" ref="T323:T386" si="30">C323+IF(D323=6,2,0) +SUM(O323:R323)</f>
        <v>12</v>
      </c>
      <c r="U323">
        <f t="shared" ref="U323:U386" si="31">SUM(I323:M323)/10</f>
        <v>15.9</v>
      </c>
      <c r="V323">
        <f t="shared" ref="V323:V386" si="32">IF(T323&gt;U323,1,0)</f>
        <v>0</v>
      </c>
    </row>
    <row r="324" spans="1:22" x14ac:dyDescent="0.35">
      <c r="A324" s="7" t="s">
        <v>456</v>
      </c>
      <c r="B324" s="8" t="s">
        <v>159</v>
      </c>
      <c r="C324" s="9">
        <v>6</v>
      </c>
      <c r="D324" s="9">
        <v>6</v>
      </c>
      <c r="E324" s="9">
        <v>6</v>
      </c>
      <c r="F324" s="9">
        <v>2</v>
      </c>
      <c r="G324" s="9">
        <v>3</v>
      </c>
      <c r="H324" s="9">
        <v>2</v>
      </c>
      <c r="I324" s="9">
        <v>56</v>
      </c>
      <c r="J324" s="9">
        <v>34</v>
      </c>
      <c r="K324" s="9">
        <v>52</v>
      </c>
      <c r="L324" s="9">
        <v>30</v>
      </c>
      <c r="M324" s="10">
        <v>94</v>
      </c>
      <c r="N324">
        <f t="shared" si="28"/>
        <v>48.6</v>
      </c>
      <c r="O324">
        <f t="shared" si="29"/>
        <v>10</v>
      </c>
      <c r="P324">
        <f t="shared" si="29"/>
        <v>0</v>
      </c>
      <c r="Q324">
        <f t="shared" si="29"/>
        <v>4</v>
      </c>
      <c r="R324">
        <f t="shared" si="27"/>
        <v>0</v>
      </c>
      <c r="S324">
        <v>1</v>
      </c>
      <c r="T324">
        <f t="shared" si="30"/>
        <v>22</v>
      </c>
      <c r="U324">
        <f t="shared" si="31"/>
        <v>26.6</v>
      </c>
      <c r="V324">
        <f t="shared" si="32"/>
        <v>0</v>
      </c>
    </row>
    <row r="325" spans="1:22" x14ac:dyDescent="0.35">
      <c r="A325" s="11" t="s">
        <v>457</v>
      </c>
      <c r="B325" s="12" t="s">
        <v>409</v>
      </c>
      <c r="C325" s="13">
        <v>0</v>
      </c>
      <c r="D325" s="13">
        <v>3</v>
      </c>
      <c r="E325" s="13">
        <v>6</v>
      </c>
      <c r="F325" s="13">
        <v>4</v>
      </c>
      <c r="G325" s="13">
        <v>6</v>
      </c>
      <c r="H325" s="13">
        <v>3</v>
      </c>
      <c r="I325" s="13">
        <v>13</v>
      </c>
      <c r="J325" s="13">
        <v>42</v>
      </c>
      <c r="K325" s="13">
        <v>23</v>
      </c>
      <c r="L325" s="13">
        <v>14</v>
      </c>
      <c r="M325" s="14">
        <v>73</v>
      </c>
      <c r="N325">
        <f t="shared" si="28"/>
        <v>46.5</v>
      </c>
      <c r="O325">
        <f t="shared" si="29"/>
        <v>10</v>
      </c>
      <c r="P325">
        <f t="shared" si="29"/>
        <v>6</v>
      </c>
      <c r="Q325">
        <f t="shared" si="29"/>
        <v>10</v>
      </c>
      <c r="R325">
        <f t="shared" si="27"/>
        <v>4</v>
      </c>
      <c r="S325">
        <v>1</v>
      </c>
      <c r="T325">
        <f t="shared" si="30"/>
        <v>30</v>
      </c>
      <c r="U325">
        <f t="shared" si="31"/>
        <v>16.5</v>
      </c>
      <c r="V325">
        <f t="shared" si="32"/>
        <v>1</v>
      </c>
    </row>
    <row r="326" spans="1:22" x14ac:dyDescent="0.35">
      <c r="A326" s="7" t="s">
        <v>458</v>
      </c>
      <c r="B326" s="8" t="s">
        <v>74</v>
      </c>
      <c r="C326" s="9">
        <v>2</v>
      </c>
      <c r="D326" s="9">
        <v>3</v>
      </c>
      <c r="E326" s="9">
        <v>6</v>
      </c>
      <c r="F326" s="9">
        <v>6</v>
      </c>
      <c r="G326" s="9">
        <v>4</v>
      </c>
      <c r="H326" s="9">
        <v>4</v>
      </c>
      <c r="I326" s="9">
        <v>61</v>
      </c>
      <c r="J326" s="9">
        <v>3</v>
      </c>
      <c r="K326" s="9">
        <v>88</v>
      </c>
      <c r="L326" s="9">
        <v>72</v>
      </c>
      <c r="M326" s="10">
        <v>84</v>
      </c>
      <c r="N326">
        <f t="shared" si="28"/>
        <v>64.8</v>
      </c>
      <c r="O326">
        <f t="shared" si="29"/>
        <v>10</v>
      </c>
      <c r="P326">
        <f t="shared" si="29"/>
        <v>10</v>
      </c>
      <c r="Q326">
        <f t="shared" si="29"/>
        <v>6</v>
      </c>
      <c r="R326">
        <f t="shared" si="27"/>
        <v>6</v>
      </c>
      <c r="S326">
        <v>1</v>
      </c>
      <c r="T326">
        <f t="shared" si="30"/>
        <v>34</v>
      </c>
      <c r="U326">
        <f t="shared" si="31"/>
        <v>30.8</v>
      </c>
      <c r="V326">
        <f t="shared" si="32"/>
        <v>1</v>
      </c>
    </row>
    <row r="327" spans="1:22" x14ac:dyDescent="0.35">
      <c r="A327" s="11" t="s">
        <v>459</v>
      </c>
      <c r="B327" s="12" t="s">
        <v>130</v>
      </c>
      <c r="C327" s="13">
        <v>6</v>
      </c>
      <c r="D327" s="13">
        <v>4</v>
      </c>
      <c r="E327" s="13">
        <v>4</v>
      </c>
      <c r="F327" s="13">
        <v>2</v>
      </c>
      <c r="G327" s="13">
        <v>4</v>
      </c>
      <c r="H327" s="13">
        <v>2</v>
      </c>
      <c r="I327" s="13">
        <v>30</v>
      </c>
      <c r="J327" s="13">
        <v>28</v>
      </c>
      <c r="K327" s="13">
        <v>30</v>
      </c>
      <c r="L327" s="13">
        <v>66</v>
      </c>
      <c r="M327" s="14">
        <v>98</v>
      </c>
      <c r="N327">
        <f t="shared" si="28"/>
        <v>43.2</v>
      </c>
      <c r="O327">
        <f t="shared" si="29"/>
        <v>6</v>
      </c>
      <c r="P327">
        <f t="shared" si="29"/>
        <v>0</v>
      </c>
      <c r="Q327">
        <f t="shared" si="29"/>
        <v>6</v>
      </c>
      <c r="R327">
        <f t="shared" si="27"/>
        <v>0</v>
      </c>
      <c r="S327">
        <v>1</v>
      </c>
      <c r="T327">
        <f t="shared" si="30"/>
        <v>18</v>
      </c>
      <c r="U327">
        <f t="shared" si="31"/>
        <v>25.2</v>
      </c>
      <c r="V327">
        <f t="shared" si="32"/>
        <v>0</v>
      </c>
    </row>
    <row r="328" spans="1:22" x14ac:dyDescent="0.35">
      <c r="A328" s="7" t="s">
        <v>460</v>
      </c>
      <c r="B328" s="8" t="s">
        <v>130</v>
      </c>
      <c r="C328" s="9">
        <v>4</v>
      </c>
      <c r="D328" s="9">
        <v>4</v>
      </c>
      <c r="E328" s="9">
        <v>4</v>
      </c>
      <c r="F328" s="9">
        <v>6</v>
      </c>
      <c r="G328" s="9">
        <v>6</v>
      </c>
      <c r="H328" s="9">
        <v>2</v>
      </c>
      <c r="I328" s="9">
        <v>80</v>
      </c>
      <c r="J328" s="9">
        <v>75</v>
      </c>
      <c r="K328" s="9">
        <v>57</v>
      </c>
      <c r="L328" s="9">
        <v>43</v>
      </c>
      <c r="M328" s="10">
        <v>92</v>
      </c>
      <c r="N328">
        <f t="shared" si="28"/>
        <v>64.7</v>
      </c>
      <c r="O328">
        <f t="shared" si="29"/>
        <v>6</v>
      </c>
      <c r="P328">
        <f t="shared" si="29"/>
        <v>10</v>
      </c>
      <c r="Q328">
        <f t="shared" si="29"/>
        <v>10</v>
      </c>
      <c r="R328">
        <f t="shared" si="27"/>
        <v>0</v>
      </c>
      <c r="S328">
        <v>1</v>
      </c>
      <c r="T328">
        <f t="shared" si="30"/>
        <v>30</v>
      </c>
      <c r="U328">
        <f t="shared" si="31"/>
        <v>34.700000000000003</v>
      </c>
      <c r="V328">
        <f t="shared" si="32"/>
        <v>0</v>
      </c>
    </row>
    <row r="329" spans="1:22" x14ac:dyDescent="0.35">
      <c r="A329" s="11" t="s">
        <v>461</v>
      </c>
      <c r="B329" s="12" t="s">
        <v>28</v>
      </c>
      <c r="C329" s="13">
        <v>2</v>
      </c>
      <c r="D329" s="13">
        <v>4</v>
      </c>
      <c r="E329" s="13">
        <v>5</v>
      </c>
      <c r="F329" s="13">
        <v>2</v>
      </c>
      <c r="G329" s="13">
        <v>5</v>
      </c>
      <c r="H329" s="13">
        <v>2</v>
      </c>
      <c r="I329" s="13">
        <v>26</v>
      </c>
      <c r="J329" s="13">
        <v>69</v>
      </c>
      <c r="K329" s="13">
        <v>46</v>
      </c>
      <c r="L329" s="13">
        <v>57</v>
      </c>
      <c r="M329" s="14">
        <v>91</v>
      </c>
      <c r="N329">
        <f t="shared" si="28"/>
        <v>46.9</v>
      </c>
      <c r="O329">
        <f t="shared" si="29"/>
        <v>8</v>
      </c>
      <c r="P329">
        <f t="shared" si="29"/>
        <v>0</v>
      </c>
      <c r="Q329">
        <f t="shared" si="29"/>
        <v>8</v>
      </c>
      <c r="R329">
        <f t="shared" si="27"/>
        <v>0</v>
      </c>
      <c r="S329">
        <v>1</v>
      </c>
      <c r="T329">
        <f t="shared" si="30"/>
        <v>18</v>
      </c>
      <c r="U329">
        <f t="shared" si="31"/>
        <v>28.9</v>
      </c>
      <c r="V329">
        <f t="shared" si="32"/>
        <v>0</v>
      </c>
    </row>
    <row r="330" spans="1:22" x14ac:dyDescent="0.35">
      <c r="A330" s="7" t="s">
        <v>462</v>
      </c>
      <c r="B330" s="8" t="s">
        <v>463</v>
      </c>
      <c r="C330" s="9">
        <v>4</v>
      </c>
      <c r="D330" s="9">
        <v>3</v>
      </c>
      <c r="E330" s="9">
        <v>5</v>
      </c>
      <c r="F330" s="9">
        <v>5</v>
      </c>
      <c r="G330" s="9">
        <v>3</v>
      </c>
      <c r="H330" s="9">
        <v>3</v>
      </c>
      <c r="I330" s="9">
        <v>5</v>
      </c>
      <c r="J330" s="9">
        <v>44</v>
      </c>
      <c r="K330" s="9">
        <v>37</v>
      </c>
      <c r="L330" s="9">
        <v>5</v>
      </c>
      <c r="M330" s="10">
        <v>62</v>
      </c>
      <c r="N330">
        <f t="shared" si="28"/>
        <v>43.3</v>
      </c>
      <c r="O330">
        <f t="shared" si="29"/>
        <v>8</v>
      </c>
      <c r="P330">
        <f t="shared" si="29"/>
        <v>8</v>
      </c>
      <c r="Q330">
        <f t="shared" si="29"/>
        <v>4</v>
      </c>
      <c r="R330">
        <f t="shared" si="27"/>
        <v>4</v>
      </c>
      <c r="S330">
        <v>1</v>
      </c>
      <c r="T330">
        <f t="shared" si="30"/>
        <v>28</v>
      </c>
      <c r="U330">
        <f t="shared" si="31"/>
        <v>15.3</v>
      </c>
      <c r="V330">
        <f t="shared" si="32"/>
        <v>1</v>
      </c>
    </row>
    <row r="331" spans="1:22" x14ac:dyDescent="0.35">
      <c r="A331" s="11" t="s">
        <v>464</v>
      </c>
      <c r="B331" s="12" t="s">
        <v>445</v>
      </c>
      <c r="C331" s="13">
        <v>6</v>
      </c>
      <c r="D331" s="13">
        <v>3</v>
      </c>
      <c r="E331" s="13">
        <v>5</v>
      </c>
      <c r="F331" s="13">
        <v>5</v>
      </c>
      <c r="G331" s="13">
        <v>2</v>
      </c>
      <c r="H331" s="13">
        <v>6</v>
      </c>
      <c r="I331" s="13">
        <v>56</v>
      </c>
      <c r="J331" s="13">
        <v>90</v>
      </c>
      <c r="K331" s="13">
        <v>35</v>
      </c>
      <c r="L331" s="13">
        <v>68</v>
      </c>
      <c r="M331" s="14">
        <v>48</v>
      </c>
      <c r="N331">
        <f t="shared" si="28"/>
        <v>61.7</v>
      </c>
      <c r="O331">
        <f t="shared" si="29"/>
        <v>8</v>
      </c>
      <c r="P331">
        <f t="shared" si="29"/>
        <v>8</v>
      </c>
      <c r="Q331">
        <f t="shared" si="29"/>
        <v>0</v>
      </c>
      <c r="R331">
        <f t="shared" si="27"/>
        <v>10</v>
      </c>
      <c r="S331">
        <v>1</v>
      </c>
      <c r="T331">
        <f t="shared" si="30"/>
        <v>32</v>
      </c>
      <c r="U331">
        <f t="shared" si="31"/>
        <v>29.7</v>
      </c>
      <c r="V331">
        <f t="shared" si="32"/>
        <v>1</v>
      </c>
    </row>
    <row r="332" spans="1:22" x14ac:dyDescent="0.35">
      <c r="A332" s="7" t="s">
        <v>465</v>
      </c>
      <c r="B332" s="8" t="s">
        <v>239</v>
      </c>
      <c r="C332" s="9">
        <v>4</v>
      </c>
      <c r="D332" s="9">
        <v>3</v>
      </c>
      <c r="E332" s="9">
        <v>6</v>
      </c>
      <c r="F332" s="9">
        <v>2</v>
      </c>
      <c r="G332" s="9">
        <v>3</v>
      </c>
      <c r="H332" s="9">
        <v>3</v>
      </c>
      <c r="I332" s="9">
        <v>7</v>
      </c>
      <c r="J332" s="9">
        <v>15</v>
      </c>
      <c r="K332" s="9">
        <v>62</v>
      </c>
      <c r="L332" s="9">
        <v>9</v>
      </c>
      <c r="M332" s="10">
        <v>43</v>
      </c>
      <c r="N332">
        <f t="shared" si="28"/>
        <v>35.6</v>
      </c>
      <c r="O332">
        <f t="shared" si="29"/>
        <v>10</v>
      </c>
      <c r="P332">
        <f t="shared" si="29"/>
        <v>0</v>
      </c>
      <c r="Q332">
        <f t="shared" si="29"/>
        <v>4</v>
      </c>
      <c r="R332">
        <f t="shared" si="27"/>
        <v>4</v>
      </c>
      <c r="S332">
        <v>1</v>
      </c>
      <c r="T332">
        <f t="shared" si="30"/>
        <v>22</v>
      </c>
      <c r="U332">
        <f t="shared" si="31"/>
        <v>13.6</v>
      </c>
      <c r="V332">
        <f t="shared" si="32"/>
        <v>1</v>
      </c>
    </row>
    <row r="333" spans="1:22" x14ac:dyDescent="0.35">
      <c r="A333" s="11" t="s">
        <v>466</v>
      </c>
      <c r="B333" s="12" t="s">
        <v>16</v>
      </c>
      <c r="C333" s="13">
        <v>3</v>
      </c>
      <c r="D333" s="13">
        <v>6</v>
      </c>
      <c r="E333" s="13">
        <v>6</v>
      </c>
      <c r="F333" s="13">
        <v>6</v>
      </c>
      <c r="G333" s="13">
        <v>4</v>
      </c>
      <c r="H333" s="13">
        <v>5</v>
      </c>
      <c r="I333" s="13">
        <v>27</v>
      </c>
      <c r="J333" s="13">
        <v>73</v>
      </c>
      <c r="K333" s="13">
        <v>63</v>
      </c>
      <c r="L333" s="13">
        <v>14</v>
      </c>
      <c r="M333" s="14">
        <v>72</v>
      </c>
      <c r="N333">
        <f t="shared" si="28"/>
        <v>63.9</v>
      </c>
      <c r="O333">
        <f t="shared" si="29"/>
        <v>10</v>
      </c>
      <c r="P333">
        <f t="shared" si="29"/>
        <v>10</v>
      </c>
      <c r="Q333">
        <f t="shared" si="29"/>
        <v>6</v>
      </c>
      <c r="R333">
        <f t="shared" si="27"/>
        <v>8</v>
      </c>
      <c r="S333">
        <v>1</v>
      </c>
      <c r="T333">
        <f t="shared" si="30"/>
        <v>39</v>
      </c>
      <c r="U333">
        <f t="shared" si="31"/>
        <v>24.9</v>
      </c>
      <c r="V333">
        <f t="shared" si="32"/>
        <v>1</v>
      </c>
    </row>
    <row r="334" spans="1:22" x14ac:dyDescent="0.35">
      <c r="A334" s="7" t="s">
        <v>467</v>
      </c>
      <c r="B334" s="8" t="s">
        <v>395</v>
      </c>
      <c r="C334" s="9">
        <v>1</v>
      </c>
      <c r="D334" s="9">
        <v>6</v>
      </c>
      <c r="E334" s="9">
        <v>5</v>
      </c>
      <c r="F334" s="9">
        <v>2</v>
      </c>
      <c r="G334" s="9">
        <v>2</v>
      </c>
      <c r="H334" s="9">
        <v>3</v>
      </c>
      <c r="I334" s="9">
        <v>70</v>
      </c>
      <c r="J334" s="9">
        <v>59</v>
      </c>
      <c r="K334" s="9">
        <v>15</v>
      </c>
      <c r="L334" s="9">
        <v>13</v>
      </c>
      <c r="M334" s="10">
        <v>66</v>
      </c>
      <c r="N334">
        <f t="shared" si="28"/>
        <v>37.299999999999997</v>
      </c>
      <c r="O334">
        <f t="shared" si="29"/>
        <v>8</v>
      </c>
      <c r="P334">
        <f t="shared" si="29"/>
        <v>0</v>
      </c>
      <c r="Q334">
        <f t="shared" si="29"/>
        <v>0</v>
      </c>
      <c r="R334">
        <f t="shared" si="27"/>
        <v>4</v>
      </c>
      <c r="S334">
        <v>1</v>
      </c>
      <c r="T334">
        <f t="shared" si="30"/>
        <v>15</v>
      </c>
      <c r="U334">
        <f t="shared" si="31"/>
        <v>22.3</v>
      </c>
      <c r="V334">
        <f t="shared" si="32"/>
        <v>0</v>
      </c>
    </row>
    <row r="335" spans="1:22" x14ac:dyDescent="0.35">
      <c r="A335" s="11" t="s">
        <v>468</v>
      </c>
      <c r="B335" s="12" t="s">
        <v>164</v>
      </c>
      <c r="C335" s="13">
        <v>5</v>
      </c>
      <c r="D335" s="13">
        <v>3</v>
      </c>
      <c r="E335" s="13">
        <v>5</v>
      </c>
      <c r="F335" s="13">
        <v>3</v>
      </c>
      <c r="G335" s="13">
        <v>5</v>
      </c>
      <c r="H335" s="13">
        <v>3</v>
      </c>
      <c r="I335" s="13">
        <v>52</v>
      </c>
      <c r="J335" s="13">
        <v>65</v>
      </c>
      <c r="K335" s="13">
        <v>48</v>
      </c>
      <c r="L335" s="13">
        <v>58</v>
      </c>
      <c r="M335" s="14">
        <v>48</v>
      </c>
      <c r="N335">
        <f t="shared" si="28"/>
        <v>56.1</v>
      </c>
      <c r="O335">
        <f t="shared" si="29"/>
        <v>8</v>
      </c>
      <c r="P335">
        <f t="shared" si="29"/>
        <v>4</v>
      </c>
      <c r="Q335">
        <f t="shared" si="29"/>
        <v>8</v>
      </c>
      <c r="R335">
        <f t="shared" si="27"/>
        <v>4</v>
      </c>
      <c r="S335">
        <v>1</v>
      </c>
      <c r="T335">
        <f t="shared" si="30"/>
        <v>29</v>
      </c>
      <c r="U335">
        <f t="shared" si="31"/>
        <v>27.1</v>
      </c>
      <c r="V335">
        <f t="shared" si="32"/>
        <v>1</v>
      </c>
    </row>
    <row r="336" spans="1:22" x14ac:dyDescent="0.35">
      <c r="A336" s="7" t="s">
        <v>469</v>
      </c>
      <c r="B336" s="8" t="s">
        <v>130</v>
      </c>
      <c r="C336" s="9">
        <v>5</v>
      </c>
      <c r="D336" s="9">
        <v>2</v>
      </c>
      <c r="E336" s="9">
        <v>2</v>
      </c>
      <c r="F336" s="9">
        <v>2</v>
      </c>
      <c r="G336" s="9">
        <v>4</v>
      </c>
      <c r="H336" s="9">
        <v>2</v>
      </c>
      <c r="I336" s="9">
        <v>27</v>
      </c>
      <c r="J336" s="9">
        <v>64</v>
      </c>
      <c r="K336" s="9">
        <v>22</v>
      </c>
      <c r="L336" s="9">
        <v>32</v>
      </c>
      <c r="M336" s="10">
        <v>91</v>
      </c>
      <c r="N336">
        <f t="shared" si="28"/>
        <v>34.6</v>
      </c>
      <c r="O336">
        <f t="shared" si="29"/>
        <v>0</v>
      </c>
      <c r="P336">
        <f t="shared" si="29"/>
        <v>0</v>
      </c>
      <c r="Q336">
        <f t="shared" si="29"/>
        <v>6</v>
      </c>
      <c r="R336">
        <f t="shared" si="27"/>
        <v>0</v>
      </c>
      <c r="S336">
        <v>1</v>
      </c>
      <c r="T336">
        <f t="shared" si="30"/>
        <v>11</v>
      </c>
      <c r="U336">
        <f t="shared" si="31"/>
        <v>23.6</v>
      </c>
      <c r="V336">
        <f t="shared" si="32"/>
        <v>0</v>
      </c>
    </row>
    <row r="337" spans="1:22" x14ac:dyDescent="0.35">
      <c r="A337" s="11" t="s">
        <v>470</v>
      </c>
      <c r="B337" s="12" t="s">
        <v>32</v>
      </c>
      <c r="C337" s="13">
        <v>1</v>
      </c>
      <c r="D337" s="13">
        <v>3</v>
      </c>
      <c r="E337" s="13">
        <v>3</v>
      </c>
      <c r="F337" s="13">
        <v>2</v>
      </c>
      <c r="G337" s="13">
        <v>5</v>
      </c>
      <c r="H337" s="13">
        <v>2</v>
      </c>
      <c r="I337" s="13">
        <v>84</v>
      </c>
      <c r="J337" s="13">
        <v>92</v>
      </c>
      <c r="K337" s="13">
        <v>92</v>
      </c>
      <c r="L337" s="13">
        <v>81</v>
      </c>
      <c r="M337" s="14">
        <v>68</v>
      </c>
      <c r="N337">
        <f t="shared" si="28"/>
        <v>54.7</v>
      </c>
      <c r="O337">
        <f t="shared" si="29"/>
        <v>4</v>
      </c>
      <c r="P337">
        <f t="shared" si="29"/>
        <v>0</v>
      </c>
      <c r="Q337">
        <f t="shared" si="29"/>
        <v>8</v>
      </c>
      <c r="R337">
        <f t="shared" si="27"/>
        <v>0</v>
      </c>
      <c r="S337">
        <v>1</v>
      </c>
      <c r="T337">
        <f t="shared" si="30"/>
        <v>13</v>
      </c>
      <c r="U337">
        <f t="shared" si="31"/>
        <v>41.7</v>
      </c>
      <c r="V337">
        <f t="shared" si="32"/>
        <v>0</v>
      </c>
    </row>
    <row r="338" spans="1:22" x14ac:dyDescent="0.35">
      <c r="A338" s="7" t="s">
        <v>471</v>
      </c>
      <c r="B338" s="8" t="s">
        <v>340</v>
      </c>
      <c r="C338" s="9">
        <v>4</v>
      </c>
      <c r="D338" s="9">
        <v>5</v>
      </c>
      <c r="E338" s="9">
        <v>4</v>
      </c>
      <c r="F338" s="9">
        <v>4</v>
      </c>
      <c r="G338" s="9">
        <v>2</v>
      </c>
      <c r="H338" s="9">
        <v>6</v>
      </c>
      <c r="I338" s="9">
        <v>75</v>
      </c>
      <c r="J338" s="9">
        <v>22</v>
      </c>
      <c r="K338" s="9">
        <v>91</v>
      </c>
      <c r="L338" s="9">
        <v>31</v>
      </c>
      <c r="M338" s="10">
        <v>93</v>
      </c>
      <c r="N338">
        <f t="shared" si="28"/>
        <v>57.2</v>
      </c>
      <c r="O338">
        <f t="shared" si="29"/>
        <v>6</v>
      </c>
      <c r="P338">
        <f t="shared" si="29"/>
        <v>6</v>
      </c>
      <c r="Q338">
        <f t="shared" si="29"/>
        <v>0</v>
      </c>
      <c r="R338">
        <f t="shared" si="27"/>
        <v>10</v>
      </c>
      <c r="S338">
        <v>1</v>
      </c>
      <c r="T338">
        <f t="shared" si="30"/>
        <v>26</v>
      </c>
      <c r="U338">
        <f t="shared" si="31"/>
        <v>31.2</v>
      </c>
      <c r="V338">
        <f t="shared" si="32"/>
        <v>0</v>
      </c>
    </row>
    <row r="339" spans="1:22" x14ac:dyDescent="0.35">
      <c r="A339" s="11" t="s">
        <v>472</v>
      </c>
      <c r="B339" s="12" t="s">
        <v>70</v>
      </c>
      <c r="C339" s="13">
        <v>2</v>
      </c>
      <c r="D339" s="13">
        <v>4</v>
      </c>
      <c r="E339" s="13">
        <v>4</v>
      </c>
      <c r="F339" s="13">
        <v>6</v>
      </c>
      <c r="G339" s="13">
        <v>5</v>
      </c>
      <c r="H339" s="13">
        <v>4</v>
      </c>
      <c r="I339" s="13">
        <v>35</v>
      </c>
      <c r="J339" s="13">
        <v>77</v>
      </c>
      <c r="K339" s="13">
        <v>81</v>
      </c>
      <c r="L339" s="13">
        <v>17</v>
      </c>
      <c r="M339" s="14">
        <v>27</v>
      </c>
      <c r="N339">
        <f t="shared" si="28"/>
        <v>55.7</v>
      </c>
      <c r="O339">
        <f t="shared" si="29"/>
        <v>6</v>
      </c>
      <c r="P339">
        <f t="shared" si="29"/>
        <v>10</v>
      </c>
      <c r="Q339">
        <f t="shared" si="29"/>
        <v>8</v>
      </c>
      <c r="R339">
        <f t="shared" si="27"/>
        <v>6</v>
      </c>
      <c r="S339">
        <v>1</v>
      </c>
      <c r="T339">
        <f t="shared" si="30"/>
        <v>32</v>
      </c>
      <c r="U339">
        <f t="shared" si="31"/>
        <v>23.7</v>
      </c>
      <c r="V339">
        <f t="shared" si="32"/>
        <v>1</v>
      </c>
    </row>
    <row r="340" spans="1:22" x14ac:dyDescent="0.35">
      <c r="A340" s="7" t="s">
        <v>473</v>
      </c>
      <c r="B340" s="8" t="s">
        <v>55</v>
      </c>
      <c r="C340" s="9">
        <v>7</v>
      </c>
      <c r="D340" s="9">
        <v>5</v>
      </c>
      <c r="E340" s="9">
        <v>4</v>
      </c>
      <c r="F340" s="9">
        <v>3</v>
      </c>
      <c r="G340" s="9">
        <v>3</v>
      </c>
      <c r="H340" s="9">
        <v>2</v>
      </c>
      <c r="I340" s="9">
        <v>2</v>
      </c>
      <c r="J340" s="9">
        <v>88</v>
      </c>
      <c r="K340" s="9">
        <v>61</v>
      </c>
      <c r="L340" s="9">
        <v>2</v>
      </c>
      <c r="M340" s="10">
        <v>49</v>
      </c>
      <c r="N340">
        <f t="shared" si="28"/>
        <v>41.2</v>
      </c>
      <c r="O340">
        <f t="shared" si="29"/>
        <v>6</v>
      </c>
      <c r="P340">
        <f t="shared" si="29"/>
        <v>4</v>
      </c>
      <c r="Q340">
        <f t="shared" si="29"/>
        <v>4</v>
      </c>
      <c r="R340">
        <f t="shared" si="27"/>
        <v>0</v>
      </c>
      <c r="S340">
        <v>1</v>
      </c>
      <c r="T340">
        <f t="shared" si="30"/>
        <v>21</v>
      </c>
      <c r="U340">
        <f t="shared" si="31"/>
        <v>20.2</v>
      </c>
      <c r="V340">
        <f t="shared" si="32"/>
        <v>1</v>
      </c>
    </row>
    <row r="341" spans="1:22" x14ac:dyDescent="0.35">
      <c r="A341" s="11" t="s">
        <v>474</v>
      </c>
      <c r="B341" s="12" t="s">
        <v>197</v>
      </c>
      <c r="C341" s="13">
        <v>7</v>
      </c>
      <c r="D341" s="13">
        <v>6</v>
      </c>
      <c r="E341" s="13">
        <v>5</v>
      </c>
      <c r="F341" s="13">
        <v>3</v>
      </c>
      <c r="G341" s="13">
        <v>3</v>
      </c>
      <c r="H341" s="13">
        <v>3</v>
      </c>
      <c r="I341" s="13">
        <v>71</v>
      </c>
      <c r="J341" s="13">
        <v>55</v>
      </c>
      <c r="K341" s="13">
        <v>33</v>
      </c>
      <c r="L341" s="13">
        <v>97</v>
      </c>
      <c r="M341" s="14">
        <v>73</v>
      </c>
      <c r="N341">
        <f t="shared" si="28"/>
        <v>61.9</v>
      </c>
      <c r="O341">
        <f t="shared" si="29"/>
        <v>8</v>
      </c>
      <c r="P341">
        <f t="shared" si="29"/>
        <v>4</v>
      </c>
      <c r="Q341">
        <f t="shared" si="29"/>
        <v>4</v>
      </c>
      <c r="R341">
        <f t="shared" si="27"/>
        <v>4</v>
      </c>
      <c r="S341">
        <v>1</v>
      </c>
      <c r="T341">
        <f t="shared" si="30"/>
        <v>29</v>
      </c>
      <c r="U341">
        <f t="shared" si="31"/>
        <v>32.9</v>
      </c>
      <c r="V341">
        <f t="shared" si="32"/>
        <v>0</v>
      </c>
    </row>
    <row r="342" spans="1:22" x14ac:dyDescent="0.35">
      <c r="A342" s="7" t="s">
        <v>475</v>
      </c>
      <c r="B342" s="8" t="s">
        <v>232</v>
      </c>
      <c r="C342" s="9">
        <v>5</v>
      </c>
      <c r="D342" s="9">
        <v>5</v>
      </c>
      <c r="E342" s="9">
        <v>6</v>
      </c>
      <c r="F342" s="9">
        <v>4</v>
      </c>
      <c r="G342" s="9">
        <v>5</v>
      </c>
      <c r="H342" s="9">
        <v>5</v>
      </c>
      <c r="I342" s="9">
        <v>53</v>
      </c>
      <c r="J342" s="9">
        <v>97</v>
      </c>
      <c r="K342" s="9">
        <v>28</v>
      </c>
      <c r="L342" s="9">
        <v>88</v>
      </c>
      <c r="M342" s="10">
        <v>87</v>
      </c>
      <c r="N342">
        <f t="shared" si="28"/>
        <v>72.3</v>
      </c>
      <c r="O342">
        <f t="shared" si="29"/>
        <v>10</v>
      </c>
      <c r="P342">
        <f t="shared" si="29"/>
        <v>6</v>
      </c>
      <c r="Q342">
        <f t="shared" si="29"/>
        <v>8</v>
      </c>
      <c r="R342">
        <f t="shared" si="27"/>
        <v>8</v>
      </c>
      <c r="S342">
        <v>1</v>
      </c>
      <c r="T342">
        <f t="shared" si="30"/>
        <v>37</v>
      </c>
      <c r="U342">
        <f t="shared" si="31"/>
        <v>35.299999999999997</v>
      </c>
      <c r="V342">
        <f t="shared" si="32"/>
        <v>1</v>
      </c>
    </row>
    <row r="343" spans="1:22" x14ac:dyDescent="0.35">
      <c r="A343" s="11" t="s">
        <v>476</v>
      </c>
      <c r="B343" s="12" t="s">
        <v>477</v>
      </c>
      <c r="C343" s="13">
        <v>0</v>
      </c>
      <c r="D343" s="13">
        <v>5</v>
      </c>
      <c r="E343" s="13">
        <v>5</v>
      </c>
      <c r="F343" s="13">
        <v>3</v>
      </c>
      <c r="G343" s="13">
        <v>4</v>
      </c>
      <c r="H343" s="13">
        <v>4</v>
      </c>
      <c r="I343" s="13">
        <v>73</v>
      </c>
      <c r="J343" s="13">
        <v>67</v>
      </c>
      <c r="K343" s="13">
        <v>18</v>
      </c>
      <c r="L343" s="13">
        <v>84</v>
      </c>
      <c r="M343" s="14">
        <v>75</v>
      </c>
      <c r="N343">
        <f t="shared" si="28"/>
        <v>55.7</v>
      </c>
      <c r="O343">
        <f t="shared" si="29"/>
        <v>8</v>
      </c>
      <c r="P343">
        <f t="shared" si="29"/>
        <v>4</v>
      </c>
      <c r="Q343">
        <f t="shared" si="29"/>
        <v>6</v>
      </c>
      <c r="R343">
        <f t="shared" si="27"/>
        <v>6</v>
      </c>
      <c r="S343">
        <v>1</v>
      </c>
      <c r="T343">
        <f t="shared" si="30"/>
        <v>24</v>
      </c>
      <c r="U343">
        <f t="shared" si="31"/>
        <v>31.7</v>
      </c>
      <c r="V343">
        <f t="shared" si="32"/>
        <v>0</v>
      </c>
    </row>
    <row r="344" spans="1:22" x14ac:dyDescent="0.35">
      <c r="A344" s="7" t="s">
        <v>478</v>
      </c>
      <c r="B344" s="8" t="s">
        <v>101</v>
      </c>
      <c r="C344" s="9">
        <v>3</v>
      </c>
      <c r="D344" s="9">
        <v>6</v>
      </c>
      <c r="E344" s="9">
        <v>2</v>
      </c>
      <c r="F344" s="9">
        <v>2</v>
      </c>
      <c r="G344" s="9">
        <v>5</v>
      </c>
      <c r="H344" s="9">
        <v>2</v>
      </c>
      <c r="I344" s="9">
        <v>97</v>
      </c>
      <c r="J344" s="9">
        <v>40</v>
      </c>
      <c r="K344" s="9">
        <v>41</v>
      </c>
      <c r="L344" s="9">
        <v>46</v>
      </c>
      <c r="M344" s="10">
        <v>59</v>
      </c>
      <c r="N344">
        <f t="shared" si="28"/>
        <v>41.3</v>
      </c>
      <c r="O344">
        <f t="shared" si="29"/>
        <v>0</v>
      </c>
      <c r="P344">
        <f t="shared" si="29"/>
        <v>0</v>
      </c>
      <c r="Q344">
        <f t="shared" si="29"/>
        <v>8</v>
      </c>
      <c r="R344">
        <f t="shared" si="27"/>
        <v>0</v>
      </c>
      <c r="S344">
        <v>1</v>
      </c>
      <c r="T344">
        <f t="shared" si="30"/>
        <v>13</v>
      </c>
      <c r="U344">
        <f t="shared" si="31"/>
        <v>28.3</v>
      </c>
      <c r="V344">
        <f t="shared" si="32"/>
        <v>0</v>
      </c>
    </row>
    <row r="345" spans="1:22" x14ac:dyDescent="0.35">
      <c r="A345" s="11" t="s">
        <v>479</v>
      </c>
      <c r="B345" s="12" t="s">
        <v>30</v>
      </c>
      <c r="C345" s="13">
        <v>7</v>
      </c>
      <c r="D345" s="13">
        <v>4</v>
      </c>
      <c r="E345" s="13">
        <v>4</v>
      </c>
      <c r="F345" s="13">
        <v>6</v>
      </c>
      <c r="G345" s="13">
        <v>5</v>
      </c>
      <c r="H345" s="13">
        <v>5</v>
      </c>
      <c r="I345" s="13">
        <v>10</v>
      </c>
      <c r="J345" s="13">
        <v>32</v>
      </c>
      <c r="K345" s="13">
        <v>73</v>
      </c>
      <c r="L345" s="13">
        <v>96</v>
      </c>
      <c r="M345" s="14">
        <v>29</v>
      </c>
      <c r="N345">
        <f t="shared" si="28"/>
        <v>63</v>
      </c>
      <c r="O345">
        <f t="shared" si="29"/>
        <v>6</v>
      </c>
      <c r="P345">
        <f t="shared" si="29"/>
        <v>10</v>
      </c>
      <c r="Q345">
        <f t="shared" si="29"/>
        <v>8</v>
      </c>
      <c r="R345">
        <f t="shared" si="27"/>
        <v>8</v>
      </c>
      <c r="S345">
        <v>1</v>
      </c>
      <c r="T345">
        <f t="shared" si="30"/>
        <v>39</v>
      </c>
      <c r="U345">
        <f t="shared" si="31"/>
        <v>24</v>
      </c>
      <c r="V345">
        <f t="shared" si="32"/>
        <v>1</v>
      </c>
    </row>
    <row r="346" spans="1:22" x14ac:dyDescent="0.35">
      <c r="A346" s="7" t="s">
        <v>480</v>
      </c>
      <c r="B346" s="8" t="s">
        <v>477</v>
      </c>
      <c r="C346" s="9">
        <v>3</v>
      </c>
      <c r="D346" s="9">
        <v>2</v>
      </c>
      <c r="E346" s="9">
        <v>5</v>
      </c>
      <c r="F346" s="9">
        <v>5</v>
      </c>
      <c r="G346" s="9">
        <v>4</v>
      </c>
      <c r="H346" s="9">
        <v>5</v>
      </c>
      <c r="I346" s="9">
        <v>91</v>
      </c>
      <c r="J346" s="9">
        <v>53</v>
      </c>
      <c r="K346" s="9">
        <v>13</v>
      </c>
      <c r="L346" s="9">
        <v>58</v>
      </c>
      <c r="M346" s="10">
        <v>75</v>
      </c>
      <c r="N346">
        <f t="shared" si="28"/>
        <v>62</v>
      </c>
      <c r="O346">
        <f t="shared" si="29"/>
        <v>8</v>
      </c>
      <c r="P346">
        <f t="shared" si="29"/>
        <v>8</v>
      </c>
      <c r="Q346">
        <f t="shared" si="29"/>
        <v>6</v>
      </c>
      <c r="R346">
        <f t="shared" si="27"/>
        <v>8</v>
      </c>
      <c r="S346">
        <v>1</v>
      </c>
      <c r="T346">
        <f t="shared" si="30"/>
        <v>33</v>
      </c>
      <c r="U346">
        <f t="shared" si="31"/>
        <v>29</v>
      </c>
      <c r="V346">
        <f t="shared" si="32"/>
        <v>1</v>
      </c>
    </row>
    <row r="347" spans="1:22" x14ac:dyDescent="0.35">
      <c r="A347" s="11" t="s">
        <v>481</v>
      </c>
      <c r="B347" s="12" t="s">
        <v>61</v>
      </c>
      <c r="C347" s="13">
        <v>5</v>
      </c>
      <c r="D347" s="13">
        <v>4</v>
      </c>
      <c r="E347" s="13">
        <v>6</v>
      </c>
      <c r="F347" s="13">
        <v>5</v>
      </c>
      <c r="G347" s="13">
        <v>2</v>
      </c>
      <c r="H347" s="13">
        <v>3</v>
      </c>
      <c r="I347" s="13">
        <v>21</v>
      </c>
      <c r="J347" s="13">
        <v>48</v>
      </c>
      <c r="K347" s="13">
        <v>45</v>
      </c>
      <c r="L347" s="13">
        <v>1</v>
      </c>
      <c r="M347" s="14">
        <v>51</v>
      </c>
      <c r="N347">
        <f t="shared" si="28"/>
        <v>43.6</v>
      </c>
      <c r="O347">
        <f t="shared" si="29"/>
        <v>10</v>
      </c>
      <c r="P347">
        <f t="shared" si="29"/>
        <v>8</v>
      </c>
      <c r="Q347">
        <f t="shared" si="29"/>
        <v>0</v>
      </c>
      <c r="R347">
        <f t="shared" si="27"/>
        <v>4</v>
      </c>
      <c r="S347">
        <v>1</v>
      </c>
      <c r="T347">
        <f t="shared" si="30"/>
        <v>27</v>
      </c>
      <c r="U347">
        <f t="shared" si="31"/>
        <v>16.600000000000001</v>
      </c>
      <c r="V347">
        <f t="shared" si="32"/>
        <v>1</v>
      </c>
    </row>
    <row r="348" spans="1:22" x14ac:dyDescent="0.35">
      <c r="A348" s="7" t="s">
        <v>482</v>
      </c>
      <c r="B348" s="8" t="s">
        <v>311</v>
      </c>
      <c r="C348" s="9">
        <v>2</v>
      </c>
      <c r="D348" s="9">
        <v>2</v>
      </c>
      <c r="E348" s="9">
        <v>5</v>
      </c>
      <c r="F348" s="9">
        <v>2</v>
      </c>
      <c r="G348" s="9">
        <v>4</v>
      </c>
      <c r="H348" s="9">
        <v>4</v>
      </c>
      <c r="I348" s="9">
        <v>83</v>
      </c>
      <c r="J348" s="9">
        <v>28</v>
      </c>
      <c r="K348" s="9">
        <v>43</v>
      </c>
      <c r="L348" s="9">
        <v>19</v>
      </c>
      <c r="M348" s="10">
        <v>83</v>
      </c>
      <c r="N348">
        <f t="shared" si="28"/>
        <v>47.6</v>
      </c>
      <c r="O348">
        <f t="shared" si="29"/>
        <v>8</v>
      </c>
      <c r="P348">
        <f t="shared" si="29"/>
        <v>0</v>
      </c>
      <c r="Q348">
        <f t="shared" si="29"/>
        <v>6</v>
      </c>
      <c r="R348">
        <f t="shared" si="27"/>
        <v>6</v>
      </c>
      <c r="S348">
        <v>1</v>
      </c>
      <c r="T348">
        <f t="shared" si="30"/>
        <v>22</v>
      </c>
      <c r="U348">
        <f t="shared" si="31"/>
        <v>25.6</v>
      </c>
      <c r="V348">
        <f t="shared" si="32"/>
        <v>0</v>
      </c>
    </row>
    <row r="349" spans="1:22" x14ac:dyDescent="0.35">
      <c r="A349" s="11" t="s">
        <v>483</v>
      </c>
      <c r="B349" s="12" t="s">
        <v>133</v>
      </c>
      <c r="C349" s="13">
        <v>2</v>
      </c>
      <c r="D349" s="13">
        <v>4</v>
      </c>
      <c r="E349" s="13">
        <v>4</v>
      </c>
      <c r="F349" s="13">
        <v>3</v>
      </c>
      <c r="G349" s="13">
        <v>3</v>
      </c>
      <c r="H349" s="13">
        <v>6</v>
      </c>
      <c r="I349" s="13">
        <v>97</v>
      </c>
      <c r="J349" s="13">
        <v>80</v>
      </c>
      <c r="K349" s="13">
        <v>54</v>
      </c>
      <c r="L349" s="13">
        <v>78</v>
      </c>
      <c r="M349" s="14">
        <v>43</v>
      </c>
      <c r="N349">
        <f t="shared" si="28"/>
        <v>61.2</v>
      </c>
      <c r="O349">
        <f t="shared" si="29"/>
        <v>6</v>
      </c>
      <c r="P349">
        <f t="shared" si="29"/>
        <v>4</v>
      </c>
      <c r="Q349">
        <f t="shared" si="29"/>
        <v>4</v>
      </c>
      <c r="R349">
        <f t="shared" si="27"/>
        <v>10</v>
      </c>
      <c r="S349">
        <v>1</v>
      </c>
      <c r="T349">
        <f t="shared" si="30"/>
        <v>26</v>
      </c>
      <c r="U349">
        <f t="shared" si="31"/>
        <v>35.200000000000003</v>
      </c>
      <c r="V349">
        <f t="shared" si="32"/>
        <v>0</v>
      </c>
    </row>
    <row r="350" spans="1:22" x14ac:dyDescent="0.35">
      <c r="A350" s="7" t="s">
        <v>484</v>
      </c>
      <c r="B350" s="8" t="s">
        <v>101</v>
      </c>
      <c r="C350" s="9">
        <v>2</v>
      </c>
      <c r="D350" s="9">
        <v>5</v>
      </c>
      <c r="E350" s="9">
        <v>2</v>
      </c>
      <c r="F350" s="9">
        <v>3</v>
      </c>
      <c r="G350" s="9">
        <v>5</v>
      </c>
      <c r="H350" s="9">
        <v>2</v>
      </c>
      <c r="I350" s="9">
        <v>26</v>
      </c>
      <c r="J350" s="9">
        <v>31</v>
      </c>
      <c r="K350" s="9">
        <v>88</v>
      </c>
      <c r="L350" s="9">
        <v>98</v>
      </c>
      <c r="M350" s="10">
        <v>45</v>
      </c>
      <c r="N350">
        <f t="shared" si="28"/>
        <v>42.8</v>
      </c>
      <c r="O350">
        <f t="shared" si="29"/>
        <v>0</v>
      </c>
      <c r="P350">
        <f t="shared" si="29"/>
        <v>4</v>
      </c>
      <c r="Q350">
        <f t="shared" si="29"/>
        <v>8</v>
      </c>
      <c r="R350">
        <f t="shared" si="27"/>
        <v>0</v>
      </c>
      <c r="S350">
        <v>1</v>
      </c>
      <c r="T350">
        <f t="shared" si="30"/>
        <v>14</v>
      </c>
      <c r="U350">
        <f t="shared" si="31"/>
        <v>28.8</v>
      </c>
      <c r="V350">
        <f t="shared" si="32"/>
        <v>0</v>
      </c>
    </row>
    <row r="351" spans="1:22" x14ac:dyDescent="0.35">
      <c r="A351" s="11" t="s">
        <v>485</v>
      </c>
      <c r="B351" s="12" t="s">
        <v>58</v>
      </c>
      <c r="C351" s="13">
        <v>7</v>
      </c>
      <c r="D351" s="13">
        <v>6</v>
      </c>
      <c r="E351" s="13">
        <v>4</v>
      </c>
      <c r="F351" s="13">
        <v>5</v>
      </c>
      <c r="G351" s="13">
        <v>4</v>
      </c>
      <c r="H351" s="13">
        <v>3</v>
      </c>
      <c r="I351" s="13">
        <v>17</v>
      </c>
      <c r="J351" s="13">
        <v>54</v>
      </c>
      <c r="K351" s="13">
        <v>78</v>
      </c>
      <c r="L351" s="13">
        <v>68</v>
      </c>
      <c r="M351" s="14">
        <v>41</v>
      </c>
      <c r="N351">
        <f t="shared" si="28"/>
        <v>58.8</v>
      </c>
      <c r="O351">
        <f t="shared" si="29"/>
        <v>6</v>
      </c>
      <c r="P351">
        <f t="shared" si="29"/>
        <v>8</v>
      </c>
      <c r="Q351">
        <f t="shared" si="29"/>
        <v>6</v>
      </c>
      <c r="R351">
        <f t="shared" si="27"/>
        <v>4</v>
      </c>
      <c r="S351">
        <v>1</v>
      </c>
      <c r="T351">
        <f t="shared" si="30"/>
        <v>33</v>
      </c>
      <c r="U351">
        <f t="shared" si="31"/>
        <v>25.8</v>
      </c>
      <c r="V351">
        <f t="shared" si="32"/>
        <v>1</v>
      </c>
    </row>
    <row r="352" spans="1:22" x14ac:dyDescent="0.35">
      <c r="A352" s="7" t="s">
        <v>486</v>
      </c>
      <c r="B352" s="8" t="s">
        <v>70</v>
      </c>
      <c r="C352" s="9">
        <v>0</v>
      </c>
      <c r="D352" s="9">
        <v>2</v>
      </c>
      <c r="E352" s="9">
        <v>5</v>
      </c>
      <c r="F352" s="9">
        <v>3</v>
      </c>
      <c r="G352" s="9">
        <v>6</v>
      </c>
      <c r="H352" s="9">
        <v>6</v>
      </c>
      <c r="I352" s="9">
        <v>5</v>
      </c>
      <c r="J352" s="9">
        <v>93</v>
      </c>
      <c r="K352" s="9">
        <v>4</v>
      </c>
      <c r="L352" s="9">
        <v>59</v>
      </c>
      <c r="M352" s="10">
        <v>71</v>
      </c>
      <c r="N352">
        <f t="shared" si="28"/>
        <v>55.2</v>
      </c>
      <c r="O352">
        <f t="shared" si="29"/>
        <v>8</v>
      </c>
      <c r="P352">
        <f t="shared" si="29"/>
        <v>4</v>
      </c>
      <c r="Q352">
        <f t="shared" si="29"/>
        <v>10</v>
      </c>
      <c r="R352">
        <f t="shared" si="27"/>
        <v>10</v>
      </c>
      <c r="S352">
        <v>1</v>
      </c>
      <c r="T352">
        <f t="shared" si="30"/>
        <v>32</v>
      </c>
      <c r="U352">
        <f t="shared" si="31"/>
        <v>23.2</v>
      </c>
      <c r="V352">
        <f t="shared" si="32"/>
        <v>1</v>
      </c>
    </row>
    <row r="353" spans="1:22" x14ac:dyDescent="0.35">
      <c r="A353" s="11" t="s">
        <v>487</v>
      </c>
      <c r="B353" s="12" t="s">
        <v>76</v>
      </c>
      <c r="C353" s="13">
        <v>3</v>
      </c>
      <c r="D353" s="13">
        <v>5</v>
      </c>
      <c r="E353" s="13">
        <v>3</v>
      </c>
      <c r="F353" s="13">
        <v>3</v>
      </c>
      <c r="G353" s="13">
        <v>6</v>
      </c>
      <c r="H353" s="13">
        <v>4</v>
      </c>
      <c r="I353" s="13">
        <v>78</v>
      </c>
      <c r="J353" s="13">
        <v>80</v>
      </c>
      <c r="K353" s="13">
        <v>56</v>
      </c>
      <c r="L353" s="13">
        <v>31</v>
      </c>
      <c r="M353" s="14">
        <v>81</v>
      </c>
      <c r="N353">
        <f t="shared" si="28"/>
        <v>59.6</v>
      </c>
      <c r="O353">
        <f t="shared" si="29"/>
        <v>4</v>
      </c>
      <c r="P353">
        <f t="shared" si="29"/>
        <v>4</v>
      </c>
      <c r="Q353">
        <f t="shared" si="29"/>
        <v>10</v>
      </c>
      <c r="R353">
        <f t="shared" si="27"/>
        <v>6</v>
      </c>
      <c r="S353">
        <v>1</v>
      </c>
      <c r="T353">
        <f t="shared" si="30"/>
        <v>27</v>
      </c>
      <c r="U353">
        <f t="shared" si="31"/>
        <v>32.6</v>
      </c>
      <c r="V353">
        <f t="shared" si="32"/>
        <v>0</v>
      </c>
    </row>
    <row r="354" spans="1:22" x14ac:dyDescent="0.35">
      <c r="A354" s="7" t="s">
        <v>488</v>
      </c>
      <c r="B354" s="8" t="s">
        <v>489</v>
      </c>
      <c r="C354" s="9">
        <v>6</v>
      </c>
      <c r="D354" s="9">
        <v>6</v>
      </c>
      <c r="E354" s="9">
        <v>6</v>
      </c>
      <c r="F354" s="9">
        <v>4</v>
      </c>
      <c r="G354" s="9">
        <v>6</v>
      </c>
      <c r="H354" s="9">
        <v>4</v>
      </c>
      <c r="I354" s="9">
        <v>64</v>
      </c>
      <c r="J354" s="9">
        <v>18</v>
      </c>
      <c r="K354" s="9">
        <v>23</v>
      </c>
      <c r="L354" s="9">
        <v>81</v>
      </c>
      <c r="M354" s="10">
        <v>18</v>
      </c>
      <c r="N354">
        <f t="shared" si="28"/>
        <v>60.4</v>
      </c>
      <c r="O354">
        <f t="shared" si="29"/>
        <v>10</v>
      </c>
      <c r="P354">
        <f t="shared" si="29"/>
        <v>6</v>
      </c>
      <c r="Q354">
        <f t="shared" si="29"/>
        <v>10</v>
      </c>
      <c r="R354">
        <f t="shared" si="27"/>
        <v>6</v>
      </c>
      <c r="S354">
        <v>1</v>
      </c>
      <c r="T354">
        <f t="shared" si="30"/>
        <v>40</v>
      </c>
      <c r="U354">
        <f t="shared" si="31"/>
        <v>20.399999999999999</v>
      </c>
      <c r="V354">
        <f t="shared" si="32"/>
        <v>1</v>
      </c>
    </row>
    <row r="355" spans="1:22" x14ac:dyDescent="0.35">
      <c r="A355" s="11" t="s">
        <v>490</v>
      </c>
      <c r="B355" s="12" t="s">
        <v>38</v>
      </c>
      <c r="C355" s="13">
        <v>2</v>
      </c>
      <c r="D355" s="13">
        <v>4</v>
      </c>
      <c r="E355" s="13">
        <v>3</v>
      </c>
      <c r="F355" s="13">
        <v>5</v>
      </c>
      <c r="G355" s="13">
        <v>2</v>
      </c>
      <c r="H355" s="13">
        <v>3</v>
      </c>
      <c r="I355" s="13">
        <v>96</v>
      </c>
      <c r="J355" s="13">
        <v>32</v>
      </c>
      <c r="K355" s="13">
        <v>73</v>
      </c>
      <c r="L355" s="13">
        <v>7</v>
      </c>
      <c r="M355" s="14">
        <v>74</v>
      </c>
      <c r="N355">
        <f t="shared" si="28"/>
        <v>46.2</v>
      </c>
      <c r="O355">
        <f t="shared" si="29"/>
        <v>4</v>
      </c>
      <c r="P355">
        <f t="shared" si="29"/>
        <v>8</v>
      </c>
      <c r="Q355">
        <f t="shared" si="29"/>
        <v>0</v>
      </c>
      <c r="R355">
        <f t="shared" si="27"/>
        <v>4</v>
      </c>
      <c r="S355">
        <v>1</v>
      </c>
      <c r="T355">
        <f t="shared" si="30"/>
        <v>18</v>
      </c>
      <c r="U355">
        <f t="shared" si="31"/>
        <v>28.2</v>
      </c>
      <c r="V355">
        <f t="shared" si="32"/>
        <v>0</v>
      </c>
    </row>
    <row r="356" spans="1:22" x14ac:dyDescent="0.35">
      <c r="A356" s="7" t="s">
        <v>491</v>
      </c>
      <c r="B356" s="8" t="s">
        <v>340</v>
      </c>
      <c r="C356" s="9">
        <v>6</v>
      </c>
      <c r="D356" s="9">
        <v>6</v>
      </c>
      <c r="E356" s="9">
        <v>5</v>
      </c>
      <c r="F356" s="9">
        <v>5</v>
      </c>
      <c r="G356" s="9">
        <v>3</v>
      </c>
      <c r="H356" s="9">
        <v>6</v>
      </c>
      <c r="I356" s="9">
        <v>85</v>
      </c>
      <c r="J356" s="9">
        <v>35</v>
      </c>
      <c r="K356" s="9">
        <v>70</v>
      </c>
      <c r="L356" s="9">
        <v>99</v>
      </c>
      <c r="M356" s="10">
        <v>85</v>
      </c>
      <c r="N356">
        <f t="shared" si="28"/>
        <v>75.400000000000006</v>
      </c>
      <c r="O356">
        <f t="shared" si="29"/>
        <v>8</v>
      </c>
      <c r="P356">
        <f t="shared" si="29"/>
        <v>8</v>
      </c>
      <c r="Q356">
        <f t="shared" si="29"/>
        <v>4</v>
      </c>
      <c r="R356">
        <f t="shared" si="27"/>
        <v>10</v>
      </c>
      <c r="S356">
        <v>1</v>
      </c>
      <c r="T356">
        <f t="shared" si="30"/>
        <v>38</v>
      </c>
      <c r="U356">
        <f t="shared" si="31"/>
        <v>37.4</v>
      </c>
      <c r="V356">
        <f t="shared" si="32"/>
        <v>1</v>
      </c>
    </row>
    <row r="357" spans="1:22" x14ac:dyDescent="0.35">
      <c r="A357" s="11" t="s">
        <v>492</v>
      </c>
      <c r="B357" s="12" t="s">
        <v>90</v>
      </c>
      <c r="C357" s="13">
        <v>4</v>
      </c>
      <c r="D357" s="13">
        <v>2</v>
      </c>
      <c r="E357" s="13">
        <v>4</v>
      </c>
      <c r="F357" s="13">
        <v>5</v>
      </c>
      <c r="G357" s="13">
        <v>4</v>
      </c>
      <c r="H357" s="13">
        <v>2</v>
      </c>
      <c r="I357" s="13">
        <v>17</v>
      </c>
      <c r="J357" s="13">
        <v>17</v>
      </c>
      <c r="K357" s="13">
        <v>92</v>
      </c>
      <c r="L357" s="13">
        <v>6</v>
      </c>
      <c r="M357" s="14">
        <v>64</v>
      </c>
      <c r="N357">
        <f t="shared" si="28"/>
        <v>43.6</v>
      </c>
      <c r="O357">
        <f t="shared" si="29"/>
        <v>6</v>
      </c>
      <c r="P357">
        <f t="shared" si="29"/>
        <v>8</v>
      </c>
      <c r="Q357">
        <f t="shared" si="29"/>
        <v>6</v>
      </c>
      <c r="R357">
        <f t="shared" si="27"/>
        <v>0</v>
      </c>
      <c r="S357">
        <v>1</v>
      </c>
      <c r="T357">
        <f t="shared" si="30"/>
        <v>24</v>
      </c>
      <c r="U357">
        <f t="shared" si="31"/>
        <v>19.600000000000001</v>
      </c>
      <c r="V357">
        <f t="shared" si="32"/>
        <v>1</v>
      </c>
    </row>
    <row r="358" spans="1:22" x14ac:dyDescent="0.35">
      <c r="A358" s="7" t="s">
        <v>493</v>
      </c>
      <c r="B358" s="8" t="s">
        <v>180</v>
      </c>
      <c r="C358" s="9">
        <v>4</v>
      </c>
      <c r="D358" s="9">
        <v>2</v>
      </c>
      <c r="E358" s="9">
        <v>4</v>
      </c>
      <c r="F358" s="9">
        <v>2</v>
      </c>
      <c r="G358" s="9">
        <v>5</v>
      </c>
      <c r="H358" s="9">
        <v>4</v>
      </c>
      <c r="I358" s="9">
        <v>62</v>
      </c>
      <c r="J358" s="9">
        <v>3</v>
      </c>
      <c r="K358" s="9">
        <v>84</v>
      </c>
      <c r="L358" s="9">
        <v>48</v>
      </c>
      <c r="M358" s="10">
        <v>94</v>
      </c>
      <c r="N358">
        <f t="shared" si="28"/>
        <v>53.1</v>
      </c>
      <c r="O358">
        <f t="shared" si="29"/>
        <v>6</v>
      </c>
      <c r="P358">
        <f t="shared" si="29"/>
        <v>0</v>
      </c>
      <c r="Q358">
        <f t="shared" si="29"/>
        <v>8</v>
      </c>
      <c r="R358">
        <f t="shared" si="27"/>
        <v>6</v>
      </c>
      <c r="S358">
        <v>1</v>
      </c>
      <c r="T358">
        <f t="shared" si="30"/>
        <v>24</v>
      </c>
      <c r="U358">
        <f t="shared" si="31"/>
        <v>29.1</v>
      </c>
      <c r="V358">
        <f t="shared" si="32"/>
        <v>0</v>
      </c>
    </row>
    <row r="359" spans="1:22" x14ac:dyDescent="0.35">
      <c r="A359" s="11" t="s">
        <v>494</v>
      </c>
      <c r="B359" s="12" t="s">
        <v>495</v>
      </c>
      <c r="C359" s="13">
        <v>4</v>
      </c>
      <c r="D359" s="13">
        <v>5</v>
      </c>
      <c r="E359" s="13">
        <v>5</v>
      </c>
      <c r="F359" s="13">
        <v>6</v>
      </c>
      <c r="G359" s="13">
        <v>2</v>
      </c>
      <c r="H359" s="13">
        <v>3</v>
      </c>
      <c r="I359" s="13">
        <v>35</v>
      </c>
      <c r="J359" s="13">
        <v>49</v>
      </c>
      <c r="K359" s="13">
        <v>59</v>
      </c>
      <c r="L359" s="13">
        <v>44</v>
      </c>
      <c r="M359" s="14">
        <v>68</v>
      </c>
      <c r="N359">
        <f t="shared" si="28"/>
        <v>51.5</v>
      </c>
      <c r="O359">
        <f t="shared" si="29"/>
        <v>8</v>
      </c>
      <c r="P359">
        <f t="shared" si="29"/>
        <v>10</v>
      </c>
      <c r="Q359">
        <f t="shared" si="29"/>
        <v>0</v>
      </c>
      <c r="R359">
        <f t="shared" si="27"/>
        <v>4</v>
      </c>
      <c r="S359">
        <v>1</v>
      </c>
      <c r="T359">
        <f t="shared" si="30"/>
        <v>26</v>
      </c>
      <c r="U359">
        <f t="shared" si="31"/>
        <v>25.5</v>
      </c>
      <c r="V359">
        <f t="shared" si="32"/>
        <v>1</v>
      </c>
    </row>
    <row r="360" spans="1:22" x14ac:dyDescent="0.35">
      <c r="A360" s="7" t="s">
        <v>496</v>
      </c>
      <c r="B360" s="8" t="s">
        <v>369</v>
      </c>
      <c r="C360" s="9">
        <v>7</v>
      </c>
      <c r="D360" s="9">
        <v>3</v>
      </c>
      <c r="E360" s="9">
        <v>6</v>
      </c>
      <c r="F360" s="9">
        <v>2</v>
      </c>
      <c r="G360" s="9">
        <v>6</v>
      </c>
      <c r="H360" s="9">
        <v>5</v>
      </c>
      <c r="I360" s="9">
        <v>20</v>
      </c>
      <c r="J360" s="9">
        <v>58</v>
      </c>
      <c r="K360" s="9">
        <v>93</v>
      </c>
      <c r="L360" s="9">
        <v>53</v>
      </c>
      <c r="M360" s="10">
        <v>35</v>
      </c>
      <c r="N360">
        <f t="shared" si="28"/>
        <v>60.9</v>
      </c>
      <c r="O360">
        <f t="shared" si="29"/>
        <v>10</v>
      </c>
      <c r="P360">
        <f t="shared" si="29"/>
        <v>0</v>
      </c>
      <c r="Q360">
        <f t="shared" si="29"/>
        <v>10</v>
      </c>
      <c r="R360">
        <f t="shared" si="27"/>
        <v>8</v>
      </c>
      <c r="S360">
        <v>1</v>
      </c>
      <c r="T360">
        <f t="shared" si="30"/>
        <v>35</v>
      </c>
      <c r="U360">
        <f t="shared" si="31"/>
        <v>25.9</v>
      </c>
      <c r="V360">
        <f t="shared" si="32"/>
        <v>1</v>
      </c>
    </row>
    <row r="361" spans="1:22" x14ac:dyDescent="0.35">
      <c r="A361" s="11" t="s">
        <v>497</v>
      </c>
      <c r="B361" s="12" t="s">
        <v>498</v>
      </c>
      <c r="C361" s="13">
        <v>5</v>
      </c>
      <c r="D361" s="13">
        <v>6</v>
      </c>
      <c r="E361" s="13">
        <v>2</v>
      </c>
      <c r="F361" s="13">
        <v>3</v>
      </c>
      <c r="G361" s="13">
        <v>4</v>
      </c>
      <c r="H361" s="13">
        <v>3</v>
      </c>
      <c r="I361" s="13">
        <v>2</v>
      </c>
      <c r="J361" s="13">
        <v>97</v>
      </c>
      <c r="K361" s="13">
        <v>14</v>
      </c>
      <c r="L361" s="13">
        <v>81</v>
      </c>
      <c r="M361" s="14">
        <v>38</v>
      </c>
      <c r="N361">
        <f t="shared" si="28"/>
        <v>44.2</v>
      </c>
      <c r="O361">
        <f t="shared" si="29"/>
        <v>0</v>
      </c>
      <c r="P361">
        <f t="shared" si="29"/>
        <v>4</v>
      </c>
      <c r="Q361">
        <f t="shared" si="29"/>
        <v>6</v>
      </c>
      <c r="R361">
        <f t="shared" si="27"/>
        <v>4</v>
      </c>
      <c r="S361">
        <v>1</v>
      </c>
      <c r="T361">
        <f t="shared" si="30"/>
        <v>21</v>
      </c>
      <c r="U361">
        <f t="shared" si="31"/>
        <v>23.2</v>
      </c>
      <c r="V361">
        <f t="shared" si="32"/>
        <v>0</v>
      </c>
    </row>
    <row r="362" spans="1:22" x14ac:dyDescent="0.35">
      <c r="A362" s="7" t="s">
        <v>499</v>
      </c>
      <c r="B362" s="8" t="s">
        <v>498</v>
      </c>
      <c r="C362" s="9">
        <v>4</v>
      </c>
      <c r="D362" s="9">
        <v>6</v>
      </c>
      <c r="E362" s="9">
        <v>2</v>
      </c>
      <c r="F362" s="9">
        <v>6</v>
      </c>
      <c r="G362" s="9">
        <v>4</v>
      </c>
      <c r="H362" s="9">
        <v>5</v>
      </c>
      <c r="I362" s="9">
        <v>98</v>
      </c>
      <c r="J362" s="9">
        <v>42</v>
      </c>
      <c r="K362" s="9">
        <v>49</v>
      </c>
      <c r="L362" s="9">
        <v>83</v>
      </c>
      <c r="M362" s="10">
        <v>32</v>
      </c>
      <c r="N362">
        <f t="shared" si="28"/>
        <v>60.4</v>
      </c>
      <c r="O362">
        <f t="shared" si="29"/>
        <v>0</v>
      </c>
      <c r="P362">
        <f t="shared" si="29"/>
        <v>10</v>
      </c>
      <c r="Q362">
        <f t="shared" si="29"/>
        <v>6</v>
      </c>
      <c r="R362">
        <f t="shared" si="27"/>
        <v>8</v>
      </c>
      <c r="S362">
        <v>1</v>
      </c>
      <c r="T362">
        <f t="shared" si="30"/>
        <v>30</v>
      </c>
      <c r="U362">
        <f t="shared" si="31"/>
        <v>30.4</v>
      </c>
      <c r="V362">
        <f t="shared" si="32"/>
        <v>0</v>
      </c>
    </row>
    <row r="363" spans="1:22" x14ac:dyDescent="0.35">
      <c r="A363" s="11" t="s">
        <v>500</v>
      </c>
      <c r="B363" s="12" t="s">
        <v>121</v>
      </c>
      <c r="C363" s="13">
        <v>7</v>
      </c>
      <c r="D363" s="13">
        <v>5</v>
      </c>
      <c r="E363" s="13">
        <v>5</v>
      </c>
      <c r="F363" s="13">
        <v>4</v>
      </c>
      <c r="G363" s="13">
        <v>5</v>
      </c>
      <c r="H363" s="13">
        <v>6</v>
      </c>
      <c r="I363" s="13">
        <v>97</v>
      </c>
      <c r="J363" s="13">
        <v>45</v>
      </c>
      <c r="K363" s="13">
        <v>42</v>
      </c>
      <c r="L363" s="13">
        <v>25</v>
      </c>
      <c r="M363" s="14">
        <v>51</v>
      </c>
      <c r="N363">
        <f t="shared" si="28"/>
        <v>65</v>
      </c>
      <c r="O363">
        <f t="shared" si="29"/>
        <v>8</v>
      </c>
      <c r="P363">
        <f t="shared" si="29"/>
        <v>6</v>
      </c>
      <c r="Q363">
        <f t="shared" si="29"/>
        <v>8</v>
      </c>
      <c r="R363">
        <f t="shared" si="27"/>
        <v>10</v>
      </c>
      <c r="S363">
        <v>1</v>
      </c>
      <c r="T363">
        <f t="shared" si="30"/>
        <v>39</v>
      </c>
      <c r="U363">
        <f t="shared" si="31"/>
        <v>26</v>
      </c>
      <c r="V363">
        <f t="shared" si="32"/>
        <v>1</v>
      </c>
    </row>
    <row r="364" spans="1:22" x14ac:dyDescent="0.35">
      <c r="A364" s="7" t="s">
        <v>501</v>
      </c>
      <c r="B364" s="8" t="s">
        <v>18</v>
      </c>
      <c r="C364" s="9">
        <v>8</v>
      </c>
      <c r="D364" s="9">
        <v>3</v>
      </c>
      <c r="E364" s="9">
        <v>2</v>
      </c>
      <c r="F364" s="9">
        <v>2</v>
      </c>
      <c r="G364" s="9">
        <v>4</v>
      </c>
      <c r="H364" s="9">
        <v>2</v>
      </c>
      <c r="I364" s="9">
        <v>54</v>
      </c>
      <c r="J364" s="9">
        <v>48</v>
      </c>
      <c r="K364" s="9">
        <v>35</v>
      </c>
      <c r="L364" s="9">
        <v>28</v>
      </c>
      <c r="M364" s="10">
        <v>35</v>
      </c>
      <c r="N364">
        <f t="shared" si="28"/>
        <v>34</v>
      </c>
      <c r="O364">
        <f t="shared" si="29"/>
        <v>0</v>
      </c>
      <c r="P364">
        <f t="shared" si="29"/>
        <v>0</v>
      </c>
      <c r="Q364">
        <f t="shared" si="29"/>
        <v>6</v>
      </c>
      <c r="R364">
        <f t="shared" si="27"/>
        <v>0</v>
      </c>
      <c r="S364">
        <v>1</v>
      </c>
      <c r="T364">
        <f t="shared" si="30"/>
        <v>14</v>
      </c>
      <c r="U364">
        <f t="shared" si="31"/>
        <v>20</v>
      </c>
      <c r="V364">
        <f t="shared" si="32"/>
        <v>0</v>
      </c>
    </row>
    <row r="365" spans="1:22" x14ac:dyDescent="0.35">
      <c r="A365" s="11" t="s">
        <v>502</v>
      </c>
      <c r="B365" s="12" t="s">
        <v>503</v>
      </c>
      <c r="C365" s="13">
        <v>5</v>
      </c>
      <c r="D365" s="13">
        <v>2</v>
      </c>
      <c r="E365" s="13">
        <v>6</v>
      </c>
      <c r="F365" s="13">
        <v>3</v>
      </c>
      <c r="G365" s="13">
        <v>2</v>
      </c>
      <c r="H365" s="13">
        <v>5</v>
      </c>
      <c r="I365" s="13">
        <v>35</v>
      </c>
      <c r="J365" s="13">
        <v>56</v>
      </c>
      <c r="K365" s="13">
        <v>6</v>
      </c>
      <c r="L365" s="13">
        <v>84</v>
      </c>
      <c r="M365" s="14">
        <v>54</v>
      </c>
      <c r="N365">
        <f t="shared" si="28"/>
        <v>50.5</v>
      </c>
      <c r="O365">
        <f t="shared" si="29"/>
        <v>10</v>
      </c>
      <c r="P365">
        <f t="shared" si="29"/>
        <v>4</v>
      </c>
      <c r="Q365">
        <f t="shared" si="29"/>
        <v>0</v>
      </c>
      <c r="R365">
        <f t="shared" si="27"/>
        <v>8</v>
      </c>
      <c r="S365">
        <v>1</v>
      </c>
      <c r="T365">
        <f t="shared" si="30"/>
        <v>27</v>
      </c>
      <c r="U365">
        <f t="shared" si="31"/>
        <v>23.5</v>
      </c>
      <c r="V365">
        <f t="shared" si="32"/>
        <v>1</v>
      </c>
    </row>
    <row r="366" spans="1:22" x14ac:dyDescent="0.35">
      <c r="A366" s="7" t="s">
        <v>504</v>
      </c>
      <c r="B366" s="8" t="s">
        <v>367</v>
      </c>
      <c r="C366" s="9">
        <v>0</v>
      </c>
      <c r="D366" s="9">
        <v>2</v>
      </c>
      <c r="E366" s="9">
        <v>5</v>
      </c>
      <c r="F366" s="9">
        <v>6</v>
      </c>
      <c r="G366" s="9">
        <v>6</v>
      </c>
      <c r="H366" s="9">
        <v>3</v>
      </c>
      <c r="I366" s="9">
        <v>36</v>
      </c>
      <c r="J366" s="9">
        <v>94</v>
      </c>
      <c r="K366" s="9">
        <v>52</v>
      </c>
      <c r="L366" s="9">
        <v>50</v>
      </c>
      <c r="M366" s="10">
        <v>57</v>
      </c>
      <c r="N366">
        <f t="shared" si="28"/>
        <v>60.9</v>
      </c>
      <c r="O366">
        <f t="shared" si="29"/>
        <v>8</v>
      </c>
      <c r="P366">
        <f t="shared" si="29"/>
        <v>10</v>
      </c>
      <c r="Q366">
        <f t="shared" si="29"/>
        <v>10</v>
      </c>
      <c r="R366">
        <f t="shared" si="27"/>
        <v>4</v>
      </c>
      <c r="S366">
        <v>1</v>
      </c>
      <c r="T366">
        <f t="shared" si="30"/>
        <v>32</v>
      </c>
      <c r="U366">
        <f t="shared" si="31"/>
        <v>28.9</v>
      </c>
      <c r="V366">
        <f t="shared" si="32"/>
        <v>1</v>
      </c>
    </row>
    <row r="367" spans="1:22" x14ac:dyDescent="0.35">
      <c r="A367" s="11" t="s">
        <v>505</v>
      </c>
      <c r="B367" s="12" t="s">
        <v>506</v>
      </c>
      <c r="C367" s="13">
        <v>2</v>
      </c>
      <c r="D367" s="13">
        <v>3</v>
      </c>
      <c r="E367" s="13">
        <v>2</v>
      </c>
      <c r="F367" s="13">
        <v>2</v>
      </c>
      <c r="G367" s="13">
        <v>5</v>
      </c>
      <c r="H367" s="13">
        <v>6</v>
      </c>
      <c r="I367" s="13">
        <v>100</v>
      </c>
      <c r="J367" s="13">
        <v>48</v>
      </c>
      <c r="K367" s="13">
        <v>88</v>
      </c>
      <c r="L367" s="13">
        <v>48</v>
      </c>
      <c r="M367" s="14">
        <v>8</v>
      </c>
      <c r="N367">
        <f t="shared" si="28"/>
        <v>49.2</v>
      </c>
      <c r="O367">
        <f t="shared" si="29"/>
        <v>0</v>
      </c>
      <c r="P367">
        <f t="shared" si="29"/>
        <v>0</v>
      </c>
      <c r="Q367">
        <f t="shared" si="29"/>
        <v>8</v>
      </c>
      <c r="R367">
        <f t="shared" si="27"/>
        <v>10</v>
      </c>
      <c r="S367">
        <v>1</v>
      </c>
      <c r="T367">
        <f t="shared" si="30"/>
        <v>20</v>
      </c>
      <c r="U367">
        <f t="shared" si="31"/>
        <v>29.2</v>
      </c>
      <c r="V367">
        <f t="shared" si="32"/>
        <v>0</v>
      </c>
    </row>
    <row r="368" spans="1:22" x14ac:dyDescent="0.35">
      <c r="A368" s="7" t="s">
        <v>507</v>
      </c>
      <c r="B368" s="8" t="s">
        <v>508</v>
      </c>
      <c r="C368" s="9">
        <v>1</v>
      </c>
      <c r="D368" s="9">
        <v>3</v>
      </c>
      <c r="E368" s="9">
        <v>4</v>
      </c>
      <c r="F368" s="9">
        <v>3</v>
      </c>
      <c r="G368" s="9">
        <v>5</v>
      </c>
      <c r="H368" s="9">
        <v>6</v>
      </c>
      <c r="I368" s="9">
        <v>89</v>
      </c>
      <c r="J368" s="9">
        <v>70</v>
      </c>
      <c r="K368" s="9">
        <v>58</v>
      </c>
      <c r="L368" s="9">
        <v>39</v>
      </c>
      <c r="M368" s="10">
        <v>43</v>
      </c>
      <c r="N368">
        <f t="shared" si="28"/>
        <v>58.9</v>
      </c>
      <c r="O368">
        <f t="shared" si="29"/>
        <v>6</v>
      </c>
      <c r="P368">
        <f t="shared" si="29"/>
        <v>4</v>
      </c>
      <c r="Q368">
        <f t="shared" si="29"/>
        <v>8</v>
      </c>
      <c r="R368">
        <f t="shared" si="27"/>
        <v>10</v>
      </c>
      <c r="S368">
        <v>1</v>
      </c>
      <c r="T368">
        <f t="shared" si="30"/>
        <v>29</v>
      </c>
      <c r="U368">
        <f t="shared" si="31"/>
        <v>29.9</v>
      </c>
      <c r="V368">
        <f t="shared" si="32"/>
        <v>0</v>
      </c>
    </row>
    <row r="369" spans="1:22" x14ac:dyDescent="0.35">
      <c r="A369" s="11" t="s">
        <v>509</v>
      </c>
      <c r="B369" s="12" t="s">
        <v>188</v>
      </c>
      <c r="C369" s="13">
        <v>0</v>
      </c>
      <c r="D369" s="13">
        <v>6</v>
      </c>
      <c r="E369" s="13">
        <v>2</v>
      </c>
      <c r="F369" s="13">
        <v>2</v>
      </c>
      <c r="G369" s="13">
        <v>6</v>
      </c>
      <c r="H369" s="13">
        <v>2</v>
      </c>
      <c r="I369" s="13">
        <v>21</v>
      </c>
      <c r="J369" s="13">
        <v>80</v>
      </c>
      <c r="K369" s="13">
        <v>59</v>
      </c>
      <c r="L369" s="13">
        <v>35</v>
      </c>
      <c r="M369" s="14">
        <v>12</v>
      </c>
      <c r="N369">
        <f t="shared" si="28"/>
        <v>32.700000000000003</v>
      </c>
      <c r="O369">
        <f t="shared" si="29"/>
        <v>0</v>
      </c>
      <c r="P369">
        <f t="shared" si="29"/>
        <v>0</v>
      </c>
      <c r="Q369">
        <f t="shared" si="29"/>
        <v>10</v>
      </c>
      <c r="R369">
        <f t="shared" si="27"/>
        <v>0</v>
      </c>
      <c r="S369">
        <v>1</v>
      </c>
      <c r="T369">
        <f t="shared" si="30"/>
        <v>12</v>
      </c>
      <c r="U369">
        <f t="shared" si="31"/>
        <v>20.7</v>
      </c>
      <c r="V369">
        <f t="shared" si="32"/>
        <v>0</v>
      </c>
    </row>
    <row r="370" spans="1:22" x14ac:dyDescent="0.35">
      <c r="A370" s="7" t="s">
        <v>510</v>
      </c>
      <c r="B370" s="8" t="s">
        <v>188</v>
      </c>
      <c r="C370" s="9">
        <v>1</v>
      </c>
      <c r="D370" s="9">
        <v>3</v>
      </c>
      <c r="E370" s="9">
        <v>2</v>
      </c>
      <c r="F370" s="9">
        <v>5</v>
      </c>
      <c r="G370" s="9">
        <v>4</v>
      </c>
      <c r="H370" s="9">
        <v>4</v>
      </c>
      <c r="I370" s="9">
        <v>38</v>
      </c>
      <c r="J370" s="9">
        <v>5</v>
      </c>
      <c r="K370" s="9">
        <v>69</v>
      </c>
      <c r="L370" s="9">
        <v>94</v>
      </c>
      <c r="M370" s="10">
        <v>25</v>
      </c>
      <c r="N370">
        <f t="shared" si="28"/>
        <v>44.1</v>
      </c>
      <c r="O370">
        <f t="shared" si="29"/>
        <v>0</v>
      </c>
      <c r="P370">
        <f t="shared" si="29"/>
        <v>8</v>
      </c>
      <c r="Q370">
        <f t="shared" si="29"/>
        <v>6</v>
      </c>
      <c r="R370">
        <f t="shared" si="27"/>
        <v>6</v>
      </c>
      <c r="S370">
        <v>1</v>
      </c>
      <c r="T370">
        <f t="shared" si="30"/>
        <v>21</v>
      </c>
      <c r="U370">
        <f t="shared" si="31"/>
        <v>23.1</v>
      </c>
      <c r="V370">
        <f t="shared" si="32"/>
        <v>0</v>
      </c>
    </row>
    <row r="371" spans="1:22" x14ac:dyDescent="0.35">
      <c r="A371" s="11" t="s">
        <v>511</v>
      </c>
      <c r="B371" s="12" t="s">
        <v>311</v>
      </c>
      <c r="C371" s="13">
        <v>8</v>
      </c>
      <c r="D371" s="13">
        <v>4</v>
      </c>
      <c r="E371" s="13">
        <v>5</v>
      </c>
      <c r="F371" s="13">
        <v>4</v>
      </c>
      <c r="G371" s="13">
        <v>5</v>
      </c>
      <c r="H371" s="13">
        <v>3</v>
      </c>
      <c r="I371" s="13">
        <v>24</v>
      </c>
      <c r="J371" s="13">
        <v>47</v>
      </c>
      <c r="K371" s="13">
        <v>99</v>
      </c>
      <c r="L371" s="13">
        <v>64</v>
      </c>
      <c r="M371" s="14">
        <v>11</v>
      </c>
      <c r="N371">
        <f t="shared" si="28"/>
        <v>58.5</v>
      </c>
      <c r="O371">
        <f t="shared" si="29"/>
        <v>8</v>
      </c>
      <c r="P371">
        <f t="shared" si="29"/>
        <v>6</v>
      </c>
      <c r="Q371">
        <f t="shared" si="29"/>
        <v>8</v>
      </c>
      <c r="R371">
        <f t="shared" si="27"/>
        <v>4</v>
      </c>
      <c r="S371">
        <v>1</v>
      </c>
      <c r="T371">
        <f t="shared" si="30"/>
        <v>34</v>
      </c>
      <c r="U371">
        <f t="shared" si="31"/>
        <v>24.5</v>
      </c>
      <c r="V371">
        <f t="shared" si="32"/>
        <v>1</v>
      </c>
    </row>
    <row r="372" spans="1:22" x14ac:dyDescent="0.35">
      <c r="A372" s="7" t="s">
        <v>512</v>
      </c>
      <c r="B372" s="8" t="s">
        <v>311</v>
      </c>
      <c r="C372" s="9">
        <v>3</v>
      </c>
      <c r="D372" s="9">
        <v>5</v>
      </c>
      <c r="E372" s="9">
        <v>2</v>
      </c>
      <c r="F372" s="9">
        <v>4</v>
      </c>
      <c r="G372" s="9">
        <v>5</v>
      </c>
      <c r="H372" s="9">
        <v>4</v>
      </c>
      <c r="I372" s="9">
        <v>48</v>
      </c>
      <c r="J372" s="9">
        <v>100</v>
      </c>
      <c r="K372" s="9">
        <v>7</v>
      </c>
      <c r="L372" s="9">
        <v>64</v>
      </c>
      <c r="M372" s="10">
        <v>74</v>
      </c>
      <c r="N372">
        <f t="shared" si="28"/>
        <v>52.3</v>
      </c>
      <c r="O372">
        <f t="shared" si="29"/>
        <v>0</v>
      </c>
      <c r="P372">
        <f t="shared" si="29"/>
        <v>6</v>
      </c>
      <c r="Q372">
        <f t="shared" si="29"/>
        <v>8</v>
      </c>
      <c r="R372">
        <f t="shared" si="27"/>
        <v>6</v>
      </c>
      <c r="S372">
        <v>1</v>
      </c>
      <c r="T372">
        <f t="shared" si="30"/>
        <v>23</v>
      </c>
      <c r="U372">
        <f t="shared" si="31"/>
        <v>29.3</v>
      </c>
      <c r="V372">
        <f t="shared" si="32"/>
        <v>0</v>
      </c>
    </row>
    <row r="373" spans="1:22" x14ac:dyDescent="0.35">
      <c r="A373" s="11" t="s">
        <v>308</v>
      </c>
      <c r="B373" s="12" t="s">
        <v>30</v>
      </c>
      <c r="C373" s="13">
        <v>8</v>
      </c>
      <c r="D373" s="13">
        <v>3</v>
      </c>
      <c r="E373" s="13">
        <v>5</v>
      </c>
      <c r="F373" s="13">
        <v>2</v>
      </c>
      <c r="G373" s="13">
        <v>4</v>
      </c>
      <c r="H373" s="13">
        <v>6</v>
      </c>
      <c r="I373" s="13">
        <v>46</v>
      </c>
      <c r="J373" s="13">
        <v>88</v>
      </c>
      <c r="K373" s="13">
        <v>1</v>
      </c>
      <c r="L373" s="13">
        <v>49</v>
      </c>
      <c r="M373" s="14">
        <v>84</v>
      </c>
      <c r="N373">
        <f t="shared" si="28"/>
        <v>58.8</v>
      </c>
      <c r="O373">
        <f t="shared" si="29"/>
        <v>8</v>
      </c>
      <c r="P373">
        <f t="shared" si="29"/>
        <v>0</v>
      </c>
      <c r="Q373">
        <f t="shared" si="29"/>
        <v>6</v>
      </c>
      <c r="R373">
        <f t="shared" si="27"/>
        <v>10</v>
      </c>
      <c r="S373">
        <v>1</v>
      </c>
      <c r="T373">
        <f t="shared" si="30"/>
        <v>32</v>
      </c>
      <c r="U373">
        <f t="shared" si="31"/>
        <v>26.8</v>
      </c>
      <c r="V373">
        <f t="shared" si="32"/>
        <v>1</v>
      </c>
    </row>
    <row r="374" spans="1:22" x14ac:dyDescent="0.35">
      <c r="A374" s="7" t="s">
        <v>69</v>
      </c>
      <c r="B374" s="8" t="s">
        <v>70</v>
      </c>
      <c r="C374" s="9">
        <v>3</v>
      </c>
      <c r="D374" s="9">
        <v>5</v>
      </c>
      <c r="E374" s="9">
        <v>4</v>
      </c>
      <c r="F374" s="9">
        <v>4</v>
      </c>
      <c r="G374" s="9">
        <v>6</v>
      </c>
      <c r="H374" s="9">
        <v>4</v>
      </c>
      <c r="I374" s="9">
        <v>77</v>
      </c>
      <c r="J374" s="9">
        <v>80</v>
      </c>
      <c r="K374" s="9">
        <v>44</v>
      </c>
      <c r="L374" s="9">
        <v>96</v>
      </c>
      <c r="M374" s="10">
        <v>10</v>
      </c>
      <c r="N374">
        <f t="shared" si="28"/>
        <v>61.7</v>
      </c>
      <c r="O374">
        <f t="shared" si="29"/>
        <v>6</v>
      </c>
      <c r="P374">
        <f t="shared" si="29"/>
        <v>6</v>
      </c>
      <c r="Q374">
        <f t="shared" si="29"/>
        <v>10</v>
      </c>
      <c r="R374">
        <f t="shared" si="27"/>
        <v>6</v>
      </c>
      <c r="S374">
        <v>1</v>
      </c>
      <c r="T374">
        <f t="shared" si="30"/>
        <v>31</v>
      </c>
      <c r="U374">
        <f t="shared" si="31"/>
        <v>30.7</v>
      </c>
      <c r="V374">
        <f t="shared" si="32"/>
        <v>1</v>
      </c>
    </row>
    <row r="375" spans="1:22" x14ac:dyDescent="0.35">
      <c r="A375" s="11" t="s">
        <v>513</v>
      </c>
      <c r="B375" s="12" t="s">
        <v>48</v>
      </c>
      <c r="C375" s="13">
        <v>8</v>
      </c>
      <c r="D375" s="13">
        <v>3</v>
      </c>
      <c r="E375" s="13">
        <v>5</v>
      </c>
      <c r="F375" s="13">
        <v>3</v>
      </c>
      <c r="G375" s="13">
        <v>5</v>
      </c>
      <c r="H375" s="13">
        <v>3</v>
      </c>
      <c r="I375" s="13">
        <v>28</v>
      </c>
      <c r="J375" s="13">
        <v>5</v>
      </c>
      <c r="K375" s="13">
        <v>29</v>
      </c>
      <c r="L375" s="13">
        <v>7</v>
      </c>
      <c r="M375" s="14">
        <v>19</v>
      </c>
      <c r="N375">
        <f t="shared" si="28"/>
        <v>40.799999999999997</v>
      </c>
      <c r="O375">
        <f t="shared" si="29"/>
        <v>8</v>
      </c>
      <c r="P375">
        <f t="shared" si="29"/>
        <v>4</v>
      </c>
      <c r="Q375">
        <f t="shared" si="29"/>
        <v>8</v>
      </c>
      <c r="R375">
        <f t="shared" si="27"/>
        <v>4</v>
      </c>
      <c r="S375">
        <v>1</v>
      </c>
      <c r="T375">
        <f t="shared" si="30"/>
        <v>32</v>
      </c>
      <c r="U375">
        <f t="shared" si="31"/>
        <v>8.8000000000000007</v>
      </c>
      <c r="V375">
        <f t="shared" si="32"/>
        <v>1</v>
      </c>
    </row>
    <row r="376" spans="1:22" x14ac:dyDescent="0.35">
      <c r="A376" s="7" t="s">
        <v>514</v>
      </c>
      <c r="B376" s="8" t="s">
        <v>38</v>
      </c>
      <c r="C376" s="9">
        <v>0</v>
      </c>
      <c r="D376" s="9">
        <v>5</v>
      </c>
      <c r="E376" s="9">
        <v>5</v>
      </c>
      <c r="F376" s="9">
        <v>4</v>
      </c>
      <c r="G376" s="9">
        <v>5</v>
      </c>
      <c r="H376" s="9">
        <v>5</v>
      </c>
      <c r="I376" s="9">
        <v>100</v>
      </c>
      <c r="J376" s="9">
        <v>100</v>
      </c>
      <c r="K376" s="9">
        <v>68</v>
      </c>
      <c r="L376" s="9">
        <v>69</v>
      </c>
      <c r="M376" s="10">
        <v>46</v>
      </c>
      <c r="N376">
        <f t="shared" si="28"/>
        <v>68.3</v>
      </c>
      <c r="O376">
        <f t="shared" si="29"/>
        <v>8</v>
      </c>
      <c r="P376">
        <f t="shared" si="29"/>
        <v>6</v>
      </c>
      <c r="Q376">
        <f t="shared" si="29"/>
        <v>8</v>
      </c>
      <c r="R376">
        <f t="shared" si="27"/>
        <v>8</v>
      </c>
      <c r="S376">
        <v>1</v>
      </c>
      <c r="T376">
        <f t="shared" si="30"/>
        <v>30</v>
      </c>
      <c r="U376">
        <f t="shared" si="31"/>
        <v>38.299999999999997</v>
      </c>
      <c r="V376">
        <f t="shared" si="32"/>
        <v>0</v>
      </c>
    </row>
    <row r="377" spans="1:22" x14ac:dyDescent="0.35">
      <c r="A377" s="11" t="s">
        <v>411</v>
      </c>
      <c r="B377" s="12" t="s">
        <v>515</v>
      </c>
      <c r="C377" s="13">
        <v>0</v>
      </c>
      <c r="D377" s="13">
        <v>6</v>
      </c>
      <c r="E377" s="13">
        <v>6</v>
      </c>
      <c r="F377" s="13">
        <v>3</v>
      </c>
      <c r="G377" s="13">
        <v>4</v>
      </c>
      <c r="H377" s="13">
        <v>3</v>
      </c>
      <c r="I377" s="13">
        <v>86</v>
      </c>
      <c r="J377" s="13">
        <v>20</v>
      </c>
      <c r="K377" s="13">
        <v>40</v>
      </c>
      <c r="L377" s="13">
        <v>37</v>
      </c>
      <c r="M377" s="14">
        <v>24</v>
      </c>
      <c r="N377">
        <f t="shared" si="28"/>
        <v>46.7</v>
      </c>
      <c r="O377">
        <f t="shared" si="29"/>
        <v>10</v>
      </c>
      <c r="P377">
        <f t="shared" si="29"/>
        <v>4</v>
      </c>
      <c r="Q377">
        <f t="shared" si="29"/>
        <v>6</v>
      </c>
      <c r="R377">
        <f t="shared" si="27"/>
        <v>4</v>
      </c>
      <c r="S377">
        <v>1</v>
      </c>
      <c r="T377">
        <f t="shared" si="30"/>
        <v>26</v>
      </c>
      <c r="U377">
        <f t="shared" si="31"/>
        <v>20.7</v>
      </c>
      <c r="V377">
        <f t="shared" si="32"/>
        <v>1</v>
      </c>
    </row>
    <row r="378" spans="1:22" x14ac:dyDescent="0.35">
      <c r="A378" s="7" t="s">
        <v>516</v>
      </c>
      <c r="B378" s="8" t="s">
        <v>16</v>
      </c>
      <c r="C378" s="9">
        <v>8</v>
      </c>
      <c r="D378" s="9">
        <v>2</v>
      </c>
      <c r="E378" s="9">
        <v>4</v>
      </c>
      <c r="F378" s="9">
        <v>3</v>
      </c>
      <c r="G378" s="9">
        <v>2</v>
      </c>
      <c r="H378" s="9">
        <v>4</v>
      </c>
      <c r="I378" s="9">
        <v>37</v>
      </c>
      <c r="J378" s="9">
        <v>45</v>
      </c>
      <c r="K378" s="9">
        <v>53</v>
      </c>
      <c r="L378" s="9">
        <v>100</v>
      </c>
      <c r="M378" s="10">
        <v>63</v>
      </c>
      <c r="N378">
        <f t="shared" si="28"/>
        <v>53.8</v>
      </c>
      <c r="O378">
        <f t="shared" si="29"/>
        <v>6</v>
      </c>
      <c r="P378">
        <f t="shared" si="29"/>
        <v>4</v>
      </c>
      <c r="Q378">
        <f t="shared" si="29"/>
        <v>0</v>
      </c>
      <c r="R378">
        <f t="shared" si="27"/>
        <v>6</v>
      </c>
      <c r="S378">
        <v>1</v>
      </c>
      <c r="T378">
        <f t="shared" si="30"/>
        <v>24</v>
      </c>
      <c r="U378">
        <f t="shared" si="31"/>
        <v>29.8</v>
      </c>
      <c r="V378">
        <f t="shared" si="32"/>
        <v>0</v>
      </c>
    </row>
    <row r="379" spans="1:22" x14ac:dyDescent="0.35">
      <c r="A379" s="11" t="s">
        <v>517</v>
      </c>
      <c r="B379" s="12" t="s">
        <v>518</v>
      </c>
      <c r="C379" s="13">
        <v>5</v>
      </c>
      <c r="D379" s="13">
        <v>2</v>
      </c>
      <c r="E379" s="13">
        <v>4</v>
      </c>
      <c r="F379" s="13">
        <v>5</v>
      </c>
      <c r="G379" s="13">
        <v>2</v>
      </c>
      <c r="H379" s="13">
        <v>4</v>
      </c>
      <c r="I379" s="13">
        <v>63</v>
      </c>
      <c r="J379" s="13">
        <v>100</v>
      </c>
      <c r="K379" s="13">
        <v>26</v>
      </c>
      <c r="L379" s="13">
        <v>46</v>
      </c>
      <c r="M379" s="14">
        <v>85</v>
      </c>
      <c r="N379">
        <f t="shared" si="28"/>
        <v>57</v>
      </c>
      <c r="O379">
        <f t="shared" si="29"/>
        <v>6</v>
      </c>
      <c r="P379">
        <f t="shared" si="29"/>
        <v>8</v>
      </c>
      <c r="Q379">
        <f t="shared" si="29"/>
        <v>0</v>
      </c>
      <c r="R379">
        <f t="shared" si="27"/>
        <v>6</v>
      </c>
      <c r="S379">
        <v>1</v>
      </c>
      <c r="T379">
        <f t="shared" si="30"/>
        <v>25</v>
      </c>
      <c r="U379">
        <f t="shared" si="31"/>
        <v>32</v>
      </c>
      <c r="V379">
        <f t="shared" si="32"/>
        <v>0</v>
      </c>
    </row>
    <row r="380" spans="1:22" x14ac:dyDescent="0.35">
      <c r="A380" s="7" t="s">
        <v>519</v>
      </c>
      <c r="B380" s="8" t="s">
        <v>520</v>
      </c>
      <c r="C380" s="9">
        <v>3</v>
      </c>
      <c r="D380" s="9">
        <v>3</v>
      </c>
      <c r="E380" s="9">
        <v>3</v>
      </c>
      <c r="F380" s="9">
        <v>6</v>
      </c>
      <c r="G380" s="9">
        <v>3</v>
      </c>
      <c r="H380" s="9">
        <v>2</v>
      </c>
      <c r="I380" s="9">
        <v>62</v>
      </c>
      <c r="J380" s="9">
        <v>92</v>
      </c>
      <c r="K380" s="9">
        <v>75</v>
      </c>
      <c r="L380" s="9">
        <v>30</v>
      </c>
      <c r="M380" s="10">
        <v>86</v>
      </c>
      <c r="N380">
        <f t="shared" si="28"/>
        <v>55.5</v>
      </c>
      <c r="O380">
        <f t="shared" si="29"/>
        <v>4</v>
      </c>
      <c r="P380">
        <f t="shared" si="29"/>
        <v>10</v>
      </c>
      <c r="Q380">
        <f t="shared" si="29"/>
        <v>4</v>
      </c>
      <c r="R380">
        <f t="shared" si="27"/>
        <v>0</v>
      </c>
      <c r="S380">
        <v>1</v>
      </c>
      <c r="T380">
        <f t="shared" si="30"/>
        <v>21</v>
      </c>
      <c r="U380">
        <f t="shared" si="31"/>
        <v>34.5</v>
      </c>
      <c r="V380">
        <f t="shared" si="32"/>
        <v>0</v>
      </c>
    </row>
    <row r="381" spans="1:22" x14ac:dyDescent="0.35">
      <c r="A381" s="11" t="s">
        <v>521</v>
      </c>
      <c r="B381" s="12" t="s">
        <v>43</v>
      </c>
      <c r="C381" s="13">
        <v>6</v>
      </c>
      <c r="D381" s="13">
        <v>4</v>
      </c>
      <c r="E381" s="13">
        <v>2</v>
      </c>
      <c r="F381" s="13">
        <v>4</v>
      </c>
      <c r="G381" s="13">
        <v>4</v>
      </c>
      <c r="H381" s="13">
        <v>6</v>
      </c>
      <c r="I381" s="13">
        <v>16</v>
      </c>
      <c r="J381" s="13">
        <v>19</v>
      </c>
      <c r="K381" s="13">
        <v>66</v>
      </c>
      <c r="L381" s="13">
        <v>96</v>
      </c>
      <c r="M381" s="14">
        <v>61</v>
      </c>
      <c r="N381">
        <f t="shared" si="28"/>
        <v>53.8</v>
      </c>
      <c r="O381">
        <f t="shared" si="29"/>
        <v>0</v>
      </c>
      <c r="P381">
        <f t="shared" si="29"/>
        <v>6</v>
      </c>
      <c r="Q381">
        <f t="shared" si="29"/>
        <v>6</v>
      </c>
      <c r="R381">
        <f t="shared" si="27"/>
        <v>10</v>
      </c>
      <c r="S381">
        <v>1</v>
      </c>
      <c r="T381">
        <f t="shared" si="30"/>
        <v>28</v>
      </c>
      <c r="U381">
        <f t="shared" si="31"/>
        <v>25.8</v>
      </c>
      <c r="V381">
        <f t="shared" si="32"/>
        <v>1</v>
      </c>
    </row>
    <row r="382" spans="1:22" x14ac:dyDescent="0.35">
      <c r="A382" s="7" t="s">
        <v>237</v>
      </c>
      <c r="B382" s="8" t="s">
        <v>166</v>
      </c>
      <c r="C382" s="9">
        <v>4</v>
      </c>
      <c r="D382" s="9">
        <v>5</v>
      </c>
      <c r="E382" s="9">
        <v>4</v>
      </c>
      <c r="F382" s="9">
        <v>4</v>
      </c>
      <c r="G382" s="9">
        <v>2</v>
      </c>
      <c r="H382" s="9">
        <v>2</v>
      </c>
      <c r="I382" s="9">
        <v>71</v>
      </c>
      <c r="J382" s="9">
        <v>99</v>
      </c>
      <c r="K382" s="9">
        <v>56</v>
      </c>
      <c r="L382" s="9">
        <v>2</v>
      </c>
      <c r="M382" s="10">
        <v>43</v>
      </c>
      <c r="N382">
        <f t="shared" si="28"/>
        <v>43.1</v>
      </c>
      <c r="O382">
        <f t="shared" si="29"/>
        <v>6</v>
      </c>
      <c r="P382">
        <f t="shared" si="29"/>
        <v>6</v>
      </c>
      <c r="Q382">
        <f t="shared" si="29"/>
        <v>0</v>
      </c>
      <c r="R382">
        <f t="shared" si="27"/>
        <v>0</v>
      </c>
      <c r="S382">
        <v>1</v>
      </c>
      <c r="T382">
        <f t="shared" si="30"/>
        <v>16</v>
      </c>
      <c r="U382">
        <f t="shared" si="31"/>
        <v>27.1</v>
      </c>
      <c r="V382">
        <f t="shared" si="32"/>
        <v>0</v>
      </c>
    </row>
    <row r="383" spans="1:22" x14ac:dyDescent="0.35">
      <c r="A383" s="11" t="s">
        <v>522</v>
      </c>
      <c r="B383" s="12" t="s">
        <v>288</v>
      </c>
      <c r="C383" s="13">
        <v>8</v>
      </c>
      <c r="D383" s="13">
        <v>2</v>
      </c>
      <c r="E383" s="13">
        <v>6</v>
      </c>
      <c r="F383" s="13">
        <v>2</v>
      </c>
      <c r="G383" s="13">
        <v>6</v>
      </c>
      <c r="H383" s="13">
        <v>5</v>
      </c>
      <c r="I383" s="13">
        <v>62</v>
      </c>
      <c r="J383" s="13">
        <v>49</v>
      </c>
      <c r="K383" s="13">
        <v>45</v>
      </c>
      <c r="L383" s="13">
        <v>42</v>
      </c>
      <c r="M383" s="14">
        <v>53</v>
      </c>
      <c r="N383">
        <f t="shared" si="28"/>
        <v>61.1</v>
      </c>
      <c r="O383">
        <f t="shared" si="29"/>
        <v>10</v>
      </c>
      <c r="P383">
        <f t="shared" si="29"/>
        <v>0</v>
      </c>
      <c r="Q383">
        <f t="shared" si="29"/>
        <v>10</v>
      </c>
      <c r="R383">
        <f t="shared" si="27"/>
        <v>8</v>
      </c>
      <c r="S383">
        <v>1</v>
      </c>
      <c r="T383">
        <f t="shared" si="30"/>
        <v>36</v>
      </c>
      <c r="U383">
        <f t="shared" si="31"/>
        <v>25.1</v>
      </c>
      <c r="V383">
        <f t="shared" si="32"/>
        <v>1</v>
      </c>
    </row>
    <row r="384" spans="1:22" x14ac:dyDescent="0.35">
      <c r="A384" s="7" t="s">
        <v>523</v>
      </c>
      <c r="B384" s="8" t="s">
        <v>279</v>
      </c>
      <c r="C384" s="9">
        <v>2</v>
      </c>
      <c r="D384" s="9">
        <v>3</v>
      </c>
      <c r="E384" s="9">
        <v>2</v>
      </c>
      <c r="F384" s="9">
        <v>5</v>
      </c>
      <c r="G384" s="9">
        <v>5</v>
      </c>
      <c r="H384" s="9">
        <v>2</v>
      </c>
      <c r="I384" s="9">
        <v>44</v>
      </c>
      <c r="J384" s="9">
        <v>30</v>
      </c>
      <c r="K384" s="9">
        <v>61</v>
      </c>
      <c r="L384" s="9">
        <v>13</v>
      </c>
      <c r="M384" s="10">
        <v>30</v>
      </c>
      <c r="N384">
        <f t="shared" si="28"/>
        <v>35.799999999999997</v>
      </c>
      <c r="O384">
        <f t="shared" si="29"/>
        <v>0</v>
      </c>
      <c r="P384">
        <f t="shared" si="29"/>
        <v>8</v>
      </c>
      <c r="Q384">
        <f t="shared" si="29"/>
        <v>8</v>
      </c>
      <c r="R384">
        <f t="shared" si="27"/>
        <v>0</v>
      </c>
      <c r="S384">
        <v>1</v>
      </c>
      <c r="T384">
        <f t="shared" si="30"/>
        <v>18</v>
      </c>
      <c r="U384">
        <f t="shared" si="31"/>
        <v>17.8</v>
      </c>
      <c r="V384">
        <f t="shared" si="32"/>
        <v>1</v>
      </c>
    </row>
    <row r="385" spans="1:22" x14ac:dyDescent="0.35">
      <c r="A385" s="11" t="s">
        <v>524</v>
      </c>
      <c r="B385" s="12" t="s">
        <v>99</v>
      </c>
      <c r="C385" s="13">
        <v>5</v>
      </c>
      <c r="D385" s="13">
        <v>6</v>
      </c>
      <c r="E385" s="13">
        <v>5</v>
      </c>
      <c r="F385" s="13">
        <v>3</v>
      </c>
      <c r="G385" s="13">
        <v>2</v>
      </c>
      <c r="H385" s="13">
        <v>4</v>
      </c>
      <c r="I385" s="13">
        <v>55</v>
      </c>
      <c r="J385" s="13">
        <v>18</v>
      </c>
      <c r="K385" s="13">
        <v>46</v>
      </c>
      <c r="L385" s="13">
        <v>82</v>
      </c>
      <c r="M385" s="14">
        <v>71</v>
      </c>
      <c r="N385">
        <f t="shared" si="28"/>
        <v>52.2</v>
      </c>
      <c r="O385">
        <f t="shared" si="29"/>
        <v>8</v>
      </c>
      <c r="P385">
        <f t="shared" si="29"/>
        <v>4</v>
      </c>
      <c r="Q385">
        <f t="shared" si="29"/>
        <v>0</v>
      </c>
      <c r="R385">
        <f t="shared" si="27"/>
        <v>6</v>
      </c>
      <c r="S385">
        <v>1</v>
      </c>
      <c r="T385">
        <f t="shared" si="30"/>
        <v>25</v>
      </c>
      <c r="U385">
        <f t="shared" si="31"/>
        <v>27.2</v>
      </c>
      <c r="V385">
        <f t="shared" si="32"/>
        <v>0</v>
      </c>
    </row>
    <row r="386" spans="1:22" x14ac:dyDescent="0.35">
      <c r="A386" s="7" t="s">
        <v>525</v>
      </c>
      <c r="B386" s="8" t="s">
        <v>526</v>
      </c>
      <c r="C386" s="9">
        <v>5</v>
      </c>
      <c r="D386" s="9">
        <v>2</v>
      </c>
      <c r="E386" s="9">
        <v>5</v>
      </c>
      <c r="F386" s="9">
        <v>6</v>
      </c>
      <c r="G386" s="9">
        <v>3</v>
      </c>
      <c r="H386" s="9">
        <v>3</v>
      </c>
      <c r="I386" s="9">
        <v>23</v>
      </c>
      <c r="J386" s="9">
        <v>10</v>
      </c>
      <c r="K386" s="9">
        <v>99</v>
      </c>
      <c r="L386" s="9">
        <v>23</v>
      </c>
      <c r="M386" s="10">
        <v>4</v>
      </c>
      <c r="N386">
        <f t="shared" si="28"/>
        <v>46.9</v>
      </c>
      <c r="O386">
        <f t="shared" si="29"/>
        <v>8</v>
      </c>
      <c r="P386">
        <f t="shared" si="29"/>
        <v>10</v>
      </c>
      <c r="Q386">
        <f t="shared" si="29"/>
        <v>4</v>
      </c>
      <c r="R386">
        <f t="shared" si="29"/>
        <v>4</v>
      </c>
      <c r="S386">
        <v>1</v>
      </c>
      <c r="T386">
        <f t="shared" si="30"/>
        <v>31</v>
      </c>
      <c r="U386">
        <f t="shared" si="31"/>
        <v>15.9</v>
      </c>
      <c r="V386">
        <f t="shared" si="32"/>
        <v>1</v>
      </c>
    </row>
    <row r="387" spans="1:22" x14ac:dyDescent="0.35">
      <c r="A387" s="11" t="s">
        <v>527</v>
      </c>
      <c r="B387" s="12" t="s">
        <v>340</v>
      </c>
      <c r="C387" s="13">
        <v>5</v>
      </c>
      <c r="D387" s="13">
        <v>4</v>
      </c>
      <c r="E387" s="13">
        <v>3</v>
      </c>
      <c r="F387" s="13">
        <v>5</v>
      </c>
      <c r="G387" s="13">
        <v>6</v>
      </c>
      <c r="H387" s="13">
        <v>2</v>
      </c>
      <c r="I387" s="13">
        <v>72</v>
      </c>
      <c r="J387" s="13">
        <v>22</v>
      </c>
      <c r="K387" s="13">
        <v>90</v>
      </c>
      <c r="L387" s="13">
        <v>8</v>
      </c>
      <c r="M387" s="14">
        <v>61</v>
      </c>
      <c r="N387">
        <f t="shared" ref="N387:N450" si="33">C387+IF(D387=6,2,0) +SUM(O387:R387) +SUM(I387:M387)/10</f>
        <v>52.3</v>
      </c>
      <c r="O387">
        <f t="shared" ref="O387:R450" si="34">IF(E387=2,0,IF(E387=3,4,IF(E387=4,6,IF(E387=5,8,IF(E387=6,10,0)))))</f>
        <v>4</v>
      </c>
      <c r="P387">
        <f t="shared" si="34"/>
        <v>8</v>
      </c>
      <c r="Q387">
        <f t="shared" si="34"/>
        <v>10</v>
      </c>
      <c r="R387">
        <f t="shared" si="34"/>
        <v>0</v>
      </c>
      <c r="S387">
        <v>1</v>
      </c>
      <c r="T387">
        <f t="shared" ref="T387:T450" si="35">C387+IF(D387=6,2,0) +SUM(O387:R387)</f>
        <v>27</v>
      </c>
      <c r="U387">
        <f t="shared" ref="U387:U450" si="36">SUM(I387:M387)/10</f>
        <v>25.3</v>
      </c>
      <c r="V387">
        <f t="shared" ref="V387:V450" si="37">IF(T387&gt;U387,1,0)</f>
        <v>1</v>
      </c>
    </row>
    <row r="388" spans="1:22" x14ac:dyDescent="0.35">
      <c r="A388" s="7" t="s">
        <v>528</v>
      </c>
      <c r="B388" s="8" t="s">
        <v>126</v>
      </c>
      <c r="C388" s="9">
        <v>3</v>
      </c>
      <c r="D388" s="9">
        <v>3</v>
      </c>
      <c r="E388" s="9">
        <v>6</v>
      </c>
      <c r="F388" s="9">
        <v>2</v>
      </c>
      <c r="G388" s="9">
        <v>4</v>
      </c>
      <c r="H388" s="9">
        <v>6</v>
      </c>
      <c r="I388" s="9">
        <v>95</v>
      </c>
      <c r="J388" s="9">
        <v>18</v>
      </c>
      <c r="K388" s="9">
        <v>32</v>
      </c>
      <c r="L388" s="9">
        <v>67</v>
      </c>
      <c r="M388" s="10">
        <v>36</v>
      </c>
      <c r="N388">
        <f t="shared" si="33"/>
        <v>53.8</v>
      </c>
      <c r="O388">
        <f t="shared" si="34"/>
        <v>10</v>
      </c>
      <c r="P388">
        <f t="shared" si="34"/>
        <v>0</v>
      </c>
      <c r="Q388">
        <f t="shared" si="34"/>
        <v>6</v>
      </c>
      <c r="R388">
        <f t="shared" si="34"/>
        <v>10</v>
      </c>
      <c r="S388">
        <v>1</v>
      </c>
      <c r="T388">
        <f t="shared" si="35"/>
        <v>29</v>
      </c>
      <c r="U388">
        <f t="shared" si="36"/>
        <v>24.8</v>
      </c>
      <c r="V388">
        <f t="shared" si="37"/>
        <v>1</v>
      </c>
    </row>
    <row r="389" spans="1:22" x14ac:dyDescent="0.35">
      <c r="A389" s="11" t="s">
        <v>529</v>
      </c>
      <c r="B389" s="12" t="s">
        <v>530</v>
      </c>
      <c r="C389" s="13">
        <v>5</v>
      </c>
      <c r="D389" s="13">
        <v>5</v>
      </c>
      <c r="E389" s="13">
        <v>5</v>
      </c>
      <c r="F389" s="13">
        <v>5</v>
      </c>
      <c r="G389" s="13">
        <v>5</v>
      </c>
      <c r="H389" s="13">
        <v>3</v>
      </c>
      <c r="I389" s="13">
        <v>99</v>
      </c>
      <c r="J389" s="13">
        <v>47</v>
      </c>
      <c r="K389" s="13">
        <v>3</v>
      </c>
      <c r="L389" s="13">
        <v>6</v>
      </c>
      <c r="M389" s="14">
        <v>59</v>
      </c>
      <c r="N389">
        <f t="shared" si="33"/>
        <v>54.4</v>
      </c>
      <c r="O389">
        <f t="shared" si="34"/>
        <v>8</v>
      </c>
      <c r="P389">
        <f t="shared" si="34"/>
        <v>8</v>
      </c>
      <c r="Q389">
        <f t="shared" si="34"/>
        <v>8</v>
      </c>
      <c r="R389">
        <f t="shared" si="34"/>
        <v>4</v>
      </c>
      <c r="S389">
        <v>1</v>
      </c>
      <c r="T389">
        <f t="shared" si="35"/>
        <v>33</v>
      </c>
      <c r="U389">
        <f t="shared" si="36"/>
        <v>21.4</v>
      </c>
      <c r="V389">
        <f t="shared" si="37"/>
        <v>1</v>
      </c>
    </row>
    <row r="390" spans="1:22" x14ac:dyDescent="0.35">
      <c r="A390" s="7" t="s">
        <v>531</v>
      </c>
      <c r="B390" s="8" t="s">
        <v>532</v>
      </c>
      <c r="C390" s="9">
        <v>5</v>
      </c>
      <c r="D390" s="9">
        <v>5</v>
      </c>
      <c r="E390" s="9">
        <v>3</v>
      </c>
      <c r="F390" s="9">
        <v>4</v>
      </c>
      <c r="G390" s="9">
        <v>5</v>
      </c>
      <c r="H390" s="9">
        <v>2</v>
      </c>
      <c r="I390" s="9">
        <v>97</v>
      </c>
      <c r="J390" s="9">
        <v>87</v>
      </c>
      <c r="K390" s="9">
        <v>7</v>
      </c>
      <c r="L390" s="9">
        <v>93</v>
      </c>
      <c r="M390" s="10">
        <v>19</v>
      </c>
      <c r="N390">
        <f t="shared" si="33"/>
        <v>53.3</v>
      </c>
      <c r="O390">
        <f t="shared" si="34"/>
        <v>4</v>
      </c>
      <c r="P390">
        <f t="shared" si="34"/>
        <v>6</v>
      </c>
      <c r="Q390">
        <f t="shared" si="34"/>
        <v>8</v>
      </c>
      <c r="R390">
        <f t="shared" si="34"/>
        <v>0</v>
      </c>
      <c r="S390">
        <v>1</v>
      </c>
      <c r="T390">
        <f t="shared" si="35"/>
        <v>23</v>
      </c>
      <c r="U390">
        <f t="shared" si="36"/>
        <v>30.3</v>
      </c>
      <c r="V390">
        <f t="shared" si="37"/>
        <v>0</v>
      </c>
    </row>
    <row r="391" spans="1:22" x14ac:dyDescent="0.35">
      <c r="A391" s="11" t="s">
        <v>533</v>
      </c>
      <c r="B391" s="12" t="s">
        <v>45</v>
      </c>
      <c r="C391" s="13">
        <v>3</v>
      </c>
      <c r="D391" s="13">
        <v>6</v>
      </c>
      <c r="E391" s="13">
        <v>6</v>
      </c>
      <c r="F391" s="13">
        <v>6</v>
      </c>
      <c r="G391" s="13">
        <v>2</v>
      </c>
      <c r="H391" s="13">
        <v>5</v>
      </c>
      <c r="I391" s="13">
        <v>57</v>
      </c>
      <c r="J391" s="13">
        <v>44</v>
      </c>
      <c r="K391" s="13">
        <v>90</v>
      </c>
      <c r="L391" s="13">
        <v>33</v>
      </c>
      <c r="M391" s="14">
        <v>78</v>
      </c>
      <c r="N391">
        <f t="shared" si="33"/>
        <v>63.2</v>
      </c>
      <c r="O391">
        <f t="shared" si="34"/>
        <v>10</v>
      </c>
      <c r="P391">
        <f t="shared" si="34"/>
        <v>10</v>
      </c>
      <c r="Q391">
        <f t="shared" si="34"/>
        <v>0</v>
      </c>
      <c r="R391">
        <f t="shared" si="34"/>
        <v>8</v>
      </c>
      <c r="S391">
        <v>1</v>
      </c>
      <c r="T391">
        <f t="shared" si="35"/>
        <v>33</v>
      </c>
      <c r="U391">
        <f t="shared" si="36"/>
        <v>30.2</v>
      </c>
      <c r="V391">
        <f t="shared" si="37"/>
        <v>1</v>
      </c>
    </row>
    <row r="392" spans="1:22" x14ac:dyDescent="0.35">
      <c r="A392" s="7" t="s">
        <v>534</v>
      </c>
      <c r="B392" s="8" t="s">
        <v>90</v>
      </c>
      <c r="C392" s="9">
        <v>2</v>
      </c>
      <c r="D392" s="9">
        <v>4</v>
      </c>
      <c r="E392" s="9">
        <v>5</v>
      </c>
      <c r="F392" s="9">
        <v>3</v>
      </c>
      <c r="G392" s="9">
        <v>2</v>
      </c>
      <c r="H392" s="9">
        <v>2</v>
      </c>
      <c r="I392" s="9">
        <v>35</v>
      </c>
      <c r="J392" s="9">
        <v>82</v>
      </c>
      <c r="K392" s="9">
        <v>52</v>
      </c>
      <c r="L392" s="9">
        <v>15</v>
      </c>
      <c r="M392" s="10">
        <v>51</v>
      </c>
      <c r="N392">
        <f t="shared" si="33"/>
        <v>37.5</v>
      </c>
      <c r="O392">
        <f t="shared" si="34"/>
        <v>8</v>
      </c>
      <c r="P392">
        <f t="shared" si="34"/>
        <v>4</v>
      </c>
      <c r="Q392">
        <f t="shared" si="34"/>
        <v>0</v>
      </c>
      <c r="R392">
        <f t="shared" si="34"/>
        <v>0</v>
      </c>
      <c r="S392">
        <v>1</v>
      </c>
      <c r="T392">
        <f t="shared" si="35"/>
        <v>14</v>
      </c>
      <c r="U392">
        <f t="shared" si="36"/>
        <v>23.5</v>
      </c>
      <c r="V392">
        <f t="shared" si="37"/>
        <v>0</v>
      </c>
    </row>
    <row r="393" spans="1:22" x14ac:dyDescent="0.35">
      <c r="A393" s="11" t="s">
        <v>535</v>
      </c>
      <c r="B393" s="12" t="s">
        <v>536</v>
      </c>
      <c r="C393" s="13">
        <v>1</v>
      </c>
      <c r="D393" s="13">
        <v>5</v>
      </c>
      <c r="E393" s="13">
        <v>5</v>
      </c>
      <c r="F393" s="13">
        <v>6</v>
      </c>
      <c r="G393" s="13">
        <v>4</v>
      </c>
      <c r="H393" s="13">
        <v>6</v>
      </c>
      <c r="I393" s="13">
        <v>19</v>
      </c>
      <c r="J393" s="13">
        <v>32</v>
      </c>
      <c r="K393" s="13">
        <v>74</v>
      </c>
      <c r="L393" s="13">
        <v>31</v>
      </c>
      <c r="M393" s="14">
        <v>58</v>
      </c>
      <c r="N393">
        <f t="shared" si="33"/>
        <v>56.4</v>
      </c>
      <c r="O393">
        <f t="shared" si="34"/>
        <v>8</v>
      </c>
      <c r="P393">
        <f t="shared" si="34"/>
        <v>10</v>
      </c>
      <c r="Q393">
        <f t="shared" si="34"/>
        <v>6</v>
      </c>
      <c r="R393">
        <f t="shared" si="34"/>
        <v>10</v>
      </c>
      <c r="S393">
        <v>1</v>
      </c>
      <c r="T393">
        <f t="shared" si="35"/>
        <v>35</v>
      </c>
      <c r="U393">
        <f t="shared" si="36"/>
        <v>21.4</v>
      </c>
      <c r="V393">
        <f t="shared" si="37"/>
        <v>1</v>
      </c>
    </row>
    <row r="394" spans="1:22" x14ac:dyDescent="0.35">
      <c r="A394" s="7" t="s">
        <v>537</v>
      </c>
      <c r="B394" s="8" t="s">
        <v>538</v>
      </c>
      <c r="C394" s="9">
        <v>0</v>
      </c>
      <c r="D394" s="9">
        <v>5</v>
      </c>
      <c r="E394" s="9">
        <v>2</v>
      </c>
      <c r="F394" s="9">
        <v>2</v>
      </c>
      <c r="G394" s="9">
        <v>5</v>
      </c>
      <c r="H394" s="9">
        <v>3</v>
      </c>
      <c r="I394" s="9">
        <v>45</v>
      </c>
      <c r="J394" s="9">
        <v>52</v>
      </c>
      <c r="K394" s="9">
        <v>32</v>
      </c>
      <c r="L394" s="9">
        <v>42</v>
      </c>
      <c r="M394" s="10">
        <v>33</v>
      </c>
      <c r="N394">
        <f t="shared" si="33"/>
        <v>32.4</v>
      </c>
      <c r="O394">
        <f t="shared" si="34"/>
        <v>0</v>
      </c>
      <c r="P394">
        <f t="shared" si="34"/>
        <v>0</v>
      </c>
      <c r="Q394">
        <f t="shared" si="34"/>
        <v>8</v>
      </c>
      <c r="R394">
        <f t="shared" si="34"/>
        <v>4</v>
      </c>
      <c r="S394">
        <v>1</v>
      </c>
      <c r="T394">
        <f t="shared" si="35"/>
        <v>12</v>
      </c>
      <c r="U394">
        <f t="shared" si="36"/>
        <v>20.399999999999999</v>
      </c>
      <c r="V394">
        <f t="shared" si="37"/>
        <v>0</v>
      </c>
    </row>
    <row r="395" spans="1:22" x14ac:dyDescent="0.35">
      <c r="A395" s="11" t="s">
        <v>539</v>
      </c>
      <c r="B395" s="12" t="s">
        <v>540</v>
      </c>
      <c r="C395" s="13">
        <v>8</v>
      </c>
      <c r="D395" s="13">
        <v>5</v>
      </c>
      <c r="E395" s="13">
        <v>6</v>
      </c>
      <c r="F395" s="13">
        <v>2</v>
      </c>
      <c r="G395" s="13">
        <v>4</v>
      </c>
      <c r="H395" s="13">
        <v>3</v>
      </c>
      <c r="I395" s="13">
        <v>78</v>
      </c>
      <c r="J395" s="13">
        <v>38</v>
      </c>
      <c r="K395" s="13">
        <v>62</v>
      </c>
      <c r="L395" s="13">
        <v>45</v>
      </c>
      <c r="M395" s="14">
        <v>55</v>
      </c>
      <c r="N395">
        <f t="shared" si="33"/>
        <v>55.8</v>
      </c>
      <c r="O395">
        <f t="shared" si="34"/>
        <v>10</v>
      </c>
      <c r="P395">
        <f t="shared" si="34"/>
        <v>0</v>
      </c>
      <c r="Q395">
        <f t="shared" si="34"/>
        <v>6</v>
      </c>
      <c r="R395">
        <f t="shared" si="34"/>
        <v>4</v>
      </c>
      <c r="S395">
        <v>1</v>
      </c>
      <c r="T395">
        <f t="shared" si="35"/>
        <v>28</v>
      </c>
      <c r="U395">
        <f t="shared" si="36"/>
        <v>27.8</v>
      </c>
      <c r="V395">
        <f t="shared" si="37"/>
        <v>1</v>
      </c>
    </row>
    <row r="396" spans="1:22" x14ac:dyDescent="0.35">
      <c r="A396" s="7" t="s">
        <v>541</v>
      </c>
      <c r="B396" s="8" t="s">
        <v>503</v>
      </c>
      <c r="C396" s="9">
        <v>6</v>
      </c>
      <c r="D396" s="9">
        <v>4</v>
      </c>
      <c r="E396" s="9">
        <v>2</v>
      </c>
      <c r="F396" s="9">
        <v>6</v>
      </c>
      <c r="G396" s="9">
        <v>2</v>
      </c>
      <c r="H396" s="9">
        <v>6</v>
      </c>
      <c r="I396" s="9">
        <v>20</v>
      </c>
      <c r="J396" s="9">
        <v>92</v>
      </c>
      <c r="K396" s="9">
        <v>44</v>
      </c>
      <c r="L396" s="9">
        <v>89</v>
      </c>
      <c r="M396" s="10">
        <v>79</v>
      </c>
      <c r="N396">
        <f t="shared" si="33"/>
        <v>58.4</v>
      </c>
      <c r="O396">
        <f t="shared" si="34"/>
        <v>0</v>
      </c>
      <c r="P396">
        <f t="shared" si="34"/>
        <v>10</v>
      </c>
      <c r="Q396">
        <f t="shared" si="34"/>
        <v>0</v>
      </c>
      <c r="R396">
        <f t="shared" si="34"/>
        <v>10</v>
      </c>
      <c r="S396">
        <v>1</v>
      </c>
      <c r="T396">
        <f t="shared" si="35"/>
        <v>26</v>
      </c>
      <c r="U396">
        <f t="shared" si="36"/>
        <v>32.4</v>
      </c>
      <c r="V396">
        <f t="shared" si="37"/>
        <v>0</v>
      </c>
    </row>
    <row r="397" spans="1:22" x14ac:dyDescent="0.35">
      <c r="A397" s="11" t="s">
        <v>542</v>
      </c>
      <c r="B397" s="12" t="s">
        <v>117</v>
      </c>
      <c r="C397" s="13">
        <v>4</v>
      </c>
      <c r="D397" s="13">
        <v>2</v>
      </c>
      <c r="E397" s="13">
        <v>2</v>
      </c>
      <c r="F397" s="13">
        <v>4</v>
      </c>
      <c r="G397" s="13">
        <v>3</v>
      </c>
      <c r="H397" s="13">
        <v>3</v>
      </c>
      <c r="I397" s="13">
        <v>36</v>
      </c>
      <c r="J397" s="13">
        <v>79</v>
      </c>
      <c r="K397" s="13">
        <v>62</v>
      </c>
      <c r="L397" s="13">
        <v>8</v>
      </c>
      <c r="M397" s="14">
        <v>47</v>
      </c>
      <c r="N397">
        <f t="shared" si="33"/>
        <v>41.2</v>
      </c>
      <c r="O397">
        <f t="shared" si="34"/>
        <v>0</v>
      </c>
      <c r="P397">
        <f t="shared" si="34"/>
        <v>6</v>
      </c>
      <c r="Q397">
        <f t="shared" si="34"/>
        <v>4</v>
      </c>
      <c r="R397">
        <f t="shared" si="34"/>
        <v>4</v>
      </c>
      <c r="S397">
        <v>1</v>
      </c>
      <c r="T397">
        <f t="shared" si="35"/>
        <v>18</v>
      </c>
      <c r="U397">
        <f t="shared" si="36"/>
        <v>23.2</v>
      </c>
      <c r="V397">
        <f t="shared" si="37"/>
        <v>0</v>
      </c>
    </row>
    <row r="398" spans="1:22" x14ac:dyDescent="0.35">
      <c r="A398" s="7" t="s">
        <v>543</v>
      </c>
      <c r="B398" s="8" t="s">
        <v>41</v>
      </c>
      <c r="C398" s="9">
        <v>0</v>
      </c>
      <c r="D398" s="9">
        <v>2</v>
      </c>
      <c r="E398" s="9">
        <v>2</v>
      </c>
      <c r="F398" s="9">
        <v>4</v>
      </c>
      <c r="G398" s="9">
        <v>2</v>
      </c>
      <c r="H398" s="9">
        <v>4</v>
      </c>
      <c r="I398" s="9">
        <v>24</v>
      </c>
      <c r="J398" s="9">
        <v>81</v>
      </c>
      <c r="K398" s="9">
        <v>74</v>
      </c>
      <c r="L398" s="9">
        <v>4</v>
      </c>
      <c r="M398" s="10">
        <v>92</v>
      </c>
      <c r="N398">
        <f t="shared" si="33"/>
        <v>39.5</v>
      </c>
      <c r="O398">
        <f t="shared" si="34"/>
        <v>0</v>
      </c>
      <c r="P398">
        <f t="shared" si="34"/>
        <v>6</v>
      </c>
      <c r="Q398">
        <f t="shared" si="34"/>
        <v>0</v>
      </c>
      <c r="R398">
        <f t="shared" si="34"/>
        <v>6</v>
      </c>
      <c r="S398">
        <v>1</v>
      </c>
      <c r="T398">
        <f t="shared" si="35"/>
        <v>12</v>
      </c>
      <c r="U398">
        <f t="shared" si="36"/>
        <v>27.5</v>
      </c>
      <c r="V398">
        <f t="shared" si="37"/>
        <v>0</v>
      </c>
    </row>
    <row r="399" spans="1:22" x14ac:dyDescent="0.35">
      <c r="A399" s="11" t="s">
        <v>544</v>
      </c>
      <c r="B399" s="12" t="s">
        <v>324</v>
      </c>
      <c r="C399" s="13">
        <v>3</v>
      </c>
      <c r="D399" s="13">
        <v>3</v>
      </c>
      <c r="E399" s="13">
        <v>5</v>
      </c>
      <c r="F399" s="13">
        <v>6</v>
      </c>
      <c r="G399" s="13">
        <v>4</v>
      </c>
      <c r="H399" s="13">
        <v>3</v>
      </c>
      <c r="I399" s="13">
        <v>68</v>
      </c>
      <c r="J399" s="13">
        <v>76</v>
      </c>
      <c r="K399" s="13">
        <v>21</v>
      </c>
      <c r="L399" s="13">
        <v>59</v>
      </c>
      <c r="M399" s="14">
        <v>66</v>
      </c>
      <c r="N399">
        <f t="shared" si="33"/>
        <v>60</v>
      </c>
      <c r="O399">
        <f t="shared" si="34"/>
        <v>8</v>
      </c>
      <c r="P399">
        <f t="shared" si="34"/>
        <v>10</v>
      </c>
      <c r="Q399">
        <f t="shared" si="34"/>
        <v>6</v>
      </c>
      <c r="R399">
        <f t="shared" si="34"/>
        <v>4</v>
      </c>
      <c r="S399">
        <v>1</v>
      </c>
      <c r="T399">
        <f t="shared" si="35"/>
        <v>31</v>
      </c>
      <c r="U399">
        <f t="shared" si="36"/>
        <v>29</v>
      </c>
      <c r="V399">
        <f t="shared" si="37"/>
        <v>1</v>
      </c>
    </row>
    <row r="400" spans="1:22" x14ac:dyDescent="0.35">
      <c r="A400" s="7" t="s">
        <v>545</v>
      </c>
      <c r="B400" s="8" t="s">
        <v>253</v>
      </c>
      <c r="C400" s="9">
        <v>4</v>
      </c>
      <c r="D400" s="9">
        <v>3</v>
      </c>
      <c r="E400" s="9">
        <v>2</v>
      </c>
      <c r="F400" s="9">
        <v>4</v>
      </c>
      <c r="G400" s="9">
        <v>4</v>
      </c>
      <c r="H400" s="9">
        <v>5</v>
      </c>
      <c r="I400" s="9">
        <v>70</v>
      </c>
      <c r="J400" s="9">
        <v>34</v>
      </c>
      <c r="K400" s="9">
        <v>18</v>
      </c>
      <c r="L400" s="9">
        <v>27</v>
      </c>
      <c r="M400" s="10">
        <v>70</v>
      </c>
      <c r="N400">
        <f t="shared" si="33"/>
        <v>45.9</v>
      </c>
      <c r="O400">
        <f t="shared" si="34"/>
        <v>0</v>
      </c>
      <c r="P400">
        <f t="shared" si="34"/>
        <v>6</v>
      </c>
      <c r="Q400">
        <f t="shared" si="34"/>
        <v>6</v>
      </c>
      <c r="R400">
        <f t="shared" si="34"/>
        <v>8</v>
      </c>
      <c r="S400">
        <v>1</v>
      </c>
      <c r="T400">
        <f t="shared" si="35"/>
        <v>24</v>
      </c>
      <c r="U400">
        <f t="shared" si="36"/>
        <v>21.9</v>
      </c>
      <c r="V400">
        <f t="shared" si="37"/>
        <v>1</v>
      </c>
    </row>
    <row r="401" spans="1:22" x14ac:dyDescent="0.35">
      <c r="A401" s="11" t="s">
        <v>546</v>
      </c>
      <c r="B401" s="12" t="s">
        <v>249</v>
      </c>
      <c r="C401" s="13">
        <v>2</v>
      </c>
      <c r="D401" s="13">
        <v>4</v>
      </c>
      <c r="E401" s="13">
        <v>2</v>
      </c>
      <c r="F401" s="13">
        <v>4</v>
      </c>
      <c r="G401" s="13">
        <v>5</v>
      </c>
      <c r="H401" s="13">
        <v>2</v>
      </c>
      <c r="I401" s="13">
        <v>9</v>
      </c>
      <c r="J401" s="13">
        <v>76</v>
      </c>
      <c r="K401" s="13">
        <v>35</v>
      </c>
      <c r="L401" s="13">
        <v>83</v>
      </c>
      <c r="M401" s="14">
        <v>13</v>
      </c>
      <c r="N401">
        <f t="shared" si="33"/>
        <v>37.6</v>
      </c>
      <c r="O401">
        <f t="shared" si="34"/>
        <v>0</v>
      </c>
      <c r="P401">
        <f t="shared" si="34"/>
        <v>6</v>
      </c>
      <c r="Q401">
        <f t="shared" si="34"/>
        <v>8</v>
      </c>
      <c r="R401">
        <f t="shared" si="34"/>
        <v>0</v>
      </c>
      <c r="S401">
        <v>1</v>
      </c>
      <c r="T401">
        <f t="shared" si="35"/>
        <v>16</v>
      </c>
      <c r="U401">
        <f t="shared" si="36"/>
        <v>21.6</v>
      </c>
      <c r="V401">
        <f t="shared" si="37"/>
        <v>0</v>
      </c>
    </row>
    <row r="402" spans="1:22" x14ac:dyDescent="0.35">
      <c r="A402" s="7" t="s">
        <v>547</v>
      </c>
      <c r="B402" s="8" t="s">
        <v>526</v>
      </c>
      <c r="C402" s="9">
        <v>6</v>
      </c>
      <c r="D402" s="9">
        <v>2</v>
      </c>
      <c r="E402" s="9">
        <v>4</v>
      </c>
      <c r="F402" s="9">
        <v>2</v>
      </c>
      <c r="G402" s="9">
        <v>3</v>
      </c>
      <c r="H402" s="9">
        <v>2</v>
      </c>
      <c r="I402" s="9">
        <v>63</v>
      </c>
      <c r="J402" s="9">
        <v>31</v>
      </c>
      <c r="K402" s="9">
        <v>2</v>
      </c>
      <c r="L402" s="9">
        <v>74</v>
      </c>
      <c r="M402" s="10">
        <v>15</v>
      </c>
      <c r="N402">
        <f t="shared" si="33"/>
        <v>34.5</v>
      </c>
      <c r="O402">
        <f t="shared" si="34"/>
        <v>6</v>
      </c>
      <c r="P402">
        <f t="shared" si="34"/>
        <v>0</v>
      </c>
      <c r="Q402">
        <f t="shared" si="34"/>
        <v>4</v>
      </c>
      <c r="R402">
        <f t="shared" si="34"/>
        <v>0</v>
      </c>
      <c r="S402">
        <v>1</v>
      </c>
      <c r="T402">
        <f t="shared" si="35"/>
        <v>16</v>
      </c>
      <c r="U402">
        <f t="shared" si="36"/>
        <v>18.5</v>
      </c>
      <c r="V402">
        <f t="shared" si="37"/>
        <v>0</v>
      </c>
    </row>
    <row r="403" spans="1:22" x14ac:dyDescent="0.35">
      <c r="A403" s="11" t="s">
        <v>548</v>
      </c>
      <c r="B403" s="12" t="s">
        <v>126</v>
      </c>
      <c r="C403" s="13">
        <v>4</v>
      </c>
      <c r="D403" s="13">
        <v>6</v>
      </c>
      <c r="E403" s="13">
        <v>3</v>
      </c>
      <c r="F403" s="13">
        <v>5</v>
      </c>
      <c r="G403" s="13">
        <v>4</v>
      </c>
      <c r="H403" s="13">
        <v>4</v>
      </c>
      <c r="I403" s="13">
        <v>15</v>
      </c>
      <c r="J403" s="13">
        <v>57</v>
      </c>
      <c r="K403" s="13">
        <v>64</v>
      </c>
      <c r="L403" s="13">
        <v>60</v>
      </c>
      <c r="M403" s="14">
        <v>60</v>
      </c>
      <c r="N403">
        <f t="shared" si="33"/>
        <v>55.6</v>
      </c>
      <c r="O403">
        <f t="shared" si="34"/>
        <v>4</v>
      </c>
      <c r="P403">
        <f t="shared" si="34"/>
        <v>8</v>
      </c>
      <c r="Q403">
        <f t="shared" si="34"/>
        <v>6</v>
      </c>
      <c r="R403">
        <f t="shared" si="34"/>
        <v>6</v>
      </c>
      <c r="S403">
        <v>1</v>
      </c>
      <c r="T403">
        <f t="shared" si="35"/>
        <v>30</v>
      </c>
      <c r="U403">
        <f t="shared" si="36"/>
        <v>25.6</v>
      </c>
      <c r="V403">
        <f t="shared" si="37"/>
        <v>1</v>
      </c>
    </row>
    <row r="404" spans="1:22" x14ac:dyDescent="0.35">
      <c r="A404" s="7" t="s">
        <v>549</v>
      </c>
      <c r="B404" s="8" t="s">
        <v>355</v>
      </c>
      <c r="C404" s="9">
        <v>6</v>
      </c>
      <c r="D404" s="9">
        <v>4</v>
      </c>
      <c r="E404" s="9">
        <v>4</v>
      </c>
      <c r="F404" s="9">
        <v>2</v>
      </c>
      <c r="G404" s="9">
        <v>2</v>
      </c>
      <c r="H404" s="9">
        <v>2</v>
      </c>
      <c r="I404" s="9">
        <v>26</v>
      </c>
      <c r="J404" s="9">
        <v>6</v>
      </c>
      <c r="K404" s="9">
        <v>12</v>
      </c>
      <c r="L404" s="9">
        <v>71</v>
      </c>
      <c r="M404" s="10">
        <v>85</v>
      </c>
      <c r="N404">
        <f t="shared" si="33"/>
        <v>32</v>
      </c>
      <c r="O404">
        <f t="shared" si="34"/>
        <v>6</v>
      </c>
      <c r="P404">
        <f t="shared" si="34"/>
        <v>0</v>
      </c>
      <c r="Q404">
        <f t="shared" si="34"/>
        <v>0</v>
      </c>
      <c r="R404">
        <f t="shared" si="34"/>
        <v>0</v>
      </c>
      <c r="S404">
        <v>1</v>
      </c>
      <c r="T404">
        <f t="shared" si="35"/>
        <v>12</v>
      </c>
      <c r="U404">
        <f t="shared" si="36"/>
        <v>20</v>
      </c>
      <c r="V404">
        <f t="shared" si="37"/>
        <v>0</v>
      </c>
    </row>
    <row r="405" spans="1:22" x14ac:dyDescent="0.35">
      <c r="A405" s="11" t="s">
        <v>550</v>
      </c>
      <c r="B405" s="12" t="s">
        <v>551</v>
      </c>
      <c r="C405" s="13">
        <v>5</v>
      </c>
      <c r="D405" s="13">
        <v>6</v>
      </c>
      <c r="E405" s="13">
        <v>2</v>
      </c>
      <c r="F405" s="13">
        <v>4</v>
      </c>
      <c r="G405" s="13">
        <v>4</v>
      </c>
      <c r="H405" s="13">
        <v>3</v>
      </c>
      <c r="I405" s="13">
        <v>3</v>
      </c>
      <c r="J405" s="13">
        <v>8</v>
      </c>
      <c r="K405" s="13">
        <v>22</v>
      </c>
      <c r="L405" s="13">
        <v>75</v>
      </c>
      <c r="M405" s="14">
        <v>52</v>
      </c>
      <c r="N405">
        <f t="shared" si="33"/>
        <v>39</v>
      </c>
      <c r="O405">
        <f t="shared" si="34"/>
        <v>0</v>
      </c>
      <c r="P405">
        <f t="shared" si="34"/>
        <v>6</v>
      </c>
      <c r="Q405">
        <f t="shared" si="34"/>
        <v>6</v>
      </c>
      <c r="R405">
        <f t="shared" si="34"/>
        <v>4</v>
      </c>
      <c r="S405">
        <v>1</v>
      </c>
      <c r="T405">
        <f t="shared" si="35"/>
        <v>23</v>
      </c>
      <c r="U405">
        <f t="shared" si="36"/>
        <v>16</v>
      </c>
      <c r="V405">
        <f t="shared" si="37"/>
        <v>1</v>
      </c>
    </row>
    <row r="406" spans="1:22" x14ac:dyDescent="0.35">
      <c r="A406" s="7" t="s">
        <v>552</v>
      </c>
      <c r="B406" s="8" t="s">
        <v>553</v>
      </c>
      <c r="C406" s="9">
        <v>0</v>
      </c>
      <c r="D406" s="9">
        <v>5</v>
      </c>
      <c r="E406" s="9">
        <v>2</v>
      </c>
      <c r="F406" s="9">
        <v>4</v>
      </c>
      <c r="G406" s="9">
        <v>4</v>
      </c>
      <c r="H406" s="9">
        <v>4</v>
      </c>
      <c r="I406" s="9">
        <v>68</v>
      </c>
      <c r="J406" s="9">
        <v>77</v>
      </c>
      <c r="K406" s="9">
        <v>39</v>
      </c>
      <c r="L406" s="9">
        <v>95</v>
      </c>
      <c r="M406" s="10">
        <v>42</v>
      </c>
      <c r="N406">
        <f t="shared" si="33"/>
        <v>50.1</v>
      </c>
      <c r="O406">
        <f t="shared" si="34"/>
        <v>0</v>
      </c>
      <c r="P406">
        <f t="shared" si="34"/>
        <v>6</v>
      </c>
      <c r="Q406">
        <f t="shared" si="34"/>
        <v>6</v>
      </c>
      <c r="R406">
        <f t="shared" si="34"/>
        <v>6</v>
      </c>
      <c r="S406">
        <v>1</v>
      </c>
      <c r="T406">
        <f t="shared" si="35"/>
        <v>18</v>
      </c>
      <c r="U406">
        <f t="shared" si="36"/>
        <v>32.1</v>
      </c>
      <c r="V406">
        <f t="shared" si="37"/>
        <v>0</v>
      </c>
    </row>
    <row r="407" spans="1:22" x14ac:dyDescent="0.35">
      <c r="A407" s="11" t="s">
        <v>554</v>
      </c>
      <c r="B407" s="12" t="s">
        <v>16</v>
      </c>
      <c r="C407" s="13">
        <v>4</v>
      </c>
      <c r="D407" s="13">
        <v>4</v>
      </c>
      <c r="E407" s="13">
        <v>3</v>
      </c>
      <c r="F407" s="13">
        <v>2</v>
      </c>
      <c r="G407" s="13">
        <v>5</v>
      </c>
      <c r="H407" s="13">
        <v>4</v>
      </c>
      <c r="I407" s="13">
        <v>65</v>
      </c>
      <c r="J407" s="13">
        <v>42</v>
      </c>
      <c r="K407" s="13">
        <v>95</v>
      </c>
      <c r="L407" s="13">
        <v>95</v>
      </c>
      <c r="M407" s="14">
        <v>95</v>
      </c>
      <c r="N407">
        <f t="shared" si="33"/>
        <v>61.2</v>
      </c>
      <c r="O407">
        <f t="shared" si="34"/>
        <v>4</v>
      </c>
      <c r="P407">
        <f t="shared" si="34"/>
        <v>0</v>
      </c>
      <c r="Q407">
        <f t="shared" si="34"/>
        <v>8</v>
      </c>
      <c r="R407">
        <f t="shared" si="34"/>
        <v>6</v>
      </c>
      <c r="S407">
        <v>1</v>
      </c>
      <c r="T407">
        <f t="shared" si="35"/>
        <v>22</v>
      </c>
      <c r="U407">
        <f t="shared" si="36"/>
        <v>39.200000000000003</v>
      </c>
      <c r="V407">
        <f t="shared" si="37"/>
        <v>0</v>
      </c>
    </row>
    <row r="408" spans="1:22" x14ac:dyDescent="0.35">
      <c r="A408" s="7" t="s">
        <v>555</v>
      </c>
      <c r="B408" s="8" t="s">
        <v>64</v>
      </c>
      <c r="C408" s="9">
        <v>6</v>
      </c>
      <c r="D408" s="9">
        <v>2</v>
      </c>
      <c r="E408" s="9">
        <v>2</v>
      </c>
      <c r="F408" s="9">
        <v>2</v>
      </c>
      <c r="G408" s="9">
        <v>2</v>
      </c>
      <c r="H408" s="9">
        <v>4</v>
      </c>
      <c r="I408" s="9">
        <v>32</v>
      </c>
      <c r="J408" s="9">
        <v>39</v>
      </c>
      <c r="K408" s="9">
        <v>61</v>
      </c>
      <c r="L408" s="9">
        <v>67</v>
      </c>
      <c r="M408" s="10">
        <v>14</v>
      </c>
      <c r="N408">
        <f t="shared" si="33"/>
        <v>33.299999999999997</v>
      </c>
      <c r="O408">
        <f t="shared" si="34"/>
        <v>0</v>
      </c>
      <c r="P408">
        <f t="shared" si="34"/>
        <v>0</v>
      </c>
      <c r="Q408">
        <f t="shared" si="34"/>
        <v>0</v>
      </c>
      <c r="R408">
        <f t="shared" si="34"/>
        <v>6</v>
      </c>
      <c r="S408">
        <v>1</v>
      </c>
      <c r="T408">
        <f t="shared" si="35"/>
        <v>12</v>
      </c>
      <c r="U408">
        <f t="shared" si="36"/>
        <v>21.3</v>
      </c>
      <c r="V408">
        <f t="shared" si="37"/>
        <v>0</v>
      </c>
    </row>
    <row r="409" spans="1:22" x14ac:dyDescent="0.35">
      <c r="A409" s="11" t="s">
        <v>466</v>
      </c>
      <c r="B409" s="12" t="s">
        <v>16</v>
      </c>
      <c r="C409" s="13">
        <v>8</v>
      </c>
      <c r="D409" s="13">
        <v>3</v>
      </c>
      <c r="E409" s="13">
        <v>5</v>
      </c>
      <c r="F409" s="13">
        <v>6</v>
      </c>
      <c r="G409" s="13">
        <v>3</v>
      </c>
      <c r="H409" s="13">
        <v>5</v>
      </c>
      <c r="I409" s="13">
        <v>7</v>
      </c>
      <c r="J409" s="13">
        <v>96</v>
      </c>
      <c r="K409" s="13">
        <v>85</v>
      </c>
      <c r="L409" s="13">
        <v>8</v>
      </c>
      <c r="M409" s="14">
        <v>46</v>
      </c>
      <c r="N409">
        <f t="shared" si="33"/>
        <v>62.2</v>
      </c>
      <c r="O409">
        <f t="shared" si="34"/>
        <v>8</v>
      </c>
      <c r="P409">
        <f t="shared" si="34"/>
        <v>10</v>
      </c>
      <c r="Q409">
        <f t="shared" si="34"/>
        <v>4</v>
      </c>
      <c r="R409">
        <f t="shared" si="34"/>
        <v>8</v>
      </c>
      <c r="S409">
        <v>1</v>
      </c>
      <c r="T409">
        <f t="shared" si="35"/>
        <v>38</v>
      </c>
      <c r="U409">
        <f t="shared" si="36"/>
        <v>24.2</v>
      </c>
      <c r="V409">
        <f t="shared" si="37"/>
        <v>1</v>
      </c>
    </row>
    <row r="410" spans="1:22" x14ac:dyDescent="0.35">
      <c r="A410" s="7" t="s">
        <v>556</v>
      </c>
      <c r="B410" s="8" t="s">
        <v>367</v>
      </c>
      <c r="C410" s="9">
        <v>7</v>
      </c>
      <c r="D410" s="9">
        <v>5</v>
      </c>
      <c r="E410" s="9">
        <v>5</v>
      </c>
      <c r="F410" s="9">
        <v>5</v>
      </c>
      <c r="G410" s="9">
        <v>2</v>
      </c>
      <c r="H410" s="9">
        <v>2</v>
      </c>
      <c r="I410" s="9">
        <v>35</v>
      </c>
      <c r="J410" s="9">
        <v>95</v>
      </c>
      <c r="K410" s="9">
        <v>11</v>
      </c>
      <c r="L410" s="9">
        <v>36</v>
      </c>
      <c r="M410" s="10">
        <v>19</v>
      </c>
      <c r="N410">
        <f t="shared" si="33"/>
        <v>42.6</v>
      </c>
      <c r="O410">
        <f t="shared" si="34"/>
        <v>8</v>
      </c>
      <c r="P410">
        <f t="shared" si="34"/>
        <v>8</v>
      </c>
      <c r="Q410">
        <f t="shared" si="34"/>
        <v>0</v>
      </c>
      <c r="R410">
        <f t="shared" si="34"/>
        <v>0</v>
      </c>
      <c r="S410">
        <v>1</v>
      </c>
      <c r="T410">
        <f t="shared" si="35"/>
        <v>23</v>
      </c>
      <c r="U410">
        <f t="shared" si="36"/>
        <v>19.600000000000001</v>
      </c>
      <c r="V410">
        <f t="shared" si="37"/>
        <v>1</v>
      </c>
    </row>
    <row r="411" spans="1:22" x14ac:dyDescent="0.35">
      <c r="A411" s="11" t="s">
        <v>557</v>
      </c>
      <c r="B411" s="12" t="s">
        <v>558</v>
      </c>
      <c r="C411" s="13">
        <v>1</v>
      </c>
      <c r="D411" s="13">
        <v>4</v>
      </c>
      <c r="E411" s="13">
        <v>4</v>
      </c>
      <c r="F411" s="13">
        <v>6</v>
      </c>
      <c r="G411" s="13">
        <v>3</v>
      </c>
      <c r="H411" s="13">
        <v>4</v>
      </c>
      <c r="I411" s="13">
        <v>73</v>
      </c>
      <c r="J411" s="13">
        <v>61</v>
      </c>
      <c r="K411" s="13">
        <v>49</v>
      </c>
      <c r="L411" s="13">
        <v>70</v>
      </c>
      <c r="M411" s="14">
        <v>52</v>
      </c>
      <c r="N411">
        <f t="shared" si="33"/>
        <v>57.5</v>
      </c>
      <c r="O411">
        <f t="shared" si="34"/>
        <v>6</v>
      </c>
      <c r="P411">
        <f t="shared" si="34"/>
        <v>10</v>
      </c>
      <c r="Q411">
        <f t="shared" si="34"/>
        <v>4</v>
      </c>
      <c r="R411">
        <f t="shared" si="34"/>
        <v>6</v>
      </c>
      <c r="S411">
        <v>1</v>
      </c>
      <c r="T411">
        <f t="shared" si="35"/>
        <v>27</v>
      </c>
      <c r="U411">
        <f t="shared" si="36"/>
        <v>30.5</v>
      </c>
      <c r="V411">
        <f t="shared" si="37"/>
        <v>0</v>
      </c>
    </row>
    <row r="412" spans="1:22" x14ac:dyDescent="0.35">
      <c r="A412" s="7" t="s">
        <v>559</v>
      </c>
      <c r="B412" s="8" t="s">
        <v>145</v>
      </c>
      <c r="C412" s="9">
        <v>8</v>
      </c>
      <c r="D412" s="9">
        <v>2</v>
      </c>
      <c r="E412" s="9">
        <v>5</v>
      </c>
      <c r="F412" s="9">
        <v>2</v>
      </c>
      <c r="G412" s="9">
        <v>2</v>
      </c>
      <c r="H412" s="9">
        <v>6</v>
      </c>
      <c r="I412" s="9">
        <v>52</v>
      </c>
      <c r="J412" s="9">
        <v>90</v>
      </c>
      <c r="K412" s="9">
        <v>95</v>
      </c>
      <c r="L412" s="9">
        <v>83</v>
      </c>
      <c r="M412" s="10">
        <v>23</v>
      </c>
      <c r="N412">
        <f t="shared" si="33"/>
        <v>60.3</v>
      </c>
      <c r="O412">
        <f t="shared" si="34"/>
        <v>8</v>
      </c>
      <c r="P412">
        <f t="shared" si="34"/>
        <v>0</v>
      </c>
      <c r="Q412">
        <f t="shared" si="34"/>
        <v>0</v>
      </c>
      <c r="R412">
        <f t="shared" si="34"/>
        <v>10</v>
      </c>
      <c r="S412">
        <v>1</v>
      </c>
      <c r="T412">
        <f t="shared" si="35"/>
        <v>26</v>
      </c>
      <c r="U412">
        <f t="shared" si="36"/>
        <v>34.299999999999997</v>
      </c>
      <c r="V412">
        <f t="shared" si="37"/>
        <v>0</v>
      </c>
    </row>
    <row r="413" spans="1:22" x14ac:dyDescent="0.35">
      <c r="A413" s="11" t="s">
        <v>418</v>
      </c>
      <c r="B413" s="12" t="s">
        <v>32</v>
      </c>
      <c r="C413" s="13">
        <v>8</v>
      </c>
      <c r="D413" s="13">
        <v>5</v>
      </c>
      <c r="E413" s="13">
        <v>6</v>
      </c>
      <c r="F413" s="13">
        <v>5</v>
      </c>
      <c r="G413" s="13">
        <v>6</v>
      </c>
      <c r="H413" s="13">
        <v>5</v>
      </c>
      <c r="I413" s="13">
        <v>5</v>
      </c>
      <c r="J413" s="13">
        <v>84</v>
      </c>
      <c r="K413" s="13">
        <v>88</v>
      </c>
      <c r="L413" s="13">
        <v>35</v>
      </c>
      <c r="M413" s="14">
        <v>40</v>
      </c>
      <c r="N413">
        <f t="shared" si="33"/>
        <v>69.2</v>
      </c>
      <c r="O413">
        <f t="shared" si="34"/>
        <v>10</v>
      </c>
      <c r="P413">
        <f t="shared" si="34"/>
        <v>8</v>
      </c>
      <c r="Q413">
        <f t="shared" si="34"/>
        <v>10</v>
      </c>
      <c r="R413">
        <f t="shared" si="34"/>
        <v>8</v>
      </c>
      <c r="S413">
        <v>1</v>
      </c>
      <c r="T413">
        <f t="shared" si="35"/>
        <v>44</v>
      </c>
      <c r="U413">
        <f t="shared" si="36"/>
        <v>25.2</v>
      </c>
      <c r="V413">
        <f t="shared" si="37"/>
        <v>1</v>
      </c>
    </row>
    <row r="414" spans="1:22" x14ac:dyDescent="0.35">
      <c r="A414" s="7" t="s">
        <v>123</v>
      </c>
      <c r="B414" s="8" t="s">
        <v>273</v>
      </c>
      <c r="C414" s="9">
        <v>5</v>
      </c>
      <c r="D414" s="9">
        <v>4</v>
      </c>
      <c r="E414" s="9">
        <v>6</v>
      </c>
      <c r="F414" s="9">
        <v>2</v>
      </c>
      <c r="G414" s="9">
        <v>3</v>
      </c>
      <c r="H414" s="9">
        <v>4</v>
      </c>
      <c r="I414" s="9">
        <v>53</v>
      </c>
      <c r="J414" s="9">
        <v>57</v>
      </c>
      <c r="K414" s="9">
        <v>30</v>
      </c>
      <c r="L414" s="9">
        <v>7</v>
      </c>
      <c r="M414" s="10">
        <v>52</v>
      </c>
      <c r="N414">
        <f t="shared" si="33"/>
        <v>44.9</v>
      </c>
      <c r="O414">
        <f t="shared" si="34"/>
        <v>10</v>
      </c>
      <c r="P414">
        <f t="shared" si="34"/>
        <v>0</v>
      </c>
      <c r="Q414">
        <f t="shared" si="34"/>
        <v>4</v>
      </c>
      <c r="R414">
        <f t="shared" si="34"/>
        <v>6</v>
      </c>
      <c r="S414">
        <v>1</v>
      </c>
      <c r="T414">
        <f t="shared" si="35"/>
        <v>25</v>
      </c>
      <c r="U414">
        <f t="shared" si="36"/>
        <v>19.899999999999999</v>
      </c>
      <c r="V414">
        <f t="shared" si="37"/>
        <v>1</v>
      </c>
    </row>
    <row r="415" spans="1:22" x14ac:dyDescent="0.35">
      <c r="A415" s="11" t="s">
        <v>560</v>
      </c>
      <c r="B415" s="12" t="s">
        <v>145</v>
      </c>
      <c r="C415" s="13">
        <v>4</v>
      </c>
      <c r="D415" s="13">
        <v>2</v>
      </c>
      <c r="E415" s="13">
        <v>4</v>
      </c>
      <c r="F415" s="13">
        <v>5</v>
      </c>
      <c r="G415" s="13">
        <v>5</v>
      </c>
      <c r="H415" s="13">
        <v>4</v>
      </c>
      <c r="I415" s="13">
        <v>52</v>
      </c>
      <c r="J415" s="13">
        <v>73</v>
      </c>
      <c r="K415" s="13">
        <v>12</v>
      </c>
      <c r="L415" s="13">
        <v>3</v>
      </c>
      <c r="M415" s="14">
        <v>7</v>
      </c>
      <c r="N415">
        <f t="shared" si="33"/>
        <v>46.7</v>
      </c>
      <c r="O415">
        <f t="shared" si="34"/>
        <v>6</v>
      </c>
      <c r="P415">
        <f t="shared" si="34"/>
        <v>8</v>
      </c>
      <c r="Q415">
        <f t="shared" si="34"/>
        <v>8</v>
      </c>
      <c r="R415">
        <f t="shared" si="34"/>
        <v>6</v>
      </c>
      <c r="S415">
        <v>1</v>
      </c>
      <c r="T415">
        <f t="shared" si="35"/>
        <v>32</v>
      </c>
      <c r="U415">
        <f t="shared" si="36"/>
        <v>14.7</v>
      </c>
      <c r="V415">
        <f t="shared" si="37"/>
        <v>1</v>
      </c>
    </row>
    <row r="416" spans="1:22" x14ac:dyDescent="0.35">
      <c r="A416" s="7" t="s">
        <v>561</v>
      </c>
      <c r="B416" s="8" t="s">
        <v>133</v>
      </c>
      <c r="C416" s="9">
        <v>7</v>
      </c>
      <c r="D416" s="9">
        <v>4</v>
      </c>
      <c r="E416" s="9">
        <v>3</v>
      </c>
      <c r="F416" s="9">
        <v>2</v>
      </c>
      <c r="G416" s="9">
        <v>5</v>
      </c>
      <c r="H416" s="9">
        <v>5</v>
      </c>
      <c r="I416" s="9">
        <v>41</v>
      </c>
      <c r="J416" s="9">
        <v>23</v>
      </c>
      <c r="K416" s="9">
        <v>84</v>
      </c>
      <c r="L416" s="9">
        <v>93</v>
      </c>
      <c r="M416" s="10">
        <v>6</v>
      </c>
      <c r="N416">
        <f t="shared" si="33"/>
        <v>51.7</v>
      </c>
      <c r="O416">
        <f t="shared" si="34"/>
        <v>4</v>
      </c>
      <c r="P416">
        <f t="shared" si="34"/>
        <v>0</v>
      </c>
      <c r="Q416">
        <f t="shared" si="34"/>
        <v>8</v>
      </c>
      <c r="R416">
        <f t="shared" si="34"/>
        <v>8</v>
      </c>
      <c r="S416">
        <v>1</v>
      </c>
      <c r="T416">
        <f t="shared" si="35"/>
        <v>27</v>
      </c>
      <c r="U416">
        <f t="shared" si="36"/>
        <v>24.7</v>
      </c>
      <c r="V416">
        <f t="shared" si="37"/>
        <v>1</v>
      </c>
    </row>
    <row r="417" spans="1:22" x14ac:dyDescent="0.35">
      <c r="A417" s="11" t="s">
        <v>562</v>
      </c>
      <c r="B417" s="12" t="s">
        <v>369</v>
      </c>
      <c r="C417" s="13">
        <v>3</v>
      </c>
      <c r="D417" s="13">
        <v>3</v>
      </c>
      <c r="E417" s="13">
        <v>4</v>
      </c>
      <c r="F417" s="13">
        <v>4</v>
      </c>
      <c r="G417" s="13">
        <v>5</v>
      </c>
      <c r="H417" s="13">
        <v>5</v>
      </c>
      <c r="I417" s="13">
        <v>44</v>
      </c>
      <c r="J417" s="13">
        <v>90</v>
      </c>
      <c r="K417" s="13">
        <v>71</v>
      </c>
      <c r="L417" s="13">
        <v>41</v>
      </c>
      <c r="M417" s="14">
        <v>60</v>
      </c>
      <c r="N417">
        <f t="shared" si="33"/>
        <v>61.6</v>
      </c>
      <c r="O417">
        <f t="shared" si="34"/>
        <v>6</v>
      </c>
      <c r="P417">
        <f t="shared" si="34"/>
        <v>6</v>
      </c>
      <c r="Q417">
        <f t="shared" si="34"/>
        <v>8</v>
      </c>
      <c r="R417">
        <f t="shared" si="34"/>
        <v>8</v>
      </c>
      <c r="S417">
        <v>1</v>
      </c>
      <c r="T417">
        <f t="shared" si="35"/>
        <v>31</v>
      </c>
      <c r="U417">
        <f t="shared" si="36"/>
        <v>30.6</v>
      </c>
      <c r="V417">
        <f t="shared" si="37"/>
        <v>1</v>
      </c>
    </row>
    <row r="418" spans="1:22" x14ac:dyDescent="0.35">
      <c r="A418" s="7" t="s">
        <v>563</v>
      </c>
      <c r="B418" s="8" t="s">
        <v>101</v>
      </c>
      <c r="C418" s="9">
        <v>0</v>
      </c>
      <c r="D418" s="9">
        <v>5</v>
      </c>
      <c r="E418" s="9">
        <v>2</v>
      </c>
      <c r="F418" s="9">
        <v>4</v>
      </c>
      <c r="G418" s="9">
        <v>2</v>
      </c>
      <c r="H418" s="9">
        <v>6</v>
      </c>
      <c r="I418" s="9">
        <v>27</v>
      </c>
      <c r="J418" s="9">
        <v>56</v>
      </c>
      <c r="K418" s="9">
        <v>54</v>
      </c>
      <c r="L418" s="9">
        <v>99</v>
      </c>
      <c r="M418" s="10">
        <v>27</v>
      </c>
      <c r="N418">
        <f t="shared" si="33"/>
        <v>42.3</v>
      </c>
      <c r="O418">
        <f t="shared" si="34"/>
        <v>0</v>
      </c>
      <c r="P418">
        <f t="shared" si="34"/>
        <v>6</v>
      </c>
      <c r="Q418">
        <f t="shared" si="34"/>
        <v>0</v>
      </c>
      <c r="R418">
        <f t="shared" si="34"/>
        <v>10</v>
      </c>
      <c r="S418">
        <v>1</v>
      </c>
      <c r="T418">
        <f t="shared" si="35"/>
        <v>16</v>
      </c>
      <c r="U418">
        <f t="shared" si="36"/>
        <v>26.3</v>
      </c>
      <c r="V418">
        <f t="shared" si="37"/>
        <v>0</v>
      </c>
    </row>
    <row r="419" spans="1:22" x14ac:dyDescent="0.35">
      <c r="A419" s="11" t="s">
        <v>564</v>
      </c>
      <c r="B419" s="12" t="s">
        <v>145</v>
      </c>
      <c r="C419" s="13">
        <v>6</v>
      </c>
      <c r="D419" s="13">
        <v>4</v>
      </c>
      <c r="E419" s="13">
        <v>5</v>
      </c>
      <c r="F419" s="13">
        <v>6</v>
      </c>
      <c r="G419" s="13">
        <v>2</v>
      </c>
      <c r="H419" s="13">
        <v>5</v>
      </c>
      <c r="I419" s="13">
        <v>56</v>
      </c>
      <c r="J419" s="13">
        <v>47</v>
      </c>
      <c r="K419" s="13">
        <v>34</v>
      </c>
      <c r="L419" s="13">
        <v>65</v>
      </c>
      <c r="M419" s="14">
        <v>87</v>
      </c>
      <c r="N419">
        <f t="shared" si="33"/>
        <v>60.9</v>
      </c>
      <c r="O419">
        <f t="shared" si="34"/>
        <v>8</v>
      </c>
      <c r="P419">
        <f t="shared" si="34"/>
        <v>10</v>
      </c>
      <c r="Q419">
        <f t="shared" si="34"/>
        <v>0</v>
      </c>
      <c r="R419">
        <f t="shared" si="34"/>
        <v>8</v>
      </c>
      <c r="S419">
        <v>1</v>
      </c>
      <c r="T419">
        <f t="shared" si="35"/>
        <v>32</v>
      </c>
      <c r="U419">
        <f t="shared" si="36"/>
        <v>28.9</v>
      </c>
      <c r="V419">
        <f t="shared" si="37"/>
        <v>1</v>
      </c>
    </row>
    <row r="420" spans="1:22" x14ac:dyDescent="0.35">
      <c r="A420" s="7" t="s">
        <v>565</v>
      </c>
      <c r="B420" s="8" t="s">
        <v>302</v>
      </c>
      <c r="C420" s="9">
        <v>3</v>
      </c>
      <c r="D420" s="9">
        <v>5</v>
      </c>
      <c r="E420" s="9">
        <v>6</v>
      </c>
      <c r="F420" s="9">
        <v>4</v>
      </c>
      <c r="G420" s="9">
        <v>6</v>
      </c>
      <c r="H420" s="9">
        <v>6</v>
      </c>
      <c r="I420" s="9">
        <v>79</v>
      </c>
      <c r="J420" s="9">
        <v>52</v>
      </c>
      <c r="K420" s="9">
        <v>11</v>
      </c>
      <c r="L420" s="9">
        <v>9</v>
      </c>
      <c r="M420" s="10">
        <v>83</v>
      </c>
      <c r="N420">
        <f t="shared" si="33"/>
        <v>62.4</v>
      </c>
      <c r="O420">
        <f t="shared" si="34"/>
        <v>10</v>
      </c>
      <c r="P420">
        <f t="shared" si="34"/>
        <v>6</v>
      </c>
      <c r="Q420">
        <f t="shared" si="34"/>
        <v>10</v>
      </c>
      <c r="R420">
        <f t="shared" si="34"/>
        <v>10</v>
      </c>
      <c r="S420">
        <v>1</v>
      </c>
      <c r="T420">
        <f t="shared" si="35"/>
        <v>39</v>
      </c>
      <c r="U420">
        <f t="shared" si="36"/>
        <v>23.4</v>
      </c>
      <c r="V420">
        <f t="shared" si="37"/>
        <v>1</v>
      </c>
    </row>
    <row r="421" spans="1:22" x14ac:dyDescent="0.35">
      <c r="A421" s="11" t="s">
        <v>566</v>
      </c>
      <c r="B421" s="12" t="s">
        <v>174</v>
      </c>
      <c r="C421" s="13">
        <v>6</v>
      </c>
      <c r="D421" s="13">
        <v>5</v>
      </c>
      <c r="E421" s="13">
        <v>5</v>
      </c>
      <c r="F421" s="13">
        <v>5</v>
      </c>
      <c r="G421" s="13">
        <v>4</v>
      </c>
      <c r="H421" s="13">
        <v>4</v>
      </c>
      <c r="I421" s="13">
        <v>34</v>
      </c>
      <c r="J421" s="13">
        <v>15</v>
      </c>
      <c r="K421" s="13">
        <v>40</v>
      </c>
      <c r="L421" s="13">
        <v>85</v>
      </c>
      <c r="M421" s="14">
        <v>52</v>
      </c>
      <c r="N421">
        <f t="shared" si="33"/>
        <v>56.6</v>
      </c>
      <c r="O421">
        <f t="shared" si="34"/>
        <v>8</v>
      </c>
      <c r="P421">
        <f t="shared" si="34"/>
        <v>8</v>
      </c>
      <c r="Q421">
        <f t="shared" si="34"/>
        <v>6</v>
      </c>
      <c r="R421">
        <f t="shared" si="34"/>
        <v>6</v>
      </c>
      <c r="S421">
        <v>1</v>
      </c>
      <c r="T421">
        <f t="shared" si="35"/>
        <v>34</v>
      </c>
      <c r="U421">
        <f t="shared" si="36"/>
        <v>22.6</v>
      </c>
      <c r="V421">
        <f t="shared" si="37"/>
        <v>1</v>
      </c>
    </row>
    <row r="422" spans="1:22" x14ac:dyDescent="0.35">
      <c r="A422" s="7" t="s">
        <v>567</v>
      </c>
      <c r="B422" s="8" t="s">
        <v>568</v>
      </c>
      <c r="C422" s="9">
        <v>1</v>
      </c>
      <c r="D422" s="9">
        <v>3</v>
      </c>
      <c r="E422" s="9">
        <v>4</v>
      </c>
      <c r="F422" s="9">
        <v>6</v>
      </c>
      <c r="G422" s="9">
        <v>6</v>
      </c>
      <c r="H422" s="9">
        <v>3</v>
      </c>
      <c r="I422" s="9">
        <v>52</v>
      </c>
      <c r="J422" s="9">
        <v>36</v>
      </c>
      <c r="K422" s="9">
        <v>41</v>
      </c>
      <c r="L422" s="9">
        <v>96</v>
      </c>
      <c r="M422" s="10">
        <v>66</v>
      </c>
      <c r="N422">
        <f t="shared" si="33"/>
        <v>60.1</v>
      </c>
      <c r="O422">
        <f t="shared" si="34"/>
        <v>6</v>
      </c>
      <c r="P422">
        <f t="shared" si="34"/>
        <v>10</v>
      </c>
      <c r="Q422">
        <f t="shared" si="34"/>
        <v>10</v>
      </c>
      <c r="R422">
        <f t="shared" si="34"/>
        <v>4</v>
      </c>
      <c r="S422">
        <v>1</v>
      </c>
      <c r="T422">
        <f t="shared" si="35"/>
        <v>31</v>
      </c>
      <c r="U422">
        <f t="shared" si="36"/>
        <v>29.1</v>
      </c>
      <c r="V422">
        <f t="shared" si="37"/>
        <v>1</v>
      </c>
    </row>
    <row r="423" spans="1:22" x14ac:dyDescent="0.35">
      <c r="A423" s="11" t="s">
        <v>569</v>
      </c>
      <c r="B423" s="12" t="s">
        <v>222</v>
      </c>
      <c r="C423" s="13">
        <v>5</v>
      </c>
      <c r="D423" s="13">
        <v>4</v>
      </c>
      <c r="E423" s="13">
        <v>6</v>
      </c>
      <c r="F423" s="13">
        <v>5</v>
      </c>
      <c r="G423" s="13">
        <v>5</v>
      </c>
      <c r="H423" s="13">
        <v>3</v>
      </c>
      <c r="I423" s="13">
        <v>41</v>
      </c>
      <c r="J423" s="13">
        <v>35</v>
      </c>
      <c r="K423" s="13">
        <v>54</v>
      </c>
      <c r="L423" s="13">
        <v>14</v>
      </c>
      <c r="M423" s="14">
        <v>29</v>
      </c>
      <c r="N423">
        <f t="shared" si="33"/>
        <v>52.3</v>
      </c>
      <c r="O423">
        <f t="shared" si="34"/>
        <v>10</v>
      </c>
      <c r="P423">
        <f t="shared" si="34"/>
        <v>8</v>
      </c>
      <c r="Q423">
        <f t="shared" si="34"/>
        <v>8</v>
      </c>
      <c r="R423">
        <f t="shared" si="34"/>
        <v>4</v>
      </c>
      <c r="S423">
        <v>1</v>
      </c>
      <c r="T423">
        <f t="shared" si="35"/>
        <v>35</v>
      </c>
      <c r="U423">
        <f t="shared" si="36"/>
        <v>17.3</v>
      </c>
      <c r="V423">
        <f t="shared" si="37"/>
        <v>1</v>
      </c>
    </row>
    <row r="424" spans="1:22" x14ac:dyDescent="0.35">
      <c r="A424" s="7" t="s">
        <v>570</v>
      </c>
      <c r="B424" s="8" t="s">
        <v>571</v>
      </c>
      <c r="C424" s="9">
        <v>5</v>
      </c>
      <c r="D424" s="9">
        <v>3</v>
      </c>
      <c r="E424" s="9">
        <v>5</v>
      </c>
      <c r="F424" s="9">
        <v>5</v>
      </c>
      <c r="G424" s="9">
        <v>3</v>
      </c>
      <c r="H424" s="9">
        <v>2</v>
      </c>
      <c r="I424" s="9">
        <v>25</v>
      </c>
      <c r="J424" s="9">
        <v>24</v>
      </c>
      <c r="K424" s="9">
        <v>28</v>
      </c>
      <c r="L424" s="9">
        <v>21</v>
      </c>
      <c r="M424" s="10">
        <v>24</v>
      </c>
      <c r="N424">
        <f t="shared" si="33"/>
        <v>37.200000000000003</v>
      </c>
      <c r="O424">
        <f t="shared" si="34"/>
        <v>8</v>
      </c>
      <c r="P424">
        <f t="shared" si="34"/>
        <v>8</v>
      </c>
      <c r="Q424">
        <f t="shared" si="34"/>
        <v>4</v>
      </c>
      <c r="R424">
        <f t="shared" si="34"/>
        <v>0</v>
      </c>
      <c r="S424">
        <v>1</v>
      </c>
      <c r="T424">
        <f t="shared" si="35"/>
        <v>25</v>
      </c>
      <c r="U424">
        <f t="shared" si="36"/>
        <v>12.2</v>
      </c>
      <c r="V424">
        <f t="shared" si="37"/>
        <v>1</v>
      </c>
    </row>
    <row r="425" spans="1:22" x14ac:dyDescent="0.35">
      <c r="A425" s="11" t="s">
        <v>572</v>
      </c>
      <c r="B425" s="12" t="s">
        <v>177</v>
      </c>
      <c r="C425" s="13">
        <v>3</v>
      </c>
      <c r="D425" s="13">
        <v>4</v>
      </c>
      <c r="E425" s="13">
        <v>2</v>
      </c>
      <c r="F425" s="13">
        <v>5</v>
      </c>
      <c r="G425" s="13">
        <v>2</v>
      </c>
      <c r="H425" s="13">
        <v>6</v>
      </c>
      <c r="I425" s="13">
        <v>80</v>
      </c>
      <c r="J425" s="13">
        <v>86</v>
      </c>
      <c r="K425" s="13">
        <v>29</v>
      </c>
      <c r="L425" s="13">
        <v>32</v>
      </c>
      <c r="M425" s="14">
        <v>85</v>
      </c>
      <c r="N425">
        <f t="shared" si="33"/>
        <v>52.2</v>
      </c>
      <c r="O425">
        <f t="shared" si="34"/>
        <v>0</v>
      </c>
      <c r="P425">
        <f t="shared" si="34"/>
        <v>8</v>
      </c>
      <c r="Q425">
        <f t="shared" si="34"/>
        <v>0</v>
      </c>
      <c r="R425">
        <f t="shared" si="34"/>
        <v>10</v>
      </c>
      <c r="S425">
        <v>1</v>
      </c>
      <c r="T425">
        <f t="shared" si="35"/>
        <v>21</v>
      </c>
      <c r="U425">
        <f t="shared" si="36"/>
        <v>31.2</v>
      </c>
      <c r="V425">
        <f t="shared" si="37"/>
        <v>0</v>
      </c>
    </row>
    <row r="426" spans="1:22" x14ac:dyDescent="0.35">
      <c r="A426" s="7" t="s">
        <v>573</v>
      </c>
      <c r="B426" s="8" t="s">
        <v>526</v>
      </c>
      <c r="C426" s="9">
        <v>4</v>
      </c>
      <c r="D426" s="9">
        <v>3</v>
      </c>
      <c r="E426" s="9">
        <v>5</v>
      </c>
      <c r="F426" s="9">
        <v>6</v>
      </c>
      <c r="G426" s="9">
        <v>3</v>
      </c>
      <c r="H426" s="9">
        <v>4</v>
      </c>
      <c r="I426" s="9">
        <v>68</v>
      </c>
      <c r="J426" s="9">
        <v>19</v>
      </c>
      <c r="K426" s="9">
        <v>94</v>
      </c>
      <c r="L426" s="9">
        <v>92</v>
      </c>
      <c r="M426" s="10">
        <v>62</v>
      </c>
      <c r="N426">
        <f t="shared" si="33"/>
        <v>65.5</v>
      </c>
      <c r="O426">
        <f t="shared" si="34"/>
        <v>8</v>
      </c>
      <c r="P426">
        <f t="shared" si="34"/>
        <v>10</v>
      </c>
      <c r="Q426">
        <f t="shared" si="34"/>
        <v>4</v>
      </c>
      <c r="R426">
        <f t="shared" si="34"/>
        <v>6</v>
      </c>
      <c r="S426">
        <v>1</v>
      </c>
      <c r="T426">
        <f t="shared" si="35"/>
        <v>32</v>
      </c>
      <c r="U426">
        <f t="shared" si="36"/>
        <v>33.5</v>
      </c>
      <c r="V426">
        <f t="shared" si="37"/>
        <v>0</v>
      </c>
    </row>
    <row r="427" spans="1:22" x14ac:dyDescent="0.35">
      <c r="A427" s="11" t="s">
        <v>574</v>
      </c>
      <c r="B427" s="12" t="s">
        <v>575</v>
      </c>
      <c r="C427" s="13">
        <v>4</v>
      </c>
      <c r="D427" s="13">
        <v>2</v>
      </c>
      <c r="E427" s="13">
        <v>5</v>
      </c>
      <c r="F427" s="13">
        <v>2</v>
      </c>
      <c r="G427" s="13">
        <v>5</v>
      </c>
      <c r="H427" s="13">
        <v>4</v>
      </c>
      <c r="I427" s="13">
        <v>74</v>
      </c>
      <c r="J427" s="13">
        <v>85</v>
      </c>
      <c r="K427" s="13">
        <v>21</v>
      </c>
      <c r="L427" s="13">
        <v>33</v>
      </c>
      <c r="M427" s="14">
        <v>9</v>
      </c>
      <c r="N427">
        <f t="shared" si="33"/>
        <v>48.2</v>
      </c>
      <c r="O427">
        <f t="shared" si="34"/>
        <v>8</v>
      </c>
      <c r="P427">
        <f t="shared" si="34"/>
        <v>0</v>
      </c>
      <c r="Q427">
        <f t="shared" si="34"/>
        <v>8</v>
      </c>
      <c r="R427">
        <f t="shared" si="34"/>
        <v>6</v>
      </c>
      <c r="S427">
        <v>1</v>
      </c>
      <c r="T427">
        <f t="shared" si="35"/>
        <v>26</v>
      </c>
      <c r="U427">
        <f t="shared" si="36"/>
        <v>22.2</v>
      </c>
      <c r="V427">
        <f t="shared" si="37"/>
        <v>1</v>
      </c>
    </row>
    <row r="428" spans="1:22" x14ac:dyDescent="0.35">
      <c r="A428" s="7" t="s">
        <v>403</v>
      </c>
      <c r="B428" s="8" t="s">
        <v>64</v>
      </c>
      <c r="C428" s="9">
        <v>0</v>
      </c>
      <c r="D428" s="9">
        <v>2</v>
      </c>
      <c r="E428" s="9">
        <v>3</v>
      </c>
      <c r="F428" s="9">
        <v>5</v>
      </c>
      <c r="G428" s="9">
        <v>4</v>
      </c>
      <c r="H428" s="9">
        <v>6</v>
      </c>
      <c r="I428" s="9">
        <v>40</v>
      </c>
      <c r="J428" s="9">
        <v>46</v>
      </c>
      <c r="K428" s="9">
        <v>1</v>
      </c>
      <c r="L428" s="9">
        <v>98</v>
      </c>
      <c r="M428" s="10">
        <v>39</v>
      </c>
      <c r="N428">
        <f t="shared" si="33"/>
        <v>50.4</v>
      </c>
      <c r="O428">
        <f t="shared" si="34"/>
        <v>4</v>
      </c>
      <c r="P428">
        <f t="shared" si="34"/>
        <v>8</v>
      </c>
      <c r="Q428">
        <f t="shared" si="34"/>
        <v>6</v>
      </c>
      <c r="R428">
        <f t="shared" si="34"/>
        <v>10</v>
      </c>
      <c r="S428">
        <v>1</v>
      </c>
      <c r="T428">
        <f t="shared" si="35"/>
        <v>28</v>
      </c>
      <c r="U428">
        <f t="shared" si="36"/>
        <v>22.4</v>
      </c>
      <c r="V428">
        <f t="shared" si="37"/>
        <v>1</v>
      </c>
    </row>
    <row r="429" spans="1:22" x14ac:dyDescent="0.35">
      <c r="A429" s="11" t="s">
        <v>576</v>
      </c>
      <c r="B429" s="12" t="s">
        <v>430</v>
      </c>
      <c r="C429" s="13">
        <v>7</v>
      </c>
      <c r="D429" s="13">
        <v>2</v>
      </c>
      <c r="E429" s="13">
        <v>2</v>
      </c>
      <c r="F429" s="13">
        <v>2</v>
      </c>
      <c r="G429" s="13">
        <v>2</v>
      </c>
      <c r="H429" s="13">
        <v>2</v>
      </c>
      <c r="I429" s="13">
        <v>1</v>
      </c>
      <c r="J429" s="13">
        <v>25</v>
      </c>
      <c r="K429" s="13">
        <v>33</v>
      </c>
      <c r="L429" s="13">
        <v>91</v>
      </c>
      <c r="M429" s="14">
        <v>60</v>
      </c>
      <c r="N429">
        <f t="shared" si="33"/>
        <v>28</v>
      </c>
      <c r="O429">
        <f t="shared" si="34"/>
        <v>0</v>
      </c>
      <c r="P429">
        <f t="shared" si="34"/>
        <v>0</v>
      </c>
      <c r="Q429">
        <f t="shared" si="34"/>
        <v>0</v>
      </c>
      <c r="R429">
        <f t="shared" si="34"/>
        <v>0</v>
      </c>
      <c r="S429">
        <v>1</v>
      </c>
      <c r="T429">
        <f t="shared" si="35"/>
        <v>7</v>
      </c>
      <c r="U429">
        <f t="shared" si="36"/>
        <v>21</v>
      </c>
      <c r="V429">
        <f t="shared" si="37"/>
        <v>0</v>
      </c>
    </row>
    <row r="430" spans="1:22" x14ac:dyDescent="0.35">
      <c r="A430" s="7" t="s">
        <v>577</v>
      </c>
      <c r="B430" s="8" t="s">
        <v>360</v>
      </c>
      <c r="C430" s="9">
        <v>3</v>
      </c>
      <c r="D430" s="9">
        <v>3</v>
      </c>
      <c r="E430" s="9">
        <v>6</v>
      </c>
      <c r="F430" s="9">
        <v>4</v>
      </c>
      <c r="G430" s="9">
        <v>4</v>
      </c>
      <c r="H430" s="9">
        <v>3</v>
      </c>
      <c r="I430" s="9">
        <v>87</v>
      </c>
      <c r="J430" s="9">
        <v>50</v>
      </c>
      <c r="K430" s="9">
        <v>61</v>
      </c>
      <c r="L430" s="9">
        <v>48</v>
      </c>
      <c r="M430" s="10">
        <v>86</v>
      </c>
      <c r="N430">
        <f t="shared" si="33"/>
        <v>62.2</v>
      </c>
      <c r="O430">
        <f t="shared" si="34"/>
        <v>10</v>
      </c>
      <c r="P430">
        <f t="shared" si="34"/>
        <v>6</v>
      </c>
      <c r="Q430">
        <f t="shared" si="34"/>
        <v>6</v>
      </c>
      <c r="R430">
        <f t="shared" si="34"/>
        <v>4</v>
      </c>
      <c r="S430">
        <v>1</v>
      </c>
      <c r="T430">
        <f t="shared" si="35"/>
        <v>29</v>
      </c>
      <c r="U430">
        <f t="shared" si="36"/>
        <v>33.200000000000003</v>
      </c>
      <c r="V430">
        <f t="shared" si="37"/>
        <v>0</v>
      </c>
    </row>
    <row r="431" spans="1:22" x14ac:dyDescent="0.35">
      <c r="A431" s="11" t="s">
        <v>578</v>
      </c>
      <c r="B431" s="12" t="s">
        <v>579</v>
      </c>
      <c r="C431" s="13">
        <v>5</v>
      </c>
      <c r="D431" s="13">
        <v>6</v>
      </c>
      <c r="E431" s="13">
        <v>4</v>
      </c>
      <c r="F431" s="13">
        <v>2</v>
      </c>
      <c r="G431" s="13">
        <v>4</v>
      </c>
      <c r="H431" s="13">
        <v>3</v>
      </c>
      <c r="I431" s="13">
        <v>100</v>
      </c>
      <c r="J431" s="13">
        <v>74</v>
      </c>
      <c r="K431" s="13">
        <v>76</v>
      </c>
      <c r="L431" s="13">
        <v>47</v>
      </c>
      <c r="M431" s="14">
        <v>29</v>
      </c>
      <c r="N431">
        <f t="shared" si="33"/>
        <v>55.6</v>
      </c>
      <c r="O431">
        <f t="shared" si="34"/>
        <v>6</v>
      </c>
      <c r="P431">
        <f t="shared" si="34"/>
        <v>0</v>
      </c>
      <c r="Q431">
        <f t="shared" si="34"/>
        <v>6</v>
      </c>
      <c r="R431">
        <f t="shared" si="34"/>
        <v>4</v>
      </c>
      <c r="S431">
        <v>1</v>
      </c>
      <c r="T431">
        <f t="shared" si="35"/>
        <v>23</v>
      </c>
      <c r="U431">
        <f t="shared" si="36"/>
        <v>32.6</v>
      </c>
      <c r="V431">
        <f t="shared" si="37"/>
        <v>0</v>
      </c>
    </row>
    <row r="432" spans="1:22" x14ac:dyDescent="0.35">
      <c r="A432" s="7" t="s">
        <v>580</v>
      </c>
      <c r="B432" s="8" t="s">
        <v>14</v>
      </c>
      <c r="C432" s="9">
        <v>1</v>
      </c>
      <c r="D432" s="9">
        <v>6</v>
      </c>
      <c r="E432" s="9">
        <v>5</v>
      </c>
      <c r="F432" s="9">
        <v>2</v>
      </c>
      <c r="G432" s="9">
        <v>5</v>
      </c>
      <c r="H432" s="9">
        <v>5</v>
      </c>
      <c r="I432" s="9">
        <v>59</v>
      </c>
      <c r="J432" s="9">
        <v>30</v>
      </c>
      <c r="K432" s="9">
        <v>96</v>
      </c>
      <c r="L432" s="9">
        <v>53</v>
      </c>
      <c r="M432" s="10">
        <v>87</v>
      </c>
      <c r="N432">
        <f t="shared" si="33"/>
        <v>59.5</v>
      </c>
      <c r="O432">
        <f t="shared" si="34"/>
        <v>8</v>
      </c>
      <c r="P432">
        <f t="shared" si="34"/>
        <v>0</v>
      </c>
      <c r="Q432">
        <f t="shared" si="34"/>
        <v>8</v>
      </c>
      <c r="R432">
        <f t="shared" si="34"/>
        <v>8</v>
      </c>
      <c r="S432">
        <v>1</v>
      </c>
      <c r="T432">
        <f t="shared" si="35"/>
        <v>27</v>
      </c>
      <c r="U432">
        <f t="shared" si="36"/>
        <v>32.5</v>
      </c>
      <c r="V432">
        <f t="shared" si="37"/>
        <v>0</v>
      </c>
    </row>
    <row r="433" spans="1:22" x14ac:dyDescent="0.35">
      <c r="A433" s="11" t="s">
        <v>581</v>
      </c>
      <c r="B433" s="12" t="s">
        <v>70</v>
      </c>
      <c r="C433" s="13">
        <v>6</v>
      </c>
      <c r="D433" s="13">
        <v>2</v>
      </c>
      <c r="E433" s="13">
        <v>6</v>
      </c>
      <c r="F433" s="13">
        <v>4</v>
      </c>
      <c r="G433" s="13">
        <v>4</v>
      </c>
      <c r="H433" s="13">
        <v>6</v>
      </c>
      <c r="I433" s="13">
        <v>51</v>
      </c>
      <c r="J433" s="13">
        <v>98</v>
      </c>
      <c r="K433" s="13">
        <v>20</v>
      </c>
      <c r="L433" s="13">
        <v>37</v>
      </c>
      <c r="M433" s="14">
        <v>54</v>
      </c>
      <c r="N433">
        <f t="shared" si="33"/>
        <v>64</v>
      </c>
      <c r="O433">
        <f t="shared" si="34"/>
        <v>10</v>
      </c>
      <c r="P433">
        <f t="shared" si="34"/>
        <v>6</v>
      </c>
      <c r="Q433">
        <f t="shared" si="34"/>
        <v>6</v>
      </c>
      <c r="R433">
        <f t="shared" si="34"/>
        <v>10</v>
      </c>
      <c r="S433">
        <v>1</v>
      </c>
      <c r="T433">
        <f t="shared" si="35"/>
        <v>38</v>
      </c>
      <c r="U433">
        <f t="shared" si="36"/>
        <v>26</v>
      </c>
      <c r="V433">
        <f t="shared" si="37"/>
        <v>1</v>
      </c>
    </row>
    <row r="434" spans="1:22" x14ac:dyDescent="0.35">
      <c r="A434" s="7" t="s">
        <v>380</v>
      </c>
      <c r="B434" s="8" t="s">
        <v>126</v>
      </c>
      <c r="C434" s="9">
        <v>7</v>
      </c>
      <c r="D434" s="9">
        <v>6</v>
      </c>
      <c r="E434" s="9">
        <v>2</v>
      </c>
      <c r="F434" s="9">
        <v>6</v>
      </c>
      <c r="G434" s="9">
        <v>2</v>
      </c>
      <c r="H434" s="9">
        <v>6</v>
      </c>
      <c r="I434" s="9">
        <v>75</v>
      </c>
      <c r="J434" s="9">
        <v>60</v>
      </c>
      <c r="K434" s="9">
        <v>80</v>
      </c>
      <c r="L434" s="9">
        <v>86</v>
      </c>
      <c r="M434" s="10">
        <v>91</v>
      </c>
      <c r="N434">
        <f t="shared" si="33"/>
        <v>68.2</v>
      </c>
      <c r="O434">
        <f t="shared" si="34"/>
        <v>0</v>
      </c>
      <c r="P434">
        <f t="shared" si="34"/>
        <v>10</v>
      </c>
      <c r="Q434">
        <f t="shared" si="34"/>
        <v>0</v>
      </c>
      <c r="R434">
        <f t="shared" si="34"/>
        <v>10</v>
      </c>
      <c r="S434">
        <v>1</v>
      </c>
      <c r="T434">
        <f t="shared" si="35"/>
        <v>29</v>
      </c>
      <c r="U434">
        <f t="shared" si="36"/>
        <v>39.200000000000003</v>
      </c>
      <c r="V434">
        <f t="shared" si="37"/>
        <v>0</v>
      </c>
    </row>
    <row r="435" spans="1:22" x14ac:dyDescent="0.35">
      <c r="A435" s="11" t="s">
        <v>582</v>
      </c>
      <c r="B435" s="12" t="s">
        <v>367</v>
      </c>
      <c r="C435" s="13">
        <v>5</v>
      </c>
      <c r="D435" s="13">
        <v>3</v>
      </c>
      <c r="E435" s="13">
        <v>2</v>
      </c>
      <c r="F435" s="13">
        <v>6</v>
      </c>
      <c r="G435" s="13">
        <v>2</v>
      </c>
      <c r="H435" s="13">
        <v>2</v>
      </c>
      <c r="I435" s="13">
        <v>28</v>
      </c>
      <c r="J435" s="13">
        <v>28</v>
      </c>
      <c r="K435" s="13">
        <v>14</v>
      </c>
      <c r="L435" s="13">
        <v>52</v>
      </c>
      <c r="M435" s="14">
        <v>35</v>
      </c>
      <c r="N435">
        <f t="shared" si="33"/>
        <v>30.7</v>
      </c>
      <c r="O435">
        <f t="shared" si="34"/>
        <v>0</v>
      </c>
      <c r="P435">
        <f t="shared" si="34"/>
        <v>10</v>
      </c>
      <c r="Q435">
        <f t="shared" si="34"/>
        <v>0</v>
      </c>
      <c r="R435">
        <f t="shared" si="34"/>
        <v>0</v>
      </c>
      <c r="S435">
        <v>1</v>
      </c>
      <c r="T435">
        <f t="shared" si="35"/>
        <v>15</v>
      </c>
      <c r="U435">
        <f t="shared" si="36"/>
        <v>15.7</v>
      </c>
      <c r="V435">
        <f t="shared" si="37"/>
        <v>0</v>
      </c>
    </row>
    <row r="436" spans="1:22" x14ac:dyDescent="0.35">
      <c r="A436" s="7" t="s">
        <v>583</v>
      </c>
      <c r="B436" s="8" t="s">
        <v>133</v>
      </c>
      <c r="C436" s="9">
        <v>8</v>
      </c>
      <c r="D436" s="9">
        <v>3</v>
      </c>
      <c r="E436" s="9">
        <v>5</v>
      </c>
      <c r="F436" s="9">
        <v>5</v>
      </c>
      <c r="G436" s="9">
        <v>5</v>
      </c>
      <c r="H436" s="9">
        <v>6</v>
      </c>
      <c r="I436" s="9">
        <v>63</v>
      </c>
      <c r="J436" s="9">
        <v>66</v>
      </c>
      <c r="K436" s="9">
        <v>71</v>
      </c>
      <c r="L436" s="9">
        <v>11</v>
      </c>
      <c r="M436" s="10">
        <v>57</v>
      </c>
      <c r="N436">
        <f t="shared" si="33"/>
        <v>68.8</v>
      </c>
      <c r="O436">
        <f t="shared" si="34"/>
        <v>8</v>
      </c>
      <c r="P436">
        <f t="shared" si="34"/>
        <v>8</v>
      </c>
      <c r="Q436">
        <f t="shared" si="34"/>
        <v>8</v>
      </c>
      <c r="R436">
        <f t="shared" si="34"/>
        <v>10</v>
      </c>
      <c r="S436">
        <v>1</v>
      </c>
      <c r="T436">
        <f t="shared" si="35"/>
        <v>42</v>
      </c>
      <c r="U436">
        <f t="shared" si="36"/>
        <v>26.8</v>
      </c>
      <c r="V436">
        <f t="shared" si="37"/>
        <v>1</v>
      </c>
    </row>
    <row r="437" spans="1:22" x14ac:dyDescent="0.35">
      <c r="A437" s="11" t="s">
        <v>584</v>
      </c>
      <c r="B437" s="12" t="s">
        <v>171</v>
      </c>
      <c r="C437" s="13">
        <v>5</v>
      </c>
      <c r="D437" s="13">
        <v>5</v>
      </c>
      <c r="E437" s="13">
        <v>5</v>
      </c>
      <c r="F437" s="13">
        <v>5</v>
      </c>
      <c r="G437" s="13">
        <v>2</v>
      </c>
      <c r="H437" s="13">
        <v>6</v>
      </c>
      <c r="I437" s="13">
        <v>45</v>
      </c>
      <c r="J437" s="13">
        <v>94</v>
      </c>
      <c r="K437" s="13">
        <v>45</v>
      </c>
      <c r="L437" s="13">
        <v>100</v>
      </c>
      <c r="M437" s="14">
        <v>98</v>
      </c>
      <c r="N437">
        <f t="shared" si="33"/>
        <v>69.2</v>
      </c>
      <c r="O437">
        <f t="shared" si="34"/>
        <v>8</v>
      </c>
      <c r="P437">
        <f t="shared" si="34"/>
        <v>8</v>
      </c>
      <c r="Q437">
        <f t="shared" si="34"/>
        <v>0</v>
      </c>
      <c r="R437">
        <f t="shared" si="34"/>
        <v>10</v>
      </c>
      <c r="S437">
        <v>1</v>
      </c>
      <c r="T437">
        <f t="shared" si="35"/>
        <v>31</v>
      </c>
      <c r="U437">
        <f t="shared" si="36"/>
        <v>38.200000000000003</v>
      </c>
      <c r="V437">
        <f t="shared" si="37"/>
        <v>0</v>
      </c>
    </row>
    <row r="438" spans="1:22" x14ac:dyDescent="0.35">
      <c r="A438" s="7" t="s">
        <v>585</v>
      </c>
      <c r="B438" s="8" t="s">
        <v>586</v>
      </c>
      <c r="C438" s="9">
        <v>6</v>
      </c>
      <c r="D438" s="9">
        <v>5</v>
      </c>
      <c r="E438" s="9">
        <v>4</v>
      </c>
      <c r="F438" s="9">
        <v>5</v>
      </c>
      <c r="G438" s="9">
        <v>6</v>
      </c>
      <c r="H438" s="9">
        <v>3</v>
      </c>
      <c r="I438" s="9">
        <v>90</v>
      </c>
      <c r="J438" s="9">
        <v>98</v>
      </c>
      <c r="K438" s="9">
        <v>10</v>
      </c>
      <c r="L438" s="9">
        <v>95</v>
      </c>
      <c r="M438" s="10">
        <v>63</v>
      </c>
      <c r="N438">
        <f t="shared" si="33"/>
        <v>69.599999999999994</v>
      </c>
      <c r="O438">
        <f t="shared" si="34"/>
        <v>6</v>
      </c>
      <c r="P438">
        <f t="shared" si="34"/>
        <v>8</v>
      </c>
      <c r="Q438">
        <f t="shared" si="34"/>
        <v>10</v>
      </c>
      <c r="R438">
        <f t="shared" si="34"/>
        <v>4</v>
      </c>
      <c r="S438">
        <v>1</v>
      </c>
      <c r="T438">
        <f t="shared" si="35"/>
        <v>34</v>
      </c>
      <c r="U438">
        <f t="shared" si="36"/>
        <v>35.6</v>
      </c>
      <c r="V438">
        <f t="shared" si="37"/>
        <v>0</v>
      </c>
    </row>
    <row r="439" spans="1:22" x14ac:dyDescent="0.35">
      <c r="A439" s="11" t="s">
        <v>587</v>
      </c>
      <c r="B439" s="12" t="s">
        <v>495</v>
      </c>
      <c r="C439" s="13">
        <v>7</v>
      </c>
      <c r="D439" s="13">
        <v>4</v>
      </c>
      <c r="E439" s="13">
        <v>6</v>
      </c>
      <c r="F439" s="13">
        <v>5</v>
      </c>
      <c r="G439" s="13">
        <v>4</v>
      </c>
      <c r="H439" s="13">
        <v>6</v>
      </c>
      <c r="I439" s="13">
        <v>3</v>
      </c>
      <c r="J439" s="13">
        <v>73</v>
      </c>
      <c r="K439" s="13">
        <v>19</v>
      </c>
      <c r="L439" s="13">
        <v>42</v>
      </c>
      <c r="M439" s="14">
        <v>88</v>
      </c>
      <c r="N439">
        <f t="shared" si="33"/>
        <v>63.5</v>
      </c>
      <c r="O439">
        <f t="shared" si="34"/>
        <v>10</v>
      </c>
      <c r="P439">
        <f t="shared" si="34"/>
        <v>8</v>
      </c>
      <c r="Q439">
        <f t="shared" si="34"/>
        <v>6</v>
      </c>
      <c r="R439">
        <f t="shared" si="34"/>
        <v>10</v>
      </c>
      <c r="S439">
        <v>1</v>
      </c>
      <c r="T439">
        <f t="shared" si="35"/>
        <v>41</v>
      </c>
      <c r="U439">
        <f t="shared" si="36"/>
        <v>22.5</v>
      </c>
      <c r="V439">
        <f t="shared" si="37"/>
        <v>1</v>
      </c>
    </row>
    <row r="440" spans="1:22" x14ac:dyDescent="0.35">
      <c r="A440" s="7" t="s">
        <v>588</v>
      </c>
      <c r="B440" s="8" t="s">
        <v>586</v>
      </c>
      <c r="C440" s="9">
        <v>0</v>
      </c>
      <c r="D440" s="9">
        <v>2</v>
      </c>
      <c r="E440" s="9">
        <v>3</v>
      </c>
      <c r="F440" s="9">
        <v>3</v>
      </c>
      <c r="G440" s="9">
        <v>5</v>
      </c>
      <c r="H440" s="9">
        <v>2</v>
      </c>
      <c r="I440" s="9">
        <v>82</v>
      </c>
      <c r="J440" s="9">
        <v>61</v>
      </c>
      <c r="K440" s="9">
        <v>59</v>
      </c>
      <c r="L440" s="9">
        <v>51</v>
      </c>
      <c r="M440" s="10">
        <v>71</v>
      </c>
      <c r="N440">
        <f t="shared" si="33"/>
        <v>48.4</v>
      </c>
      <c r="O440">
        <f t="shared" si="34"/>
        <v>4</v>
      </c>
      <c r="P440">
        <f t="shared" si="34"/>
        <v>4</v>
      </c>
      <c r="Q440">
        <f t="shared" si="34"/>
        <v>8</v>
      </c>
      <c r="R440">
        <f t="shared" si="34"/>
        <v>0</v>
      </c>
      <c r="S440">
        <v>1</v>
      </c>
      <c r="T440">
        <f t="shared" si="35"/>
        <v>16</v>
      </c>
      <c r="U440">
        <f t="shared" si="36"/>
        <v>32.4</v>
      </c>
      <c r="V440">
        <f t="shared" si="37"/>
        <v>0</v>
      </c>
    </row>
    <row r="441" spans="1:22" x14ac:dyDescent="0.35">
      <c r="A441" s="11" t="s">
        <v>235</v>
      </c>
      <c r="B441" s="12" t="s">
        <v>110</v>
      </c>
      <c r="C441" s="13">
        <v>0</v>
      </c>
      <c r="D441" s="13">
        <v>5</v>
      </c>
      <c r="E441" s="13">
        <v>6</v>
      </c>
      <c r="F441" s="13">
        <v>4</v>
      </c>
      <c r="G441" s="13">
        <v>2</v>
      </c>
      <c r="H441" s="13">
        <v>6</v>
      </c>
      <c r="I441" s="13">
        <v>8</v>
      </c>
      <c r="J441" s="13">
        <v>13</v>
      </c>
      <c r="K441" s="13">
        <v>38</v>
      </c>
      <c r="L441" s="13">
        <v>1</v>
      </c>
      <c r="M441" s="14">
        <v>39</v>
      </c>
      <c r="N441">
        <f t="shared" si="33"/>
        <v>35.9</v>
      </c>
      <c r="O441">
        <f t="shared" si="34"/>
        <v>10</v>
      </c>
      <c r="P441">
        <f t="shared" si="34"/>
        <v>6</v>
      </c>
      <c r="Q441">
        <f t="shared" si="34"/>
        <v>0</v>
      </c>
      <c r="R441">
        <f t="shared" si="34"/>
        <v>10</v>
      </c>
      <c r="S441">
        <v>1</v>
      </c>
      <c r="T441">
        <f t="shared" si="35"/>
        <v>26</v>
      </c>
      <c r="U441">
        <f t="shared" si="36"/>
        <v>9.9</v>
      </c>
      <c r="V441">
        <f t="shared" si="37"/>
        <v>1</v>
      </c>
    </row>
    <row r="442" spans="1:22" x14ac:dyDescent="0.35">
      <c r="A442" s="7" t="s">
        <v>589</v>
      </c>
      <c r="B442" s="8" t="s">
        <v>590</v>
      </c>
      <c r="C442" s="9">
        <v>4</v>
      </c>
      <c r="D442" s="9">
        <v>2</v>
      </c>
      <c r="E442" s="9">
        <v>4</v>
      </c>
      <c r="F442" s="9">
        <v>4</v>
      </c>
      <c r="G442" s="9">
        <v>4</v>
      </c>
      <c r="H442" s="9">
        <v>3</v>
      </c>
      <c r="I442" s="9">
        <v>25</v>
      </c>
      <c r="J442" s="9">
        <v>86</v>
      </c>
      <c r="K442" s="9">
        <v>7</v>
      </c>
      <c r="L442" s="9">
        <v>3</v>
      </c>
      <c r="M442" s="10">
        <v>94</v>
      </c>
      <c r="N442">
        <f t="shared" si="33"/>
        <v>47.5</v>
      </c>
      <c r="O442">
        <f t="shared" si="34"/>
        <v>6</v>
      </c>
      <c r="P442">
        <f t="shared" si="34"/>
        <v>6</v>
      </c>
      <c r="Q442">
        <f t="shared" si="34"/>
        <v>6</v>
      </c>
      <c r="R442">
        <f t="shared" si="34"/>
        <v>4</v>
      </c>
      <c r="S442">
        <v>1</v>
      </c>
      <c r="T442">
        <f t="shared" si="35"/>
        <v>26</v>
      </c>
      <c r="U442">
        <f t="shared" si="36"/>
        <v>21.5</v>
      </c>
      <c r="V442">
        <f t="shared" si="37"/>
        <v>1</v>
      </c>
    </row>
    <row r="443" spans="1:22" x14ac:dyDescent="0.35">
      <c r="A443" s="11" t="s">
        <v>591</v>
      </c>
      <c r="B443" s="12" t="s">
        <v>197</v>
      </c>
      <c r="C443" s="13">
        <v>6</v>
      </c>
      <c r="D443" s="13">
        <v>3</v>
      </c>
      <c r="E443" s="13">
        <v>3</v>
      </c>
      <c r="F443" s="13">
        <v>3</v>
      </c>
      <c r="G443" s="13">
        <v>2</v>
      </c>
      <c r="H443" s="13">
        <v>3</v>
      </c>
      <c r="I443" s="13">
        <v>53</v>
      </c>
      <c r="J443" s="13">
        <v>53</v>
      </c>
      <c r="K443" s="13">
        <v>15</v>
      </c>
      <c r="L443" s="13">
        <v>53</v>
      </c>
      <c r="M443" s="14">
        <v>80</v>
      </c>
      <c r="N443">
        <f t="shared" si="33"/>
        <v>43.4</v>
      </c>
      <c r="O443">
        <f t="shared" si="34"/>
        <v>4</v>
      </c>
      <c r="P443">
        <f t="shared" si="34"/>
        <v>4</v>
      </c>
      <c r="Q443">
        <f t="shared" si="34"/>
        <v>0</v>
      </c>
      <c r="R443">
        <f t="shared" si="34"/>
        <v>4</v>
      </c>
      <c r="S443">
        <v>1</v>
      </c>
      <c r="T443">
        <f t="shared" si="35"/>
        <v>18</v>
      </c>
      <c r="U443">
        <f t="shared" si="36"/>
        <v>25.4</v>
      </c>
      <c r="V443">
        <f t="shared" si="37"/>
        <v>0</v>
      </c>
    </row>
    <row r="444" spans="1:22" x14ac:dyDescent="0.35">
      <c r="A444" s="7" t="s">
        <v>592</v>
      </c>
      <c r="B444" s="8" t="s">
        <v>593</v>
      </c>
      <c r="C444" s="9">
        <v>3</v>
      </c>
      <c r="D444" s="9">
        <v>3</v>
      </c>
      <c r="E444" s="9">
        <v>4</v>
      </c>
      <c r="F444" s="9">
        <v>2</v>
      </c>
      <c r="G444" s="9">
        <v>6</v>
      </c>
      <c r="H444" s="9">
        <v>4</v>
      </c>
      <c r="I444" s="9">
        <v>22</v>
      </c>
      <c r="J444" s="9">
        <v>48</v>
      </c>
      <c r="K444" s="9">
        <v>26</v>
      </c>
      <c r="L444" s="9">
        <v>43</v>
      </c>
      <c r="M444" s="10">
        <v>10</v>
      </c>
      <c r="N444">
        <f t="shared" si="33"/>
        <v>39.9</v>
      </c>
      <c r="O444">
        <f t="shared" si="34"/>
        <v>6</v>
      </c>
      <c r="P444">
        <f t="shared" si="34"/>
        <v>0</v>
      </c>
      <c r="Q444">
        <f t="shared" si="34"/>
        <v>10</v>
      </c>
      <c r="R444">
        <f t="shared" si="34"/>
        <v>6</v>
      </c>
      <c r="S444">
        <v>1</v>
      </c>
      <c r="T444">
        <f t="shared" si="35"/>
        <v>25</v>
      </c>
      <c r="U444">
        <f t="shared" si="36"/>
        <v>14.9</v>
      </c>
      <c r="V444">
        <f t="shared" si="37"/>
        <v>1</v>
      </c>
    </row>
    <row r="445" spans="1:22" x14ac:dyDescent="0.35">
      <c r="A445" s="11" t="s">
        <v>594</v>
      </c>
      <c r="B445" s="12" t="s">
        <v>32</v>
      </c>
      <c r="C445" s="13">
        <v>3</v>
      </c>
      <c r="D445" s="13">
        <v>2</v>
      </c>
      <c r="E445" s="13">
        <v>4</v>
      </c>
      <c r="F445" s="13">
        <v>3</v>
      </c>
      <c r="G445" s="13">
        <v>2</v>
      </c>
      <c r="H445" s="13">
        <v>5</v>
      </c>
      <c r="I445" s="13">
        <v>90</v>
      </c>
      <c r="J445" s="13">
        <v>97</v>
      </c>
      <c r="K445" s="13">
        <v>7</v>
      </c>
      <c r="L445" s="13">
        <v>59</v>
      </c>
      <c r="M445" s="14">
        <v>100</v>
      </c>
      <c r="N445">
        <f t="shared" si="33"/>
        <v>56.3</v>
      </c>
      <c r="O445">
        <f t="shared" si="34"/>
        <v>6</v>
      </c>
      <c r="P445">
        <f t="shared" si="34"/>
        <v>4</v>
      </c>
      <c r="Q445">
        <f t="shared" si="34"/>
        <v>0</v>
      </c>
      <c r="R445">
        <f t="shared" si="34"/>
        <v>8</v>
      </c>
      <c r="S445">
        <v>1</v>
      </c>
      <c r="T445">
        <f t="shared" si="35"/>
        <v>21</v>
      </c>
      <c r="U445">
        <f t="shared" si="36"/>
        <v>35.299999999999997</v>
      </c>
      <c r="V445">
        <f t="shared" si="37"/>
        <v>0</v>
      </c>
    </row>
    <row r="446" spans="1:22" x14ac:dyDescent="0.35">
      <c r="A446" s="7" t="s">
        <v>595</v>
      </c>
      <c r="B446" s="8" t="s">
        <v>177</v>
      </c>
      <c r="C446" s="9">
        <v>4</v>
      </c>
      <c r="D446" s="9">
        <v>2</v>
      </c>
      <c r="E446" s="9">
        <v>4</v>
      </c>
      <c r="F446" s="9">
        <v>5</v>
      </c>
      <c r="G446" s="9">
        <v>4</v>
      </c>
      <c r="H446" s="9">
        <v>2</v>
      </c>
      <c r="I446" s="9">
        <v>9</v>
      </c>
      <c r="J446" s="9">
        <v>47</v>
      </c>
      <c r="K446" s="9">
        <v>56</v>
      </c>
      <c r="L446" s="9">
        <v>89</v>
      </c>
      <c r="M446" s="10">
        <v>55</v>
      </c>
      <c r="N446">
        <f t="shared" si="33"/>
        <v>49.6</v>
      </c>
      <c r="O446">
        <f t="shared" si="34"/>
        <v>6</v>
      </c>
      <c r="P446">
        <f t="shared" si="34"/>
        <v>8</v>
      </c>
      <c r="Q446">
        <f t="shared" si="34"/>
        <v>6</v>
      </c>
      <c r="R446">
        <f t="shared" si="34"/>
        <v>0</v>
      </c>
      <c r="S446">
        <v>1</v>
      </c>
      <c r="T446">
        <f t="shared" si="35"/>
        <v>24</v>
      </c>
      <c r="U446">
        <f t="shared" si="36"/>
        <v>25.6</v>
      </c>
      <c r="V446">
        <f t="shared" si="37"/>
        <v>0</v>
      </c>
    </row>
    <row r="447" spans="1:22" x14ac:dyDescent="0.35">
      <c r="A447" s="11" t="s">
        <v>596</v>
      </c>
      <c r="B447" s="12" t="s">
        <v>180</v>
      </c>
      <c r="C447" s="13">
        <v>4</v>
      </c>
      <c r="D447" s="13">
        <v>2</v>
      </c>
      <c r="E447" s="13">
        <v>2</v>
      </c>
      <c r="F447" s="13">
        <v>6</v>
      </c>
      <c r="G447" s="13">
        <v>4</v>
      </c>
      <c r="H447" s="13">
        <v>3</v>
      </c>
      <c r="I447" s="13">
        <v>47</v>
      </c>
      <c r="J447" s="13">
        <v>8</v>
      </c>
      <c r="K447" s="13">
        <v>77</v>
      </c>
      <c r="L447" s="13">
        <v>85</v>
      </c>
      <c r="M447" s="14">
        <v>10</v>
      </c>
      <c r="N447">
        <f t="shared" si="33"/>
        <v>46.7</v>
      </c>
      <c r="O447">
        <f t="shared" si="34"/>
        <v>0</v>
      </c>
      <c r="P447">
        <f t="shared" si="34"/>
        <v>10</v>
      </c>
      <c r="Q447">
        <f t="shared" si="34"/>
        <v>6</v>
      </c>
      <c r="R447">
        <f t="shared" si="34"/>
        <v>4</v>
      </c>
      <c r="S447">
        <v>1</v>
      </c>
      <c r="T447">
        <f t="shared" si="35"/>
        <v>24</v>
      </c>
      <c r="U447">
        <f t="shared" si="36"/>
        <v>22.7</v>
      </c>
      <c r="V447">
        <f t="shared" si="37"/>
        <v>1</v>
      </c>
    </row>
    <row r="448" spans="1:22" x14ac:dyDescent="0.35">
      <c r="A448" s="7" t="s">
        <v>597</v>
      </c>
      <c r="B448" s="8" t="s">
        <v>218</v>
      </c>
      <c r="C448" s="9">
        <v>4</v>
      </c>
      <c r="D448" s="9">
        <v>5</v>
      </c>
      <c r="E448" s="9">
        <v>4</v>
      </c>
      <c r="F448" s="9">
        <v>4</v>
      </c>
      <c r="G448" s="9">
        <v>5</v>
      </c>
      <c r="H448" s="9">
        <v>3</v>
      </c>
      <c r="I448" s="9">
        <v>59</v>
      </c>
      <c r="J448" s="9">
        <v>89</v>
      </c>
      <c r="K448" s="9">
        <v>32</v>
      </c>
      <c r="L448" s="9">
        <v>80</v>
      </c>
      <c r="M448" s="10">
        <v>38</v>
      </c>
      <c r="N448">
        <f t="shared" si="33"/>
        <v>57.8</v>
      </c>
      <c r="O448">
        <f t="shared" si="34"/>
        <v>6</v>
      </c>
      <c r="P448">
        <f t="shared" si="34"/>
        <v>6</v>
      </c>
      <c r="Q448">
        <f t="shared" si="34"/>
        <v>8</v>
      </c>
      <c r="R448">
        <f t="shared" si="34"/>
        <v>4</v>
      </c>
      <c r="S448">
        <v>1</v>
      </c>
      <c r="T448">
        <f t="shared" si="35"/>
        <v>28</v>
      </c>
      <c r="U448">
        <f t="shared" si="36"/>
        <v>29.8</v>
      </c>
      <c r="V448">
        <f t="shared" si="37"/>
        <v>0</v>
      </c>
    </row>
    <row r="449" spans="1:22" x14ac:dyDescent="0.35">
      <c r="A449" s="11" t="s">
        <v>598</v>
      </c>
      <c r="B449" s="12" t="s">
        <v>166</v>
      </c>
      <c r="C449" s="13">
        <v>8</v>
      </c>
      <c r="D449" s="13">
        <v>5</v>
      </c>
      <c r="E449" s="13">
        <v>5</v>
      </c>
      <c r="F449" s="13">
        <v>4</v>
      </c>
      <c r="G449" s="13">
        <v>6</v>
      </c>
      <c r="H449" s="13">
        <v>2</v>
      </c>
      <c r="I449" s="13">
        <v>60</v>
      </c>
      <c r="J449" s="13">
        <v>31</v>
      </c>
      <c r="K449" s="13">
        <v>86</v>
      </c>
      <c r="L449" s="13">
        <v>76</v>
      </c>
      <c r="M449" s="14">
        <v>64</v>
      </c>
      <c r="N449">
        <f t="shared" si="33"/>
        <v>63.7</v>
      </c>
      <c r="O449">
        <f t="shared" si="34"/>
        <v>8</v>
      </c>
      <c r="P449">
        <f t="shared" si="34"/>
        <v>6</v>
      </c>
      <c r="Q449">
        <f t="shared" si="34"/>
        <v>10</v>
      </c>
      <c r="R449">
        <f t="shared" si="34"/>
        <v>0</v>
      </c>
      <c r="S449">
        <v>1</v>
      </c>
      <c r="T449">
        <f t="shared" si="35"/>
        <v>32</v>
      </c>
      <c r="U449">
        <f t="shared" si="36"/>
        <v>31.7</v>
      </c>
      <c r="V449">
        <f t="shared" si="37"/>
        <v>1</v>
      </c>
    </row>
    <row r="450" spans="1:22" x14ac:dyDescent="0.35">
      <c r="A450" s="7" t="s">
        <v>599</v>
      </c>
      <c r="B450" s="8" t="s">
        <v>600</v>
      </c>
      <c r="C450" s="9">
        <v>3</v>
      </c>
      <c r="D450" s="9">
        <v>4</v>
      </c>
      <c r="E450" s="9">
        <v>3</v>
      </c>
      <c r="F450" s="9">
        <v>5</v>
      </c>
      <c r="G450" s="9">
        <v>5</v>
      </c>
      <c r="H450" s="9">
        <v>5</v>
      </c>
      <c r="I450" s="9">
        <v>53</v>
      </c>
      <c r="J450" s="9">
        <v>78</v>
      </c>
      <c r="K450" s="9">
        <v>73</v>
      </c>
      <c r="L450" s="9">
        <v>89</v>
      </c>
      <c r="M450" s="10">
        <v>32</v>
      </c>
      <c r="N450">
        <f t="shared" si="33"/>
        <v>63.5</v>
      </c>
      <c r="O450">
        <f t="shared" si="34"/>
        <v>4</v>
      </c>
      <c r="P450">
        <f t="shared" si="34"/>
        <v>8</v>
      </c>
      <c r="Q450">
        <f t="shared" si="34"/>
        <v>8</v>
      </c>
      <c r="R450">
        <f t="shared" ref="R450:R513" si="38">IF(H450=2,0,IF(H450=3,4,IF(H450=4,6,IF(H450=5,8,IF(H450=6,10,0)))))</f>
        <v>8</v>
      </c>
      <c r="S450">
        <v>1</v>
      </c>
      <c r="T450">
        <f t="shared" si="35"/>
        <v>31</v>
      </c>
      <c r="U450">
        <f t="shared" si="36"/>
        <v>32.5</v>
      </c>
      <c r="V450">
        <f t="shared" si="37"/>
        <v>0</v>
      </c>
    </row>
    <row r="451" spans="1:22" x14ac:dyDescent="0.35">
      <c r="A451" s="11" t="s">
        <v>601</v>
      </c>
      <c r="B451" s="12" t="s">
        <v>121</v>
      </c>
      <c r="C451" s="13">
        <v>0</v>
      </c>
      <c r="D451" s="13">
        <v>4</v>
      </c>
      <c r="E451" s="13">
        <v>2</v>
      </c>
      <c r="F451" s="13">
        <v>2</v>
      </c>
      <c r="G451" s="13">
        <v>2</v>
      </c>
      <c r="H451" s="13">
        <v>6</v>
      </c>
      <c r="I451" s="13">
        <v>88</v>
      </c>
      <c r="J451" s="13">
        <v>43</v>
      </c>
      <c r="K451" s="13">
        <v>91</v>
      </c>
      <c r="L451" s="13">
        <v>4</v>
      </c>
      <c r="M451" s="14">
        <v>78</v>
      </c>
      <c r="N451">
        <f t="shared" ref="N451:N514" si="39">C451+IF(D451=6,2,0) +SUM(O451:R451) +SUM(I451:M451)/10</f>
        <v>40.4</v>
      </c>
      <c r="O451">
        <f t="shared" ref="O451:R514" si="40">IF(E451=2,0,IF(E451=3,4,IF(E451=4,6,IF(E451=5,8,IF(E451=6,10,0)))))</f>
        <v>0</v>
      </c>
      <c r="P451">
        <f t="shared" si="40"/>
        <v>0</v>
      </c>
      <c r="Q451">
        <f t="shared" si="40"/>
        <v>0</v>
      </c>
      <c r="R451">
        <f t="shared" si="38"/>
        <v>10</v>
      </c>
      <c r="S451">
        <v>1</v>
      </c>
      <c r="T451">
        <f t="shared" ref="T451:T514" si="41">C451+IF(D451=6,2,0) +SUM(O451:R451)</f>
        <v>10</v>
      </c>
      <c r="U451">
        <f t="shared" ref="U451:U514" si="42">SUM(I451:M451)/10</f>
        <v>30.4</v>
      </c>
      <c r="V451">
        <f t="shared" ref="V451:V514" si="43">IF(T451&gt;U451,1,0)</f>
        <v>0</v>
      </c>
    </row>
    <row r="452" spans="1:22" x14ac:dyDescent="0.35">
      <c r="A452" s="7" t="s">
        <v>602</v>
      </c>
      <c r="B452" s="8" t="s">
        <v>58</v>
      </c>
      <c r="C452" s="9">
        <v>1</v>
      </c>
      <c r="D452" s="9">
        <v>5</v>
      </c>
      <c r="E452" s="9">
        <v>4</v>
      </c>
      <c r="F452" s="9">
        <v>6</v>
      </c>
      <c r="G452" s="9">
        <v>4</v>
      </c>
      <c r="H452" s="9">
        <v>2</v>
      </c>
      <c r="I452" s="9">
        <v>4</v>
      </c>
      <c r="J452" s="9">
        <v>97</v>
      </c>
      <c r="K452" s="9">
        <v>75</v>
      </c>
      <c r="L452" s="9">
        <v>86</v>
      </c>
      <c r="M452" s="10">
        <v>10</v>
      </c>
      <c r="N452">
        <f t="shared" si="39"/>
        <v>50.2</v>
      </c>
      <c r="O452">
        <f t="shared" si="40"/>
        <v>6</v>
      </c>
      <c r="P452">
        <f t="shared" si="40"/>
        <v>10</v>
      </c>
      <c r="Q452">
        <f t="shared" si="40"/>
        <v>6</v>
      </c>
      <c r="R452">
        <f t="shared" si="38"/>
        <v>0</v>
      </c>
      <c r="S452">
        <v>1</v>
      </c>
      <c r="T452">
        <f t="shared" si="41"/>
        <v>23</v>
      </c>
      <c r="U452">
        <f t="shared" si="42"/>
        <v>27.2</v>
      </c>
      <c r="V452">
        <f t="shared" si="43"/>
        <v>0</v>
      </c>
    </row>
    <row r="453" spans="1:22" x14ac:dyDescent="0.35">
      <c r="A453" s="11" t="s">
        <v>603</v>
      </c>
      <c r="B453" s="12" t="s">
        <v>604</v>
      </c>
      <c r="C453" s="13">
        <v>7</v>
      </c>
      <c r="D453" s="13">
        <v>4</v>
      </c>
      <c r="E453" s="13">
        <v>3</v>
      </c>
      <c r="F453" s="13">
        <v>6</v>
      </c>
      <c r="G453" s="13">
        <v>3</v>
      </c>
      <c r="H453" s="13">
        <v>2</v>
      </c>
      <c r="I453" s="13">
        <v>28</v>
      </c>
      <c r="J453" s="13">
        <v>75</v>
      </c>
      <c r="K453" s="13">
        <v>15</v>
      </c>
      <c r="L453" s="13">
        <v>6</v>
      </c>
      <c r="M453" s="14">
        <v>33</v>
      </c>
      <c r="N453">
        <f t="shared" si="39"/>
        <v>40.700000000000003</v>
      </c>
      <c r="O453">
        <f t="shared" si="40"/>
        <v>4</v>
      </c>
      <c r="P453">
        <f t="shared" si="40"/>
        <v>10</v>
      </c>
      <c r="Q453">
        <f t="shared" si="40"/>
        <v>4</v>
      </c>
      <c r="R453">
        <f t="shared" si="38"/>
        <v>0</v>
      </c>
      <c r="S453">
        <v>1</v>
      </c>
      <c r="T453">
        <f t="shared" si="41"/>
        <v>25</v>
      </c>
      <c r="U453">
        <f t="shared" si="42"/>
        <v>15.7</v>
      </c>
      <c r="V453">
        <f t="shared" si="43"/>
        <v>1</v>
      </c>
    </row>
    <row r="454" spans="1:22" x14ac:dyDescent="0.35">
      <c r="A454" s="7" t="s">
        <v>605</v>
      </c>
      <c r="B454" s="8" t="s">
        <v>110</v>
      </c>
      <c r="C454" s="9">
        <v>4</v>
      </c>
      <c r="D454" s="9">
        <v>2</v>
      </c>
      <c r="E454" s="9">
        <v>4</v>
      </c>
      <c r="F454" s="9">
        <v>6</v>
      </c>
      <c r="G454" s="9">
        <v>5</v>
      </c>
      <c r="H454" s="9">
        <v>5</v>
      </c>
      <c r="I454" s="9">
        <v>29</v>
      </c>
      <c r="J454" s="9">
        <v>92</v>
      </c>
      <c r="K454" s="9">
        <v>99</v>
      </c>
      <c r="L454" s="9">
        <v>79</v>
      </c>
      <c r="M454" s="10">
        <v>8</v>
      </c>
      <c r="N454">
        <f t="shared" si="39"/>
        <v>66.7</v>
      </c>
      <c r="O454">
        <f t="shared" si="40"/>
        <v>6</v>
      </c>
      <c r="P454">
        <f t="shared" si="40"/>
        <v>10</v>
      </c>
      <c r="Q454">
        <f t="shared" si="40"/>
        <v>8</v>
      </c>
      <c r="R454">
        <f t="shared" si="38"/>
        <v>8</v>
      </c>
      <c r="S454">
        <v>1</v>
      </c>
      <c r="T454">
        <f t="shared" si="41"/>
        <v>36</v>
      </c>
      <c r="U454">
        <f t="shared" si="42"/>
        <v>30.7</v>
      </c>
      <c r="V454">
        <f t="shared" si="43"/>
        <v>1</v>
      </c>
    </row>
    <row r="455" spans="1:22" x14ac:dyDescent="0.35">
      <c r="A455" s="11" t="s">
        <v>606</v>
      </c>
      <c r="B455" s="12" t="s">
        <v>242</v>
      </c>
      <c r="C455" s="13">
        <v>2</v>
      </c>
      <c r="D455" s="13">
        <v>5</v>
      </c>
      <c r="E455" s="13">
        <v>3</v>
      </c>
      <c r="F455" s="13">
        <v>2</v>
      </c>
      <c r="G455" s="13">
        <v>3</v>
      </c>
      <c r="H455" s="13">
        <v>6</v>
      </c>
      <c r="I455" s="13">
        <v>59</v>
      </c>
      <c r="J455" s="13">
        <v>29</v>
      </c>
      <c r="K455" s="13">
        <v>92</v>
      </c>
      <c r="L455" s="13">
        <v>96</v>
      </c>
      <c r="M455" s="14">
        <v>77</v>
      </c>
      <c r="N455">
        <f t="shared" si="39"/>
        <v>55.3</v>
      </c>
      <c r="O455">
        <f t="shared" si="40"/>
        <v>4</v>
      </c>
      <c r="P455">
        <f t="shared" si="40"/>
        <v>0</v>
      </c>
      <c r="Q455">
        <f t="shared" si="40"/>
        <v>4</v>
      </c>
      <c r="R455">
        <f t="shared" si="38"/>
        <v>10</v>
      </c>
      <c r="S455">
        <v>1</v>
      </c>
      <c r="T455">
        <f t="shared" si="41"/>
        <v>20</v>
      </c>
      <c r="U455">
        <f t="shared" si="42"/>
        <v>35.299999999999997</v>
      </c>
      <c r="V455">
        <f t="shared" si="43"/>
        <v>0</v>
      </c>
    </row>
    <row r="456" spans="1:22" x14ac:dyDescent="0.35">
      <c r="A456" s="7" t="s">
        <v>423</v>
      </c>
      <c r="B456" s="8" t="s">
        <v>76</v>
      </c>
      <c r="C456" s="9">
        <v>0</v>
      </c>
      <c r="D456" s="9">
        <v>6</v>
      </c>
      <c r="E456" s="9">
        <v>6</v>
      </c>
      <c r="F456" s="9">
        <v>5</v>
      </c>
      <c r="G456" s="9">
        <v>4</v>
      </c>
      <c r="H456" s="9">
        <v>3</v>
      </c>
      <c r="I456" s="9">
        <v>98</v>
      </c>
      <c r="J456" s="9">
        <v>79</v>
      </c>
      <c r="K456" s="9">
        <v>65</v>
      </c>
      <c r="L456" s="9">
        <v>41</v>
      </c>
      <c r="M456" s="10">
        <v>48</v>
      </c>
      <c r="N456">
        <f t="shared" si="39"/>
        <v>63.1</v>
      </c>
      <c r="O456">
        <f t="shared" si="40"/>
        <v>10</v>
      </c>
      <c r="P456">
        <f t="shared" si="40"/>
        <v>8</v>
      </c>
      <c r="Q456">
        <f t="shared" si="40"/>
        <v>6</v>
      </c>
      <c r="R456">
        <f t="shared" si="38"/>
        <v>4</v>
      </c>
      <c r="S456">
        <v>1</v>
      </c>
      <c r="T456">
        <f t="shared" si="41"/>
        <v>30</v>
      </c>
      <c r="U456">
        <f t="shared" si="42"/>
        <v>33.1</v>
      </c>
      <c r="V456">
        <f t="shared" si="43"/>
        <v>0</v>
      </c>
    </row>
    <row r="457" spans="1:22" x14ac:dyDescent="0.35">
      <c r="A457" s="11" t="s">
        <v>607</v>
      </c>
      <c r="B457" s="12" t="s">
        <v>608</v>
      </c>
      <c r="C457" s="13">
        <v>2</v>
      </c>
      <c r="D457" s="13">
        <v>2</v>
      </c>
      <c r="E457" s="13">
        <v>6</v>
      </c>
      <c r="F457" s="13">
        <v>5</v>
      </c>
      <c r="G457" s="13">
        <v>6</v>
      </c>
      <c r="H457" s="13">
        <v>3</v>
      </c>
      <c r="I457" s="13">
        <v>74</v>
      </c>
      <c r="J457" s="13">
        <v>25</v>
      </c>
      <c r="K457" s="13">
        <v>78</v>
      </c>
      <c r="L457" s="13">
        <v>6</v>
      </c>
      <c r="M457" s="14">
        <v>69</v>
      </c>
      <c r="N457">
        <f t="shared" si="39"/>
        <v>59.2</v>
      </c>
      <c r="O457">
        <f t="shared" si="40"/>
        <v>10</v>
      </c>
      <c r="P457">
        <f t="shared" si="40"/>
        <v>8</v>
      </c>
      <c r="Q457">
        <f t="shared" si="40"/>
        <v>10</v>
      </c>
      <c r="R457">
        <f t="shared" si="38"/>
        <v>4</v>
      </c>
      <c r="S457">
        <v>1</v>
      </c>
      <c r="T457">
        <f t="shared" si="41"/>
        <v>34</v>
      </c>
      <c r="U457">
        <f t="shared" si="42"/>
        <v>25.2</v>
      </c>
      <c r="V457">
        <f t="shared" si="43"/>
        <v>1</v>
      </c>
    </row>
    <row r="458" spans="1:22" x14ac:dyDescent="0.35">
      <c r="A458" s="7" t="s">
        <v>609</v>
      </c>
      <c r="B458" s="8" t="s">
        <v>242</v>
      </c>
      <c r="C458" s="9">
        <v>3</v>
      </c>
      <c r="D458" s="9">
        <v>2</v>
      </c>
      <c r="E458" s="9">
        <v>4</v>
      </c>
      <c r="F458" s="9">
        <v>5</v>
      </c>
      <c r="G458" s="9">
        <v>2</v>
      </c>
      <c r="H458" s="9">
        <v>5</v>
      </c>
      <c r="I458" s="9">
        <v>12</v>
      </c>
      <c r="J458" s="9">
        <v>96</v>
      </c>
      <c r="K458" s="9">
        <v>66</v>
      </c>
      <c r="L458" s="9">
        <v>17</v>
      </c>
      <c r="M458" s="10">
        <v>86</v>
      </c>
      <c r="N458">
        <f t="shared" si="39"/>
        <v>52.7</v>
      </c>
      <c r="O458">
        <f t="shared" si="40"/>
        <v>6</v>
      </c>
      <c r="P458">
        <f t="shared" si="40"/>
        <v>8</v>
      </c>
      <c r="Q458">
        <f t="shared" si="40"/>
        <v>0</v>
      </c>
      <c r="R458">
        <f t="shared" si="38"/>
        <v>8</v>
      </c>
      <c r="S458">
        <v>1</v>
      </c>
      <c r="T458">
        <f t="shared" si="41"/>
        <v>25</v>
      </c>
      <c r="U458">
        <f t="shared" si="42"/>
        <v>27.7</v>
      </c>
      <c r="V458">
        <f t="shared" si="43"/>
        <v>0</v>
      </c>
    </row>
    <row r="459" spans="1:22" x14ac:dyDescent="0.35">
      <c r="A459" s="11" t="s">
        <v>514</v>
      </c>
      <c r="B459" s="12" t="s">
        <v>316</v>
      </c>
      <c r="C459" s="13">
        <v>3</v>
      </c>
      <c r="D459" s="13">
        <v>5</v>
      </c>
      <c r="E459" s="13">
        <v>5</v>
      </c>
      <c r="F459" s="13">
        <v>3</v>
      </c>
      <c r="G459" s="13">
        <v>2</v>
      </c>
      <c r="H459" s="13">
        <v>2</v>
      </c>
      <c r="I459" s="13">
        <v>53</v>
      </c>
      <c r="J459" s="13">
        <v>89</v>
      </c>
      <c r="K459" s="13">
        <v>16</v>
      </c>
      <c r="L459" s="13">
        <v>27</v>
      </c>
      <c r="M459" s="14">
        <v>62</v>
      </c>
      <c r="N459">
        <f t="shared" si="39"/>
        <v>39.700000000000003</v>
      </c>
      <c r="O459">
        <f t="shared" si="40"/>
        <v>8</v>
      </c>
      <c r="P459">
        <f t="shared" si="40"/>
        <v>4</v>
      </c>
      <c r="Q459">
        <f t="shared" si="40"/>
        <v>0</v>
      </c>
      <c r="R459">
        <f t="shared" si="38"/>
        <v>0</v>
      </c>
      <c r="S459">
        <v>1</v>
      </c>
      <c r="T459">
        <f t="shared" si="41"/>
        <v>15</v>
      </c>
      <c r="U459">
        <f t="shared" si="42"/>
        <v>24.7</v>
      </c>
      <c r="V459">
        <f t="shared" si="43"/>
        <v>0</v>
      </c>
    </row>
    <row r="460" spans="1:22" x14ac:dyDescent="0.35">
      <c r="A460" s="7" t="s">
        <v>610</v>
      </c>
      <c r="B460" s="8" t="s">
        <v>395</v>
      </c>
      <c r="C460" s="9">
        <v>4</v>
      </c>
      <c r="D460" s="9">
        <v>3</v>
      </c>
      <c r="E460" s="9">
        <v>6</v>
      </c>
      <c r="F460" s="9">
        <v>4</v>
      </c>
      <c r="G460" s="9">
        <v>6</v>
      </c>
      <c r="H460" s="9">
        <v>6</v>
      </c>
      <c r="I460" s="9">
        <v>90</v>
      </c>
      <c r="J460" s="9">
        <v>31</v>
      </c>
      <c r="K460" s="9">
        <v>75</v>
      </c>
      <c r="L460" s="9">
        <v>1</v>
      </c>
      <c r="M460" s="10">
        <v>58</v>
      </c>
      <c r="N460">
        <f t="shared" si="39"/>
        <v>65.5</v>
      </c>
      <c r="O460">
        <f t="shared" si="40"/>
        <v>10</v>
      </c>
      <c r="P460">
        <f t="shared" si="40"/>
        <v>6</v>
      </c>
      <c r="Q460">
        <f t="shared" si="40"/>
        <v>10</v>
      </c>
      <c r="R460">
        <f t="shared" si="38"/>
        <v>10</v>
      </c>
      <c r="S460">
        <v>1</v>
      </c>
      <c r="T460">
        <f t="shared" si="41"/>
        <v>40</v>
      </c>
      <c r="U460">
        <f t="shared" si="42"/>
        <v>25.5</v>
      </c>
      <c r="V460">
        <f t="shared" si="43"/>
        <v>1</v>
      </c>
    </row>
    <row r="461" spans="1:22" x14ac:dyDescent="0.35">
      <c r="A461" s="11" t="s">
        <v>611</v>
      </c>
      <c r="B461" s="12" t="s">
        <v>395</v>
      </c>
      <c r="C461" s="13">
        <v>0</v>
      </c>
      <c r="D461" s="13">
        <v>3</v>
      </c>
      <c r="E461" s="13">
        <v>3</v>
      </c>
      <c r="F461" s="13">
        <v>4</v>
      </c>
      <c r="G461" s="13">
        <v>2</v>
      </c>
      <c r="H461" s="13">
        <v>4</v>
      </c>
      <c r="I461" s="13">
        <v>92</v>
      </c>
      <c r="J461" s="13">
        <v>47</v>
      </c>
      <c r="K461" s="13">
        <v>27</v>
      </c>
      <c r="L461" s="13">
        <v>40</v>
      </c>
      <c r="M461" s="14">
        <v>35</v>
      </c>
      <c r="N461">
        <f t="shared" si="39"/>
        <v>40.1</v>
      </c>
      <c r="O461">
        <f t="shared" si="40"/>
        <v>4</v>
      </c>
      <c r="P461">
        <f t="shared" si="40"/>
        <v>6</v>
      </c>
      <c r="Q461">
        <f t="shared" si="40"/>
        <v>0</v>
      </c>
      <c r="R461">
        <f t="shared" si="38"/>
        <v>6</v>
      </c>
      <c r="S461">
        <v>1</v>
      </c>
      <c r="T461">
        <f t="shared" si="41"/>
        <v>16</v>
      </c>
      <c r="U461">
        <f t="shared" si="42"/>
        <v>24.1</v>
      </c>
      <c r="V461">
        <f t="shared" si="43"/>
        <v>0</v>
      </c>
    </row>
    <row r="462" spans="1:22" x14ac:dyDescent="0.35">
      <c r="A462" s="7" t="s">
        <v>612</v>
      </c>
      <c r="B462" s="8" t="s">
        <v>164</v>
      </c>
      <c r="C462" s="9">
        <v>6</v>
      </c>
      <c r="D462" s="9">
        <v>4</v>
      </c>
      <c r="E462" s="9">
        <v>3</v>
      </c>
      <c r="F462" s="9">
        <v>2</v>
      </c>
      <c r="G462" s="9">
        <v>3</v>
      </c>
      <c r="H462" s="9">
        <v>5</v>
      </c>
      <c r="I462" s="9">
        <v>57</v>
      </c>
      <c r="J462" s="9">
        <v>67</v>
      </c>
      <c r="K462" s="9">
        <v>51</v>
      </c>
      <c r="L462" s="9">
        <v>92</v>
      </c>
      <c r="M462" s="10">
        <v>72</v>
      </c>
      <c r="N462">
        <f t="shared" si="39"/>
        <v>55.9</v>
      </c>
      <c r="O462">
        <f t="shared" si="40"/>
        <v>4</v>
      </c>
      <c r="P462">
        <f t="shared" si="40"/>
        <v>0</v>
      </c>
      <c r="Q462">
        <f t="shared" si="40"/>
        <v>4</v>
      </c>
      <c r="R462">
        <f t="shared" si="38"/>
        <v>8</v>
      </c>
      <c r="S462">
        <v>1</v>
      </c>
      <c r="T462">
        <f t="shared" si="41"/>
        <v>22</v>
      </c>
      <c r="U462">
        <f t="shared" si="42"/>
        <v>33.9</v>
      </c>
      <c r="V462">
        <f t="shared" si="43"/>
        <v>0</v>
      </c>
    </row>
    <row r="463" spans="1:22" x14ac:dyDescent="0.35">
      <c r="A463" s="11" t="s">
        <v>613</v>
      </c>
      <c r="B463" s="12" t="s">
        <v>412</v>
      </c>
      <c r="C463" s="13">
        <v>0</v>
      </c>
      <c r="D463" s="13">
        <v>6</v>
      </c>
      <c r="E463" s="13">
        <v>3</v>
      </c>
      <c r="F463" s="13">
        <v>6</v>
      </c>
      <c r="G463" s="13">
        <v>6</v>
      </c>
      <c r="H463" s="13">
        <v>4</v>
      </c>
      <c r="I463" s="13">
        <v>74</v>
      </c>
      <c r="J463" s="13">
        <v>60</v>
      </c>
      <c r="K463" s="13">
        <v>83</v>
      </c>
      <c r="L463" s="13">
        <v>39</v>
      </c>
      <c r="M463" s="14">
        <v>97</v>
      </c>
      <c r="N463">
        <f t="shared" si="39"/>
        <v>67.3</v>
      </c>
      <c r="O463">
        <f t="shared" si="40"/>
        <v>4</v>
      </c>
      <c r="P463">
        <f t="shared" si="40"/>
        <v>10</v>
      </c>
      <c r="Q463">
        <f t="shared" si="40"/>
        <v>10</v>
      </c>
      <c r="R463">
        <f t="shared" si="38"/>
        <v>6</v>
      </c>
      <c r="S463">
        <v>1</v>
      </c>
      <c r="T463">
        <f t="shared" si="41"/>
        <v>32</v>
      </c>
      <c r="U463">
        <f t="shared" si="42"/>
        <v>35.299999999999997</v>
      </c>
      <c r="V463">
        <f t="shared" si="43"/>
        <v>0</v>
      </c>
    </row>
    <row r="464" spans="1:22" x14ac:dyDescent="0.35">
      <c r="A464" s="7" t="s">
        <v>614</v>
      </c>
      <c r="B464" s="8" t="s">
        <v>615</v>
      </c>
      <c r="C464" s="9">
        <v>7</v>
      </c>
      <c r="D464" s="9">
        <v>6</v>
      </c>
      <c r="E464" s="9">
        <v>2</v>
      </c>
      <c r="F464" s="9">
        <v>3</v>
      </c>
      <c r="G464" s="9">
        <v>2</v>
      </c>
      <c r="H464" s="9">
        <v>3</v>
      </c>
      <c r="I464" s="9">
        <v>21</v>
      </c>
      <c r="J464" s="9">
        <v>16</v>
      </c>
      <c r="K464" s="9">
        <v>9</v>
      </c>
      <c r="L464" s="9">
        <v>49</v>
      </c>
      <c r="M464" s="10">
        <v>47</v>
      </c>
      <c r="N464">
        <f t="shared" si="39"/>
        <v>31.2</v>
      </c>
      <c r="O464">
        <f t="shared" si="40"/>
        <v>0</v>
      </c>
      <c r="P464">
        <f t="shared" si="40"/>
        <v>4</v>
      </c>
      <c r="Q464">
        <f t="shared" si="40"/>
        <v>0</v>
      </c>
      <c r="R464">
        <f t="shared" si="38"/>
        <v>4</v>
      </c>
      <c r="S464">
        <v>1</v>
      </c>
      <c r="T464">
        <f t="shared" si="41"/>
        <v>17</v>
      </c>
      <c r="U464">
        <f t="shared" si="42"/>
        <v>14.2</v>
      </c>
      <c r="V464">
        <f t="shared" si="43"/>
        <v>1</v>
      </c>
    </row>
    <row r="465" spans="1:22" x14ac:dyDescent="0.35">
      <c r="A465" s="11" t="s">
        <v>616</v>
      </c>
      <c r="B465" s="12" t="s">
        <v>249</v>
      </c>
      <c r="C465" s="13">
        <v>8</v>
      </c>
      <c r="D465" s="13">
        <v>3</v>
      </c>
      <c r="E465" s="13">
        <v>5</v>
      </c>
      <c r="F465" s="13">
        <v>6</v>
      </c>
      <c r="G465" s="13">
        <v>2</v>
      </c>
      <c r="H465" s="13">
        <v>4</v>
      </c>
      <c r="I465" s="13">
        <v>73</v>
      </c>
      <c r="J465" s="13">
        <v>70</v>
      </c>
      <c r="K465" s="13">
        <v>71</v>
      </c>
      <c r="L465" s="13">
        <v>84</v>
      </c>
      <c r="M465" s="14">
        <v>81</v>
      </c>
      <c r="N465">
        <f t="shared" si="39"/>
        <v>69.900000000000006</v>
      </c>
      <c r="O465">
        <f t="shared" si="40"/>
        <v>8</v>
      </c>
      <c r="P465">
        <f t="shared" si="40"/>
        <v>10</v>
      </c>
      <c r="Q465">
        <f t="shared" si="40"/>
        <v>0</v>
      </c>
      <c r="R465">
        <f t="shared" si="38"/>
        <v>6</v>
      </c>
      <c r="S465">
        <v>1</v>
      </c>
      <c r="T465">
        <f t="shared" si="41"/>
        <v>32</v>
      </c>
      <c r="U465">
        <f t="shared" si="42"/>
        <v>37.9</v>
      </c>
      <c r="V465">
        <f t="shared" si="43"/>
        <v>0</v>
      </c>
    </row>
    <row r="466" spans="1:22" x14ac:dyDescent="0.35">
      <c r="A466" s="7" t="s">
        <v>617</v>
      </c>
      <c r="B466" s="8" t="s">
        <v>397</v>
      </c>
      <c r="C466" s="9">
        <v>2</v>
      </c>
      <c r="D466" s="9">
        <v>4</v>
      </c>
      <c r="E466" s="9">
        <v>6</v>
      </c>
      <c r="F466" s="9">
        <v>4</v>
      </c>
      <c r="G466" s="9">
        <v>5</v>
      </c>
      <c r="H466" s="9">
        <v>2</v>
      </c>
      <c r="I466" s="9">
        <v>44</v>
      </c>
      <c r="J466" s="9">
        <v>8</v>
      </c>
      <c r="K466" s="9">
        <v>100</v>
      </c>
      <c r="L466" s="9">
        <v>54</v>
      </c>
      <c r="M466" s="10">
        <v>77</v>
      </c>
      <c r="N466">
        <f t="shared" si="39"/>
        <v>54.3</v>
      </c>
      <c r="O466">
        <f t="shared" si="40"/>
        <v>10</v>
      </c>
      <c r="P466">
        <f t="shared" si="40"/>
        <v>6</v>
      </c>
      <c r="Q466">
        <f t="shared" si="40"/>
        <v>8</v>
      </c>
      <c r="R466">
        <f t="shared" si="38"/>
        <v>0</v>
      </c>
      <c r="S466">
        <v>1</v>
      </c>
      <c r="T466">
        <f t="shared" si="41"/>
        <v>26</v>
      </c>
      <c r="U466">
        <f t="shared" si="42"/>
        <v>28.3</v>
      </c>
      <c r="V466">
        <f t="shared" si="43"/>
        <v>0</v>
      </c>
    </row>
    <row r="467" spans="1:22" x14ac:dyDescent="0.35">
      <c r="A467" s="11" t="s">
        <v>618</v>
      </c>
      <c r="B467" s="12" t="s">
        <v>180</v>
      </c>
      <c r="C467" s="13">
        <v>6</v>
      </c>
      <c r="D467" s="13">
        <v>3</v>
      </c>
      <c r="E467" s="13">
        <v>5</v>
      </c>
      <c r="F467" s="13">
        <v>4</v>
      </c>
      <c r="G467" s="13">
        <v>3</v>
      </c>
      <c r="H467" s="13">
        <v>2</v>
      </c>
      <c r="I467" s="13">
        <v>78</v>
      </c>
      <c r="J467" s="13">
        <v>17</v>
      </c>
      <c r="K467" s="13">
        <v>48</v>
      </c>
      <c r="L467" s="13">
        <v>42</v>
      </c>
      <c r="M467" s="14">
        <v>85</v>
      </c>
      <c r="N467">
        <f t="shared" si="39"/>
        <v>51</v>
      </c>
      <c r="O467">
        <f t="shared" si="40"/>
        <v>8</v>
      </c>
      <c r="P467">
        <f t="shared" si="40"/>
        <v>6</v>
      </c>
      <c r="Q467">
        <f t="shared" si="40"/>
        <v>4</v>
      </c>
      <c r="R467">
        <f t="shared" si="38"/>
        <v>0</v>
      </c>
      <c r="S467">
        <v>1</v>
      </c>
      <c r="T467">
        <f t="shared" si="41"/>
        <v>24</v>
      </c>
      <c r="U467">
        <f t="shared" si="42"/>
        <v>27</v>
      </c>
      <c r="V467">
        <f t="shared" si="43"/>
        <v>0</v>
      </c>
    </row>
    <row r="468" spans="1:22" x14ac:dyDescent="0.35">
      <c r="A468" s="7" t="s">
        <v>619</v>
      </c>
      <c r="B468" s="8" t="s">
        <v>620</v>
      </c>
      <c r="C468" s="9">
        <v>0</v>
      </c>
      <c r="D468" s="9">
        <v>3</v>
      </c>
      <c r="E468" s="9">
        <v>6</v>
      </c>
      <c r="F468" s="9">
        <v>2</v>
      </c>
      <c r="G468" s="9">
        <v>5</v>
      </c>
      <c r="H468" s="9">
        <v>2</v>
      </c>
      <c r="I468" s="9">
        <v>72</v>
      </c>
      <c r="J468" s="9">
        <v>53</v>
      </c>
      <c r="K468" s="9">
        <v>43</v>
      </c>
      <c r="L468" s="9">
        <v>72</v>
      </c>
      <c r="M468" s="10">
        <v>52</v>
      </c>
      <c r="N468">
        <f t="shared" si="39"/>
        <v>47.2</v>
      </c>
      <c r="O468">
        <f t="shared" si="40"/>
        <v>10</v>
      </c>
      <c r="P468">
        <f t="shared" si="40"/>
        <v>0</v>
      </c>
      <c r="Q468">
        <f t="shared" si="40"/>
        <v>8</v>
      </c>
      <c r="R468">
        <f t="shared" si="38"/>
        <v>0</v>
      </c>
      <c r="S468">
        <v>1</v>
      </c>
      <c r="T468">
        <f t="shared" si="41"/>
        <v>18</v>
      </c>
      <c r="U468">
        <f t="shared" si="42"/>
        <v>29.2</v>
      </c>
      <c r="V468">
        <f t="shared" si="43"/>
        <v>0</v>
      </c>
    </row>
    <row r="469" spans="1:22" x14ac:dyDescent="0.35">
      <c r="A469" s="11" t="s">
        <v>621</v>
      </c>
      <c r="B469" s="12" t="s">
        <v>210</v>
      </c>
      <c r="C469" s="13">
        <v>7</v>
      </c>
      <c r="D469" s="13">
        <v>5</v>
      </c>
      <c r="E469" s="13">
        <v>6</v>
      </c>
      <c r="F469" s="13">
        <v>2</v>
      </c>
      <c r="G469" s="13">
        <v>5</v>
      </c>
      <c r="H469" s="13">
        <v>4</v>
      </c>
      <c r="I469" s="13">
        <v>15</v>
      </c>
      <c r="J469" s="13">
        <v>64</v>
      </c>
      <c r="K469" s="13">
        <v>20</v>
      </c>
      <c r="L469" s="13">
        <v>59</v>
      </c>
      <c r="M469" s="14">
        <v>52</v>
      </c>
      <c r="N469">
        <f t="shared" si="39"/>
        <v>52</v>
      </c>
      <c r="O469">
        <f t="shared" si="40"/>
        <v>10</v>
      </c>
      <c r="P469">
        <f t="shared" si="40"/>
        <v>0</v>
      </c>
      <c r="Q469">
        <f t="shared" si="40"/>
        <v>8</v>
      </c>
      <c r="R469">
        <f t="shared" si="38"/>
        <v>6</v>
      </c>
      <c r="S469">
        <v>1</v>
      </c>
      <c r="T469">
        <f t="shared" si="41"/>
        <v>31</v>
      </c>
      <c r="U469">
        <f t="shared" si="42"/>
        <v>21</v>
      </c>
      <c r="V469">
        <f t="shared" si="43"/>
        <v>1</v>
      </c>
    </row>
    <row r="470" spans="1:22" x14ac:dyDescent="0.35">
      <c r="A470" s="7" t="s">
        <v>622</v>
      </c>
      <c r="B470" s="8" t="s">
        <v>448</v>
      </c>
      <c r="C470" s="9">
        <v>1</v>
      </c>
      <c r="D470" s="9">
        <v>2</v>
      </c>
      <c r="E470" s="9">
        <v>3</v>
      </c>
      <c r="F470" s="9">
        <v>3</v>
      </c>
      <c r="G470" s="9">
        <v>2</v>
      </c>
      <c r="H470" s="9">
        <v>6</v>
      </c>
      <c r="I470" s="9">
        <v>35</v>
      </c>
      <c r="J470" s="9">
        <v>20</v>
      </c>
      <c r="K470" s="9">
        <v>46</v>
      </c>
      <c r="L470" s="9">
        <v>84</v>
      </c>
      <c r="M470" s="10">
        <v>11</v>
      </c>
      <c r="N470">
        <f t="shared" si="39"/>
        <v>38.6</v>
      </c>
      <c r="O470">
        <f t="shared" si="40"/>
        <v>4</v>
      </c>
      <c r="P470">
        <f t="shared" si="40"/>
        <v>4</v>
      </c>
      <c r="Q470">
        <f t="shared" si="40"/>
        <v>0</v>
      </c>
      <c r="R470">
        <f t="shared" si="38"/>
        <v>10</v>
      </c>
      <c r="S470">
        <v>1</v>
      </c>
      <c r="T470">
        <f t="shared" si="41"/>
        <v>19</v>
      </c>
      <c r="U470">
        <f t="shared" si="42"/>
        <v>19.600000000000001</v>
      </c>
      <c r="V470">
        <f t="shared" si="43"/>
        <v>0</v>
      </c>
    </row>
    <row r="471" spans="1:22" x14ac:dyDescent="0.35">
      <c r="A471" s="11" t="s">
        <v>623</v>
      </c>
      <c r="B471" s="12" t="s">
        <v>239</v>
      </c>
      <c r="C471" s="13">
        <v>0</v>
      </c>
      <c r="D471" s="13">
        <v>2</v>
      </c>
      <c r="E471" s="13">
        <v>2</v>
      </c>
      <c r="F471" s="13">
        <v>5</v>
      </c>
      <c r="G471" s="13">
        <v>6</v>
      </c>
      <c r="H471" s="13">
        <v>2</v>
      </c>
      <c r="I471" s="13">
        <v>87</v>
      </c>
      <c r="J471" s="13">
        <v>18</v>
      </c>
      <c r="K471" s="13">
        <v>93</v>
      </c>
      <c r="L471" s="13">
        <v>62</v>
      </c>
      <c r="M471" s="14">
        <v>95</v>
      </c>
      <c r="N471">
        <f t="shared" si="39"/>
        <v>53.5</v>
      </c>
      <c r="O471">
        <f t="shared" si="40"/>
        <v>0</v>
      </c>
      <c r="P471">
        <f t="shared" si="40"/>
        <v>8</v>
      </c>
      <c r="Q471">
        <f t="shared" si="40"/>
        <v>10</v>
      </c>
      <c r="R471">
        <f t="shared" si="38"/>
        <v>0</v>
      </c>
      <c r="S471">
        <v>1</v>
      </c>
      <c r="T471">
        <f t="shared" si="41"/>
        <v>18</v>
      </c>
      <c r="U471">
        <f t="shared" si="42"/>
        <v>35.5</v>
      </c>
      <c r="V471">
        <f t="shared" si="43"/>
        <v>0</v>
      </c>
    </row>
    <row r="472" spans="1:22" x14ac:dyDescent="0.35">
      <c r="A472" s="7" t="s">
        <v>624</v>
      </c>
      <c r="B472" s="8" t="s">
        <v>414</v>
      </c>
      <c r="C472" s="9">
        <v>6</v>
      </c>
      <c r="D472" s="9">
        <v>2</v>
      </c>
      <c r="E472" s="9">
        <v>4</v>
      </c>
      <c r="F472" s="9">
        <v>3</v>
      </c>
      <c r="G472" s="9">
        <v>3</v>
      </c>
      <c r="H472" s="9">
        <v>2</v>
      </c>
      <c r="I472" s="9">
        <v>72</v>
      </c>
      <c r="J472" s="9">
        <v>79</v>
      </c>
      <c r="K472" s="9">
        <v>98</v>
      </c>
      <c r="L472" s="9">
        <v>86</v>
      </c>
      <c r="M472" s="10">
        <v>31</v>
      </c>
      <c r="N472">
        <f t="shared" si="39"/>
        <v>56.6</v>
      </c>
      <c r="O472">
        <f t="shared" si="40"/>
        <v>6</v>
      </c>
      <c r="P472">
        <f t="shared" si="40"/>
        <v>4</v>
      </c>
      <c r="Q472">
        <f t="shared" si="40"/>
        <v>4</v>
      </c>
      <c r="R472">
        <f t="shared" si="38"/>
        <v>0</v>
      </c>
      <c r="S472">
        <v>1</v>
      </c>
      <c r="T472">
        <f t="shared" si="41"/>
        <v>20</v>
      </c>
      <c r="U472">
        <f t="shared" si="42"/>
        <v>36.6</v>
      </c>
      <c r="V472">
        <f t="shared" si="43"/>
        <v>0</v>
      </c>
    </row>
    <row r="473" spans="1:22" x14ac:dyDescent="0.35">
      <c r="A473" s="11" t="s">
        <v>625</v>
      </c>
      <c r="B473" s="12" t="s">
        <v>161</v>
      </c>
      <c r="C473" s="13">
        <v>3</v>
      </c>
      <c r="D473" s="13">
        <v>3</v>
      </c>
      <c r="E473" s="13">
        <v>3</v>
      </c>
      <c r="F473" s="13">
        <v>3</v>
      </c>
      <c r="G473" s="13">
        <v>5</v>
      </c>
      <c r="H473" s="13">
        <v>4</v>
      </c>
      <c r="I473" s="13">
        <v>71</v>
      </c>
      <c r="J473" s="13">
        <v>68</v>
      </c>
      <c r="K473" s="13">
        <v>38</v>
      </c>
      <c r="L473" s="13">
        <v>8</v>
      </c>
      <c r="M473" s="14">
        <v>98</v>
      </c>
      <c r="N473">
        <f t="shared" si="39"/>
        <v>53.3</v>
      </c>
      <c r="O473">
        <f t="shared" si="40"/>
        <v>4</v>
      </c>
      <c r="P473">
        <f t="shared" si="40"/>
        <v>4</v>
      </c>
      <c r="Q473">
        <f t="shared" si="40"/>
        <v>8</v>
      </c>
      <c r="R473">
        <f t="shared" si="38"/>
        <v>6</v>
      </c>
      <c r="S473">
        <v>1</v>
      </c>
      <c r="T473">
        <f t="shared" si="41"/>
        <v>25</v>
      </c>
      <c r="U473">
        <f t="shared" si="42"/>
        <v>28.3</v>
      </c>
      <c r="V473">
        <f t="shared" si="43"/>
        <v>0</v>
      </c>
    </row>
    <row r="474" spans="1:22" x14ac:dyDescent="0.35">
      <c r="A474" s="7" t="s">
        <v>626</v>
      </c>
      <c r="B474" s="8" t="s">
        <v>38</v>
      </c>
      <c r="C474" s="9">
        <v>8</v>
      </c>
      <c r="D474" s="9">
        <v>2</v>
      </c>
      <c r="E474" s="9">
        <v>2</v>
      </c>
      <c r="F474" s="9">
        <v>3</v>
      </c>
      <c r="G474" s="9">
        <v>4</v>
      </c>
      <c r="H474" s="9">
        <v>4</v>
      </c>
      <c r="I474" s="9">
        <v>96</v>
      </c>
      <c r="J474" s="9">
        <v>47</v>
      </c>
      <c r="K474" s="9">
        <v>90</v>
      </c>
      <c r="L474" s="9">
        <v>24</v>
      </c>
      <c r="M474" s="10">
        <v>96</v>
      </c>
      <c r="N474">
        <f t="shared" si="39"/>
        <v>59.3</v>
      </c>
      <c r="O474">
        <f t="shared" si="40"/>
        <v>0</v>
      </c>
      <c r="P474">
        <f t="shared" si="40"/>
        <v>4</v>
      </c>
      <c r="Q474">
        <f t="shared" si="40"/>
        <v>6</v>
      </c>
      <c r="R474">
        <f t="shared" si="38"/>
        <v>6</v>
      </c>
      <c r="S474">
        <v>1</v>
      </c>
      <c r="T474">
        <f t="shared" si="41"/>
        <v>24</v>
      </c>
      <c r="U474">
        <f t="shared" si="42"/>
        <v>35.299999999999997</v>
      </c>
      <c r="V474">
        <f t="shared" si="43"/>
        <v>0</v>
      </c>
    </row>
    <row r="475" spans="1:22" x14ac:dyDescent="0.35">
      <c r="A475" s="11" t="s">
        <v>627</v>
      </c>
      <c r="B475" s="12" t="s">
        <v>133</v>
      </c>
      <c r="C475" s="13">
        <v>3</v>
      </c>
      <c r="D475" s="13">
        <v>3</v>
      </c>
      <c r="E475" s="13">
        <v>3</v>
      </c>
      <c r="F475" s="13">
        <v>3</v>
      </c>
      <c r="G475" s="13">
        <v>4</v>
      </c>
      <c r="H475" s="13">
        <v>5</v>
      </c>
      <c r="I475" s="13">
        <v>18</v>
      </c>
      <c r="J475" s="13">
        <v>94</v>
      </c>
      <c r="K475" s="13">
        <v>29</v>
      </c>
      <c r="L475" s="13">
        <v>50</v>
      </c>
      <c r="M475" s="14">
        <v>54</v>
      </c>
      <c r="N475">
        <f t="shared" si="39"/>
        <v>49.5</v>
      </c>
      <c r="O475">
        <f t="shared" si="40"/>
        <v>4</v>
      </c>
      <c r="P475">
        <f t="shared" si="40"/>
        <v>4</v>
      </c>
      <c r="Q475">
        <f t="shared" si="40"/>
        <v>6</v>
      </c>
      <c r="R475">
        <f t="shared" si="38"/>
        <v>8</v>
      </c>
      <c r="S475">
        <v>1</v>
      </c>
      <c r="T475">
        <f t="shared" si="41"/>
        <v>25</v>
      </c>
      <c r="U475">
        <f t="shared" si="42"/>
        <v>24.5</v>
      </c>
      <c r="V475">
        <f t="shared" si="43"/>
        <v>1</v>
      </c>
    </row>
    <row r="476" spans="1:22" x14ac:dyDescent="0.35">
      <c r="A476" s="7" t="s">
        <v>628</v>
      </c>
      <c r="B476" s="8" t="s">
        <v>251</v>
      </c>
      <c r="C476" s="9">
        <v>0</v>
      </c>
      <c r="D476" s="9">
        <v>5</v>
      </c>
      <c r="E476" s="9">
        <v>5</v>
      </c>
      <c r="F476" s="9">
        <v>6</v>
      </c>
      <c r="G476" s="9">
        <v>2</v>
      </c>
      <c r="H476" s="9">
        <v>5</v>
      </c>
      <c r="I476" s="9">
        <v>47</v>
      </c>
      <c r="J476" s="9">
        <v>34</v>
      </c>
      <c r="K476" s="9">
        <v>86</v>
      </c>
      <c r="L476" s="9">
        <v>56</v>
      </c>
      <c r="M476" s="10">
        <v>39</v>
      </c>
      <c r="N476">
        <f t="shared" si="39"/>
        <v>52.2</v>
      </c>
      <c r="O476">
        <f t="shared" si="40"/>
        <v>8</v>
      </c>
      <c r="P476">
        <f t="shared" si="40"/>
        <v>10</v>
      </c>
      <c r="Q476">
        <f t="shared" si="40"/>
        <v>0</v>
      </c>
      <c r="R476">
        <f t="shared" si="38"/>
        <v>8</v>
      </c>
      <c r="S476">
        <v>1</v>
      </c>
      <c r="T476">
        <f t="shared" si="41"/>
        <v>26</v>
      </c>
      <c r="U476">
        <f t="shared" si="42"/>
        <v>26.2</v>
      </c>
      <c r="V476">
        <f t="shared" si="43"/>
        <v>0</v>
      </c>
    </row>
    <row r="477" spans="1:22" x14ac:dyDescent="0.35">
      <c r="A477" s="11" t="s">
        <v>629</v>
      </c>
      <c r="B477" s="12" t="s">
        <v>430</v>
      </c>
      <c r="C477" s="13">
        <v>7</v>
      </c>
      <c r="D477" s="13">
        <v>5</v>
      </c>
      <c r="E477" s="13">
        <v>5</v>
      </c>
      <c r="F477" s="13">
        <v>2</v>
      </c>
      <c r="G477" s="13">
        <v>6</v>
      </c>
      <c r="H477" s="13">
        <v>6</v>
      </c>
      <c r="I477" s="13">
        <v>6</v>
      </c>
      <c r="J477" s="13">
        <v>88</v>
      </c>
      <c r="K477" s="13">
        <v>24</v>
      </c>
      <c r="L477" s="13">
        <v>3</v>
      </c>
      <c r="M477" s="14">
        <v>43</v>
      </c>
      <c r="N477">
        <f t="shared" si="39"/>
        <v>51.4</v>
      </c>
      <c r="O477">
        <f t="shared" si="40"/>
        <v>8</v>
      </c>
      <c r="P477">
        <f t="shared" si="40"/>
        <v>0</v>
      </c>
      <c r="Q477">
        <f t="shared" si="40"/>
        <v>10</v>
      </c>
      <c r="R477">
        <f t="shared" si="38"/>
        <v>10</v>
      </c>
      <c r="S477">
        <v>1</v>
      </c>
      <c r="T477">
        <f t="shared" si="41"/>
        <v>35</v>
      </c>
      <c r="U477">
        <f t="shared" si="42"/>
        <v>16.399999999999999</v>
      </c>
      <c r="V477">
        <f t="shared" si="43"/>
        <v>1</v>
      </c>
    </row>
    <row r="478" spans="1:22" x14ac:dyDescent="0.35">
      <c r="A478" s="7" t="s">
        <v>630</v>
      </c>
      <c r="B478" s="8" t="s">
        <v>273</v>
      </c>
      <c r="C478" s="9">
        <v>8</v>
      </c>
      <c r="D478" s="9">
        <v>4</v>
      </c>
      <c r="E478" s="9">
        <v>3</v>
      </c>
      <c r="F478" s="9">
        <v>6</v>
      </c>
      <c r="G478" s="9">
        <v>2</v>
      </c>
      <c r="H478" s="9">
        <v>6</v>
      </c>
      <c r="I478" s="9">
        <v>87</v>
      </c>
      <c r="J478" s="9">
        <v>54</v>
      </c>
      <c r="K478" s="9">
        <v>69</v>
      </c>
      <c r="L478" s="9">
        <v>96</v>
      </c>
      <c r="M478" s="10">
        <v>7</v>
      </c>
      <c r="N478">
        <f t="shared" si="39"/>
        <v>63.3</v>
      </c>
      <c r="O478">
        <f t="shared" si="40"/>
        <v>4</v>
      </c>
      <c r="P478">
        <f t="shared" si="40"/>
        <v>10</v>
      </c>
      <c r="Q478">
        <f t="shared" si="40"/>
        <v>0</v>
      </c>
      <c r="R478">
        <f t="shared" si="38"/>
        <v>10</v>
      </c>
      <c r="S478">
        <v>1</v>
      </c>
      <c r="T478">
        <f t="shared" si="41"/>
        <v>32</v>
      </c>
      <c r="U478">
        <f t="shared" si="42"/>
        <v>31.3</v>
      </c>
      <c r="V478">
        <f t="shared" si="43"/>
        <v>1</v>
      </c>
    </row>
    <row r="479" spans="1:22" x14ac:dyDescent="0.35">
      <c r="A479" s="11" t="s">
        <v>631</v>
      </c>
      <c r="B479" s="12" t="s">
        <v>288</v>
      </c>
      <c r="C479" s="13">
        <v>8</v>
      </c>
      <c r="D479" s="13">
        <v>3</v>
      </c>
      <c r="E479" s="13">
        <v>2</v>
      </c>
      <c r="F479" s="13">
        <v>4</v>
      </c>
      <c r="G479" s="13">
        <v>6</v>
      </c>
      <c r="H479" s="13">
        <v>6</v>
      </c>
      <c r="I479" s="13">
        <v>99</v>
      </c>
      <c r="J479" s="13">
        <v>51</v>
      </c>
      <c r="K479" s="13">
        <v>25</v>
      </c>
      <c r="L479" s="13">
        <v>89</v>
      </c>
      <c r="M479" s="14">
        <v>73</v>
      </c>
      <c r="N479">
        <f t="shared" si="39"/>
        <v>67.7</v>
      </c>
      <c r="O479">
        <f t="shared" si="40"/>
        <v>0</v>
      </c>
      <c r="P479">
        <f t="shared" si="40"/>
        <v>6</v>
      </c>
      <c r="Q479">
        <f t="shared" si="40"/>
        <v>10</v>
      </c>
      <c r="R479">
        <f t="shared" si="38"/>
        <v>10</v>
      </c>
      <c r="S479">
        <v>1</v>
      </c>
      <c r="T479">
        <f t="shared" si="41"/>
        <v>34</v>
      </c>
      <c r="U479">
        <f t="shared" si="42"/>
        <v>33.700000000000003</v>
      </c>
      <c r="V479">
        <f t="shared" si="43"/>
        <v>1</v>
      </c>
    </row>
    <row r="480" spans="1:22" x14ac:dyDescent="0.35">
      <c r="A480" s="7" t="s">
        <v>632</v>
      </c>
      <c r="B480" s="8" t="s">
        <v>633</v>
      </c>
      <c r="C480" s="9">
        <v>0</v>
      </c>
      <c r="D480" s="9">
        <v>4</v>
      </c>
      <c r="E480" s="9">
        <v>6</v>
      </c>
      <c r="F480" s="9">
        <v>5</v>
      </c>
      <c r="G480" s="9">
        <v>2</v>
      </c>
      <c r="H480" s="9">
        <v>4</v>
      </c>
      <c r="I480" s="9">
        <v>72</v>
      </c>
      <c r="J480" s="9">
        <v>33</v>
      </c>
      <c r="K480" s="9">
        <v>40</v>
      </c>
      <c r="L480" s="9">
        <v>62</v>
      </c>
      <c r="M480" s="10">
        <v>19</v>
      </c>
      <c r="N480">
        <f t="shared" si="39"/>
        <v>46.6</v>
      </c>
      <c r="O480">
        <f t="shared" si="40"/>
        <v>10</v>
      </c>
      <c r="P480">
        <f t="shared" si="40"/>
        <v>8</v>
      </c>
      <c r="Q480">
        <f t="shared" si="40"/>
        <v>0</v>
      </c>
      <c r="R480">
        <f t="shared" si="38"/>
        <v>6</v>
      </c>
      <c r="S480">
        <v>1</v>
      </c>
      <c r="T480">
        <f t="shared" si="41"/>
        <v>24</v>
      </c>
      <c r="U480">
        <f t="shared" si="42"/>
        <v>22.6</v>
      </c>
      <c r="V480">
        <f t="shared" si="43"/>
        <v>1</v>
      </c>
    </row>
    <row r="481" spans="1:22" x14ac:dyDescent="0.35">
      <c r="A481" s="11" t="s">
        <v>634</v>
      </c>
      <c r="B481" s="12" t="s">
        <v>635</v>
      </c>
      <c r="C481" s="13">
        <v>0</v>
      </c>
      <c r="D481" s="13">
        <v>4</v>
      </c>
      <c r="E481" s="13">
        <v>2</v>
      </c>
      <c r="F481" s="13">
        <v>6</v>
      </c>
      <c r="G481" s="13">
        <v>2</v>
      </c>
      <c r="H481" s="13">
        <v>5</v>
      </c>
      <c r="I481" s="13">
        <v>57</v>
      </c>
      <c r="J481" s="13">
        <v>88</v>
      </c>
      <c r="K481" s="13">
        <v>53</v>
      </c>
      <c r="L481" s="13">
        <v>42</v>
      </c>
      <c r="M481" s="14">
        <v>49</v>
      </c>
      <c r="N481">
        <f t="shared" si="39"/>
        <v>46.9</v>
      </c>
      <c r="O481">
        <f t="shared" si="40"/>
        <v>0</v>
      </c>
      <c r="P481">
        <f t="shared" si="40"/>
        <v>10</v>
      </c>
      <c r="Q481">
        <f t="shared" si="40"/>
        <v>0</v>
      </c>
      <c r="R481">
        <f t="shared" si="38"/>
        <v>8</v>
      </c>
      <c r="S481">
        <v>1</v>
      </c>
      <c r="T481">
        <f t="shared" si="41"/>
        <v>18</v>
      </c>
      <c r="U481">
        <f t="shared" si="42"/>
        <v>28.9</v>
      </c>
      <c r="V481">
        <f t="shared" si="43"/>
        <v>0</v>
      </c>
    </row>
    <row r="482" spans="1:22" x14ac:dyDescent="0.35">
      <c r="A482" s="7" t="s">
        <v>636</v>
      </c>
      <c r="B482" s="8" t="s">
        <v>340</v>
      </c>
      <c r="C482" s="9">
        <v>1</v>
      </c>
      <c r="D482" s="9">
        <v>4</v>
      </c>
      <c r="E482" s="9">
        <v>2</v>
      </c>
      <c r="F482" s="9">
        <v>2</v>
      </c>
      <c r="G482" s="9">
        <v>4</v>
      </c>
      <c r="H482" s="9">
        <v>2</v>
      </c>
      <c r="I482" s="9">
        <v>68</v>
      </c>
      <c r="J482" s="9">
        <v>81</v>
      </c>
      <c r="K482" s="9">
        <v>24</v>
      </c>
      <c r="L482" s="9">
        <v>15</v>
      </c>
      <c r="M482" s="10">
        <v>48</v>
      </c>
      <c r="N482">
        <f t="shared" si="39"/>
        <v>30.6</v>
      </c>
      <c r="O482">
        <f t="shared" si="40"/>
        <v>0</v>
      </c>
      <c r="P482">
        <f t="shared" si="40"/>
        <v>0</v>
      </c>
      <c r="Q482">
        <f t="shared" si="40"/>
        <v>6</v>
      </c>
      <c r="R482">
        <f t="shared" si="38"/>
        <v>0</v>
      </c>
      <c r="S482">
        <v>1</v>
      </c>
      <c r="T482">
        <f t="shared" si="41"/>
        <v>7</v>
      </c>
      <c r="U482">
        <f t="shared" si="42"/>
        <v>23.6</v>
      </c>
      <c r="V482">
        <f t="shared" si="43"/>
        <v>0</v>
      </c>
    </row>
    <row r="483" spans="1:22" x14ac:dyDescent="0.35">
      <c r="A483" s="11" t="s">
        <v>637</v>
      </c>
      <c r="B483" s="12" t="s">
        <v>86</v>
      </c>
      <c r="C483" s="13">
        <v>6</v>
      </c>
      <c r="D483" s="13">
        <v>4</v>
      </c>
      <c r="E483" s="13">
        <v>3</v>
      </c>
      <c r="F483" s="13">
        <v>2</v>
      </c>
      <c r="G483" s="13">
        <v>3</v>
      </c>
      <c r="H483" s="13">
        <v>3</v>
      </c>
      <c r="I483" s="13">
        <v>43</v>
      </c>
      <c r="J483" s="13">
        <v>36</v>
      </c>
      <c r="K483" s="13">
        <v>9</v>
      </c>
      <c r="L483" s="13">
        <v>88</v>
      </c>
      <c r="M483" s="14">
        <v>44</v>
      </c>
      <c r="N483">
        <f t="shared" si="39"/>
        <v>40</v>
      </c>
      <c r="O483">
        <f t="shared" si="40"/>
        <v>4</v>
      </c>
      <c r="P483">
        <f t="shared" si="40"/>
        <v>0</v>
      </c>
      <c r="Q483">
        <f t="shared" si="40"/>
        <v>4</v>
      </c>
      <c r="R483">
        <f t="shared" si="38"/>
        <v>4</v>
      </c>
      <c r="S483">
        <v>1</v>
      </c>
      <c r="T483">
        <f t="shared" si="41"/>
        <v>18</v>
      </c>
      <c r="U483">
        <f t="shared" si="42"/>
        <v>22</v>
      </c>
      <c r="V483">
        <f t="shared" si="43"/>
        <v>0</v>
      </c>
    </row>
    <row r="484" spans="1:22" x14ac:dyDescent="0.35">
      <c r="A484" s="7" t="s">
        <v>638</v>
      </c>
      <c r="B484" s="8" t="s">
        <v>395</v>
      </c>
      <c r="C484" s="9">
        <v>2</v>
      </c>
      <c r="D484" s="9">
        <v>6</v>
      </c>
      <c r="E484" s="9">
        <v>2</v>
      </c>
      <c r="F484" s="9">
        <v>2</v>
      </c>
      <c r="G484" s="9">
        <v>3</v>
      </c>
      <c r="H484" s="9">
        <v>3</v>
      </c>
      <c r="I484" s="9">
        <v>69</v>
      </c>
      <c r="J484" s="9">
        <v>17</v>
      </c>
      <c r="K484" s="9">
        <v>84</v>
      </c>
      <c r="L484" s="9">
        <v>87</v>
      </c>
      <c r="M484" s="10">
        <v>56</v>
      </c>
      <c r="N484">
        <f t="shared" si="39"/>
        <v>43.3</v>
      </c>
      <c r="O484">
        <f t="shared" si="40"/>
        <v>0</v>
      </c>
      <c r="P484">
        <f t="shared" si="40"/>
        <v>0</v>
      </c>
      <c r="Q484">
        <f t="shared" si="40"/>
        <v>4</v>
      </c>
      <c r="R484">
        <f t="shared" si="38"/>
        <v>4</v>
      </c>
      <c r="S484">
        <v>1</v>
      </c>
      <c r="T484">
        <f t="shared" si="41"/>
        <v>12</v>
      </c>
      <c r="U484">
        <f t="shared" si="42"/>
        <v>31.3</v>
      </c>
      <c r="V484">
        <f t="shared" si="43"/>
        <v>0</v>
      </c>
    </row>
    <row r="485" spans="1:22" x14ac:dyDescent="0.35">
      <c r="A485" s="11" t="s">
        <v>639</v>
      </c>
      <c r="B485" s="12" t="s">
        <v>34</v>
      </c>
      <c r="C485" s="13">
        <v>0</v>
      </c>
      <c r="D485" s="13">
        <v>6</v>
      </c>
      <c r="E485" s="13">
        <v>6</v>
      </c>
      <c r="F485" s="13">
        <v>3</v>
      </c>
      <c r="G485" s="13">
        <v>2</v>
      </c>
      <c r="H485" s="13">
        <v>5</v>
      </c>
      <c r="I485" s="13">
        <v>25</v>
      </c>
      <c r="J485" s="13">
        <v>23</v>
      </c>
      <c r="K485" s="13">
        <v>92</v>
      </c>
      <c r="L485" s="13">
        <v>37</v>
      </c>
      <c r="M485" s="14">
        <v>40</v>
      </c>
      <c r="N485">
        <f t="shared" si="39"/>
        <v>45.7</v>
      </c>
      <c r="O485">
        <f t="shared" si="40"/>
        <v>10</v>
      </c>
      <c r="P485">
        <f t="shared" si="40"/>
        <v>4</v>
      </c>
      <c r="Q485">
        <f t="shared" si="40"/>
        <v>0</v>
      </c>
      <c r="R485">
        <f t="shared" si="38"/>
        <v>8</v>
      </c>
      <c r="S485">
        <v>1</v>
      </c>
      <c r="T485">
        <f t="shared" si="41"/>
        <v>24</v>
      </c>
      <c r="U485">
        <f t="shared" si="42"/>
        <v>21.7</v>
      </c>
      <c r="V485">
        <f t="shared" si="43"/>
        <v>1</v>
      </c>
    </row>
    <row r="486" spans="1:22" x14ac:dyDescent="0.35">
      <c r="A486" s="7" t="s">
        <v>640</v>
      </c>
      <c r="B486" s="8" t="s">
        <v>249</v>
      </c>
      <c r="C486" s="9">
        <v>8</v>
      </c>
      <c r="D486" s="9">
        <v>4</v>
      </c>
      <c r="E486" s="9">
        <v>6</v>
      </c>
      <c r="F486" s="9">
        <v>4</v>
      </c>
      <c r="G486" s="9">
        <v>3</v>
      </c>
      <c r="H486" s="9">
        <v>2</v>
      </c>
      <c r="I486" s="9">
        <v>12</v>
      </c>
      <c r="J486" s="9">
        <v>56</v>
      </c>
      <c r="K486" s="9">
        <v>75</v>
      </c>
      <c r="L486" s="9">
        <v>76</v>
      </c>
      <c r="M486" s="10">
        <v>41</v>
      </c>
      <c r="N486">
        <f t="shared" si="39"/>
        <v>54</v>
      </c>
      <c r="O486">
        <f t="shared" si="40"/>
        <v>10</v>
      </c>
      <c r="P486">
        <f t="shared" si="40"/>
        <v>6</v>
      </c>
      <c r="Q486">
        <f t="shared" si="40"/>
        <v>4</v>
      </c>
      <c r="R486">
        <f t="shared" si="38"/>
        <v>0</v>
      </c>
      <c r="S486">
        <v>1</v>
      </c>
      <c r="T486">
        <f t="shared" si="41"/>
        <v>28</v>
      </c>
      <c r="U486">
        <f t="shared" si="42"/>
        <v>26</v>
      </c>
      <c r="V486">
        <f t="shared" si="43"/>
        <v>1</v>
      </c>
    </row>
    <row r="487" spans="1:22" x14ac:dyDescent="0.35">
      <c r="A487" s="11" t="s">
        <v>641</v>
      </c>
      <c r="B487" s="12" t="s">
        <v>222</v>
      </c>
      <c r="C487" s="13">
        <v>5</v>
      </c>
      <c r="D487" s="13">
        <v>2</v>
      </c>
      <c r="E487" s="13">
        <v>5</v>
      </c>
      <c r="F487" s="13">
        <v>6</v>
      </c>
      <c r="G487" s="13">
        <v>2</v>
      </c>
      <c r="H487" s="13">
        <v>5</v>
      </c>
      <c r="I487" s="13">
        <v>39</v>
      </c>
      <c r="J487" s="13">
        <v>77</v>
      </c>
      <c r="K487" s="13">
        <v>37</v>
      </c>
      <c r="L487" s="13">
        <v>72</v>
      </c>
      <c r="M487" s="14">
        <v>32</v>
      </c>
      <c r="N487">
        <f t="shared" si="39"/>
        <v>56.7</v>
      </c>
      <c r="O487">
        <f t="shared" si="40"/>
        <v>8</v>
      </c>
      <c r="P487">
        <f t="shared" si="40"/>
        <v>10</v>
      </c>
      <c r="Q487">
        <f t="shared" si="40"/>
        <v>0</v>
      </c>
      <c r="R487">
        <f t="shared" si="38"/>
        <v>8</v>
      </c>
      <c r="S487">
        <v>1</v>
      </c>
      <c r="T487">
        <f t="shared" si="41"/>
        <v>31</v>
      </c>
      <c r="U487">
        <f t="shared" si="42"/>
        <v>25.7</v>
      </c>
      <c r="V487">
        <f t="shared" si="43"/>
        <v>1</v>
      </c>
    </row>
    <row r="488" spans="1:22" x14ac:dyDescent="0.35">
      <c r="A488" s="7" t="s">
        <v>642</v>
      </c>
      <c r="B488" s="8" t="s">
        <v>43</v>
      </c>
      <c r="C488" s="9">
        <v>1</v>
      </c>
      <c r="D488" s="9">
        <v>3</v>
      </c>
      <c r="E488" s="9">
        <v>5</v>
      </c>
      <c r="F488" s="9">
        <v>6</v>
      </c>
      <c r="G488" s="9">
        <v>2</v>
      </c>
      <c r="H488" s="9">
        <v>5</v>
      </c>
      <c r="I488" s="9">
        <v>53</v>
      </c>
      <c r="J488" s="9">
        <v>25</v>
      </c>
      <c r="K488" s="9">
        <v>62</v>
      </c>
      <c r="L488" s="9">
        <v>74</v>
      </c>
      <c r="M488" s="10">
        <v>81</v>
      </c>
      <c r="N488">
        <f t="shared" si="39"/>
        <v>56.5</v>
      </c>
      <c r="O488">
        <f t="shared" si="40"/>
        <v>8</v>
      </c>
      <c r="P488">
        <f t="shared" si="40"/>
        <v>10</v>
      </c>
      <c r="Q488">
        <f t="shared" si="40"/>
        <v>0</v>
      </c>
      <c r="R488">
        <f t="shared" si="38"/>
        <v>8</v>
      </c>
      <c r="S488">
        <v>1</v>
      </c>
      <c r="T488">
        <f t="shared" si="41"/>
        <v>27</v>
      </c>
      <c r="U488">
        <f t="shared" si="42"/>
        <v>29.5</v>
      </c>
      <c r="V488">
        <f t="shared" si="43"/>
        <v>0</v>
      </c>
    </row>
    <row r="489" spans="1:22" x14ac:dyDescent="0.35">
      <c r="A489" s="11" t="s">
        <v>643</v>
      </c>
      <c r="B489" s="12" t="s">
        <v>72</v>
      </c>
      <c r="C489" s="13">
        <v>7</v>
      </c>
      <c r="D489" s="13">
        <v>6</v>
      </c>
      <c r="E489" s="13">
        <v>3</v>
      </c>
      <c r="F489" s="13">
        <v>6</v>
      </c>
      <c r="G489" s="13">
        <v>4</v>
      </c>
      <c r="H489" s="13">
        <v>2</v>
      </c>
      <c r="I489" s="13">
        <v>11</v>
      </c>
      <c r="J489" s="13">
        <v>8</v>
      </c>
      <c r="K489" s="13">
        <v>29</v>
      </c>
      <c r="L489" s="13">
        <v>7</v>
      </c>
      <c r="M489" s="14">
        <v>38</v>
      </c>
      <c r="N489">
        <f t="shared" si="39"/>
        <v>38.299999999999997</v>
      </c>
      <c r="O489">
        <f t="shared" si="40"/>
        <v>4</v>
      </c>
      <c r="P489">
        <f t="shared" si="40"/>
        <v>10</v>
      </c>
      <c r="Q489">
        <f t="shared" si="40"/>
        <v>6</v>
      </c>
      <c r="R489">
        <f t="shared" si="38"/>
        <v>0</v>
      </c>
      <c r="S489">
        <v>1</v>
      </c>
      <c r="T489">
        <f t="shared" si="41"/>
        <v>29</v>
      </c>
      <c r="U489">
        <f t="shared" si="42"/>
        <v>9.3000000000000007</v>
      </c>
      <c r="V489">
        <f t="shared" si="43"/>
        <v>1</v>
      </c>
    </row>
    <row r="490" spans="1:22" x14ac:dyDescent="0.35">
      <c r="A490" s="7" t="s">
        <v>644</v>
      </c>
      <c r="B490" s="8" t="s">
        <v>145</v>
      </c>
      <c r="C490" s="9">
        <v>3</v>
      </c>
      <c r="D490" s="9">
        <v>4</v>
      </c>
      <c r="E490" s="9">
        <v>6</v>
      </c>
      <c r="F490" s="9">
        <v>4</v>
      </c>
      <c r="G490" s="9">
        <v>6</v>
      </c>
      <c r="H490" s="9">
        <v>2</v>
      </c>
      <c r="I490" s="9">
        <v>62</v>
      </c>
      <c r="J490" s="9">
        <v>31</v>
      </c>
      <c r="K490" s="9">
        <v>64</v>
      </c>
      <c r="L490" s="9">
        <v>1</v>
      </c>
      <c r="M490" s="10">
        <v>25</v>
      </c>
      <c r="N490">
        <f t="shared" si="39"/>
        <v>47.3</v>
      </c>
      <c r="O490">
        <f t="shared" si="40"/>
        <v>10</v>
      </c>
      <c r="P490">
        <f t="shared" si="40"/>
        <v>6</v>
      </c>
      <c r="Q490">
        <f t="shared" si="40"/>
        <v>10</v>
      </c>
      <c r="R490">
        <f t="shared" si="38"/>
        <v>0</v>
      </c>
      <c r="S490">
        <v>1</v>
      </c>
      <c r="T490">
        <f t="shared" si="41"/>
        <v>29</v>
      </c>
      <c r="U490">
        <f t="shared" si="42"/>
        <v>18.3</v>
      </c>
      <c r="V490">
        <f t="shared" si="43"/>
        <v>1</v>
      </c>
    </row>
    <row r="491" spans="1:22" x14ac:dyDescent="0.35">
      <c r="A491" s="11" t="s">
        <v>645</v>
      </c>
      <c r="B491" s="12" t="s">
        <v>646</v>
      </c>
      <c r="C491" s="13">
        <v>4</v>
      </c>
      <c r="D491" s="13">
        <v>4</v>
      </c>
      <c r="E491" s="13">
        <v>6</v>
      </c>
      <c r="F491" s="13">
        <v>3</v>
      </c>
      <c r="G491" s="13">
        <v>2</v>
      </c>
      <c r="H491" s="13">
        <v>3</v>
      </c>
      <c r="I491" s="13">
        <v>24</v>
      </c>
      <c r="J491" s="13">
        <v>33</v>
      </c>
      <c r="K491" s="13">
        <v>90</v>
      </c>
      <c r="L491" s="13">
        <v>28</v>
      </c>
      <c r="M491" s="14">
        <v>23</v>
      </c>
      <c r="N491">
        <f t="shared" si="39"/>
        <v>41.8</v>
      </c>
      <c r="O491">
        <f t="shared" si="40"/>
        <v>10</v>
      </c>
      <c r="P491">
        <f t="shared" si="40"/>
        <v>4</v>
      </c>
      <c r="Q491">
        <f t="shared" si="40"/>
        <v>0</v>
      </c>
      <c r="R491">
        <f t="shared" si="38"/>
        <v>4</v>
      </c>
      <c r="S491">
        <v>1</v>
      </c>
      <c r="T491">
        <f t="shared" si="41"/>
        <v>22</v>
      </c>
      <c r="U491">
        <f t="shared" si="42"/>
        <v>19.8</v>
      </c>
      <c r="V491">
        <f t="shared" si="43"/>
        <v>1</v>
      </c>
    </row>
    <row r="492" spans="1:22" x14ac:dyDescent="0.35">
      <c r="A492" s="7" t="s">
        <v>647</v>
      </c>
      <c r="B492" s="8" t="s">
        <v>32</v>
      </c>
      <c r="C492" s="9">
        <v>5</v>
      </c>
      <c r="D492" s="9">
        <v>6</v>
      </c>
      <c r="E492" s="9">
        <v>5</v>
      </c>
      <c r="F492" s="9">
        <v>6</v>
      </c>
      <c r="G492" s="9">
        <v>5</v>
      </c>
      <c r="H492" s="9">
        <v>4</v>
      </c>
      <c r="I492" s="9">
        <v>92</v>
      </c>
      <c r="J492" s="9">
        <v>67</v>
      </c>
      <c r="K492" s="9">
        <v>92</v>
      </c>
      <c r="L492" s="9">
        <v>79</v>
      </c>
      <c r="M492" s="10">
        <v>81</v>
      </c>
      <c r="N492">
        <f t="shared" si="39"/>
        <v>80.099999999999994</v>
      </c>
      <c r="O492">
        <f t="shared" si="40"/>
        <v>8</v>
      </c>
      <c r="P492">
        <f t="shared" si="40"/>
        <v>10</v>
      </c>
      <c r="Q492">
        <f t="shared" si="40"/>
        <v>8</v>
      </c>
      <c r="R492">
        <f t="shared" si="38"/>
        <v>6</v>
      </c>
      <c r="S492">
        <v>1</v>
      </c>
      <c r="T492">
        <f t="shared" si="41"/>
        <v>39</v>
      </c>
      <c r="U492">
        <f t="shared" si="42"/>
        <v>41.1</v>
      </c>
      <c r="V492">
        <f t="shared" si="43"/>
        <v>0</v>
      </c>
    </row>
    <row r="493" spans="1:22" x14ac:dyDescent="0.35">
      <c r="A493" s="11" t="s">
        <v>648</v>
      </c>
      <c r="B493" s="12" t="s">
        <v>649</v>
      </c>
      <c r="C493" s="13">
        <v>5</v>
      </c>
      <c r="D493" s="13">
        <v>3</v>
      </c>
      <c r="E493" s="13">
        <v>4</v>
      </c>
      <c r="F493" s="13">
        <v>2</v>
      </c>
      <c r="G493" s="13">
        <v>6</v>
      </c>
      <c r="H493" s="13">
        <v>6</v>
      </c>
      <c r="I493" s="13">
        <v>21</v>
      </c>
      <c r="J493" s="13">
        <v>40</v>
      </c>
      <c r="K493" s="13">
        <v>18</v>
      </c>
      <c r="L493" s="13">
        <v>81</v>
      </c>
      <c r="M493" s="14">
        <v>88</v>
      </c>
      <c r="N493">
        <f t="shared" si="39"/>
        <v>55.8</v>
      </c>
      <c r="O493">
        <f t="shared" si="40"/>
        <v>6</v>
      </c>
      <c r="P493">
        <f t="shared" si="40"/>
        <v>0</v>
      </c>
      <c r="Q493">
        <f t="shared" si="40"/>
        <v>10</v>
      </c>
      <c r="R493">
        <f t="shared" si="38"/>
        <v>10</v>
      </c>
      <c r="S493">
        <v>1</v>
      </c>
      <c r="T493">
        <f t="shared" si="41"/>
        <v>31</v>
      </c>
      <c r="U493">
        <f t="shared" si="42"/>
        <v>24.8</v>
      </c>
      <c r="V493">
        <f t="shared" si="43"/>
        <v>1</v>
      </c>
    </row>
    <row r="494" spans="1:22" x14ac:dyDescent="0.35">
      <c r="A494" s="7" t="s">
        <v>650</v>
      </c>
      <c r="B494" s="8" t="s">
        <v>651</v>
      </c>
      <c r="C494" s="9">
        <v>6</v>
      </c>
      <c r="D494" s="9">
        <v>2</v>
      </c>
      <c r="E494" s="9">
        <v>3</v>
      </c>
      <c r="F494" s="9">
        <v>6</v>
      </c>
      <c r="G494" s="9">
        <v>5</v>
      </c>
      <c r="H494" s="9">
        <v>4</v>
      </c>
      <c r="I494" s="9">
        <v>78</v>
      </c>
      <c r="J494" s="9">
        <v>1</v>
      </c>
      <c r="K494" s="9">
        <v>9</v>
      </c>
      <c r="L494" s="9">
        <v>33</v>
      </c>
      <c r="M494" s="10">
        <v>81</v>
      </c>
      <c r="N494">
        <f t="shared" si="39"/>
        <v>54.2</v>
      </c>
      <c r="O494">
        <f t="shared" si="40"/>
        <v>4</v>
      </c>
      <c r="P494">
        <f t="shared" si="40"/>
        <v>10</v>
      </c>
      <c r="Q494">
        <f t="shared" si="40"/>
        <v>8</v>
      </c>
      <c r="R494">
        <f t="shared" si="38"/>
        <v>6</v>
      </c>
      <c r="S494">
        <v>1</v>
      </c>
      <c r="T494">
        <f t="shared" si="41"/>
        <v>34</v>
      </c>
      <c r="U494">
        <f t="shared" si="42"/>
        <v>20.2</v>
      </c>
      <c r="V494">
        <f t="shared" si="43"/>
        <v>1</v>
      </c>
    </row>
    <row r="495" spans="1:22" x14ac:dyDescent="0.35">
      <c r="A495" s="11" t="s">
        <v>652</v>
      </c>
      <c r="B495" s="12" t="s">
        <v>239</v>
      </c>
      <c r="C495" s="13">
        <v>8</v>
      </c>
      <c r="D495" s="13">
        <v>2</v>
      </c>
      <c r="E495" s="13">
        <v>3</v>
      </c>
      <c r="F495" s="13">
        <v>4</v>
      </c>
      <c r="G495" s="13">
        <v>5</v>
      </c>
      <c r="H495" s="13">
        <v>4</v>
      </c>
      <c r="I495" s="13">
        <v>65</v>
      </c>
      <c r="J495" s="13">
        <v>19</v>
      </c>
      <c r="K495" s="13">
        <v>19</v>
      </c>
      <c r="L495" s="13">
        <v>8</v>
      </c>
      <c r="M495" s="14">
        <v>20</v>
      </c>
      <c r="N495">
        <f t="shared" si="39"/>
        <v>45.1</v>
      </c>
      <c r="O495">
        <f t="shared" si="40"/>
        <v>4</v>
      </c>
      <c r="P495">
        <f t="shared" si="40"/>
        <v>6</v>
      </c>
      <c r="Q495">
        <f t="shared" si="40"/>
        <v>8</v>
      </c>
      <c r="R495">
        <f t="shared" si="38"/>
        <v>6</v>
      </c>
      <c r="S495">
        <v>1</v>
      </c>
      <c r="T495">
        <f t="shared" si="41"/>
        <v>32</v>
      </c>
      <c r="U495">
        <f t="shared" si="42"/>
        <v>13.1</v>
      </c>
      <c r="V495">
        <f t="shared" si="43"/>
        <v>1</v>
      </c>
    </row>
    <row r="496" spans="1:22" x14ac:dyDescent="0.35">
      <c r="A496" s="7" t="s">
        <v>653</v>
      </c>
      <c r="B496" s="8" t="s">
        <v>340</v>
      </c>
      <c r="C496" s="9">
        <v>2</v>
      </c>
      <c r="D496" s="9">
        <v>2</v>
      </c>
      <c r="E496" s="9">
        <v>2</v>
      </c>
      <c r="F496" s="9">
        <v>5</v>
      </c>
      <c r="G496" s="9">
        <v>5</v>
      </c>
      <c r="H496" s="9">
        <v>4</v>
      </c>
      <c r="I496" s="9">
        <v>60</v>
      </c>
      <c r="J496" s="9">
        <v>79</v>
      </c>
      <c r="K496" s="9">
        <v>51</v>
      </c>
      <c r="L496" s="9">
        <v>40</v>
      </c>
      <c r="M496" s="10">
        <v>16</v>
      </c>
      <c r="N496">
        <f t="shared" si="39"/>
        <v>48.6</v>
      </c>
      <c r="O496">
        <f t="shared" si="40"/>
        <v>0</v>
      </c>
      <c r="P496">
        <f t="shared" si="40"/>
        <v>8</v>
      </c>
      <c r="Q496">
        <f t="shared" si="40"/>
        <v>8</v>
      </c>
      <c r="R496">
        <f t="shared" si="38"/>
        <v>6</v>
      </c>
      <c r="S496">
        <v>1</v>
      </c>
      <c r="T496">
        <f t="shared" si="41"/>
        <v>24</v>
      </c>
      <c r="U496">
        <f t="shared" si="42"/>
        <v>24.6</v>
      </c>
      <c r="V496">
        <f t="shared" si="43"/>
        <v>0</v>
      </c>
    </row>
    <row r="497" spans="1:22" x14ac:dyDescent="0.35">
      <c r="A497" s="11" t="s">
        <v>654</v>
      </c>
      <c r="B497" s="12" t="s">
        <v>340</v>
      </c>
      <c r="C497" s="13">
        <v>5</v>
      </c>
      <c r="D497" s="13">
        <v>2</v>
      </c>
      <c r="E497" s="13">
        <v>3</v>
      </c>
      <c r="F497" s="13">
        <v>3</v>
      </c>
      <c r="G497" s="13">
        <v>6</v>
      </c>
      <c r="H497" s="13">
        <v>3</v>
      </c>
      <c r="I497" s="13">
        <v>79</v>
      </c>
      <c r="J497" s="13">
        <v>21</v>
      </c>
      <c r="K497" s="13">
        <v>41</v>
      </c>
      <c r="L497" s="13">
        <v>39</v>
      </c>
      <c r="M497" s="14">
        <v>74</v>
      </c>
      <c r="N497">
        <f t="shared" si="39"/>
        <v>52.4</v>
      </c>
      <c r="O497">
        <f t="shared" si="40"/>
        <v>4</v>
      </c>
      <c r="P497">
        <f t="shared" si="40"/>
        <v>4</v>
      </c>
      <c r="Q497">
        <f t="shared" si="40"/>
        <v>10</v>
      </c>
      <c r="R497">
        <f t="shared" si="38"/>
        <v>4</v>
      </c>
      <c r="S497">
        <v>1</v>
      </c>
      <c r="T497">
        <f t="shared" si="41"/>
        <v>27</v>
      </c>
      <c r="U497">
        <f t="shared" si="42"/>
        <v>25.4</v>
      </c>
      <c r="V497">
        <f t="shared" si="43"/>
        <v>1</v>
      </c>
    </row>
    <row r="498" spans="1:22" x14ac:dyDescent="0.35">
      <c r="A498" s="7" t="s">
        <v>655</v>
      </c>
      <c r="B498" s="8" t="s">
        <v>38</v>
      </c>
      <c r="C498" s="9">
        <v>7</v>
      </c>
      <c r="D498" s="9">
        <v>2</v>
      </c>
      <c r="E498" s="9">
        <v>6</v>
      </c>
      <c r="F498" s="9">
        <v>6</v>
      </c>
      <c r="G498" s="9">
        <v>6</v>
      </c>
      <c r="H498" s="9">
        <v>5</v>
      </c>
      <c r="I498" s="9">
        <v>27</v>
      </c>
      <c r="J498" s="9">
        <v>93</v>
      </c>
      <c r="K498" s="9">
        <v>10</v>
      </c>
      <c r="L498" s="9">
        <v>43</v>
      </c>
      <c r="M498" s="10">
        <v>28</v>
      </c>
      <c r="N498">
        <f t="shared" si="39"/>
        <v>65.099999999999994</v>
      </c>
      <c r="O498">
        <f t="shared" si="40"/>
        <v>10</v>
      </c>
      <c r="P498">
        <f t="shared" si="40"/>
        <v>10</v>
      </c>
      <c r="Q498">
        <f t="shared" si="40"/>
        <v>10</v>
      </c>
      <c r="R498">
        <f t="shared" si="38"/>
        <v>8</v>
      </c>
      <c r="S498">
        <v>1</v>
      </c>
      <c r="T498">
        <f t="shared" si="41"/>
        <v>45</v>
      </c>
      <c r="U498">
        <f t="shared" si="42"/>
        <v>20.100000000000001</v>
      </c>
      <c r="V498">
        <f t="shared" si="43"/>
        <v>1</v>
      </c>
    </row>
    <row r="499" spans="1:22" x14ac:dyDescent="0.35">
      <c r="A499" s="11" t="s">
        <v>656</v>
      </c>
      <c r="B499" s="12" t="s">
        <v>119</v>
      </c>
      <c r="C499" s="13">
        <v>5</v>
      </c>
      <c r="D499" s="13">
        <v>4</v>
      </c>
      <c r="E499" s="13">
        <v>6</v>
      </c>
      <c r="F499" s="13">
        <v>5</v>
      </c>
      <c r="G499" s="13">
        <v>4</v>
      </c>
      <c r="H499" s="13">
        <v>4</v>
      </c>
      <c r="I499" s="13">
        <v>44</v>
      </c>
      <c r="J499" s="13">
        <v>95</v>
      </c>
      <c r="K499" s="13">
        <v>15</v>
      </c>
      <c r="L499" s="13">
        <v>66</v>
      </c>
      <c r="M499" s="14">
        <v>82</v>
      </c>
      <c r="N499">
        <f t="shared" si="39"/>
        <v>65.2</v>
      </c>
      <c r="O499">
        <f t="shared" si="40"/>
        <v>10</v>
      </c>
      <c r="P499">
        <f t="shared" si="40"/>
        <v>8</v>
      </c>
      <c r="Q499">
        <f t="shared" si="40"/>
        <v>6</v>
      </c>
      <c r="R499">
        <f t="shared" si="38"/>
        <v>6</v>
      </c>
      <c r="S499">
        <v>1</v>
      </c>
      <c r="T499">
        <f t="shared" si="41"/>
        <v>35</v>
      </c>
      <c r="U499">
        <f t="shared" si="42"/>
        <v>30.2</v>
      </c>
      <c r="V499">
        <f t="shared" si="43"/>
        <v>1</v>
      </c>
    </row>
    <row r="500" spans="1:22" x14ac:dyDescent="0.35">
      <c r="A500" s="7" t="s">
        <v>657</v>
      </c>
      <c r="B500" s="8" t="s">
        <v>340</v>
      </c>
      <c r="C500" s="9">
        <v>0</v>
      </c>
      <c r="D500" s="9">
        <v>6</v>
      </c>
      <c r="E500" s="9">
        <v>6</v>
      </c>
      <c r="F500" s="9">
        <v>2</v>
      </c>
      <c r="G500" s="9">
        <v>4</v>
      </c>
      <c r="H500" s="9">
        <v>3</v>
      </c>
      <c r="I500" s="9">
        <v>15</v>
      </c>
      <c r="J500" s="9">
        <v>15</v>
      </c>
      <c r="K500" s="9">
        <v>58</v>
      </c>
      <c r="L500" s="9">
        <v>15</v>
      </c>
      <c r="M500" s="10">
        <v>87</v>
      </c>
      <c r="N500">
        <f t="shared" si="39"/>
        <v>41</v>
      </c>
      <c r="O500">
        <f t="shared" si="40"/>
        <v>10</v>
      </c>
      <c r="P500">
        <f t="shared" si="40"/>
        <v>0</v>
      </c>
      <c r="Q500">
        <f t="shared" si="40"/>
        <v>6</v>
      </c>
      <c r="R500">
        <f t="shared" si="38"/>
        <v>4</v>
      </c>
      <c r="S500">
        <v>1</v>
      </c>
      <c r="T500">
        <f t="shared" si="41"/>
        <v>22</v>
      </c>
      <c r="U500">
        <f t="shared" si="42"/>
        <v>19</v>
      </c>
      <c r="V500">
        <f t="shared" si="43"/>
        <v>1</v>
      </c>
    </row>
    <row r="501" spans="1:22" x14ac:dyDescent="0.35">
      <c r="A501" s="11" t="s">
        <v>658</v>
      </c>
      <c r="B501" s="12" t="s">
        <v>16</v>
      </c>
      <c r="C501" s="13">
        <v>4</v>
      </c>
      <c r="D501" s="13">
        <v>6</v>
      </c>
      <c r="E501" s="13">
        <v>6</v>
      </c>
      <c r="F501" s="13">
        <v>3</v>
      </c>
      <c r="G501" s="13">
        <v>6</v>
      </c>
      <c r="H501" s="13">
        <v>2</v>
      </c>
      <c r="I501" s="13">
        <v>69</v>
      </c>
      <c r="J501" s="13">
        <v>78</v>
      </c>
      <c r="K501" s="13">
        <v>32</v>
      </c>
      <c r="L501" s="13">
        <v>73</v>
      </c>
      <c r="M501" s="14">
        <v>93</v>
      </c>
      <c r="N501">
        <f t="shared" si="39"/>
        <v>64.5</v>
      </c>
      <c r="O501">
        <f t="shared" si="40"/>
        <v>10</v>
      </c>
      <c r="P501">
        <f t="shared" si="40"/>
        <v>4</v>
      </c>
      <c r="Q501">
        <f t="shared" si="40"/>
        <v>10</v>
      </c>
      <c r="R501">
        <f t="shared" si="38"/>
        <v>0</v>
      </c>
      <c r="S501">
        <v>1</v>
      </c>
      <c r="T501">
        <f t="shared" si="41"/>
        <v>30</v>
      </c>
      <c r="U501">
        <f t="shared" si="42"/>
        <v>34.5</v>
      </c>
      <c r="V501">
        <f t="shared" si="43"/>
        <v>0</v>
      </c>
    </row>
    <row r="502" spans="1:22" x14ac:dyDescent="0.35">
      <c r="A502" s="7" t="s">
        <v>659</v>
      </c>
      <c r="B502" s="8" t="s">
        <v>660</v>
      </c>
      <c r="C502" s="9">
        <v>7</v>
      </c>
      <c r="D502" s="9">
        <v>3</v>
      </c>
      <c r="E502" s="9">
        <v>4</v>
      </c>
      <c r="F502" s="9">
        <v>6</v>
      </c>
      <c r="G502" s="9">
        <v>3</v>
      </c>
      <c r="H502" s="9">
        <v>6</v>
      </c>
      <c r="I502" s="9">
        <v>14</v>
      </c>
      <c r="J502" s="9">
        <v>42</v>
      </c>
      <c r="K502" s="9">
        <v>40</v>
      </c>
      <c r="L502" s="9">
        <v>48</v>
      </c>
      <c r="M502" s="10">
        <v>35</v>
      </c>
      <c r="N502">
        <f t="shared" si="39"/>
        <v>54.9</v>
      </c>
      <c r="O502">
        <f t="shared" si="40"/>
        <v>6</v>
      </c>
      <c r="P502">
        <f t="shared" si="40"/>
        <v>10</v>
      </c>
      <c r="Q502">
        <f t="shared" si="40"/>
        <v>4</v>
      </c>
      <c r="R502">
        <f t="shared" si="38"/>
        <v>10</v>
      </c>
      <c r="S502">
        <v>1</v>
      </c>
      <c r="T502">
        <f t="shared" si="41"/>
        <v>37</v>
      </c>
      <c r="U502">
        <f t="shared" si="42"/>
        <v>17.899999999999999</v>
      </c>
      <c r="V502">
        <f t="shared" si="43"/>
        <v>1</v>
      </c>
    </row>
    <row r="503" spans="1:22" x14ac:dyDescent="0.35">
      <c r="A503" s="11" t="s">
        <v>661</v>
      </c>
      <c r="B503" s="12" t="s">
        <v>83</v>
      </c>
      <c r="C503" s="13">
        <v>5</v>
      </c>
      <c r="D503" s="13">
        <v>2</v>
      </c>
      <c r="E503" s="13">
        <v>5</v>
      </c>
      <c r="F503" s="13">
        <v>6</v>
      </c>
      <c r="G503" s="13">
        <v>3</v>
      </c>
      <c r="H503" s="13">
        <v>3</v>
      </c>
      <c r="I503" s="13">
        <v>90</v>
      </c>
      <c r="J503" s="13">
        <v>70</v>
      </c>
      <c r="K503" s="13">
        <v>84</v>
      </c>
      <c r="L503" s="13">
        <v>62</v>
      </c>
      <c r="M503" s="14">
        <v>20</v>
      </c>
      <c r="N503">
        <f t="shared" si="39"/>
        <v>63.6</v>
      </c>
      <c r="O503">
        <f t="shared" si="40"/>
        <v>8</v>
      </c>
      <c r="P503">
        <f t="shared" si="40"/>
        <v>10</v>
      </c>
      <c r="Q503">
        <f t="shared" si="40"/>
        <v>4</v>
      </c>
      <c r="R503">
        <f t="shared" si="38"/>
        <v>4</v>
      </c>
      <c r="S503">
        <v>1</v>
      </c>
      <c r="T503">
        <f t="shared" si="41"/>
        <v>31</v>
      </c>
      <c r="U503">
        <f t="shared" si="42"/>
        <v>32.6</v>
      </c>
      <c r="V503">
        <f t="shared" si="43"/>
        <v>0</v>
      </c>
    </row>
    <row r="504" spans="1:22" x14ac:dyDescent="0.35">
      <c r="A504" s="7" t="s">
        <v>662</v>
      </c>
      <c r="B504" s="8" t="s">
        <v>355</v>
      </c>
      <c r="C504" s="9">
        <v>1</v>
      </c>
      <c r="D504" s="9">
        <v>6</v>
      </c>
      <c r="E504" s="9">
        <v>4</v>
      </c>
      <c r="F504" s="9">
        <v>3</v>
      </c>
      <c r="G504" s="9">
        <v>3</v>
      </c>
      <c r="H504" s="9">
        <v>6</v>
      </c>
      <c r="I504" s="9">
        <v>79</v>
      </c>
      <c r="J504" s="9">
        <v>71</v>
      </c>
      <c r="K504" s="9">
        <v>89</v>
      </c>
      <c r="L504" s="9">
        <v>26</v>
      </c>
      <c r="M504" s="10">
        <v>96</v>
      </c>
      <c r="N504">
        <f t="shared" si="39"/>
        <v>63.1</v>
      </c>
      <c r="O504">
        <f t="shared" si="40"/>
        <v>6</v>
      </c>
      <c r="P504">
        <f t="shared" si="40"/>
        <v>4</v>
      </c>
      <c r="Q504">
        <f t="shared" si="40"/>
        <v>4</v>
      </c>
      <c r="R504">
        <f t="shared" si="38"/>
        <v>10</v>
      </c>
      <c r="S504">
        <v>1</v>
      </c>
      <c r="T504">
        <f t="shared" si="41"/>
        <v>27</v>
      </c>
      <c r="U504">
        <f t="shared" si="42"/>
        <v>36.1</v>
      </c>
      <c r="V504">
        <f t="shared" si="43"/>
        <v>0</v>
      </c>
    </row>
    <row r="505" spans="1:22" x14ac:dyDescent="0.35">
      <c r="A505" s="11" t="s">
        <v>663</v>
      </c>
      <c r="B505" s="12" t="s">
        <v>369</v>
      </c>
      <c r="C505" s="13">
        <v>5</v>
      </c>
      <c r="D505" s="13">
        <v>5</v>
      </c>
      <c r="E505" s="13">
        <v>6</v>
      </c>
      <c r="F505" s="13">
        <v>3</v>
      </c>
      <c r="G505" s="13">
        <v>4</v>
      </c>
      <c r="H505" s="13">
        <v>2</v>
      </c>
      <c r="I505" s="13">
        <v>45</v>
      </c>
      <c r="J505" s="13">
        <v>46</v>
      </c>
      <c r="K505" s="13">
        <v>47</v>
      </c>
      <c r="L505" s="13">
        <v>70</v>
      </c>
      <c r="M505" s="14">
        <v>56</v>
      </c>
      <c r="N505">
        <f t="shared" si="39"/>
        <v>51.4</v>
      </c>
      <c r="O505">
        <f t="shared" si="40"/>
        <v>10</v>
      </c>
      <c r="P505">
        <f t="shared" si="40"/>
        <v>4</v>
      </c>
      <c r="Q505">
        <f t="shared" si="40"/>
        <v>6</v>
      </c>
      <c r="R505">
        <f t="shared" si="38"/>
        <v>0</v>
      </c>
      <c r="S505">
        <v>1</v>
      </c>
      <c r="T505">
        <f t="shared" si="41"/>
        <v>25</v>
      </c>
      <c r="U505">
        <f t="shared" si="42"/>
        <v>26.4</v>
      </c>
      <c r="V505">
        <f t="shared" si="43"/>
        <v>0</v>
      </c>
    </row>
    <row r="506" spans="1:22" x14ac:dyDescent="0.35">
      <c r="A506" s="7" t="s">
        <v>235</v>
      </c>
      <c r="B506" s="8" t="s">
        <v>311</v>
      </c>
      <c r="C506" s="9">
        <v>6</v>
      </c>
      <c r="D506" s="9">
        <v>5</v>
      </c>
      <c r="E506" s="9">
        <v>6</v>
      </c>
      <c r="F506" s="9">
        <v>6</v>
      </c>
      <c r="G506" s="9">
        <v>5</v>
      </c>
      <c r="H506" s="9">
        <v>3</v>
      </c>
      <c r="I506" s="9">
        <v>100</v>
      </c>
      <c r="J506" s="9">
        <v>44</v>
      </c>
      <c r="K506" s="9">
        <v>54</v>
      </c>
      <c r="L506" s="9">
        <v>75</v>
      </c>
      <c r="M506" s="10">
        <v>64</v>
      </c>
      <c r="N506">
        <f t="shared" si="39"/>
        <v>71.7</v>
      </c>
      <c r="O506">
        <f t="shared" si="40"/>
        <v>10</v>
      </c>
      <c r="P506">
        <f t="shared" si="40"/>
        <v>10</v>
      </c>
      <c r="Q506">
        <f t="shared" si="40"/>
        <v>8</v>
      </c>
      <c r="R506">
        <f t="shared" si="38"/>
        <v>4</v>
      </c>
      <c r="S506">
        <v>1</v>
      </c>
      <c r="T506">
        <f t="shared" si="41"/>
        <v>38</v>
      </c>
      <c r="U506">
        <f t="shared" si="42"/>
        <v>33.700000000000003</v>
      </c>
      <c r="V506">
        <f t="shared" si="43"/>
        <v>1</v>
      </c>
    </row>
    <row r="507" spans="1:22" x14ac:dyDescent="0.35">
      <c r="A507" s="11" t="s">
        <v>211</v>
      </c>
      <c r="B507" s="12" t="s">
        <v>78</v>
      </c>
      <c r="C507" s="13">
        <v>5</v>
      </c>
      <c r="D507" s="13">
        <v>6</v>
      </c>
      <c r="E507" s="13">
        <v>5</v>
      </c>
      <c r="F507" s="13">
        <v>2</v>
      </c>
      <c r="G507" s="13">
        <v>2</v>
      </c>
      <c r="H507" s="13">
        <v>2</v>
      </c>
      <c r="I507" s="13">
        <v>74</v>
      </c>
      <c r="J507" s="13">
        <v>70</v>
      </c>
      <c r="K507" s="13">
        <v>43</v>
      </c>
      <c r="L507" s="13">
        <v>43</v>
      </c>
      <c r="M507" s="14">
        <v>37</v>
      </c>
      <c r="N507">
        <f t="shared" si="39"/>
        <v>41.7</v>
      </c>
      <c r="O507">
        <f t="shared" si="40"/>
        <v>8</v>
      </c>
      <c r="P507">
        <f t="shared" si="40"/>
        <v>0</v>
      </c>
      <c r="Q507">
        <f t="shared" si="40"/>
        <v>0</v>
      </c>
      <c r="R507">
        <f t="shared" si="38"/>
        <v>0</v>
      </c>
      <c r="S507">
        <v>1</v>
      </c>
      <c r="T507">
        <f t="shared" si="41"/>
        <v>15</v>
      </c>
      <c r="U507">
        <f t="shared" si="42"/>
        <v>26.7</v>
      </c>
      <c r="V507">
        <f t="shared" si="43"/>
        <v>0</v>
      </c>
    </row>
    <row r="508" spans="1:22" x14ac:dyDescent="0.35">
      <c r="A508" s="7" t="s">
        <v>664</v>
      </c>
      <c r="B508" s="8" t="s">
        <v>665</v>
      </c>
      <c r="C508" s="9">
        <v>8</v>
      </c>
      <c r="D508" s="9">
        <v>3</v>
      </c>
      <c r="E508" s="9">
        <v>3</v>
      </c>
      <c r="F508" s="9">
        <v>4</v>
      </c>
      <c r="G508" s="9">
        <v>5</v>
      </c>
      <c r="H508" s="9">
        <v>5</v>
      </c>
      <c r="I508" s="9">
        <v>78</v>
      </c>
      <c r="J508" s="9">
        <v>45</v>
      </c>
      <c r="K508" s="9">
        <v>23</v>
      </c>
      <c r="L508" s="9">
        <v>91</v>
      </c>
      <c r="M508" s="10">
        <v>58</v>
      </c>
      <c r="N508">
        <f t="shared" si="39"/>
        <v>63.5</v>
      </c>
      <c r="O508">
        <f t="shared" si="40"/>
        <v>4</v>
      </c>
      <c r="P508">
        <f t="shared" si="40"/>
        <v>6</v>
      </c>
      <c r="Q508">
        <f t="shared" si="40"/>
        <v>8</v>
      </c>
      <c r="R508">
        <f t="shared" si="38"/>
        <v>8</v>
      </c>
      <c r="S508">
        <v>1</v>
      </c>
      <c r="T508">
        <f t="shared" si="41"/>
        <v>34</v>
      </c>
      <c r="U508">
        <f t="shared" si="42"/>
        <v>29.5</v>
      </c>
      <c r="V508">
        <f t="shared" si="43"/>
        <v>1</v>
      </c>
    </row>
    <row r="509" spans="1:22" x14ac:dyDescent="0.35">
      <c r="A509" s="11" t="s">
        <v>666</v>
      </c>
      <c r="B509" s="12" t="s">
        <v>34</v>
      </c>
      <c r="C509" s="13">
        <v>4</v>
      </c>
      <c r="D509" s="13">
        <v>5</v>
      </c>
      <c r="E509" s="13">
        <v>3</v>
      </c>
      <c r="F509" s="13">
        <v>6</v>
      </c>
      <c r="G509" s="13">
        <v>6</v>
      </c>
      <c r="H509" s="13">
        <v>3</v>
      </c>
      <c r="I509" s="13">
        <v>23</v>
      </c>
      <c r="J509" s="13">
        <v>16</v>
      </c>
      <c r="K509" s="13">
        <v>85</v>
      </c>
      <c r="L509" s="13">
        <v>82</v>
      </c>
      <c r="M509" s="14">
        <v>75</v>
      </c>
      <c r="N509">
        <f t="shared" si="39"/>
        <v>60.1</v>
      </c>
      <c r="O509">
        <f t="shared" si="40"/>
        <v>4</v>
      </c>
      <c r="P509">
        <f t="shared" si="40"/>
        <v>10</v>
      </c>
      <c r="Q509">
        <f t="shared" si="40"/>
        <v>10</v>
      </c>
      <c r="R509">
        <f t="shared" si="38"/>
        <v>4</v>
      </c>
      <c r="S509">
        <v>1</v>
      </c>
      <c r="T509">
        <f t="shared" si="41"/>
        <v>32</v>
      </c>
      <c r="U509">
        <f t="shared" si="42"/>
        <v>28.1</v>
      </c>
      <c r="V509">
        <f t="shared" si="43"/>
        <v>1</v>
      </c>
    </row>
    <row r="510" spans="1:22" x14ac:dyDescent="0.35">
      <c r="A510" s="7" t="s">
        <v>667</v>
      </c>
      <c r="B510" s="8" t="s">
        <v>203</v>
      </c>
      <c r="C510" s="9">
        <v>1</v>
      </c>
      <c r="D510" s="9">
        <v>2</v>
      </c>
      <c r="E510" s="9">
        <v>5</v>
      </c>
      <c r="F510" s="9">
        <v>2</v>
      </c>
      <c r="G510" s="9">
        <v>6</v>
      </c>
      <c r="H510" s="9">
        <v>6</v>
      </c>
      <c r="I510" s="9">
        <v>62</v>
      </c>
      <c r="J510" s="9">
        <v>89</v>
      </c>
      <c r="K510" s="9">
        <v>20</v>
      </c>
      <c r="L510" s="9">
        <v>56</v>
      </c>
      <c r="M510" s="10">
        <v>80</v>
      </c>
      <c r="N510">
        <f t="shared" si="39"/>
        <v>59.7</v>
      </c>
      <c r="O510">
        <f t="shared" si="40"/>
        <v>8</v>
      </c>
      <c r="P510">
        <f t="shared" si="40"/>
        <v>0</v>
      </c>
      <c r="Q510">
        <f t="shared" si="40"/>
        <v>10</v>
      </c>
      <c r="R510">
        <f t="shared" si="38"/>
        <v>10</v>
      </c>
      <c r="S510">
        <v>1</v>
      </c>
      <c r="T510">
        <f t="shared" si="41"/>
        <v>29</v>
      </c>
      <c r="U510">
        <f t="shared" si="42"/>
        <v>30.7</v>
      </c>
      <c r="V510">
        <f t="shared" si="43"/>
        <v>0</v>
      </c>
    </row>
    <row r="511" spans="1:22" x14ac:dyDescent="0.35">
      <c r="A511" s="11" t="s">
        <v>668</v>
      </c>
      <c r="B511" s="12" t="s">
        <v>83</v>
      </c>
      <c r="C511" s="13">
        <v>6</v>
      </c>
      <c r="D511" s="13">
        <v>6</v>
      </c>
      <c r="E511" s="13">
        <v>5</v>
      </c>
      <c r="F511" s="13">
        <v>6</v>
      </c>
      <c r="G511" s="13">
        <v>2</v>
      </c>
      <c r="H511" s="13">
        <v>4</v>
      </c>
      <c r="I511" s="13">
        <v>22</v>
      </c>
      <c r="J511" s="13">
        <v>29</v>
      </c>
      <c r="K511" s="13">
        <v>31</v>
      </c>
      <c r="L511" s="13">
        <v>9</v>
      </c>
      <c r="M511" s="14">
        <v>56</v>
      </c>
      <c r="N511">
        <f t="shared" si="39"/>
        <v>46.7</v>
      </c>
      <c r="O511">
        <f t="shared" si="40"/>
        <v>8</v>
      </c>
      <c r="P511">
        <f t="shared" si="40"/>
        <v>10</v>
      </c>
      <c r="Q511">
        <f t="shared" si="40"/>
        <v>0</v>
      </c>
      <c r="R511">
        <f t="shared" si="38"/>
        <v>6</v>
      </c>
      <c r="S511">
        <v>1</v>
      </c>
      <c r="T511">
        <f t="shared" si="41"/>
        <v>32</v>
      </c>
      <c r="U511">
        <f t="shared" si="42"/>
        <v>14.7</v>
      </c>
      <c r="V511">
        <f t="shared" si="43"/>
        <v>1</v>
      </c>
    </row>
    <row r="512" spans="1:22" x14ac:dyDescent="0.35">
      <c r="A512" s="7" t="s">
        <v>669</v>
      </c>
      <c r="B512" s="8" t="s">
        <v>540</v>
      </c>
      <c r="C512" s="9">
        <v>8</v>
      </c>
      <c r="D512" s="9">
        <v>3</v>
      </c>
      <c r="E512" s="9">
        <v>4</v>
      </c>
      <c r="F512" s="9">
        <v>5</v>
      </c>
      <c r="G512" s="9">
        <v>2</v>
      </c>
      <c r="H512" s="9">
        <v>4</v>
      </c>
      <c r="I512" s="9">
        <v>30</v>
      </c>
      <c r="J512" s="9">
        <v>10</v>
      </c>
      <c r="K512" s="9">
        <v>78</v>
      </c>
      <c r="L512" s="9">
        <v>57</v>
      </c>
      <c r="M512" s="10">
        <v>67</v>
      </c>
      <c r="N512">
        <f t="shared" si="39"/>
        <v>52.2</v>
      </c>
      <c r="O512">
        <f t="shared" si="40"/>
        <v>6</v>
      </c>
      <c r="P512">
        <f t="shared" si="40"/>
        <v>8</v>
      </c>
      <c r="Q512">
        <f t="shared" si="40"/>
        <v>0</v>
      </c>
      <c r="R512">
        <f t="shared" si="38"/>
        <v>6</v>
      </c>
      <c r="S512">
        <v>1</v>
      </c>
      <c r="T512">
        <f t="shared" si="41"/>
        <v>28</v>
      </c>
      <c r="U512">
        <f t="shared" si="42"/>
        <v>24.2</v>
      </c>
      <c r="V512">
        <f t="shared" si="43"/>
        <v>1</v>
      </c>
    </row>
    <row r="513" spans="1:22" x14ac:dyDescent="0.35">
      <c r="A513" s="11" t="s">
        <v>670</v>
      </c>
      <c r="B513" s="12" t="s">
        <v>302</v>
      </c>
      <c r="C513" s="13">
        <v>7</v>
      </c>
      <c r="D513" s="13">
        <v>6</v>
      </c>
      <c r="E513" s="13">
        <v>4</v>
      </c>
      <c r="F513" s="13">
        <v>6</v>
      </c>
      <c r="G513" s="13">
        <v>2</v>
      </c>
      <c r="H513" s="13">
        <v>2</v>
      </c>
      <c r="I513" s="13">
        <v>29</v>
      </c>
      <c r="J513" s="13">
        <v>64</v>
      </c>
      <c r="K513" s="13">
        <v>39</v>
      </c>
      <c r="L513" s="13">
        <v>62</v>
      </c>
      <c r="M513" s="14">
        <v>1</v>
      </c>
      <c r="N513">
        <f t="shared" si="39"/>
        <v>44.5</v>
      </c>
      <c r="O513">
        <f t="shared" si="40"/>
        <v>6</v>
      </c>
      <c r="P513">
        <f t="shared" si="40"/>
        <v>10</v>
      </c>
      <c r="Q513">
        <f t="shared" si="40"/>
        <v>0</v>
      </c>
      <c r="R513">
        <f t="shared" si="38"/>
        <v>0</v>
      </c>
      <c r="S513">
        <v>1</v>
      </c>
      <c r="T513">
        <f t="shared" si="41"/>
        <v>25</v>
      </c>
      <c r="U513">
        <f t="shared" si="42"/>
        <v>19.5</v>
      </c>
      <c r="V513">
        <f t="shared" si="43"/>
        <v>1</v>
      </c>
    </row>
    <row r="514" spans="1:22" x14ac:dyDescent="0.35">
      <c r="A514" s="7" t="s">
        <v>671</v>
      </c>
      <c r="B514" s="8" t="s">
        <v>101</v>
      </c>
      <c r="C514" s="9">
        <v>3</v>
      </c>
      <c r="D514" s="9">
        <v>2</v>
      </c>
      <c r="E514" s="9">
        <v>2</v>
      </c>
      <c r="F514" s="9">
        <v>3</v>
      </c>
      <c r="G514" s="9">
        <v>5</v>
      </c>
      <c r="H514" s="9">
        <v>4</v>
      </c>
      <c r="I514" s="9">
        <v>32</v>
      </c>
      <c r="J514" s="9">
        <v>80</v>
      </c>
      <c r="K514" s="9">
        <v>47</v>
      </c>
      <c r="L514" s="9">
        <v>98</v>
      </c>
      <c r="M514" s="10">
        <v>30</v>
      </c>
      <c r="N514">
        <f t="shared" si="39"/>
        <v>49.7</v>
      </c>
      <c r="O514">
        <f t="shared" si="40"/>
        <v>0</v>
      </c>
      <c r="P514">
        <f t="shared" si="40"/>
        <v>4</v>
      </c>
      <c r="Q514">
        <f t="shared" si="40"/>
        <v>8</v>
      </c>
      <c r="R514">
        <f t="shared" si="40"/>
        <v>6</v>
      </c>
      <c r="S514">
        <v>1</v>
      </c>
      <c r="T514">
        <f t="shared" si="41"/>
        <v>21</v>
      </c>
      <c r="U514">
        <f t="shared" si="42"/>
        <v>28.7</v>
      </c>
      <c r="V514">
        <f t="shared" si="43"/>
        <v>0</v>
      </c>
    </row>
    <row r="515" spans="1:22" x14ac:dyDescent="0.35">
      <c r="A515" s="15" t="s">
        <v>269</v>
      </c>
      <c r="B515" s="16" t="s">
        <v>171</v>
      </c>
      <c r="C515" s="2">
        <v>3</v>
      </c>
      <c r="D515" s="2">
        <v>5</v>
      </c>
      <c r="E515" s="2">
        <v>2</v>
      </c>
      <c r="F515" s="2">
        <v>3</v>
      </c>
      <c r="G515" s="2">
        <v>2</v>
      </c>
      <c r="H515" s="2">
        <v>6</v>
      </c>
      <c r="I515" s="2">
        <v>81</v>
      </c>
      <c r="J515" s="2">
        <v>8</v>
      </c>
      <c r="K515" s="2">
        <v>48</v>
      </c>
      <c r="L515" s="2">
        <v>7</v>
      </c>
      <c r="M515" s="3">
        <v>21</v>
      </c>
      <c r="N515">
        <f t="shared" ref="N515" si="44">C515+IF(D515=6,2,0) +SUM(O515:R515) +SUM(I515:M515)/10</f>
        <v>33.5</v>
      </c>
      <c r="O515">
        <f t="shared" ref="O515:R515" si="45">IF(E515=2,0,IF(E515=3,4,IF(E515=4,6,IF(E515=5,8,IF(E515=6,10,0)))))</f>
        <v>0</v>
      </c>
      <c r="P515">
        <f t="shared" si="45"/>
        <v>4</v>
      </c>
      <c r="Q515">
        <f t="shared" si="45"/>
        <v>0</v>
      </c>
      <c r="R515">
        <f t="shared" si="45"/>
        <v>10</v>
      </c>
      <c r="S515">
        <v>1</v>
      </c>
      <c r="T515">
        <f t="shared" ref="T515" si="46">C515+IF(D515=6,2,0) +SUM(O515:R515)</f>
        <v>17</v>
      </c>
      <c r="U515">
        <f t="shared" ref="U515" si="47">SUM(I515:M515)/10</f>
        <v>16.5</v>
      </c>
      <c r="V515">
        <f t="shared" ref="V515" si="48">IF(T515&gt;U515,1,0)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DFF341-40DA-4788-B2FE-3EE738CDBC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Oleg Psiarz</cp:lastModifiedBy>
  <dcterms:created xsi:type="dcterms:W3CDTF">2015-06-05T18:19:34Z</dcterms:created>
  <dcterms:modified xsi:type="dcterms:W3CDTF">2026-01-26T20:24:30Z</dcterms:modified>
</cp:coreProperties>
</file>