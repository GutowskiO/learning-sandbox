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cke\zbior zadan\excel\85\"/>
    </mc:Choice>
  </mc:AlternateContent>
  <xr:revisionPtr revIDLastSave="0" documentId="8_{D718D74C-218A-43EC-93B1-A2EFB2ED55D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scypki" sheetId="1" r:id="rId1"/>
    <sheet name="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2" l="1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8" i="2"/>
  <c r="D9" i="2"/>
  <c r="H161" i="2"/>
  <c r="G161" i="2"/>
  <c r="G160" i="2"/>
  <c r="H160" i="2" s="1"/>
  <c r="G159" i="2"/>
  <c r="H159" i="2" s="1"/>
  <c r="H158" i="2"/>
  <c r="G158" i="2"/>
  <c r="H157" i="2"/>
  <c r="G157" i="2"/>
  <c r="H156" i="2"/>
  <c r="G156" i="2"/>
  <c r="G155" i="2"/>
  <c r="H155" i="2" s="1"/>
  <c r="G154" i="2"/>
  <c r="H154" i="2" s="1"/>
  <c r="H153" i="2"/>
  <c r="G153" i="2"/>
  <c r="G152" i="2"/>
  <c r="H152" i="2" s="1"/>
  <c r="H151" i="2"/>
  <c r="G151" i="2"/>
  <c r="G150" i="2"/>
  <c r="H150" i="2" s="1"/>
  <c r="H149" i="2"/>
  <c r="G149" i="2"/>
  <c r="G148" i="2"/>
  <c r="H148" i="2" s="1"/>
  <c r="G147" i="2"/>
  <c r="H147" i="2" s="1"/>
  <c r="G146" i="2"/>
  <c r="H146" i="2" s="1"/>
  <c r="G145" i="2"/>
  <c r="H145" i="2" s="1"/>
  <c r="G144" i="2"/>
  <c r="H144" i="2" s="1"/>
  <c r="H143" i="2"/>
  <c r="G143" i="2"/>
  <c r="H142" i="2"/>
  <c r="G142" i="2"/>
  <c r="H141" i="2"/>
  <c r="G141" i="2"/>
  <c r="H140" i="2"/>
  <c r="G140" i="2"/>
  <c r="G139" i="2"/>
  <c r="H139" i="2" s="1"/>
  <c r="G138" i="2"/>
  <c r="H138" i="2" s="1"/>
  <c r="H137" i="2"/>
  <c r="G137" i="2"/>
  <c r="H136" i="2"/>
  <c r="G136" i="2"/>
  <c r="H135" i="2"/>
  <c r="G135" i="2"/>
  <c r="H134" i="2"/>
  <c r="G134" i="2"/>
  <c r="G133" i="2"/>
  <c r="H133" i="2" s="1"/>
  <c r="H132" i="2"/>
  <c r="G132" i="2"/>
  <c r="G131" i="2"/>
  <c r="H131" i="2" s="1"/>
  <c r="G130" i="2"/>
  <c r="H130" i="2" s="1"/>
  <c r="H129" i="2"/>
  <c r="G129" i="2"/>
  <c r="H128" i="2"/>
  <c r="G128" i="2"/>
  <c r="H127" i="2"/>
  <c r="G127" i="2"/>
  <c r="H126" i="2"/>
  <c r="G126" i="2"/>
  <c r="G125" i="2"/>
  <c r="H125" i="2" s="1"/>
  <c r="H124" i="2"/>
  <c r="G124" i="2"/>
  <c r="G123" i="2"/>
  <c r="H123" i="2" s="1"/>
  <c r="G122" i="2"/>
  <c r="H122" i="2" s="1"/>
  <c r="H121" i="2"/>
  <c r="G121" i="2"/>
  <c r="H120" i="2"/>
  <c r="G120" i="2"/>
  <c r="H119" i="2"/>
  <c r="G119" i="2"/>
  <c r="H118" i="2"/>
  <c r="G118" i="2"/>
  <c r="G117" i="2"/>
  <c r="H117" i="2" s="1"/>
  <c r="H116" i="2"/>
  <c r="G116" i="2"/>
  <c r="G115" i="2"/>
  <c r="H115" i="2" s="1"/>
  <c r="G114" i="2"/>
  <c r="H114" i="2" s="1"/>
  <c r="H113" i="2"/>
  <c r="G113" i="2"/>
  <c r="H112" i="2"/>
  <c r="G112" i="2"/>
  <c r="H111" i="2"/>
  <c r="G111" i="2"/>
  <c r="H110" i="2"/>
  <c r="G110" i="2"/>
  <c r="H109" i="2"/>
  <c r="G109" i="2"/>
  <c r="H108" i="2"/>
  <c r="G108" i="2"/>
  <c r="G107" i="2"/>
  <c r="H107" i="2" s="1"/>
  <c r="G106" i="2"/>
  <c r="H106" i="2" s="1"/>
  <c r="H105" i="2"/>
  <c r="G105" i="2"/>
  <c r="G104" i="2"/>
  <c r="H104" i="2" s="1"/>
  <c r="H103" i="2"/>
  <c r="G103" i="2"/>
  <c r="H102" i="2"/>
  <c r="G102" i="2"/>
  <c r="G101" i="2"/>
  <c r="H101" i="2" s="1"/>
  <c r="G100" i="2"/>
  <c r="H100" i="2" s="1"/>
  <c r="G99" i="2"/>
  <c r="H99" i="2" s="1"/>
  <c r="H98" i="2"/>
  <c r="G98" i="2"/>
  <c r="G97" i="2"/>
  <c r="H97" i="2" s="1"/>
  <c r="G96" i="2"/>
  <c r="H96" i="2" s="1"/>
  <c r="G95" i="2"/>
  <c r="H95" i="2" s="1"/>
  <c r="H94" i="2"/>
  <c r="G94" i="2"/>
  <c r="H93" i="2"/>
  <c r="G93" i="2"/>
  <c r="G92" i="2"/>
  <c r="H92" i="2" s="1"/>
  <c r="H91" i="2"/>
  <c r="G91" i="2"/>
  <c r="H90" i="2"/>
  <c r="G90" i="2"/>
  <c r="G89" i="2"/>
  <c r="H89" i="2" s="1"/>
  <c r="G88" i="2"/>
  <c r="H88" i="2" s="1"/>
  <c r="H87" i="2"/>
  <c r="G87" i="2"/>
  <c r="H86" i="2"/>
  <c r="G86" i="2"/>
  <c r="H85" i="2"/>
  <c r="G85" i="2"/>
  <c r="G84" i="2"/>
  <c r="H84" i="2" s="1"/>
  <c r="H83" i="2"/>
  <c r="G83" i="2"/>
  <c r="H82" i="2"/>
  <c r="G82" i="2"/>
  <c r="G81" i="2"/>
  <c r="H81" i="2" s="1"/>
  <c r="G80" i="2"/>
  <c r="H80" i="2" s="1"/>
  <c r="H79" i="2"/>
  <c r="G79" i="2"/>
  <c r="G78" i="2"/>
  <c r="H78" i="2" s="1"/>
  <c r="H77" i="2"/>
  <c r="G77" i="2"/>
  <c r="H76" i="2"/>
  <c r="G76" i="2"/>
  <c r="G75" i="2"/>
  <c r="H75" i="2" s="1"/>
  <c r="H74" i="2"/>
  <c r="G74" i="2"/>
  <c r="G73" i="2"/>
  <c r="H73" i="2" s="1"/>
  <c r="G72" i="2"/>
  <c r="H72" i="2" s="1"/>
  <c r="H71" i="2"/>
  <c r="G71" i="2"/>
  <c r="H70" i="2"/>
  <c r="G70" i="2"/>
  <c r="H69" i="2"/>
  <c r="G69" i="2"/>
  <c r="H68" i="2"/>
  <c r="G68" i="2"/>
  <c r="G67" i="2"/>
  <c r="H67" i="2" s="1"/>
  <c r="H66" i="2"/>
  <c r="G66" i="2"/>
  <c r="G65" i="2"/>
  <c r="H65" i="2" s="1"/>
  <c r="G64" i="2"/>
  <c r="H64" i="2" s="1"/>
  <c r="H63" i="2"/>
  <c r="G63" i="2"/>
  <c r="H62" i="2"/>
  <c r="G62" i="2"/>
  <c r="H61" i="2"/>
  <c r="G61" i="2"/>
  <c r="G60" i="2"/>
  <c r="H60" i="2" s="1"/>
  <c r="G59" i="2"/>
  <c r="H59" i="2" s="1"/>
  <c r="H58" i="2"/>
  <c r="G58" i="2"/>
  <c r="G57" i="2"/>
  <c r="H57" i="2" s="1"/>
  <c r="G56" i="2"/>
  <c r="H56" i="2" s="1"/>
  <c r="H55" i="2"/>
  <c r="G55" i="2"/>
  <c r="G54" i="2"/>
  <c r="H54" i="2" s="1"/>
  <c r="H53" i="2"/>
  <c r="G53" i="2"/>
  <c r="G52" i="2"/>
  <c r="H52" i="2" s="1"/>
  <c r="G51" i="2"/>
  <c r="H51" i="2" s="1"/>
  <c r="H50" i="2"/>
  <c r="G50" i="2"/>
  <c r="G49" i="2"/>
  <c r="H49" i="2" s="1"/>
  <c r="G48" i="2"/>
  <c r="H48" i="2" s="1"/>
  <c r="H47" i="2"/>
  <c r="G47" i="2"/>
  <c r="G46" i="2"/>
  <c r="H46" i="2" s="1"/>
  <c r="G45" i="2"/>
  <c r="H45" i="2" s="1"/>
  <c r="G44" i="2"/>
  <c r="H44" i="2" s="1"/>
  <c r="H43" i="2"/>
  <c r="G43" i="2"/>
  <c r="G42" i="2"/>
  <c r="H42" i="2" s="1"/>
  <c r="G41" i="2"/>
  <c r="H41" i="2" s="1"/>
  <c r="H40" i="2"/>
  <c r="G40" i="2"/>
  <c r="G39" i="2"/>
  <c r="H39" i="2" s="1"/>
  <c r="H38" i="2"/>
  <c r="G38" i="2"/>
  <c r="H37" i="2"/>
  <c r="G37" i="2"/>
  <c r="H36" i="2"/>
  <c r="G36" i="2"/>
  <c r="G35" i="2"/>
  <c r="H35" i="2" s="1"/>
  <c r="H34" i="2"/>
  <c r="G34" i="2"/>
  <c r="G33" i="2"/>
  <c r="H33" i="2" s="1"/>
  <c r="H32" i="2"/>
  <c r="G32" i="2"/>
  <c r="G31" i="2"/>
  <c r="H31" i="2" s="1"/>
  <c r="H30" i="2"/>
  <c r="G30" i="2"/>
  <c r="H29" i="2"/>
  <c r="G29" i="2"/>
  <c r="H28" i="2"/>
  <c r="G28" i="2"/>
  <c r="G27" i="2"/>
  <c r="H27" i="2" s="1"/>
  <c r="H26" i="2"/>
  <c r="G26" i="2"/>
  <c r="G25" i="2"/>
  <c r="H25" i="2" s="1"/>
  <c r="H24" i="2"/>
  <c r="G24" i="2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D8" i="2"/>
  <c r="B8" i="2"/>
  <c r="G7" i="2"/>
  <c r="D7" i="2"/>
  <c r="B7" i="2" s="1"/>
  <c r="G6" i="2"/>
  <c r="D6" i="2"/>
  <c r="B6" i="2" s="1"/>
  <c r="G5" i="2"/>
  <c r="D5" i="2"/>
  <c r="B5" i="2" s="1"/>
  <c r="G4" i="2"/>
  <c r="D4" i="2"/>
  <c r="C4" i="2"/>
  <c r="C5" i="2" s="1"/>
  <c r="C6" i="2" s="1"/>
  <c r="C7" i="2" s="1"/>
  <c r="C8" i="2" s="1"/>
  <c r="B4" i="2"/>
  <c r="G3" i="2"/>
  <c r="F3" i="2"/>
  <c r="F4" i="2" s="1"/>
  <c r="F5" i="2" s="1"/>
  <c r="F6" i="2" s="1"/>
  <c r="F7" i="2" s="1"/>
  <c r="D3" i="2"/>
  <c r="B3" i="2" s="1"/>
  <c r="C3" i="2"/>
  <c r="G2" i="2"/>
  <c r="D2" i="2"/>
  <c r="B2" i="2"/>
  <c r="D66" i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65" i="1"/>
  <c r="I9" i="1"/>
  <c r="F10" i="1"/>
  <c r="I10" i="1" s="1"/>
  <c r="F11" i="1" s="1"/>
  <c r="I11" i="1" s="1"/>
  <c r="F12" i="1" s="1"/>
  <c r="I12" i="1" s="1"/>
  <c r="F13" i="1" s="1"/>
  <c r="I13" i="1" s="1"/>
  <c r="F14" i="1" s="1"/>
  <c r="I14" i="1" s="1"/>
  <c r="F15" i="1" s="1"/>
  <c r="I15" i="1" s="1"/>
  <c r="F16" i="1" s="1"/>
  <c r="I16" i="1" s="1"/>
  <c r="F17" i="1" s="1"/>
  <c r="I17" i="1" s="1"/>
  <c r="F18" i="1" s="1"/>
  <c r="I18" i="1" s="1"/>
  <c r="F19" i="1" s="1"/>
  <c r="I19" i="1" s="1"/>
  <c r="F20" i="1" s="1"/>
  <c r="I20" i="1" s="1"/>
  <c r="F21" i="1" s="1"/>
  <c r="I21" i="1" s="1"/>
  <c r="F22" i="1" s="1"/>
  <c r="I22" i="1" s="1"/>
  <c r="F23" i="1" s="1"/>
  <c r="I23" i="1" s="1"/>
  <c r="F24" i="1" s="1"/>
  <c r="I24" i="1" s="1"/>
  <c r="F25" i="1" s="1"/>
  <c r="I25" i="1" s="1"/>
  <c r="F26" i="1" s="1"/>
  <c r="I26" i="1" s="1"/>
  <c r="F27" i="1" s="1"/>
  <c r="I27" i="1" s="1"/>
  <c r="F28" i="1" s="1"/>
  <c r="I28" i="1" s="1"/>
  <c r="F29" i="1" s="1"/>
  <c r="I29" i="1" s="1"/>
  <c r="F30" i="1" s="1"/>
  <c r="I30" i="1" s="1"/>
  <c r="F31" i="1" s="1"/>
  <c r="I31" i="1" s="1"/>
  <c r="F32" i="1" s="1"/>
  <c r="I32" i="1" s="1"/>
  <c r="F33" i="1" s="1"/>
  <c r="I33" i="1" s="1"/>
  <c r="F34" i="1" s="1"/>
  <c r="I34" i="1" s="1"/>
  <c r="F35" i="1" s="1"/>
  <c r="I35" i="1" s="1"/>
  <c r="F36" i="1" s="1"/>
  <c r="I36" i="1" s="1"/>
  <c r="F37" i="1" s="1"/>
  <c r="I37" i="1" s="1"/>
  <c r="F38" i="1" s="1"/>
  <c r="I38" i="1" s="1"/>
  <c r="F39" i="1" s="1"/>
  <c r="I39" i="1" s="1"/>
  <c r="F40" i="1" s="1"/>
  <c r="I40" i="1" s="1"/>
  <c r="F41" i="1" s="1"/>
  <c r="I41" i="1" s="1"/>
  <c r="F42" i="1" s="1"/>
  <c r="I42" i="1" s="1"/>
  <c r="F43" i="1" s="1"/>
  <c r="I43" i="1" s="1"/>
  <c r="F44" i="1" s="1"/>
  <c r="I44" i="1" s="1"/>
  <c r="F45" i="1" s="1"/>
  <c r="I45" i="1" s="1"/>
  <c r="F46" i="1" s="1"/>
  <c r="I46" i="1" s="1"/>
  <c r="F47" i="1" s="1"/>
  <c r="I47" i="1" s="1"/>
  <c r="F48" i="1" s="1"/>
  <c r="I48" i="1" s="1"/>
  <c r="F49" i="1" s="1"/>
  <c r="I49" i="1" s="1"/>
  <c r="F50" i="1" s="1"/>
  <c r="I50" i="1" s="1"/>
  <c r="F51" i="1" s="1"/>
  <c r="I51" i="1" s="1"/>
  <c r="F52" i="1" s="1"/>
  <c r="I52" i="1" s="1"/>
  <c r="F53" i="1" s="1"/>
  <c r="I53" i="1" s="1"/>
  <c r="F54" i="1" s="1"/>
  <c r="I54" i="1" s="1"/>
  <c r="F55" i="1" s="1"/>
  <c r="I55" i="1" s="1"/>
  <c r="F56" i="1" s="1"/>
  <c r="I56" i="1" s="1"/>
  <c r="F57" i="1" s="1"/>
  <c r="I57" i="1" s="1"/>
  <c r="F58" i="1" s="1"/>
  <c r="I58" i="1" s="1"/>
  <c r="F59" i="1" s="1"/>
  <c r="I59" i="1" s="1"/>
  <c r="F60" i="1" s="1"/>
  <c r="I60" i="1" s="1"/>
  <c r="F61" i="1" s="1"/>
  <c r="I61" i="1" s="1"/>
  <c r="F62" i="1" s="1"/>
  <c r="I62" i="1" s="1"/>
  <c r="F63" i="1" s="1"/>
  <c r="I63" i="1" s="1"/>
  <c r="F64" i="1" s="1"/>
  <c r="I64" i="1" s="1"/>
  <c r="F65" i="1" s="1"/>
  <c r="I65" i="1" s="1"/>
  <c r="F66" i="1" s="1"/>
  <c r="I66" i="1" s="1"/>
  <c r="F67" i="1" s="1"/>
  <c r="I67" i="1" s="1"/>
  <c r="F68" i="1" s="1"/>
  <c r="I68" i="1" s="1"/>
  <c r="F69" i="1" s="1"/>
  <c r="I69" i="1" s="1"/>
  <c r="F70" i="1" s="1"/>
  <c r="I70" i="1" s="1"/>
  <c r="F9" i="1"/>
  <c r="I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2" i="1"/>
  <c r="F4" i="1"/>
  <c r="F5" i="1" s="1"/>
  <c r="F6" i="1" s="1"/>
  <c r="F7" i="1" s="1"/>
  <c r="F8" i="1" s="1"/>
  <c r="F3" i="1"/>
  <c r="B3" i="1"/>
  <c r="E9" i="1" s="1"/>
  <c r="B4" i="1"/>
  <c r="E10" i="1" s="1"/>
  <c r="B6" i="1"/>
  <c r="E12" i="1" s="1"/>
  <c r="B8" i="1"/>
  <c r="E14" i="1" s="1"/>
  <c r="B2" i="1"/>
  <c r="E8" i="1" s="1"/>
  <c r="D3" i="1"/>
  <c r="D4" i="1"/>
  <c r="D5" i="1"/>
  <c r="B5" i="1" s="1"/>
  <c r="E11" i="1" s="1"/>
  <c r="D6" i="1"/>
  <c r="D7" i="1"/>
  <c r="B7" i="1" s="1"/>
  <c r="E13" i="1" s="1"/>
  <c r="D8" i="1"/>
  <c r="D2" i="1"/>
  <c r="C3" i="1"/>
  <c r="C4" i="1" s="1"/>
  <c r="C5" i="1" s="1"/>
  <c r="C6" i="1" s="1"/>
  <c r="C7" i="1" s="1"/>
  <c r="C8" i="1" s="1"/>
  <c r="B9" i="2" l="1"/>
  <c r="C9" i="2"/>
  <c r="F8" i="2"/>
  <c r="C9" i="1"/>
  <c r="D9" i="1"/>
  <c r="B9" i="1" s="1"/>
  <c r="E15" i="1" s="1"/>
  <c r="I8" i="2" l="1"/>
  <c r="F9" i="2" s="1"/>
  <c r="J8" i="2"/>
  <c r="D10" i="2"/>
  <c r="B10" i="2" s="1"/>
  <c r="C10" i="2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D10" i="1"/>
  <c r="I9" i="2" l="1"/>
  <c r="F10" i="2" s="1"/>
  <c r="J9" i="2"/>
  <c r="D11" i="2"/>
  <c r="B11" i="2" s="1"/>
  <c r="C11" i="2"/>
  <c r="D11" i="1"/>
  <c r="B10" i="1"/>
  <c r="E16" i="1" s="1"/>
  <c r="C95" i="1"/>
  <c r="I10" i="2" l="1"/>
  <c r="F11" i="2" s="1"/>
  <c r="J10" i="2"/>
  <c r="D12" i="2"/>
  <c r="B12" i="2" s="1"/>
  <c r="C12" i="2"/>
  <c r="C96" i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D12" i="1"/>
  <c r="B11" i="1"/>
  <c r="E17" i="1" s="1"/>
  <c r="I11" i="2" l="1"/>
  <c r="F12" i="2" s="1"/>
  <c r="J11" i="2"/>
  <c r="D13" i="2"/>
  <c r="B13" i="2" s="1"/>
  <c r="C13" i="2"/>
  <c r="D13" i="1"/>
  <c r="B12" i="1"/>
  <c r="E18" i="1" s="1"/>
  <c r="I12" i="2" l="1"/>
  <c r="F13" i="2" s="1"/>
  <c r="J12" i="2"/>
  <c r="D14" i="2"/>
  <c r="B14" i="2" s="1"/>
  <c r="C14" i="2"/>
  <c r="D14" i="1"/>
  <c r="B13" i="1"/>
  <c r="E19" i="1" s="1"/>
  <c r="I13" i="2" l="1"/>
  <c r="F14" i="2" s="1"/>
  <c r="J13" i="2"/>
  <c r="D15" i="2"/>
  <c r="B15" i="2" s="1"/>
  <c r="C15" i="2"/>
  <c r="D15" i="1"/>
  <c r="B14" i="1"/>
  <c r="E20" i="1" s="1"/>
  <c r="I14" i="2" l="1"/>
  <c r="F15" i="2" s="1"/>
  <c r="J14" i="2"/>
  <c r="D16" i="2"/>
  <c r="B16" i="2" s="1"/>
  <c r="C16" i="2"/>
  <c r="D16" i="1"/>
  <c r="B15" i="1"/>
  <c r="E21" i="1" s="1"/>
  <c r="I15" i="2" l="1"/>
  <c r="F16" i="2" s="1"/>
  <c r="J15" i="2"/>
  <c r="D17" i="2"/>
  <c r="B17" i="2" s="1"/>
  <c r="C17" i="2"/>
  <c r="D17" i="1"/>
  <c r="B16" i="1"/>
  <c r="E22" i="1" s="1"/>
  <c r="I16" i="2" l="1"/>
  <c r="F17" i="2" s="1"/>
  <c r="J16" i="2"/>
  <c r="D18" i="2"/>
  <c r="B18" i="2" s="1"/>
  <c r="C18" i="2"/>
  <c r="D18" i="1"/>
  <c r="B17" i="1"/>
  <c r="E23" i="1" s="1"/>
  <c r="I17" i="2" l="1"/>
  <c r="F18" i="2" s="1"/>
  <c r="J17" i="2"/>
  <c r="D19" i="2"/>
  <c r="B19" i="2" s="1"/>
  <c r="C19" i="2"/>
  <c r="D19" i="1"/>
  <c r="B18" i="1"/>
  <c r="E24" i="1" s="1"/>
  <c r="J18" i="2" l="1"/>
  <c r="I18" i="2"/>
  <c r="F19" i="2" s="1"/>
  <c r="D20" i="2"/>
  <c r="B20" i="2" s="1"/>
  <c r="C20" i="2"/>
  <c r="D20" i="1"/>
  <c r="B19" i="1"/>
  <c r="E25" i="1" s="1"/>
  <c r="I19" i="2" l="1"/>
  <c r="F20" i="2" s="1"/>
  <c r="J19" i="2"/>
  <c r="D21" i="2"/>
  <c r="B21" i="2" s="1"/>
  <c r="C21" i="2"/>
  <c r="D21" i="1"/>
  <c r="B20" i="1"/>
  <c r="E26" i="1" s="1"/>
  <c r="J20" i="2" l="1"/>
  <c r="I20" i="2"/>
  <c r="F21" i="2" s="1"/>
  <c r="D22" i="2"/>
  <c r="B22" i="2" s="1"/>
  <c r="C22" i="2"/>
  <c r="D22" i="1"/>
  <c r="B21" i="1"/>
  <c r="E27" i="1" s="1"/>
  <c r="J21" i="2" l="1"/>
  <c r="I21" i="2"/>
  <c r="F22" i="2" s="1"/>
  <c r="D23" i="2"/>
  <c r="B23" i="2" s="1"/>
  <c r="C23" i="2"/>
  <c r="D23" i="1"/>
  <c r="B22" i="1"/>
  <c r="E28" i="1" s="1"/>
  <c r="I22" i="2" l="1"/>
  <c r="F23" i="2" s="1"/>
  <c r="J22" i="2"/>
  <c r="D24" i="2"/>
  <c r="B24" i="2" s="1"/>
  <c r="C24" i="2"/>
  <c r="D24" i="1"/>
  <c r="B23" i="1"/>
  <c r="E29" i="1" s="1"/>
  <c r="I23" i="2" l="1"/>
  <c r="F24" i="2" s="1"/>
  <c r="J23" i="2"/>
  <c r="D25" i="2"/>
  <c r="B25" i="2" s="1"/>
  <c r="C25" i="2"/>
  <c r="D25" i="1"/>
  <c r="B24" i="1"/>
  <c r="E30" i="1" s="1"/>
  <c r="I24" i="2" l="1"/>
  <c r="F25" i="2" s="1"/>
  <c r="J24" i="2"/>
  <c r="D26" i="2"/>
  <c r="B26" i="2" s="1"/>
  <c r="C26" i="2"/>
  <c r="D26" i="1"/>
  <c r="B25" i="1"/>
  <c r="E31" i="1" s="1"/>
  <c r="I25" i="2" l="1"/>
  <c r="F26" i="2" s="1"/>
  <c r="J25" i="2"/>
  <c r="C27" i="2"/>
  <c r="D27" i="2"/>
  <c r="B27" i="2" s="1"/>
  <c r="D27" i="1"/>
  <c r="B26" i="1"/>
  <c r="E32" i="1" s="1"/>
  <c r="I26" i="2" l="1"/>
  <c r="F27" i="2" s="1"/>
  <c r="J26" i="2"/>
  <c r="C28" i="2"/>
  <c r="D28" i="2"/>
  <c r="B28" i="2" s="1"/>
  <c r="D28" i="1"/>
  <c r="B27" i="1"/>
  <c r="E33" i="1" s="1"/>
  <c r="I27" i="2" l="1"/>
  <c r="F28" i="2" s="1"/>
  <c r="J27" i="2"/>
  <c r="D29" i="2"/>
  <c r="B29" i="2" s="1"/>
  <c r="C29" i="2"/>
  <c r="D29" i="1"/>
  <c r="B28" i="1"/>
  <c r="E34" i="1" s="1"/>
  <c r="I28" i="2" l="1"/>
  <c r="F29" i="2" s="1"/>
  <c r="J28" i="2"/>
  <c r="D30" i="2"/>
  <c r="B30" i="2" s="1"/>
  <c r="C30" i="2"/>
  <c r="D30" i="1"/>
  <c r="B29" i="1"/>
  <c r="E35" i="1" s="1"/>
  <c r="J29" i="2" l="1"/>
  <c r="I29" i="2"/>
  <c r="F30" i="2" s="1"/>
  <c r="D31" i="2"/>
  <c r="B31" i="2" s="1"/>
  <c r="C31" i="2"/>
  <c r="D31" i="1"/>
  <c r="B30" i="1"/>
  <c r="E36" i="1" s="1"/>
  <c r="I30" i="2" l="1"/>
  <c r="F31" i="2" s="1"/>
  <c r="J30" i="2"/>
  <c r="D32" i="2"/>
  <c r="B32" i="2" s="1"/>
  <c r="C32" i="2"/>
  <c r="D32" i="1"/>
  <c r="B31" i="1"/>
  <c r="E37" i="1" s="1"/>
  <c r="I31" i="2" l="1"/>
  <c r="F32" i="2" s="1"/>
  <c r="J31" i="2"/>
  <c r="D33" i="2"/>
  <c r="B33" i="2" s="1"/>
  <c r="C33" i="2"/>
  <c r="D33" i="1"/>
  <c r="B32" i="1"/>
  <c r="E38" i="1" s="1"/>
  <c r="I32" i="2" l="1"/>
  <c r="F33" i="2" s="1"/>
  <c r="J32" i="2"/>
  <c r="D34" i="2"/>
  <c r="B34" i="2" s="1"/>
  <c r="C34" i="2"/>
  <c r="D34" i="1"/>
  <c r="B33" i="1"/>
  <c r="E39" i="1" s="1"/>
  <c r="I33" i="2" l="1"/>
  <c r="F34" i="2" s="1"/>
  <c r="J33" i="2"/>
  <c r="C35" i="2"/>
  <c r="D35" i="2"/>
  <c r="B35" i="2" s="1"/>
  <c r="D35" i="1"/>
  <c r="B34" i="1"/>
  <c r="E40" i="1" s="1"/>
  <c r="I34" i="2" l="1"/>
  <c r="F35" i="2" s="1"/>
  <c r="J34" i="2"/>
  <c r="C36" i="2"/>
  <c r="D36" i="2"/>
  <c r="B36" i="2" s="1"/>
  <c r="D36" i="1"/>
  <c r="B35" i="1"/>
  <c r="E41" i="1" s="1"/>
  <c r="I35" i="2" l="1"/>
  <c r="F36" i="2" s="1"/>
  <c r="J35" i="2"/>
  <c r="D37" i="2"/>
  <c r="B37" i="2" s="1"/>
  <c r="C37" i="2"/>
  <c r="D37" i="1"/>
  <c r="B36" i="1"/>
  <c r="E42" i="1" s="1"/>
  <c r="I36" i="2" l="1"/>
  <c r="F37" i="2" s="1"/>
  <c r="J36" i="2"/>
  <c r="D38" i="2"/>
  <c r="B38" i="2" s="1"/>
  <c r="C38" i="2"/>
  <c r="D38" i="1"/>
  <c r="B37" i="1"/>
  <c r="E43" i="1" s="1"/>
  <c r="I37" i="2" l="1"/>
  <c r="F38" i="2" s="1"/>
  <c r="J37" i="2"/>
  <c r="D39" i="2"/>
  <c r="B39" i="2" s="1"/>
  <c r="C39" i="2"/>
  <c r="D39" i="1"/>
  <c r="B38" i="1"/>
  <c r="E44" i="1" s="1"/>
  <c r="I38" i="2" l="1"/>
  <c r="F39" i="2" s="1"/>
  <c r="J38" i="2"/>
  <c r="D40" i="2"/>
  <c r="B40" i="2" s="1"/>
  <c r="C40" i="2"/>
  <c r="D40" i="1"/>
  <c r="B39" i="1"/>
  <c r="E45" i="1" s="1"/>
  <c r="I39" i="2" l="1"/>
  <c r="F40" i="2" s="1"/>
  <c r="J39" i="2"/>
  <c r="D41" i="2"/>
  <c r="B41" i="2" s="1"/>
  <c r="C41" i="2"/>
  <c r="D41" i="1"/>
  <c r="B40" i="1"/>
  <c r="E46" i="1" s="1"/>
  <c r="I40" i="2" l="1"/>
  <c r="F41" i="2" s="1"/>
  <c r="J40" i="2"/>
  <c r="C42" i="2"/>
  <c r="D42" i="2"/>
  <c r="B42" i="2" s="1"/>
  <c r="D42" i="1"/>
  <c r="B41" i="1"/>
  <c r="E47" i="1" s="1"/>
  <c r="I41" i="2" l="1"/>
  <c r="F42" i="2" s="1"/>
  <c r="J41" i="2"/>
  <c r="C43" i="2"/>
  <c r="D43" i="2"/>
  <c r="B43" i="2" s="1"/>
  <c r="D43" i="1"/>
  <c r="B42" i="1"/>
  <c r="E48" i="1" s="1"/>
  <c r="I42" i="2" l="1"/>
  <c r="F43" i="2" s="1"/>
  <c r="J42" i="2"/>
  <c r="D44" i="2"/>
  <c r="B44" i="2" s="1"/>
  <c r="C44" i="2"/>
  <c r="D44" i="1"/>
  <c r="B43" i="1"/>
  <c r="E49" i="1" s="1"/>
  <c r="I43" i="2" l="1"/>
  <c r="F44" i="2" s="1"/>
  <c r="J43" i="2"/>
  <c r="D45" i="2"/>
  <c r="B45" i="2" s="1"/>
  <c r="C45" i="2"/>
  <c r="D45" i="1"/>
  <c r="B44" i="1"/>
  <c r="E50" i="1" s="1"/>
  <c r="I44" i="2" l="1"/>
  <c r="F45" i="2" s="1"/>
  <c r="J44" i="2"/>
  <c r="D46" i="2"/>
  <c r="B46" i="2" s="1"/>
  <c r="C46" i="2"/>
  <c r="D46" i="1"/>
  <c r="B45" i="1"/>
  <c r="E51" i="1" s="1"/>
  <c r="I45" i="2" l="1"/>
  <c r="F46" i="2" s="1"/>
  <c r="J45" i="2"/>
  <c r="C47" i="2"/>
  <c r="D47" i="2"/>
  <c r="B47" i="2" s="1"/>
  <c r="D47" i="1"/>
  <c r="B46" i="1"/>
  <c r="E52" i="1" s="1"/>
  <c r="J46" i="2" l="1"/>
  <c r="I46" i="2"/>
  <c r="F47" i="2" s="1"/>
  <c r="D48" i="2"/>
  <c r="B48" i="2" s="1"/>
  <c r="C48" i="2"/>
  <c r="D48" i="1"/>
  <c r="B47" i="1"/>
  <c r="E53" i="1" s="1"/>
  <c r="I47" i="2" l="1"/>
  <c r="F48" i="2" s="1"/>
  <c r="J47" i="2"/>
  <c r="D49" i="2"/>
  <c r="B49" i="2" s="1"/>
  <c r="C49" i="2"/>
  <c r="D49" i="1"/>
  <c r="B48" i="1"/>
  <c r="E54" i="1" s="1"/>
  <c r="I48" i="2" l="1"/>
  <c r="F49" i="2" s="1"/>
  <c r="J48" i="2"/>
  <c r="D50" i="2"/>
  <c r="B50" i="2" s="1"/>
  <c r="C50" i="2"/>
  <c r="D50" i="1"/>
  <c r="B49" i="1"/>
  <c r="E55" i="1" s="1"/>
  <c r="I49" i="2" l="1"/>
  <c r="F50" i="2" s="1"/>
  <c r="J49" i="2"/>
  <c r="C51" i="2"/>
  <c r="D51" i="2"/>
  <c r="B51" i="2" s="1"/>
  <c r="D51" i="1"/>
  <c r="B50" i="1"/>
  <c r="E56" i="1" s="1"/>
  <c r="I50" i="2" l="1"/>
  <c r="F51" i="2" s="1"/>
  <c r="J50" i="2"/>
  <c r="D52" i="2"/>
  <c r="B52" i="2" s="1"/>
  <c r="C52" i="2"/>
  <c r="D52" i="1"/>
  <c r="B51" i="1"/>
  <c r="E57" i="1" s="1"/>
  <c r="I51" i="2" l="1"/>
  <c r="F52" i="2" s="1"/>
  <c r="J51" i="2"/>
  <c r="D53" i="2"/>
  <c r="B53" i="2" s="1"/>
  <c r="C53" i="2"/>
  <c r="D53" i="1"/>
  <c r="B52" i="1"/>
  <c r="E58" i="1" s="1"/>
  <c r="I52" i="2" l="1"/>
  <c r="F53" i="2" s="1"/>
  <c r="J52" i="2"/>
  <c r="C54" i="2"/>
  <c r="D54" i="2"/>
  <c r="B54" i="2" s="1"/>
  <c r="D54" i="1"/>
  <c r="B53" i="1"/>
  <c r="E59" i="1" s="1"/>
  <c r="I53" i="2" l="1"/>
  <c r="F54" i="2" s="1"/>
  <c r="J53" i="2"/>
  <c r="D55" i="2"/>
  <c r="B55" i="2" s="1"/>
  <c r="C55" i="2"/>
  <c r="D55" i="1"/>
  <c r="B54" i="1"/>
  <c r="E60" i="1" s="1"/>
  <c r="I54" i="2" l="1"/>
  <c r="F55" i="2" s="1"/>
  <c r="J54" i="2"/>
  <c r="D56" i="2"/>
  <c r="B56" i="2" s="1"/>
  <c r="C56" i="2"/>
  <c r="D56" i="1"/>
  <c r="B55" i="1"/>
  <c r="E61" i="1" s="1"/>
  <c r="I55" i="2" l="1"/>
  <c r="F56" i="2" s="1"/>
  <c r="J55" i="2"/>
  <c r="D57" i="2"/>
  <c r="B57" i="2" s="1"/>
  <c r="C57" i="2"/>
  <c r="D57" i="1"/>
  <c r="B56" i="1"/>
  <c r="E62" i="1" s="1"/>
  <c r="I56" i="2" l="1"/>
  <c r="F57" i="2" s="1"/>
  <c r="J56" i="2"/>
  <c r="C58" i="2"/>
  <c r="D58" i="2"/>
  <c r="B58" i="2" s="1"/>
  <c r="D58" i="1"/>
  <c r="B57" i="1"/>
  <c r="E63" i="1" s="1"/>
  <c r="I57" i="2" l="1"/>
  <c r="F58" i="2" s="1"/>
  <c r="J57" i="2"/>
  <c r="D59" i="2"/>
  <c r="B59" i="2" s="1"/>
  <c r="C59" i="2"/>
  <c r="D59" i="1"/>
  <c r="B58" i="1"/>
  <c r="E64" i="1" s="1"/>
  <c r="I58" i="2" l="1"/>
  <c r="F59" i="2" s="1"/>
  <c r="J58" i="2"/>
  <c r="D60" i="2"/>
  <c r="B60" i="2" s="1"/>
  <c r="C60" i="2"/>
  <c r="D60" i="1"/>
  <c r="B59" i="1"/>
  <c r="E65" i="1" s="1"/>
  <c r="I59" i="2" l="1"/>
  <c r="F60" i="2" s="1"/>
  <c r="J59" i="2"/>
  <c r="D61" i="2"/>
  <c r="B61" i="2" s="1"/>
  <c r="C61" i="2"/>
  <c r="D61" i="1"/>
  <c r="B60" i="1"/>
  <c r="E66" i="1" s="1"/>
  <c r="I60" i="2" l="1"/>
  <c r="F61" i="2" s="1"/>
  <c r="J60" i="2"/>
  <c r="C62" i="2"/>
  <c r="D62" i="2"/>
  <c r="B62" i="2" s="1"/>
  <c r="D62" i="1"/>
  <c r="B61" i="1"/>
  <c r="E67" i="1" s="1"/>
  <c r="I61" i="2" l="1"/>
  <c r="F62" i="2" s="1"/>
  <c r="J61" i="2"/>
  <c r="D63" i="2"/>
  <c r="B63" i="2" s="1"/>
  <c r="C63" i="2"/>
  <c r="D63" i="1"/>
  <c r="B62" i="1"/>
  <c r="E68" i="1" s="1"/>
  <c r="I62" i="2" l="1"/>
  <c r="F63" i="2" s="1"/>
  <c r="J62" i="2"/>
  <c r="C64" i="2"/>
  <c r="D64" i="2"/>
  <c r="B64" i="2" s="1"/>
  <c r="D64" i="1"/>
  <c r="B63" i="1"/>
  <c r="E69" i="1" s="1"/>
  <c r="I63" i="2" l="1"/>
  <c r="F64" i="2" s="1"/>
  <c r="J63" i="2"/>
  <c r="D65" i="2"/>
  <c r="B65" i="2" s="1"/>
  <c r="C65" i="2"/>
  <c r="B64" i="1"/>
  <c r="E70" i="1" s="1"/>
  <c r="I64" i="2" l="1"/>
  <c r="F65" i="2" s="1"/>
  <c r="J64" i="2"/>
  <c r="C66" i="2"/>
  <c r="D66" i="2"/>
  <c r="B66" i="2" s="1"/>
  <c r="B65" i="1"/>
  <c r="I65" i="2" l="1"/>
  <c r="F66" i="2" s="1"/>
  <c r="J65" i="2"/>
  <c r="D67" i="2"/>
  <c r="B67" i="2" s="1"/>
  <c r="C67" i="2"/>
  <c r="E71" i="1"/>
  <c r="F71" i="1" s="1"/>
  <c r="I71" i="1" s="1"/>
  <c r="B66" i="1"/>
  <c r="E72" i="1" s="1"/>
  <c r="I66" i="2" l="1"/>
  <c r="F67" i="2" s="1"/>
  <c r="J66" i="2"/>
  <c r="D68" i="2"/>
  <c r="B68" i="2" s="1"/>
  <c r="C68" i="2"/>
  <c r="F72" i="1"/>
  <c r="I72" i="1" s="1"/>
  <c r="B67" i="1"/>
  <c r="E73" i="1" s="1"/>
  <c r="I67" i="2" l="1"/>
  <c r="F68" i="2" s="1"/>
  <c r="J67" i="2"/>
  <c r="D69" i="2"/>
  <c r="B69" i="2" s="1"/>
  <c r="C69" i="2"/>
  <c r="F73" i="1"/>
  <c r="I73" i="1" s="1"/>
  <c r="B68" i="1"/>
  <c r="E74" i="1" s="1"/>
  <c r="J68" i="2" l="1"/>
  <c r="I68" i="2"/>
  <c r="F69" i="2" s="1"/>
  <c r="C70" i="2"/>
  <c r="D70" i="2"/>
  <c r="B70" i="2" s="1"/>
  <c r="F74" i="1"/>
  <c r="I74" i="1" s="1"/>
  <c r="B69" i="1"/>
  <c r="I69" i="2" l="1"/>
  <c r="F70" i="2" s="1"/>
  <c r="J69" i="2"/>
  <c r="D71" i="2"/>
  <c r="B71" i="2" s="1"/>
  <c r="C71" i="2"/>
  <c r="E75" i="1"/>
  <c r="F75" i="1" s="1"/>
  <c r="I75" i="1" s="1"/>
  <c r="B70" i="1"/>
  <c r="E76" i="1" s="1"/>
  <c r="I70" i="2" l="1"/>
  <c r="F71" i="2" s="1"/>
  <c r="J70" i="2"/>
  <c r="D72" i="2"/>
  <c r="B72" i="2" s="1"/>
  <c r="C72" i="2"/>
  <c r="F76" i="1"/>
  <c r="I76" i="1" s="1"/>
  <c r="B71" i="1"/>
  <c r="E77" i="1" s="1"/>
  <c r="I71" i="2" l="1"/>
  <c r="F72" i="2" s="1"/>
  <c r="J71" i="2"/>
  <c r="C73" i="2"/>
  <c r="D73" i="2"/>
  <c r="B73" i="2" s="1"/>
  <c r="F77" i="1"/>
  <c r="I77" i="1" s="1"/>
  <c r="B72" i="1"/>
  <c r="E78" i="1" s="1"/>
  <c r="I72" i="2" l="1"/>
  <c r="F73" i="2" s="1"/>
  <c r="J72" i="2"/>
  <c r="D74" i="2"/>
  <c r="B74" i="2" s="1"/>
  <c r="C74" i="2"/>
  <c r="F78" i="1"/>
  <c r="I78" i="1" s="1"/>
  <c r="B73" i="1"/>
  <c r="E79" i="1" s="1"/>
  <c r="I73" i="2" l="1"/>
  <c r="F74" i="2" s="1"/>
  <c r="J73" i="2"/>
  <c r="D75" i="2"/>
  <c r="B75" i="2" s="1"/>
  <c r="C75" i="2"/>
  <c r="F79" i="1"/>
  <c r="I79" i="1" s="1"/>
  <c r="B74" i="1"/>
  <c r="E80" i="1" s="1"/>
  <c r="I74" i="2" l="1"/>
  <c r="F75" i="2" s="1"/>
  <c r="J74" i="2"/>
  <c r="D76" i="2"/>
  <c r="B76" i="2" s="1"/>
  <c r="C76" i="2"/>
  <c r="F80" i="1"/>
  <c r="I80" i="1" s="1"/>
  <c r="B75" i="1"/>
  <c r="E81" i="1" s="1"/>
  <c r="I75" i="2" l="1"/>
  <c r="F76" i="2" s="1"/>
  <c r="J75" i="2"/>
  <c r="C77" i="2"/>
  <c r="D77" i="2"/>
  <c r="B77" i="2" s="1"/>
  <c r="F81" i="1"/>
  <c r="I81" i="1" s="1"/>
  <c r="B76" i="1"/>
  <c r="E82" i="1" s="1"/>
  <c r="I76" i="2" l="1"/>
  <c r="F77" i="2" s="1"/>
  <c r="J76" i="2"/>
  <c r="C78" i="2"/>
  <c r="D78" i="2"/>
  <c r="B78" i="2" s="1"/>
  <c r="F82" i="1"/>
  <c r="I82" i="1" s="1"/>
  <c r="B77" i="1"/>
  <c r="E83" i="1" s="1"/>
  <c r="F83" i="1" s="1"/>
  <c r="I83" i="1" s="1"/>
  <c r="I77" i="2" l="1"/>
  <c r="F78" i="2" s="1"/>
  <c r="J77" i="2"/>
  <c r="C79" i="2"/>
  <c r="D79" i="2"/>
  <c r="B79" i="2" s="1"/>
  <c r="B78" i="1"/>
  <c r="E84" i="1" s="1"/>
  <c r="F84" i="1" s="1"/>
  <c r="I84" i="1" s="1"/>
  <c r="I78" i="2" l="1"/>
  <c r="F79" i="2" s="1"/>
  <c r="J78" i="2"/>
  <c r="C80" i="2"/>
  <c r="D80" i="2"/>
  <c r="B80" i="2" s="1"/>
  <c r="B79" i="1"/>
  <c r="E85" i="1" s="1"/>
  <c r="F85" i="1" s="1"/>
  <c r="I85" i="1" s="1"/>
  <c r="I79" i="2" l="1"/>
  <c r="F80" i="2" s="1"/>
  <c r="J79" i="2"/>
  <c r="C81" i="2"/>
  <c r="D81" i="2"/>
  <c r="B81" i="2" s="1"/>
  <c r="B80" i="1"/>
  <c r="E86" i="1" s="1"/>
  <c r="F86" i="1" s="1"/>
  <c r="I86" i="1" s="1"/>
  <c r="I80" i="2" l="1"/>
  <c r="F81" i="2" s="1"/>
  <c r="J80" i="2"/>
  <c r="C82" i="2"/>
  <c r="D82" i="2"/>
  <c r="B82" i="2" s="1"/>
  <c r="B81" i="1"/>
  <c r="E87" i="1" s="1"/>
  <c r="F87" i="1" s="1"/>
  <c r="I87" i="1" s="1"/>
  <c r="I81" i="2" l="1"/>
  <c r="F82" i="2" s="1"/>
  <c r="J81" i="2"/>
  <c r="C83" i="2"/>
  <c r="D83" i="2"/>
  <c r="B83" i="2" s="1"/>
  <c r="B82" i="1"/>
  <c r="E88" i="1" s="1"/>
  <c r="F88" i="1" s="1"/>
  <c r="I88" i="1" s="1"/>
  <c r="I82" i="2" l="1"/>
  <c r="F83" i="2" s="1"/>
  <c r="J82" i="2"/>
  <c r="C84" i="2"/>
  <c r="D84" i="2"/>
  <c r="B84" i="2" s="1"/>
  <c r="B83" i="1"/>
  <c r="E89" i="1" s="1"/>
  <c r="F89" i="1" s="1"/>
  <c r="I89" i="1" s="1"/>
  <c r="I83" i="2" l="1"/>
  <c r="F84" i="2" s="1"/>
  <c r="J83" i="2"/>
  <c r="C85" i="2"/>
  <c r="D85" i="2"/>
  <c r="B85" i="2" s="1"/>
  <c r="B84" i="1"/>
  <c r="E90" i="1" s="1"/>
  <c r="F90" i="1" s="1"/>
  <c r="I90" i="1" s="1"/>
  <c r="J84" i="2" l="1"/>
  <c r="I84" i="2"/>
  <c r="F85" i="2" s="1"/>
  <c r="C86" i="2"/>
  <c r="D86" i="2"/>
  <c r="B86" i="2" s="1"/>
  <c r="B85" i="1"/>
  <c r="E91" i="1" s="1"/>
  <c r="F91" i="1" s="1"/>
  <c r="I91" i="1" s="1"/>
  <c r="I85" i="2" l="1"/>
  <c r="F86" i="2" s="1"/>
  <c r="J85" i="2"/>
  <c r="C87" i="2"/>
  <c r="D87" i="2"/>
  <c r="B87" i="2" s="1"/>
  <c r="B86" i="1"/>
  <c r="E92" i="1" s="1"/>
  <c r="F92" i="1" s="1"/>
  <c r="I92" i="1" s="1"/>
  <c r="I86" i="2" l="1"/>
  <c r="F87" i="2" s="1"/>
  <c r="J86" i="2"/>
  <c r="C88" i="2"/>
  <c r="D88" i="2"/>
  <c r="B88" i="2" s="1"/>
  <c r="B87" i="1"/>
  <c r="E93" i="1" s="1"/>
  <c r="F93" i="1" s="1"/>
  <c r="I93" i="1" s="1"/>
  <c r="I87" i="2" l="1"/>
  <c r="F88" i="2" s="1"/>
  <c r="J87" i="2"/>
  <c r="C89" i="2"/>
  <c r="D89" i="2"/>
  <c r="B89" i="2" s="1"/>
  <c r="B88" i="1"/>
  <c r="E94" i="1" s="1"/>
  <c r="F94" i="1" s="1"/>
  <c r="I94" i="1" s="1"/>
  <c r="I88" i="2" l="1"/>
  <c r="F89" i="2" s="1"/>
  <c r="J88" i="2"/>
  <c r="C90" i="2"/>
  <c r="D90" i="2"/>
  <c r="B90" i="2" s="1"/>
  <c r="B89" i="1"/>
  <c r="E95" i="1" s="1"/>
  <c r="F95" i="1" s="1"/>
  <c r="I95" i="1" s="1"/>
  <c r="I89" i="2" l="1"/>
  <c r="F90" i="2" s="1"/>
  <c r="J89" i="2"/>
  <c r="C91" i="2"/>
  <c r="D91" i="2"/>
  <c r="B91" i="2" s="1"/>
  <c r="B90" i="1"/>
  <c r="E96" i="1" s="1"/>
  <c r="F96" i="1" s="1"/>
  <c r="I96" i="1" s="1"/>
  <c r="J90" i="2" l="1"/>
  <c r="I90" i="2"/>
  <c r="F91" i="2" s="1"/>
  <c r="C92" i="2"/>
  <c r="D92" i="2"/>
  <c r="B92" i="2" s="1"/>
  <c r="B91" i="1"/>
  <c r="E97" i="1" s="1"/>
  <c r="F97" i="1" s="1"/>
  <c r="I97" i="1" s="1"/>
  <c r="I91" i="2" l="1"/>
  <c r="F92" i="2" s="1"/>
  <c r="J91" i="2"/>
  <c r="C93" i="2"/>
  <c r="D93" i="2"/>
  <c r="B93" i="2" s="1"/>
  <c r="B92" i="1"/>
  <c r="E98" i="1" s="1"/>
  <c r="F98" i="1" s="1"/>
  <c r="I98" i="1" s="1"/>
  <c r="J92" i="2" l="1"/>
  <c r="I92" i="2"/>
  <c r="F93" i="2" s="1"/>
  <c r="C94" i="2"/>
  <c r="D94" i="2"/>
  <c r="B94" i="2" s="1"/>
  <c r="B93" i="1"/>
  <c r="E99" i="1" s="1"/>
  <c r="F99" i="1" s="1"/>
  <c r="I99" i="1" s="1"/>
  <c r="I93" i="2" l="1"/>
  <c r="F94" i="2" s="1"/>
  <c r="J93" i="2"/>
  <c r="C95" i="2"/>
  <c r="D95" i="2"/>
  <c r="B95" i="2" s="1"/>
  <c r="B94" i="1"/>
  <c r="E100" i="1" s="1"/>
  <c r="F100" i="1" s="1"/>
  <c r="I100" i="1" s="1"/>
  <c r="I94" i="2" l="1"/>
  <c r="F95" i="2" s="1"/>
  <c r="J94" i="2"/>
  <c r="C96" i="2"/>
  <c r="D96" i="2"/>
  <c r="B96" i="2" s="1"/>
  <c r="B95" i="1"/>
  <c r="E101" i="1" s="1"/>
  <c r="F101" i="1" s="1"/>
  <c r="I101" i="1" s="1"/>
  <c r="I95" i="2" l="1"/>
  <c r="F96" i="2" s="1"/>
  <c r="J95" i="2"/>
  <c r="C97" i="2"/>
  <c r="D97" i="2"/>
  <c r="B97" i="2" s="1"/>
  <c r="B96" i="1"/>
  <c r="E102" i="1" s="1"/>
  <c r="F102" i="1" s="1"/>
  <c r="I102" i="1" s="1"/>
  <c r="I96" i="2" l="1"/>
  <c r="F97" i="2" s="1"/>
  <c r="J96" i="2"/>
  <c r="C98" i="2"/>
  <c r="D98" i="2"/>
  <c r="B98" i="2" s="1"/>
  <c r="B97" i="1"/>
  <c r="E103" i="1" s="1"/>
  <c r="F103" i="1" s="1"/>
  <c r="I103" i="1" s="1"/>
  <c r="J97" i="2" l="1"/>
  <c r="I97" i="2"/>
  <c r="F98" i="2" s="1"/>
  <c r="C99" i="2"/>
  <c r="D99" i="2"/>
  <c r="B99" i="2" s="1"/>
  <c r="B98" i="1"/>
  <c r="E104" i="1" s="1"/>
  <c r="F104" i="1" s="1"/>
  <c r="I104" i="1" s="1"/>
  <c r="I98" i="2" l="1"/>
  <c r="F99" i="2" s="1"/>
  <c r="J98" i="2"/>
  <c r="C100" i="2"/>
  <c r="D100" i="2"/>
  <c r="B100" i="2" s="1"/>
  <c r="B99" i="1"/>
  <c r="E105" i="1" s="1"/>
  <c r="F105" i="1" s="1"/>
  <c r="I105" i="1" s="1"/>
  <c r="I99" i="2" l="1"/>
  <c r="F100" i="2" s="1"/>
  <c r="J99" i="2"/>
  <c r="C101" i="2"/>
  <c r="D101" i="2"/>
  <c r="B101" i="2" s="1"/>
  <c r="B100" i="1"/>
  <c r="E106" i="1" s="1"/>
  <c r="F106" i="1" s="1"/>
  <c r="I106" i="1" s="1"/>
  <c r="I100" i="2" l="1"/>
  <c r="F101" i="2" s="1"/>
  <c r="J100" i="2"/>
  <c r="C102" i="2"/>
  <c r="D102" i="2"/>
  <c r="B102" i="2" s="1"/>
  <c r="B101" i="1"/>
  <c r="E107" i="1" s="1"/>
  <c r="F107" i="1" s="1"/>
  <c r="I107" i="1" s="1"/>
  <c r="I101" i="2" l="1"/>
  <c r="F102" i="2" s="1"/>
  <c r="J101" i="2"/>
  <c r="C103" i="2"/>
  <c r="D103" i="2"/>
  <c r="B103" i="2" s="1"/>
  <c r="B102" i="1"/>
  <c r="E108" i="1" s="1"/>
  <c r="F108" i="1" s="1"/>
  <c r="I108" i="1" s="1"/>
  <c r="J102" i="2" l="1"/>
  <c r="I102" i="2"/>
  <c r="F103" i="2" s="1"/>
  <c r="C104" i="2"/>
  <c r="D104" i="2"/>
  <c r="B104" i="2" s="1"/>
  <c r="B103" i="1"/>
  <c r="E109" i="1" s="1"/>
  <c r="F109" i="1" s="1"/>
  <c r="I109" i="1" s="1"/>
  <c r="I103" i="2" l="1"/>
  <c r="F104" i="2" s="1"/>
  <c r="J103" i="2"/>
  <c r="C105" i="2"/>
  <c r="D105" i="2"/>
  <c r="B105" i="2" s="1"/>
  <c r="B104" i="1"/>
  <c r="E110" i="1" s="1"/>
  <c r="F110" i="1" s="1"/>
  <c r="I110" i="1" s="1"/>
  <c r="I104" i="2" l="1"/>
  <c r="F105" i="2" s="1"/>
  <c r="J104" i="2"/>
  <c r="D106" i="2"/>
  <c r="B106" i="2" s="1"/>
  <c r="C106" i="2"/>
  <c r="B105" i="1"/>
  <c r="E111" i="1" s="1"/>
  <c r="F111" i="1" s="1"/>
  <c r="I111" i="1" s="1"/>
  <c r="I105" i="2" l="1"/>
  <c r="F106" i="2" s="1"/>
  <c r="J105" i="2"/>
  <c r="D107" i="2"/>
  <c r="B107" i="2" s="1"/>
  <c r="C107" i="2"/>
  <c r="B106" i="1"/>
  <c r="E112" i="1" s="1"/>
  <c r="F112" i="1" s="1"/>
  <c r="I112" i="1" s="1"/>
  <c r="I106" i="2" l="1"/>
  <c r="F107" i="2" s="1"/>
  <c r="J106" i="2"/>
  <c r="D108" i="2"/>
  <c r="B108" i="2" s="1"/>
  <c r="C108" i="2"/>
  <c r="B107" i="1"/>
  <c r="E113" i="1" s="1"/>
  <c r="F113" i="1" s="1"/>
  <c r="I113" i="1" s="1"/>
  <c r="I107" i="2" l="1"/>
  <c r="F108" i="2" s="1"/>
  <c r="J107" i="2"/>
  <c r="D109" i="2"/>
  <c r="B109" i="2" s="1"/>
  <c r="C109" i="2"/>
  <c r="B108" i="1"/>
  <c r="E114" i="1" s="1"/>
  <c r="F114" i="1" s="1"/>
  <c r="I114" i="1" s="1"/>
  <c r="I108" i="2" l="1"/>
  <c r="F109" i="2" s="1"/>
  <c r="J108" i="2"/>
  <c r="D110" i="2"/>
  <c r="B110" i="2" s="1"/>
  <c r="C110" i="2"/>
  <c r="B109" i="1"/>
  <c r="E115" i="1" s="1"/>
  <c r="F115" i="1" s="1"/>
  <c r="I115" i="1" s="1"/>
  <c r="I109" i="2" l="1"/>
  <c r="F110" i="2" s="1"/>
  <c r="J109" i="2"/>
  <c r="D111" i="2"/>
  <c r="B111" i="2" s="1"/>
  <c r="C111" i="2"/>
  <c r="B110" i="1"/>
  <c r="E116" i="1" s="1"/>
  <c r="F116" i="1" s="1"/>
  <c r="I116" i="1" s="1"/>
  <c r="I110" i="2" l="1"/>
  <c r="F111" i="2" s="1"/>
  <c r="J110" i="2"/>
  <c r="D112" i="2"/>
  <c r="B112" i="2" s="1"/>
  <c r="C112" i="2"/>
  <c r="B111" i="1"/>
  <c r="E117" i="1" s="1"/>
  <c r="F117" i="1" s="1"/>
  <c r="I117" i="1" s="1"/>
  <c r="I111" i="2" l="1"/>
  <c r="F112" i="2" s="1"/>
  <c r="J111" i="2"/>
  <c r="D113" i="2"/>
  <c r="B113" i="2" s="1"/>
  <c r="C113" i="2"/>
  <c r="B112" i="1"/>
  <c r="E118" i="1" s="1"/>
  <c r="F118" i="1" s="1"/>
  <c r="I118" i="1" s="1"/>
  <c r="I112" i="2" l="1"/>
  <c r="F113" i="2" s="1"/>
  <c r="J112" i="2"/>
  <c r="D114" i="2"/>
  <c r="B114" i="2" s="1"/>
  <c r="C114" i="2"/>
  <c r="B113" i="1"/>
  <c r="E119" i="1" s="1"/>
  <c r="F119" i="1" s="1"/>
  <c r="I119" i="1" s="1"/>
  <c r="I113" i="2" l="1"/>
  <c r="F114" i="2" s="1"/>
  <c r="J113" i="2"/>
  <c r="D115" i="2"/>
  <c r="B115" i="2" s="1"/>
  <c r="C115" i="2"/>
  <c r="B114" i="1"/>
  <c r="E120" i="1" s="1"/>
  <c r="F120" i="1" s="1"/>
  <c r="I120" i="1" s="1"/>
  <c r="I114" i="2" l="1"/>
  <c r="F115" i="2" s="1"/>
  <c r="J114" i="2"/>
  <c r="D116" i="2"/>
  <c r="B116" i="2" s="1"/>
  <c r="C116" i="2"/>
  <c r="B115" i="1"/>
  <c r="E121" i="1" s="1"/>
  <c r="F121" i="1" s="1"/>
  <c r="I121" i="1" s="1"/>
  <c r="J115" i="2" l="1"/>
  <c r="I115" i="2"/>
  <c r="F116" i="2" s="1"/>
  <c r="D117" i="2"/>
  <c r="B117" i="2" s="1"/>
  <c r="C117" i="2"/>
  <c r="B116" i="1"/>
  <c r="E122" i="1" s="1"/>
  <c r="F122" i="1" s="1"/>
  <c r="I122" i="1" s="1"/>
  <c r="I116" i="2" l="1"/>
  <c r="F117" i="2" s="1"/>
  <c r="J116" i="2"/>
  <c r="D118" i="2"/>
  <c r="B118" i="2" s="1"/>
  <c r="C118" i="2"/>
  <c r="B117" i="1"/>
  <c r="E123" i="1" s="1"/>
  <c r="F123" i="1" s="1"/>
  <c r="I123" i="1" s="1"/>
  <c r="I117" i="2" l="1"/>
  <c r="F118" i="2" s="1"/>
  <c r="J117" i="2"/>
  <c r="D119" i="2"/>
  <c r="B119" i="2" s="1"/>
  <c r="C119" i="2"/>
  <c r="B118" i="1"/>
  <c r="E124" i="1" s="1"/>
  <c r="F124" i="1" s="1"/>
  <c r="I124" i="1" s="1"/>
  <c r="I118" i="2" l="1"/>
  <c r="F119" i="2" s="1"/>
  <c r="J118" i="2"/>
  <c r="D120" i="2"/>
  <c r="B120" i="2" s="1"/>
  <c r="C120" i="2"/>
  <c r="B119" i="1"/>
  <c r="E125" i="1" s="1"/>
  <c r="F125" i="1" s="1"/>
  <c r="I125" i="1" s="1"/>
  <c r="I119" i="2" l="1"/>
  <c r="F120" i="2" s="1"/>
  <c r="J119" i="2"/>
  <c r="D121" i="2"/>
  <c r="B121" i="2" s="1"/>
  <c r="C121" i="2"/>
  <c r="B120" i="1"/>
  <c r="E126" i="1" s="1"/>
  <c r="F126" i="1" s="1"/>
  <c r="I126" i="1" s="1"/>
  <c r="I120" i="2" l="1"/>
  <c r="F121" i="2" s="1"/>
  <c r="J120" i="2"/>
  <c r="D122" i="2"/>
  <c r="B122" i="2" s="1"/>
  <c r="C122" i="2"/>
  <c r="B121" i="1"/>
  <c r="E127" i="1" s="1"/>
  <c r="F127" i="1" s="1"/>
  <c r="I127" i="1" s="1"/>
  <c r="I121" i="2" l="1"/>
  <c r="F122" i="2" s="1"/>
  <c r="J121" i="2"/>
  <c r="D123" i="2"/>
  <c r="B123" i="2" s="1"/>
  <c r="C123" i="2"/>
  <c r="B122" i="1"/>
  <c r="E128" i="1" s="1"/>
  <c r="F128" i="1" s="1"/>
  <c r="I128" i="1" s="1"/>
  <c r="I122" i="2" l="1"/>
  <c r="F123" i="2" s="1"/>
  <c r="J122" i="2"/>
  <c r="D124" i="2"/>
  <c r="B124" i="2" s="1"/>
  <c r="C124" i="2"/>
  <c r="B123" i="1"/>
  <c r="E129" i="1" s="1"/>
  <c r="F129" i="1" s="1"/>
  <c r="I129" i="1" s="1"/>
  <c r="I123" i="2" l="1"/>
  <c r="F124" i="2" s="1"/>
  <c r="J123" i="2"/>
  <c r="D125" i="2"/>
  <c r="B125" i="2" s="1"/>
  <c r="C125" i="2"/>
  <c r="B124" i="1"/>
  <c r="E130" i="1" s="1"/>
  <c r="F130" i="1" s="1"/>
  <c r="I130" i="1" s="1"/>
  <c r="I124" i="2" l="1"/>
  <c r="F125" i="2" s="1"/>
  <c r="J124" i="2"/>
  <c r="D126" i="2"/>
  <c r="B126" i="2" s="1"/>
  <c r="C126" i="2"/>
  <c r="B125" i="1"/>
  <c r="E131" i="1" s="1"/>
  <c r="F131" i="1" s="1"/>
  <c r="I131" i="1" s="1"/>
  <c r="I125" i="2" l="1"/>
  <c r="F126" i="2" s="1"/>
  <c r="J125" i="2"/>
  <c r="D127" i="2"/>
  <c r="B127" i="2" s="1"/>
  <c r="C127" i="2"/>
  <c r="B126" i="1"/>
  <c r="E132" i="1" s="1"/>
  <c r="F132" i="1" s="1"/>
  <c r="I132" i="1" s="1"/>
  <c r="I126" i="2" l="1"/>
  <c r="F127" i="2" s="1"/>
  <c r="J126" i="2"/>
  <c r="D128" i="2"/>
  <c r="B128" i="2" s="1"/>
  <c r="C128" i="2"/>
  <c r="B127" i="1"/>
  <c r="E133" i="1" s="1"/>
  <c r="F133" i="1" s="1"/>
  <c r="I133" i="1" s="1"/>
  <c r="I127" i="2" l="1"/>
  <c r="F128" i="2" s="1"/>
  <c r="J127" i="2"/>
  <c r="D129" i="2"/>
  <c r="B129" i="2" s="1"/>
  <c r="C129" i="2"/>
  <c r="B128" i="1"/>
  <c r="E134" i="1" s="1"/>
  <c r="F134" i="1" s="1"/>
  <c r="I134" i="1" s="1"/>
  <c r="I128" i="2" l="1"/>
  <c r="F129" i="2" s="1"/>
  <c r="J128" i="2"/>
  <c r="D130" i="2"/>
  <c r="B130" i="2" s="1"/>
  <c r="C130" i="2"/>
  <c r="B129" i="1"/>
  <c r="E135" i="1" s="1"/>
  <c r="F135" i="1" s="1"/>
  <c r="I135" i="1" s="1"/>
  <c r="I129" i="2" l="1"/>
  <c r="F130" i="2" s="1"/>
  <c r="J129" i="2"/>
  <c r="D131" i="2"/>
  <c r="B131" i="2" s="1"/>
  <c r="C131" i="2"/>
  <c r="B130" i="1"/>
  <c r="E136" i="1" s="1"/>
  <c r="F136" i="1" s="1"/>
  <c r="I136" i="1" s="1"/>
  <c r="I130" i="2" l="1"/>
  <c r="F131" i="2" s="1"/>
  <c r="J130" i="2"/>
  <c r="D132" i="2"/>
  <c r="B132" i="2" s="1"/>
  <c r="C132" i="2"/>
  <c r="B131" i="1"/>
  <c r="E137" i="1" s="1"/>
  <c r="F137" i="1" s="1"/>
  <c r="I137" i="1" s="1"/>
  <c r="I131" i="2" l="1"/>
  <c r="F132" i="2" s="1"/>
  <c r="J131" i="2"/>
  <c r="D133" i="2"/>
  <c r="B133" i="2" s="1"/>
  <c r="C133" i="2"/>
  <c r="B132" i="1"/>
  <c r="E138" i="1" s="1"/>
  <c r="F138" i="1" s="1"/>
  <c r="I138" i="1" s="1"/>
  <c r="I132" i="2" l="1"/>
  <c r="F133" i="2" s="1"/>
  <c r="J132" i="2"/>
  <c r="D134" i="2"/>
  <c r="B134" i="2" s="1"/>
  <c r="C134" i="2"/>
  <c r="B133" i="1"/>
  <c r="E139" i="1" s="1"/>
  <c r="F139" i="1" s="1"/>
  <c r="I139" i="1" s="1"/>
  <c r="I133" i="2" l="1"/>
  <c r="F134" i="2" s="1"/>
  <c r="J133" i="2"/>
  <c r="D135" i="2"/>
  <c r="B135" i="2" s="1"/>
  <c r="C135" i="2"/>
  <c r="B134" i="1"/>
  <c r="E140" i="1" s="1"/>
  <c r="F140" i="1" s="1"/>
  <c r="I140" i="1" s="1"/>
  <c r="I134" i="2" l="1"/>
  <c r="F135" i="2" s="1"/>
  <c r="J134" i="2"/>
  <c r="D136" i="2"/>
  <c r="B136" i="2" s="1"/>
  <c r="C136" i="2"/>
  <c r="B135" i="1"/>
  <c r="E141" i="1" s="1"/>
  <c r="F141" i="1" s="1"/>
  <c r="I141" i="1" s="1"/>
  <c r="I135" i="2" l="1"/>
  <c r="F136" i="2" s="1"/>
  <c r="J135" i="2"/>
  <c r="D137" i="2"/>
  <c r="B137" i="2" s="1"/>
  <c r="C137" i="2"/>
  <c r="B136" i="1"/>
  <c r="E142" i="1" s="1"/>
  <c r="F142" i="1" s="1"/>
  <c r="I142" i="1" s="1"/>
  <c r="J136" i="2" l="1"/>
  <c r="I136" i="2"/>
  <c r="F137" i="2" s="1"/>
  <c r="D138" i="2"/>
  <c r="B138" i="2" s="1"/>
  <c r="C138" i="2"/>
  <c r="B137" i="1"/>
  <c r="E143" i="1" s="1"/>
  <c r="F143" i="1" s="1"/>
  <c r="I143" i="1" s="1"/>
  <c r="I137" i="2" l="1"/>
  <c r="F138" i="2" s="1"/>
  <c r="J137" i="2"/>
  <c r="D139" i="2"/>
  <c r="B139" i="2" s="1"/>
  <c r="C139" i="2"/>
  <c r="B138" i="1"/>
  <c r="E144" i="1" s="1"/>
  <c r="F144" i="1" s="1"/>
  <c r="I144" i="1" s="1"/>
  <c r="I138" i="2" l="1"/>
  <c r="F139" i="2" s="1"/>
  <c r="J138" i="2"/>
  <c r="D140" i="2"/>
  <c r="B140" i="2" s="1"/>
  <c r="C140" i="2"/>
  <c r="B139" i="1"/>
  <c r="E145" i="1" s="1"/>
  <c r="F145" i="1" s="1"/>
  <c r="I145" i="1" s="1"/>
  <c r="I139" i="2" l="1"/>
  <c r="F140" i="2" s="1"/>
  <c r="J139" i="2"/>
  <c r="D141" i="2"/>
  <c r="B141" i="2" s="1"/>
  <c r="C141" i="2"/>
  <c r="B140" i="1"/>
  <c r="E146" i="1" s="1"/>
  <c r="F146" i="1" s="1"/>
  <c r="I146" i="1" s="1"/>
  <c r="I140" i="2" l="1"/>
  <c r="F141" i="2" s="1"/>
  <c r="J140" i="2"/>
  <c r="D142" i="2"/>
  <c r="B142" i="2" s="1"/>
  <c r="C142" i="2"/>
  <c r="B141" i="1"/>
  <c r="E147" i="1" s="1"/>
  <c r="F147" i="1" s="1"/>
  <c r="I147" i="1" s="1"/>
  <c r="I141" i="2" l="1"/>
  <c r="F142" i="2" s="1"/>
  <c r="J141" i="2"/>
  <c r="D143" i="2"/>
  <c r="B143" i="2" s="1"/>
  <c r="C143" i="2"/>
  <c r="F148" i="1"/>
  <c r="I148" i="1" s="1"/>
  <c r="B142" i="1"/>
  <c r="E148" i="1" s="1"/>
  <c r="I142" i="2" l="1"/>
  <c r="F143" i="2" s="1"/>
  <c r="J142" i="2"/>
  <c r="D144" i="2"/>
  <c r="B144" i="2" s="1"/>
  <c r="C144" i="2"/>
  <c r="B143" i="1"/>
  <c r="E149" i="1" s="1"/>
  <c r="F149" i="1" s="1"/>
  <c r="I149" i="1" s="1"/>
  <c r="I143" i="2" l="1"/>
  <c r="F144" i="2" s="1"/>
  <c r="J143" i="2"/>
  <c r="D145" i="2"/>
  <c r="B145" i="2" s="1"/>
  <c r="C145" i="2"/>
  <c r="B144" i="1"/>
  <c r="E150" i="1" s="1"/>
  <c r="F150" i="1" s="1"/>
  <c r="I150" i="1" s="1"/>
  <c r="I144" i="2" l="1"/>
  <c r="F145" i="2" s="1"/>
  <c r="J144" i="2"/>
  <c r="D146" i="2"/>
  <c r="B146" i="2" s="1"/>
  <c r="C146" i="2"/>
  <c r="B145" i="1"/>
  <c r="E151" i="1" s="1"/>
  <c r="F151" i="1" s="1"/>
  <c r="I151" i="1" s="1"/>
  <c r="I145" i="2" l="1"/>
  <c r="F146" i="2" s="1"/>
  <c r="J145" i="2"/>
  <c r="D147" i="2"/>
  <c r="B147" i="2" s="1"/>
  <c r="C147" i="2"/>
  <c r="B146" i="1"/>
  <c r="E152" i="1" s="1"/>
  <c r="F152" i="1" s="1"/>
  <c r="I152" i="1" s="1"/>
  <c r="J146" i="2" l="1"/>
  <c r="I146" i="2"/>
  <c r="F147" i="2" s="1"/>
  <c r="D148" i="2"/>
  <c r="B148" i="2" s="1"/>
  <c r="C148" i="2"/>
  <c r="B147" i="1"/>
  <c r="E153" i="1" s="1"/>
  <c r="F153" i="1" s="1"/>
  <c r="I153" i="1" s="1"/>
  <c r="J147" i="2" l="1"/>
  <c r="I147" i="2"/>
  <c r="F148" i="2" s="1"/>
  <c r="D149" i="2"/>
  <c r="B149" i="2" s="1"/>
  <c r="C149" i="2"/>
  <c r="B148" i="1"/>
  <c r="E154" i="1" s="1"/>
  <c r="F154" i="1" s="1"/>
  <c r="I154" i="1" s="1"/>
  <c r="J148" i="2" l="1"/>
  <c r="I148" i="2"/>
  <c r="F149" i="2" s="1"/>
  <c r="D150" i="2"/>
  <c r="B150" i="2" s="1"/>
  <c r="C150" i="2"/>
  <c r="B149" i="1"/>
  <c r="E155" i="1" s="1"/>
  <c r="F155" i="1" s="1"/>
  <c r="I155" i="1" s="1"/>
  <c r="J149" i="2" l="1"/>
  <c r="I149" i="2"/>
  <c r="F150" i="2" s="1"/>
  <c r="D151" i="2"/>
  <c r="B151" i="2" s="1"/>
  <c r="C151" i="2"/>
  <c r="B150" i="1"/>
  <c r="E156" i="1" s="1"/>
  <c r="F156" i="1" s="1"/>
  <c r="I156" i="1" s="1"/>
  <c r="I150" i="2" l="1"/>
  <c r="F151" i="2" s="1"/>
  <c r="J150" i="2"/>
  <c r="D152" i="2"/>
  <c r="B152" i="2" s="1"/>
  <c r="C152" i="2"/>
  <c r="B151" i="1"/>
  <c r="E157" i="1" s="1"/>
  <c r="F157" i="1" s="1"/>
  <c r="I157" i="1" s="1"/>
  <c r="I151" i="2" l="1"/>
  <c r="F152" i="2" s="1"/>
  <c r="J151" i="2"/>
  <c r="D153" i="2"/>
  <c r="B153" i="2" s="1"/>
  <c r="C153" i="2"/>
  <c r="B152" i="1"/>
  <c r="E158" i="1" s="1"/>
  <c r="F158" i="1" s="1"/>
  <c r="I158" i="1" s="1"/>
  <c r="J152" i="2" l="1"/>
  <c r="I152" i="2"/>
  <c r="F153" i="2" s="1"/>
  <c r="D154" i="2"/>
  <c r="B154" i="2" s="1"/>
  <c r="C154" i="2"/>
  <c r="B153" i="1"/>
  <c r="E159" i="1" s="1"/>
  <c r="F159" i="1" s="1"/>
  <c r="I159" i="1" s="1"/>
  <c r="I153" i="2" l="1"/>
  <c r="F154" i="2" s="1"/>
  <c r="J153" i="2"/>
  <c r="D155" i="2"/>
  <c r="B155" i="2" s="1"/>
  <c r="C155" i="2"/>
  <c r="B154" i="1"/>
  <c r="E160" i="1" s="1"/>
  <c r="F160" i="1" s="1"/>
  <c r="I160" i="1" s="1"/>
  <c r="J154" i="2" l="1"/>
  <c r="I154" i="2"/>
  <c r="F155" i="2" s="1"/>
  <c r="N5" i="2"/>
  <c r="D156" i="2"/>
  <c r="B156" i="2" s="1"/>
  <c r="C156" i="2"/>
  <c r="B155" i="1"/>
  <c r="E161" i="1" s="1"/>
  <c r="F161" i="1" s="1"/>
  <c r="I161" i="1" s="1"/>
  <c r="I155" i="2" l="1"/>
  <c r="F156" i="2" s="1"/>
  <c r="J155" i="2"/>
  <c r="D157" i="2"/>
  <c r="B157" i="2" s="1"/>
  <c r="C157" i="2"/>
  <c r="B156" i="1"/>
  <c r="I156" i="2" l="1"/>
  <c r="F157" i="2" s="1"/>
  <c r="J156" i="2"/>
  <c r="D158" i="2"/>
  <c r="B158" i="2" s="1"/>
  <c r="C158" i="2"/>
  <c r="B157" i="1"/>
  <c r="J157" i="2" l="1"/>
  <c r="I157" i="2"/>
  <c r="F158" i="2" s="1"/>
  <c r="D159" i="2"/>
  <c r="B159" i="2" s="1"/>
  <c r="C159" i="2"/>
  <c r="B158" i="1"/>
  <c r="J158" i="2" l="1"/>
  <c r="I158" i="2"/>
  <c r="F159" i="2" s="1"/>
  <c r="D160" i="2"/>
  <c r="B160" i="2" s="1"/>
  <c r="C160" i="2"/>
  <c r="B159" i="1"/>
  <c r="I159" i="2" l="1"/>
  <c r="F160" i="2" s="1"/>
  <c r="J159" i="2"/>
  <c r="D161" i="2"/>
  <c r="B161" i="2" s="1"/>
  <c r="B162" i="2" s="1"/>
  <c r="C161" i="2"/>
  <c r="B161" i="1"/>
  <c r="B160" i="1"/>
  <c r="I160" i="2" l="1"/>
  <c r="F161" i="2" s="1"/>
  <c r="J160" i="2"/>
  <c r="B162" i="1"/>
  <c r="I161" i="2" l="1"/>
  <c r="J161" i="2"/>
  <c r="K8" i="2" s="1"/>
</calcChain>
</file>

<file path=xl/sharedStrings.xml><?xml version="1.0" encoding="utf-8"?>
<sst xmlns="http://schemas.openxmlformats.org/spreadsheetml/2006/main" count="18" uniqueCount="9">
  <si>
    <t>data</t>
  </si>
  <si>
    <t>wygenerowane mleko</t>
  </si>
  <si>
    <t>licznik</t>
  </si>
  <si>
    <t>produkcja</t>
  </si>
  <si>
    <t>ser nowy</t>
  </si>
  <si>
    <t>dzien tyg</t>
  </si>
  <si>
    <t>sprzedaz</t>
  </si>
  <si>
    <t>laczny ser rano</t>
  </si>
  <si>
    <t>laczny ser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</si>
</sst>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3"/>
  <sheetViews>
    <sheetView zoomScale="81" zoomScaleNormal="115" workbookViewId="0">
      <selection activeCell="N5" sqref="N5"/>
    </sheetView>
  </sheetViews>
  <sheetFormatPr defaultRowHeight="14.5" x14ac:dyDescent="0.35"/>
  <cols>
    <col min="1" max="1" width="10.36328125" bestFit="1" customWidth="1"/>
    <col min="2" max="2" width="19.26953125" bestFit="1" customWidth="1"/>
    <col min="9" max="9" width="11.54296875" bestFit="1" customWidth="1"/>
  </cols>
  <sheetData>
    <row r="1" spans="1:9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t="s">
        <v>8</v>
      </c>
    </row>
    <row r="2" spans="1:9" x14ac:dyDescent="0.35">
      <c r="A2" s="1">
        <v>46135</v>
      </c>
      <c r="B2">
        <f>600 * D2</f>
        <v>300</v>
      </c>
      <c r="C2">
        <v>1</v>
      </c>
      <c r="D2">
        <f>0.5</f>
        <v>0.5</v>
      </c>
      <c r="E2">
        <v>0</v>
      </c>
      <c r="F2">
        <v>0</v>
      </c>
      <c r="G2">
        <f>WEEKDAY(A2,2)</f>
        <v>4</v>
      </c>
    </row>
    <row r="3" spans="1:9" x14ac:dyDescent="0.35">
      <c r="A3" s="1">
        <v>46136</v>
      </c>
      <c r="B3">
        <f t="shared" ref="B3:B66" si="0">600 * D3</f>
        <v>300</v>
      </c>
      <c r="C3">
        <f>IF(C2=7,1,C2+1)</f>
        <v>2</v>
      </c>
      <c r="D3">
        <f t="shared" ref="D3:D8" si="1">0.5</f>
        <v>0.5</v>
      </c>
      <c r="E3">
        <v>0</v>
      </c>
      <c r="F3">
        <f>F2+E3</f>
        <v>0</v>
      </c>
      <c r="G3">
        <f t="shared" ref="G3:G66" si="2">WEEKDAY(A3,2)</f>
        <v>5</v>
      </c>
    </row>
    <row r="4" spans="1:9" x14ac:dyDescent="0.35">
      <c r="A4" s="1">
        <v>46137</v>
      </c>
      <c r="B4">
        <f t="shared" si="0"/>
        <v>300</v>
      </c>
      <c r="C4">
        <f t="shared" ref="C4:C67" si="3">IF(C3=7,1,C3+1)</f>
        <v>3</v>
      </c>
      <c r="D4">
        <f t="shared" si="1"/>
        <v>0.5</v>
      </c>
      <c r="E4">
        <v>0</v>
      </c>
      <c r="F4">
        <f t="shared" ref="F4:F8" si="4">F3+E4</f>
        <v>0</v>
      </c>
      <c r="G4">
        <f t="shared" si="2"/>
        <v>6</v>
      </c>
    </row>
    <row r="5" spans="1:9" x14ac:dyDescent="0.35">
      <c r="A5" s="1">
        <v>46138</v>
      </c>
      <c r="B5">
        <f t="shared" si="0"/>
        <v>300</v>
      </c>
      <c r="C5">
        <f t="shared" si="3"/>
        <v>4</v>
      </c>
      <c r="D5">
        <f t="shared" si="1"/>
        <v>0.5</v>
      </c>
      <c r="E5">
        <v>0</v>
      </c>
      <c r="F5">
        <f t="shared" si="4"/>
        <v>0</v>
      </c>
      <c r="G5">
        <f t="shared" si="2"/>
        <v>7</v>
      </c>
    </row>
    <row r="6" spans="1:9" x14ac:dyDescent="0.35">
      <c r="A6" s="1">
        <v>46139</v>
      </c>
      <c r="B6">
        <f t="shared" si="0"/>
        <v>300</v>
      </c>
      <c r="C6">
        <f t="shared" si="3"/>
        <v>5</v>
      </c>
      <c r="D6">
        <f t="shared" si="1"/>
        <v>0.5</v>
      </c>
      <c r="E6">
        <v>0</v>
      </c>
      <c r="F6">
        <f t="shared" si="4"/>
        <v>0</v>
      </c>
      <c r="G6">
        <f t="shared" si="2"/>
        <v>1</v>
      </c>
    </row>
    <row r="7" spans="1:9" x14ac:dyDescent="0.35">
      <c r="A7" s="1">
        <v>46140</v>
      </c>
      <c r="B7">
        <f t="shared" si="0"/>
        <v>300</v>
      </c>
      <c r="C7">
        <f t="shared" si="3"/>
        <v>6</v>
      </c>
      <c r="D7">
        <f t="shared" si="1"/>
        <v>0.5</v>
      </c>
      <c r="E7">
        <v>0</v>
      </c>
      <c r="F7">
        <f t="shared" si="4"/>
        <v>0</v>
      </c>
      <c r="G7">
        <f t="shared" si="2"/>
        <v>2</v>
      </c>
    </row>
    <row r="8" spans="1:9" x14ac:dyDescent="0.35">
      <c r="A8" s="1">
        <v>46141</v>
      </c>
      <c r="B8">
        <f t="shared" si="0"/>
        <v>300</v>
      </c>
      <c r="C8">
        <f t="shared" si="3"/>
        <v>7</v>
      </c>
      <c r="D8">
        <f t="shared" si="1"/>
        <v>0.5</v>
      </c>
      <c r="E8">
        <f>INT(B2/6)</f>
        <v>50</v>
      </c>
      <c r="F8">
        <f t="shared" si="4"/>
        <v>50</v>
      </c>
      <c r="G8">
        <f t="shared" si="2"/>
        <v>3</v>
      </c>
      <c r="H8">
        <f>IF(AND(G8&gt;=1,G8&lt;=5),36,100)</f>
        <v>36</v>
      </c>
      <c r="I8">
        <f>IF(H8&gt;F8,0,F8-H8)</f>
        <v>14</v>
      </c>
    </row>
    <row r="9" spans="1:9" x14ac:dyDescent="0.35">
      <c r="A9" s="1">
        <v>46142</v>
      </c>
      <c r="B9">
        <f t="shared" si="0"/>
        <v>312</v>
      </c>
      <c r="C9">
        <f t="shared" si="3"/>
        <v>1</v>
      </c>
      <c r="D9">
        <f>ROUND(IF(AND(C8=7,A9&lt;=DATE(2026,6,24)),D8*104/100,D8),2)</f>
        <v>0.52</v>
      </c>
      <c r="E9">
        <f t="shared" ref="E9:E72" si="5">INT(B3/6)</f>
        <v>50</v>
      </c>
      <c r="F9">
        <f>I8+E9</f>
        <v>64</v>
      </c>
      <c r="G9">
        <f t="shared" si="2"/>
        <v>4</v>
      </c>
      <c r="H9">
        <f t="shared" ref="H9:H72" si="6">IF(AND(G9&gt;=1,G9&lt;=5),36,100)</f>
        <v>36</v>
      </c>
      <c r="I9">
        <f t="shared" ref="I9:I72" si="7">IF(H9&gt;F9,0,F9-H9)</f>
        <v>28</v>
      </c>
    </row>
    <row r="10" spans="1:9" x14ac:dyDescent="0.35">
      <c r="A10" s="1">
        <v>46143</v>
      </c>
      <c r="B10">
        <f t="shared" si="0"/>
        <v>312</v>
      </c>
      <c r="C10">
        <f t="shared" si="3"/>
        <v>2</v>
      </c>
      <c r="D10">
        <f t="shared" ref="D10:D64" si="8">ROUND(IF(AND(C9=7,A10&lt;=DATE(2026,6,24)),D9*104/100,D9),2)</f>
        <v>0.52</v>
      </c>
      <c r="E10">
        <f t="shared" si="5"/>
        <v>50</v>
      </c>
      <c r="F10">
        <f t="shared" ref="F10:F73" si="9">I9+E10</f>
        <v>78</v>
      </c>
      <c r="G10">
        <f t="shared" si="2"/>
        <v>5</v>
      </c>
      <c r="H10">
        <f t="shared" si="6"/>
        <v>36</v>
      </c>
      <c r="I10">
        <f t="shared" si="7"/>
        <v>42</v>
      </c>
    </row>
    <row r="11" spans="1:9" x14ac:dyDescent="0.35">
      <c r="A11" s="1">
        <v>46144</v>
      </c>
      <c r="B11">
        <f t="shared" si="0"/>
        <v>312</v>
      </c>
      <c r="C11">
        <f t="shared" si="3"/>
        <v>3</v>
      </c>
      <c r="D11">
        <f t="shared" si="8"/>
        <v>0.52</v>
      </c>
      <c r="E11">
        <f t="shared" si="5"/>
        <v>50</v>
      </c>
      <c r="F11">
        <f t="shared" si="9"/>
        <v>92</v>
      </c>
      <c r="G11">
        <f t="shared" si="2"/>
        <v>6</v>
      </c>
      <c r="H11">
        <f t="shared" si="6"/>
        <v>100</v>
      </c>
      <c r="I11">
        <f t="shared" si="7"/>
        <v>0</v>
      </c>
    </row>
    <row r="12" spans="1:9" x14ac:dyDescent="0.35">
      <c r="A12" s="1">
        <v>46145</v>
      </c>
      <c r="B12">
        <f t="shared" si="0"/>
        <v>312</v>
      </c>
      <c r="C12">
        <f t="shared" si="3"/>
        <v>4</v>
      </c>
      <c r="D12">
        <f t="shared" si="8"/>
        <v>0.52</v>
      </c>
      <c r="E12">
        <f t="shared" si="5"/>
        <v>50</v>
      </c>
      <c r="F12">
        <f t="shared" si="9"/>
        <v>50</v>
      </c>
      <c r="G12">
        <f t="shared" si="2"/>
        <v>7</v>
      </c>
      <c r="H12">
        <f t="shared" si="6"/>
        <v>100</v>
      </c>
      <c r="I12">
        <f t="shared" si="7"/>
        <v>0</v>
      </c>
    </row>
    <row r="13" spans="1:9" x14ac:dyDescent="0.35">
      <c r="A13" s="1">
        <v>46146</v>
      </c>
      <c r="B13">
        <f t="shared" si="0"/>
        <v>312</v>
      </c>
      <c r="C13">
        <f t="shared" si="3"/>
        <v>5</v>
      </c>
      <c r="D13">
        <f t="shared" si="8"/>
        <v>0.52</v>
      </c>
      <c r="E13">
        <f t="shared" si="5"/>
        <v>50</v>
      </c>
      <c r="F13">
        <f t="shared" si="9"/>
        <v>50</v>
      </c>
      <c r="G13">
        <f t="shared" si="2"/>
        <v>1</v>
      </c>
      <c r="H13">
        <f t="shared" si="6"/>
        <v>36</v>
      </c>
      <c r="I13">
        <f t="shared" si="7"/>
        <v>14</v>
      </c>
    </row>
    <row r="14" spans="1:9" x14ac:dyDescent="0.35">
      <c r="A14" s="1">
        <v>46147</v>
      </c>
      <c r="B14">
        <f t="shared" si="0"/>
        <v>312</v>
      </c>
      <c r="C14">
        <f t="shared" si="3"/>
        <v>6</v>
      </c>
      <c r="D14">
        <f t="shared" si="8"/>
        <v>0.52</v>
      </c>
      <c r="E14">
        <f t="shared" si="5"/>
        <v>50</v>
      </c>
      <c r="F14">
        <f t="shared" si="9"/>
        <v>64</v>
      </c>
      <c r="G14">
        <f t="shared" si="2"/>
        <v>2</v>
      </c>
      <c r="H14">
        <f t="shared" si="6"/>
        <v>36</v>
      </c>
      <c r="I14">
        <f t="shared" si="7"/>
        <v>28</v>
      </c>
    </row>
    <row r="15" spans="1:9" x14ac:dyDescent="0.35">
      <c r="A15" s="1">
        <v>46148</v>
      </c>
      <c r="B15">
        <f t="shared" si="0"/>
        <v>312</v>
      </c>
      <c r="C15">
        <f t="shared" si="3"/>
        <v>7</v>
      </c>
      <c r="D15">
        <f t="shared" si="8"/>
        <v>0.52</v>
      </c>
      <c r="E15">
        <f t="shared" si="5"/>
        <v>52</v>
      </c>
      <c r="F15">
        <f t="shared" si="9"/>
        <v>80</v>
      </c>
      <c r="G15">
        <f t="shared" si="2"/>
        <v>3</v>
      </c>
      <c r="H15">
        <f t="shared" si="6"/>
        <v>36</v>
      </c>
      <c r="I15">
        <f t="shared" si="7"/>
        <v>44</v>
      </c>
    </row>
    <row r="16" spans="1:9" x14ac:dyDescent="0.35">
      <c r="A16" s="1">
        <v>46149</v>
      </c>
      <c r="B16">
        <f t="shared" si="0"/>
        <v>324</v>
      </c>
      <c r="C16">
        <f t="shared" si="3"/>
        <v>1</v>
      </c>
      <c r="D16">
        <f t="shared" si="8"/>
        <v>0.54</v>
      </c>
      <c r="E16">
        <f t="shared" si="5"/>
        <v>52</v>
      </c>
      <c r="F16">
        <f t="shared" si="9"/>
        <v>96</v>
      </c>
      <c r="G16">
        <f t="shared" si="2"/>
        <v>4</v>
      </c>
      <c r="H16">
        <f t="shared" si="6"/>
        <v>36</v>
      </c>
      <c r="I16">
        <f t="shared" si="7"/>
        <v>60</v>
      </c>
    </row>
    <row r="17" spans="1:9" x14ac:dyDescent="0.35">
      <c r="A17" s="1">
        <v>46150</v>
      </c>
      <c r="B17">
        <f t="shared" si="0"/>
        <v>324</v>
      </c>
      <c r="C17">
        <f t="shared" si="3"/>
        <v>2</v>
      </c>
      <c r="D17">
        <f t="shared" si="8"/>
        <v>0.54</v>
      </c>
      <c r="E17">
        <f t="shared" si="5"/>
        <v>52</v>
      </c>
      <c r="F17">
        <f t="shared" si="9"/>
        <v>112</v>
      </c>
      <c r="G17">
        <f t="shared" si="2"/>
        <v>5</v>
      </c>
      <c r="H17">
        <f t="shared" si="6"/>
        <v>36</v>
      </c>
      <c r="I17">
        <f t="shared" si="7"/>
        <v>76</v>
      </c>
    </row>
    <row r="18" spans="1:9" x14ac:dyDescent="0.35">
      <c r="A18" s="1">
        <v>46151</v>
      </c>
      <c r="B18">
        <f t="shared" si="0"/>
        <v>324</v>
      </c>
      <c r="C18">
        <f t="shared" si="3"/>
        <v>3</v>
      </c>
      <c r="D18">
        <f t="shared" si="8"/>
        <v>0.54</v>
      </c>
      <c r="E18">
        <f t="shared" si="5"/>
        <v>52</v>
      </c>
      <c r="F18">
        <f t="shared" si="9"/>
        <v>128</v>
      </c>
      <c r="G18">
        <f t="shared" si="2"/>
        <v>6</v>
      </c>
      <c r="H18">
        <f t="shared" si="6"/>
        <v>100</v>
      </c>
      <c r="I18">
        <f t="shared" si="7"/>
        <v>28</v>
      </c>
    </row>
    <row r="19" spans="1:9" x14ac:dyDescent="0.35">
      <c r="A19" s="1">
        <v>46152</v>
      </c>
      <c r="B19">
        <f t="shared" si="0"/>
        <v>324</v>
      </c>
      <c r="C19">
        <f t="shared" si="3"/>
        <v>4</v>
      </c>
      <c r="D19">
        <f t="shared" si="8"/>
        <v>0.54</v>
      </c>
      <c r="E19">
        <f t="shared" si="5"/>
        <v>52</v>
      </c>
      <c r="F19">
        <f t="shared" si="9"/>
        <v>80</v>
      </c>
      <c r="G19">
        <f t="shared" si="2"/>
        <v>7</v>
      </c>
      <c r="H19">
        <f t="shared" si="6"/>
        <v>100</v>
      </c>
      <c r="I19">
        <f t="shared" si="7"/>
        <v>0</v>
      </c>
    </row>
    <row r="20" spans="1:9" x14ac:dyDescent="0.35">
      <c r="A20" s="1">
        <v>46153</v>
      </c>
      <c r="B20">
        <f t="shared" si="0"/>
        <v>324</v>
      </c>
      <c r="C20">
        <f t="shared" si="3"/>
        <v>5</v>
      </c>
      <c r="D20">
        <f t="shared" si="8"/>
        <v>0.54</v>
      </c>
      <c r="E20">
        <f t="shared" si="5"/>
        <v>52</v>
      </c>
      <c r="F20">
        <f t="shared" si="9"/>
        <v>52</v>
      </c>
      <c r="G20">
        <f t="shared" si="2"/>
        <v>1</v>
      </c>
      <c r="H20">
        <f t="shared" si="6"/>
        <v>36</v>
      </c>
      <c r="I20">
        <f t="shared" si="7"/>
        <v>16</v>
      </c>
    </row>
    <row r="21" spans="1:9" x14ac:dyDescent="0.35">
      <c r="A21" s="1">
        <v>46154</v>
      </c>
      <c r="B21">
        <f t="shared" si="0"/>
        <v>324</v>
      </c>
      <c r="C21">
        <f t="shared" si="3"/>
        <v>6</v>
      </c>
      <c r="D21">
        <f t="shared" si="8"/>
        <v>0.54</v>
      </c>
      <c r="E21">
        <f t="shared" si="5"/>
        <v>52</v>
      </c>
      <c r="F21">
        <f t="shared" si="9"/>
        <v>68</v>
      </c>
      <c r="G21">
        <f t="shared" si="2"/>
        <v>2</v>
      </c>
      <c r="H21">
        <f t="shared" si="6"/>
        <v>36</v>
      </c>
      <c r="I21">
        <f t="shared" si="7"/>
        <v>32</v>
      </c>
    </row>
    <row r="22" spans="1:9" x14ac:dyDescent="0.35">
      <c r="A22" s="1">
        <v>46155</v>
      </c>
      <c r="B22">
        <f t="shared" si="0"/>
        <v>324</v>
      </c>
      <c r="C22">
        <f t="shared" si="3"/>
        <v>7</v>
      </c>
      <c r="D22">
        <f t="shared" si="8"/>
        <v>0.54</v>
      </c>
      <c r="E22">
        <f t="shared" si="5"/>
        <v>54</v>
      </c>
      <c r="F22">
        <f t="shared" si="9"/>
        <v>86</v>
      </c>
      <c r="G22">
        <f t="shared" si="2"/>
        <v>3</v>
      </c>
      <c r="H22">
        <f t="shared" si="6"/>
        <v>36</v>
      </c>
      <c r="I22">
        <f t="shared" si="7"/>
        <v>50</v>
      </c>
    </row>
    <row r="23" spans="1:9" x14ac:dyDescent="0.35">
      <c r="A23" s="1">
        <v>46156</v>
      </c>
      <c r="B23">
        <f t="shared" si="0"/>
        <v>336.00000000000006</v>
      </c>
      <c r="C23">
        <f t="shared" si="3"/>
        <v>1</v>
      </c>
      <c r="D23">
        <f t="shared" si="8"/>
        <v>0.56000000000000005</v>
      </c>
      <c r="E23">
        <f t="shared" si="5"/>
        <v>54</v>
      </c>
      <c r="F23">
        <f t="shared" si="9"/>
        <v>104</v>
      </c>
      <c r="G23">
        <f t="shared" si="2"/>
        <v>4</v>
      </c>
      <c r="H23">
        <f t="shared" si="6"/>
        <v>36</v>
      </c>
      <c r="I23">
        <f t="shared" si="7"/>
        <v>68</v>
      </c>
    </row>
    <row r="24" spans="1:9" x14ac:dyDescent="0.35">
      <c r="A24" s="1">
        <v>46157</v>
      </c>
      <c r="B24">
        <f t="shared" si="0"/>
        <v>336.00000000000006</v>
      </c>
      <c r="C24">
        <f t="shared" si="3"/>
        <v>2</v>
      </c>
      <c r="D24">
        <f t="shared" si="8"/>
        <v>0.56000000000000005</v>
      </c>
      <c r="E24">
        <f t="shared" si="5"/>
        <v>54</v>
      </c>
      <c r="F24">
        <f t="shared" si="9"/>
        <v>122</v>
      </c>
      <c r="G24">
        <f t="shared" si="2"/>
        <v>5</v>
      </c>
      <c r="H24">
        <f t="shared" si="6"/>
        <v>36</v>
      </c>
      <c r="I24">
        <f t="shared" si="7"/>
        <v>86</v>
      </c>
    </row>
    <row r="25" spans="1:9" x14ac:dyDescent="0.35">
      <c r="A25" s="1">
        <v>46158</v>
      </c>
      <c r="B25">
        <f t="shared" si="0"/>
        <v>336.00000000000006</v>
      </c>
      <c r="C25">
        <f t="shared" si="3"/>
        <v>3</v>
      </c>
      <c r="D25">
        <f t="shared" si="8"/>
        <v>0.56000000000000005</v>
      </c>
      <c r="E25">
        <f t="shared" si="5"/>
        <v>54</v>
      </c>
      <c r="F25">
        <f t="shared" si="9"/>
        <v>140</v>
      </c>
      <c r="G25">
        <f t="shared" si="2"/>
        <v>6</v>
      </c>
      <c r="H25">
        <f t="shared" si="6"/>
        <v>100</v>
      </c>
      <c r="I25">
        <f t="shared" si="7"/>
        <v>40</v>
      </c>
    </row>
    <row r="26" spans="1:9" x14ac:dyDescent="0.35">
      <c r="A26" s="1">
        <v>46159</v>
      </c>
      <c r="B26">
        <f t="shared" si="0"/>
        <v>336.00000000000006</v>
      </c>
      <c r="C26">
        <f t="shared" si="3"/>
        <v>4</v>
      </c>
      <c r="D26">
        <f t="shared" si="8"/>
        <v>0.56000000000000005</v>
      </c>
      <c r="E26">
        <f t="shared" si="5"/>
        <v>54</v>
      </c>
      <c r="F26">
        <f t="shared" si="9"/>
        <v>94</v>
      </c>
      <c r="G26">
        <f t="shared" si="2"/>
        <v>7</v>
      </c>
      <c r="H26">
        <f t="shared" si="6"/>
        <v>100</v>
      </c>
      <c r="I26">
        <f t="shared" si="7"/>
        <v>0</v>
      </c>
    </row>
    <row r="27" spans="1:9" x14ac:dyDescent="0.35">
      <c r="A27" s="1">
        <v>46160</v>
      </c>
      <c r="B27">
        <f t="shared" si="0"/>
        <v>336.00000000000006</v>
      </c>
      <c r="C27">
        <f t="shared" si="3"/>
        <v>5</v>
      </c>
      <c r="D27">
        <f t="shared" si="8"/>
        <v>0.56000000000000005</v>
      </c>
      <c r="E27">
        <f t="shared" si="5"/>
        <v>54</v>
      </c>
      <c r="F27">
        <f t="shared" si="9"/>
        <v>54</v>
      </c>
      <c r="G27">
        <f t="shared" si="2"/>
        <v>1</v>
      </c>
      <c r="H27">
        <f t="shared" si="6"/>
        <v>36</v>
      </c>
      <c r="I27">
        <f t="shared" si="7"/>
        <v>18</v>
      </c>
    </row>
    <row r="28" spans="1:9" x14ac:dyDescent="0.35">
      <c r="A28" s="1">
        <v>46161</v>
      </c>
      <c r="B28">
        <f t="shared" si="0"/>
        <v>336.00000000000006</v>
      </c>
      <c r="C28">
        <f t="shared" si="3"/>
        <v>6</v>
      </c>
      <c r="D28">
        <f t="shared" si="8"/>
        <v>0.56000000000000005</v>
      </c>
      <c r="E28">
        <f t="shared" si="5"/>
        <v>54</v>
      </c>
      <c r="F28">
        <f t="shared" si="9"/>
        <v>72</v>
      </c>
      <c r="G28">
        <f t="shared" si="2"/>
        <v>2</v>
      </c>
      <c r="H28">
        <f t="shared" si="6"/>
        <v>36</v>
      </c>
      <c r="I28">
        <f t="shared" si="7"/>
        <v>36</v>
      </c>
    </row>
    <row r="29" spans="1:9" x14ac:dyDescent="0.35">
      <c r="A29" s="1">
        <v>46162</v>
      </c>
      <c r="B29">
        <f t="shared" si="0"/>
        <v>336.00000000000006</v>
      </c>
      <c r="C29">
        <f t="shared" si="3"/>
        <v>7</v>
      </c>
      <c r="D29">
        <f t="shared" si="8"/>
        <v>0.56000000000000005</v>
      </c>
      <c r="E29">
        <f t="shared" si="5"/>
        <v>56</v>
      </c>
      <c r="F29">
        <f t="shared" si="9"/>
        <v>92</v>
      </c>
      <c r="G29">
        <f t="shared" si="2"/>
        <v>3</v>
      </c>
      <c r="H29">
        <f t="shared" si="6"/>
        <v>36</v>
      </c>
      <c r="I29">
        <f t="shared" si="7"/>
        <v>56</v>
      </c>
    </row>
    <row r="30" spans="1:9" x14ac:dyDescent="0.35">
      <c r="A30" s="1">
        <v>46163</v>
      </c>
      <c r="B30">
        <f t="shared" si="0"/>
        <v>348</v>
      </c>
      <c r="C30">
        <f t="shared" si="3"/>
        <v>1</v>
      </c>
      <c r="D30">
        <f t="shared" si="8"/>
        <v>0.57999999999999996</v>
      </c>
      <c r="E30">
        <f t="shared" si="5"/>
        <v>56</v>
      </c>
      <c r="F30">
        <f t="shared" si="9"/>
        <v>112</v>
      </c>
      <c r="G30">
        <f t="shared" si="2"/>
        <v>4</v>
      </c>
      <c r="H30">
        <f t="shared" si="6"/>
        <v>36</v>
      </c>
      <c r="I30">
        <f t="shared" si="7"/>
        <v>76</v>
      </c>
    </row>
    <row r="31" spans="1:9" x14ac:dyDescent="0.35">
      <c r="A31" s="1">
        <v>46164</v>
      </c>
      <c r="B31">
        <f t="shared" si="0"/>
        <v>348</v>
      </c>
      <c r="C31">
        <f t="shared" si="3"/>
        <v>2</v>
      </c>
      <c r="D31">
        <f t="shared" si="8"/>
        <v>0.57999999999999996</v>
      </c>
      <c r="E31">
        <f t="shared" si="5"/>
        <v>56</v>
      </c>
      <c r="F31">
        <f t="shared" si="9"/>
        <v>132</v>
      </c>
      <c r="G31">
        <f t="shared" si="2"/>
        <v>5</v>
      </c>
      <c r="H31">
        <f t="shared" si="6"/>
        <v>36</v>
      </c>
      <c r="I31">
        <f t="shared" si="7"/>
        <v>96</v>
      </c>
    </row>
    <row r="32" spans="1:9" x14ac:dyDescent="0.35">
      <c r="A32" s="1">
        <v>46165</v>
      </c>
      <c r="B32">
        <f t="shared" si="0"/>
        <v>348</v>
      </c>
      <c r="C32">
        <f t="shared" si="3"/>
        <v>3</v>
      </c>
      <c r="D32">
        <f t="shared" si="8"/>
        <v>0.57999999999999996</v>
      </c>
      <c r="E32">
        <f t="shared" si="5"/>
        <v>56</v>
      </c>
      <c r="F32">
        <f t="shared" si="9"/>
        <v>152</v>
      </c>
      <c r="G32">
        <f t="shared" si="2"/>
        <v>6</v>
      </c>
      <c r="H32">
        <f t="shared" si="6"/>
        <v>100</v>
      </c>
      <c r="I32">
        <f t="shared" si="7"/>
        <v>52</v>
      </c>
    </row>
    <row r="33" spans="1:9" x14ac:dyDescent="0.35">
      <c r="A33" s="1">
        <v>46166</v>
      </c>
      <c r="B33">
        <f t="shared" si="0"/>
        <v>348</v>
      </c>
      <c r="C33">
        <f t="shared" si="3"/>
        <v>4</v>
      </c>
      <c r="D33">
        <f t="shared" si="8"/>
        <v>0.57999999999999996</v>
      </c>
      <c r="E33">
        <f t="shared" si="5"/>
        <v>56</v>
      </c>
      <c r="F33">
        <f t="shared" si="9"/>
        <v>108</v>
      </c>
      <c r="G33">
        <f t="shared" si="2"/>
        <v>7</v>
      </c>
      <c r="H33">
        <f t="shared" si="6"/>
        <v>100</v>
      </c>
      <c r="I33">
        <f t="shared" si="7"/>
        <v>8</v>
      </c>
    </row>
    <row r="34" spans="1:9" x14ac:dyDescent="0.35">
      <c r="A34" s="1">
        <v>46167</v>
      </c>
      <c r="B34">
        <f t="shared" si="0"/>
        <v>348</v>
      </c>
      <c r="C34">
        <f t="shared" si="3"/>
        <v>5</v>
      </c>
      <c r="D34">
        <f t="shared" si="8"/>
        <v>0.57999999999999996</v>
      </c>
      <c r="E34">
        <f t="shared" si="5"/>
        <v>56</v>
      </c>
      <c r="F34">
        <f t="shared" si="9"/>
        <v>64</v>
      </c>
      <c r="G34">
        <f t="shared" si="2"/>
        <v>1</v>
      </c>
      <c r="H34">
        <f t="shared" si="6"/>
        <v>36</v>
      </c>
      <c r="I34">
        <f t="shared" si="7"/>
        <v>28</v>
      </c>
    </row>
    <row r="35" spans="1:9" x14ac:dyDescent="0.35">
      <c r="A35" s="1">
        <v>46168</v>
      </c>
      <c r="B35">
        <f t="shared" si="0"/>
        <v>348</v>
      </c>
      <c r="C35">
        <f t="shared" si="3"/>
        <v>6</v>
      </c>
      <c r="D35">
        <f t="shared" si="8"/>
        <v>0.57999999999999996</v>
      </c>
      <c r="E35">
        <f t="shared" si="5"/>
        <v>56</v>
      </c>
      <c r="F35">
        <f t="shared" si="9"/>
        <v>84</v>
      </c>
      <c r="G35">
        <f t="shared" si="2"/>
        <v>2</v>
      </c>
      <c r="H35">
        <f t="shared" si="6"/>
        <v>36</v>
      </c>
      <c r="I35">
        <f t="shared" si="7"/>
        <v>48</v>
      </c>
    </row>
    <row r="36" spans="1:9" x14ac:dyDescent="0.35">
      <c r="A36" s="1">
        <v>46169</v>
      </c>
      <c r="B36">
        <f t="shared" si="0"/>
        <v>348</v>
      </c>
      <c r="C36">
        <f t="shared" si="3"/>
        <v>7</v>
      </c>
      <c r="D36">
        <f t="shared" si="8"/>
        <v>0.57999999999999996</v>
      </c>
      <c r="E36">
        <f t="shared" si="5"/>
        <v>58</v>
      </c>
      <c r="F36">
        <f t="shared" si="9"/>
        <v>106</v>
      </c>
      <c r="G36">
        <f t="shared" si="2"/>
        <v>3</v>
      </c>
      <c r="H36">
        <f t="shared" si="6"/>
        <v>36</v>
      </c>
      <c r="I36">
        <f t="shared" si="7"/>
        <v>70</v>
      </c>
    </row>
    <row r="37" spans="1:9" x14ac:dyDescent="0.35">
      <c r="A37" s="1">
        <v>46170</v>
      </c>
      <c r="B37">
        <f t="shared" si="0"/>
        <v>360</v>
      </c>
      <c r="C37">
        <f t="shared" si="3"/>
        <v>1</v>
      </c>
      <c r="D37">
        <f t="shared" si="8"/>
        <v>0.6</v>
      </c>
      <c r="E37">
        <f t="shared" si="5"/>
        <v>58</v>
      </c>
      <c r="F37">
        <f t="shared" si="9"/>
        <v>128</v>
      </c>
      <c r="G37">
        <f t="shared" si="2"/>
        <v>4</v>
      </c>
      <c r="H37">
        <f t="shared" si="6"/>
        <v>36</v>
      </c>
      <c r="I37">
        <f t="shared" si="7"/>
        <v>92</v>
      </c>
    </row>
    <row r="38" spans="1:9" x14ac:dyDescent="0.35">
      <c r="A38" s="1">
        <v>46171</v>
      </c>
      <c r="B38">
        <f t="shared" si="0"/>
        <v>360</v>
      </c>
      <c r="C38">
        <f t="shared" si="3"/>
        <v>2</v>
      </c>
      <c r="D38">
        <f t="shared" si="8"/>
        <v>0.6</v>
      </c>
      <c r="E38">
        <f t="shared" si="5"/>
        <v>58</v>
      </c>
      <c r="F38">
        <f t="shared" si="9"/>
        <v>150</v>
      </c>
      <c r="G38">
        <f t="shared" si="2"/>
        <v>5</v>
      </c>
      <c r="H38">
        <f t="shared" si="6"/>
        <v>36</v>
      </c>
      <c r="I38">
        <f t="shared" si="7"/>
        <v>114</v>
      </c>
    </row>
    <row r="39" spans="1:9" x14ac:dyDescent="0.35">
      <c r="A39" s="1">
        <v>46172</v>
      </c>
      <c r="B39">
        <f t="shared" si="0"/>
        <v>360</v>
      </c>
      <c r="C39">
        <f t="shared" si="3"/>
        <v>3</v>
      </c>
      <c r="D39">
        <f t="shared" si="8"/>
        <v>0.6</v>
      </c>
      <c r="E39">
        <f t="shared" si="5"/>
        <v>58</v>
      </c>
      <c r="F39">
        <f t="shared" si="9"/>
        <v>172</v>
      </c>
      <c r="G39">
        <f t="shared" si="2"/>
        <v>6</v>
      </c>
      <c r="H39">
        <f t="shared" si="6"/>
        <v>100</v>
      </c>
      <c r="I39">
        <f t="shared" si="7"/>
        <v>72</v>
      </c>
    </row>
    <row r="40" spans="1:9" x14ac:dyDescent="0.35">
      <c r="A40" s="1">
        <v>46173</v>
      </c>
      <c r="B40">
        <f t="shared" si="0"/>
        <v>360</v>
      </c>
      <c r="C40">
        <f t="shared" si="3"/>
        <v>4</v>
      </c>
      <c r="D40">
        <f t="shared" si="8"/>
        <v>0.6</v>
      </c>
      <c r="E40">
        <f t="shared" si="5"/>
        <v>58</v>
      </c>
      <c r="F40">
        <f t="shared" si="9"/>
        <v>130</v>
      </c>
      <c r="G40">
        <f t="shared" si="2"/>
        <v>7</v>
      </c>
      <c r="H40">
        <f t="shared" si="6"/>
        <v>100</v>
      </c>
      <c r="I40">
        <f t="shared" si="7"/>
        <v>30</v>
      </c>
    </row>
    <row r="41" spans="1:9" x14ac:dyDescent="0.35">
      <c r="A41" s="1">
        <v>46174</v>
      </c>
      <c r="B41">
        <f t="shared" si="0"/>
        <v>360</v>
      </c>
      <c r="C41">
        <f t="shared" si="3"/>
        <v>5</v>
      </c>
      <c r="D41">
        <f t="shared" si="8"/>
        <v>0.6</v>
      </c>
      <c r="E41">
        <f t="shared" si="5"/>
        <v>58</v>
      </c>
      <c r="F41">
        <f t="shared" si="9"/>
        <v>88</v>
      </c>
      <c r="G41">
        <f t="shared" si="2"/>
        <v>1</v>
      </c>
      <c r="H41">
        <f t="shared" si="6"/>
        <v>36</v>
      </c>
      <c r="I41">
        <f t="shared" si="7"/>
        <v>52</v>
      </c>
    </row>
    <row r="42" spans="1:9" x14ac:dyDescent="0.35">
      <c r="A42" s="1">
        <v>46175</v>
      </c>
      <c r="B42">
        <f t="shared" si="0"/>
        <v>360</v>
      </c>
      <c r="C42">
        <f t="shared" si="3"/>
        <v>6</v>
      </c>
      <c r="D42">
        <f t="shared" si="8"/>
        <v>0.6</v>
      </c>
      <c r="E42">
        <f t="shared" si="5"/>
        <v>58</v>
      </c>
      <c r="F42">
        <f t="shared" si="9"/>
        <v>110</v>
      </c>
      <c r="G42">
        <f t="shared" si="2"/>
        <v>2</v>
      </c>
      <c r="H42">
        <f t="shared" si="6"/>
        <v>36</v>
      </c>
      <c r="I42">
        <f t="shared" si="7"/>
        <v>74</v>
      </c>
    </row>
    <row r="43" spans="1:9" x14ac:dyDescent="0.35">
      <c r="A43" s="1">
        <v>46176</v>
      </c>
      <c r="B43">
        <f t="shared" si="0"/>
        <v>360</v>
      </c>
      <c r="C43">
        <f t="shared" si="3"/>
        <v>7</v>
      </c>
      <c r="D43">
        <f t="shared" si="8"/>
        <v>0.6</v>
      </c>
      <c r="E43">
        <f t="shared" si="5"/>
        <v>60</v>
      </c>
      <c r="F43">
        <f t="shared" si="9"/>
        <v>134</v>
      </c>
      <c r="G43">
        <f t="shared" si="2"/>
        <v>3</v>
      </c>
      <c r="H43">
        <f t="shared" si="6"/>
        <v>36</v>
      </c>
      <c r="I43">
        <f t="shared" si="7"/>
        <v>98</v>
      </c>
    </row>
    <row r="44" spans="1:9" x14ac:dyDescent="0.35">
      <c r="A44" s="1">
        <v>46177</v>
      </c>
      <c r="B44">
        <f t="shared" si="0"/>
        <v>372</v>
      </c>
      <c r="C44">
        <f t="shared" si="3"/>
        <v>1</v>
      </c>
      <c r="D44">
        <f t="shared" si="8"/>
        <v>0.62</v>
      </c>
      <c r="E44">
        <f t="shared" si="5"/>
        <v>60</v>
      </c>
      <c r="F44">
        <f t="shared" si="9"/>
        <v>158</v>
      </c>
      <c r="G44">
        <f t="shared" si="2"/>
        <v>4</v>
      </c>
      <c r="H44">
        <f t="shared" si="6"/>
        <v>36</v>
      </c>
      <c r="I44">
        <f t="shared" si="7"/>
        <v>122</v>
      </c>
    </row>
    <row r="45" spans="1:9" x14ac:dyDescent="0.35">
      <c r="A45" s="1">
        <v>46178</v>
      </c>
      <c r="B45">
        <f t="shared" si="0"/>
        <v>372</v>
      </c>
      <c r="C45">
        <f t="shared" si="3"/>
        <v>2</v>
      </c>
      <c r="D45">
        <f t="shared" si="8"/>
        <v>0.62</v>
      </c>
      <c r="E45">
        <f t="shared" si="5"/>
        <v>60</v>
      </c>
      <c r="F45">
        <f t="shared" si="9"/>
        <v>182</v>
      </c>
      <c r="G45">
        <f t="shared" si="2"/>
        <v>5</v>
      </c>
      <c r="H45">
        <f t="shared" si="6"/>
        <v>36</v>
      </c>
      <c r="I45">
        <f t="shared" si="7"/>
        <v>146</v>
      </c>
    </row>
    <row r="46" spans="1:9" x14ac:dyDescent="0.35">
      <c r="A46" s="1">
        <v>46179</v>
      </c>
      <c r="B46">
        <f t="shared" si="0"/>
        <v>372</v>
      </c>
      <c r="C46">
        <f t="shared" si="3"/>
        <v>3</v>
      </c>
      <c r="D46">
        <f t="shared" si="8"/>
        <v>0.62</v>
      </c>
      <c r="E46">
        <f t="shared" si="5"/>
        <v>60</v>
      </c>
      <c r="F46">
        <f t="shared" si="9"/>
        <v>206</v>
      </c>
      <c r="G46">
        <f t="shared" si="2"/>
        <v>6</v>
      </c>
      <c r="H46">
        <f t="shared" si="6"/>
        <v>100</v>
      </c>
      <c r="I46">
        <f t="shared" si="7"/>
        <v>106</v>
      </c>
    </row>
    <row r="47" spans="1:9" x14ac:dyDescent="0.35">
      <c r="A47" s="1">
        <v>46180</v>
      </c>
      <c r="B47">
        <f t="shared" si="0"/>
        <v>372</v>
      </c>
      <c r="C47">
        <f t="shared" si="3"/>
        <v>4</v>
      </c>
      <c r="D47">
        <f t="shared" si="8"/>
        <v>0.62</v>
      </c>
      <c r="E47">
        <f t="shared" si="5"/>
        <v>60</v>
      </c>
      <c r="F47">
        <f t="shared" si="9"/>
        <v>166</v>
      </c>
      <c r="G47">
        <f t="shared" si="2"/>
        <v>7</v>
      </c>
      <c r="H47">
        <f t="shared" si="6"/>
        <v>100</v>
      </c>
      <c r="I47">
        <f t="shared" si="7"/>
        <v>66</v>
      </c>
    </row>
    <row r="48" spans="1:9" x14ac:dyDescent="0.35">
      <c r="A48" s="1">
        <v>46181</v>
      </c>
      <c r="B48">
        <f t="shared" si="0"/>
        <v>372</v>
      </c>
      <c r="C48">
        <f t="shared" si="3"/>
        <v>5</v>
      </c>
      <c r="D48">
        <f t="shared" si="8"/>
        <v>0.62</v>
      </c>
      <c r="E48">
        <f t="shared" si="5"/>
        <v>60</v>
      </c>
      <c r="F48">
        <f t="shared" si="9"/>
        <v>126</v>
      </c>
      <c r="G48">
        <f t="shared" si="2"/>
        <v>1</v>
      </c>
      <c r="H48">
        <f t="shared" si="6"/>
        <v>36</v>
      </c>
      <c r="I48">
        <f t="shared" si="7"/>
        <v>90</v>
      </c>
    </row>
    <row r="49" spans="1:9" x14ac:dyDescent="0.35">
      <c r="A49" s="1">
        <v>46182</v>
      </c>
      <c r="B49">
        <f t="shared" si="0"/>
        <v>372</v>
      </c>
      <c r="C49">
        <f t="shared" si="3"/>
        <v>6</v>
      </c>
      <c r="D49">
        <f t="shared" si="8"/>
        <v>0.62</v>
      </c>
      <c r="E49">
        <f t="shared" si="5"/>
        <v>60</v>
      </c>
      <c r="F49">
        <f t="shared" si="9"/>
        <v>150</v>
      </c>
      <c r="G49">
        <f t="shared" si="2"/>
        <v>2</v>
      </c>
      <c r="H49">
        <f t="shared" si="6"/>
        <v>36</v>
      </c>
      <c r="I49">
        <f t="shared" si="7"/>
        <v>114</v>
      </c>
    </row>
    <row r="50" spans="1:9" x14ac:dyDescent="0.35">
      <c r="A50" s="1">
        <v>46183</v>
      </c>
      <c r="B50">
        <f t="shared" si="0"/>
        <v>372</v>
      </c>
      <c r="C50">
        <f t="shared" si="3"/>
        <v>7</v>
      </c>
      <c r="D50">
        <f t="shared" si="8"/>
        <v>0.62</v>
      </c>
      <c r="E50">
        <f t="shared" si="5"/>
        <v>62</v>
      </c>
      <c r="F50">
        <f t="shared" si="9"/>
        <v>176</v>
      </c>
      <c r="G50">
        <f t="shared" si="2"/>
        <v>3</v>
      </c>
      <c r="H50">
        <f t="shared" si="6"/>
        <v>36</v>
      </c>
      <c r="I50">
        <f t="shared" si="7"/>
        <v>140</v>
      </c>
    </row>
    <row r="51" spans="1:9" x14ac:dyDescent="0.35">
      <c r="A51" s="1">
        <v>46184</v>
      </c>
      <c r="B51">
        <f t="shared" si="0"/>
        <v>384</v>
      </c>
      <c r="C51">
        <f t="shared" si="3"/>
        <v>1</v>
      </c>
      <c r="D51">
        <f t="shared" si="8"/>
        <v>0.64</v>
      </c>
      <c r="E51">
        <f t="shared" si="5"/>
        <v>62</v>
      </c>
      <c r="F51">
        <f t="shared" si="9"/>
        <v>202</v>
      </c>
      <c r="G51">
        <f t="shared" si="2"/>
        <v>4</v>
      </c>
      <c r="H51">
        <f t="shared" si="6"/>
        <v>36</v>
      </c>
      <c r="I51">
        <f t="shared" si="7"/>
        <v>166</v>
      </c>
    </row>
    <row r="52" spans="1:9" x14ac:dyDescent="0.35">
      <c r="A52" s="1">
        <v>46185</v>
      </c>
      <c r="B52">
        <f t="shared" si="0"/>
        <v>384</v>
      </c>
      <c r="C52">
        <f t="shared" si="3"/>
        <v>2</v>
      </c>
      <c r="D52">
        <f t="shared" si="8"/>
        <v>0.64</v>
      </c>
      <c r="E52">
        <f t="shared" si="5"/>
        <v>62</v>
      </c>
      <c r="F52">
        <f t="shared" si="9"/>
        <v>228</v>
      </c>
      <c r="G52">
        <f t="shared" si="2"/>
        <v>5</v>
      </c>
      <c r="H52">
        <f t="shared" si="6"/>
        <v>36</v>
      </c>
      <c r="I52">
        <f t="shared" si="7"/>
        <v>192</v>
      </c>
    </row>
    <row r="53" spans="1:9" x14ac:dyDescent="0.35">
      <c r="A53" s="1">
        <v>46186</v>
      </c>
      <c r="B53">
        <f t="shared" si="0"/>
        <v>384</v>
      </c>
      <c r="C53">
        <f t="shared" si="3"/>
        <v>3</v>
      </c>
      <c r="D53">
        <f t="shared" si="8"/>
        <v>0.64</v>
      </c>
      <c r="E53">
        <f t="shared" si="5"/>
        <v>62</v>
      </c>
      <c r="F53">
        <f t="shared" si="9"/>
        <v>254</v>
      </c>
      <c r="G53">
        <f t="shared" si="2"/>
        <v>6</v>
      </c>
      <c r="H53">
        <f t="shared" si="6"/>
        <v>100</v>
      </c>
      <c r="I53">
        <f t="shared" si="7"/>
        <v>154</v>
      </c>
    </row>
    <row r="54" spans="1:9" x14ac:dyDescent="0.35">
      <c r="A54" s="1">
        <v>46187</v>
      </c>
      <c r="B54">
        <f t="shared" si="0"/>
        <v>384</v>
      </c>
      <c r="C54">
        <f t="shared" si="3"/>
        <v>4</v>
      </c>
      <c r="D54">
        <f t="shared" si="8"/>
        <v>0.64</v>
      </c>
      <c r="E54">
        <f t="shared" si="5"/>
        <v>62</v>
      </c>
      <c r="F54">
        <f t="shared" si="9"/>
        <v>216</v>
      </c>
      <c r="G54">
        <f t="shared" si="2"/>
        <v>7</v>
      </c>
      <c r="H54">
        <f t="shared" si="6"/>
        <v>100</v>
      </c>
      <c r="I54">
        <f t="shared" si="7"/>
        <v>116</v>
      </c>
    </row>
    <row r="55" spans="1:9" x14ac:dyDescent="0.35">
      <c r="A55" s="1">
        <v>46188</v>
      </c>
      <c r="B55">
        <f t="shared" si="0"/>
        <v>384</v>
      </c>
      <c r="C55">
        <f t="shared" si="3"/>
        <v>5</v>
      </c>
      <c r="D55">
        <f t="shared" si="8"/>
        <v>0.64</v>
      </c>
      <c r="E55">
        <f t="shared" si="5"/>
        <v>62</v>
      </c>
      <c r="F55">
        <f t="shared" si="9"/>
        <v>178</v>
      </c>
      <c r="G55">
        <f t="shared" si="2"/>
        <v>1</v>
      </c>
      <c r="H55">
        <f t="shared" si="6"/>
        <v>36</v>
      </c>
      <c r="I55">
        <f t="shared" si="7"/>
        <v>142</v>
      </c>
    </row>
    <row r="56" spans="1:9" x14ac:dyDescent="0.35">
      <c r="A56" s="1">
        <v>46189</v>
      </c>
      <c r="B56">
        <f t="shared" si="0"/>
        <v>384</v>
      </c>
      <c r="C56">
        <f t="shared" si="3"/>
        <v>6</v>
      </c>
      <c r="D56">
        <f t="shared" si="8"/>
        <v>0.64</v>
      </c>
      <c r="E56">
        <f t="shared" si="5"/>
        <v>62</v>
      </c>
      <c r="F56">
        <f t="shared" si="9"/>
        <v>204</v>
      </c>
      <c r="G56">
        <f t="shared" si="2"/>
        <v>2</v>
      </c>
      <c r="H56">
        <f t="shared" si="6"/>
        <v>36</v>
      </c>
      <c r="I56">
        <f t="shared" si="7"/>
        <v>168</v>
      </c>
    </row>
    <row r="57" spans="1:9" x14ac:dyDescent="0.35">
      <c r="A57" s="1">
        <v>46190</v>
      </c>
      <c r="B57">
        <f t="shared" si="0"/>
        <v>384</v>
      </c>
      <c r="C57">
        <f t="shared" si="3"/>
        <v>7</v>
      </c>
      <c r="D57">
        <f t="shared" si="8"/>
        <v>0.64</v>
      </c>
      <c r="E57">
        <f t="shared" si="5"/>
        <v>64</v>
      </c>
      <c r="F57">
        <f t="shared" si="9"/>
        <v>232</v>
      </c>
      <c r="G57">
        <f t="shared" si="2"/>
        <v>3</v>
      </c>
      <c r="H57">
        <f t="shared" si="6"/>
        <v>36</v>
      </c>
      <c r="I57">
        <f t="shared" si="7"/>
        <v>196</v>
      </c>
    </row>
    <row r="58" spans="1:9" x14ac:dyDescent="0.35">
      <c r="A58" s="1">
        <v>46191</v>
      </c>
      <c r="B58">
        <f t="shared" si="0"/>
        <v>402</v>
      </c>
      <c r="C58">
        <f t="shared" si="3"/>
        <v>1</v>
      </c>
      <c r="D58">
        <f t="shared" si="8"/>
        <v>0.67</v>
      </c>
      <c r="E58">
        <f t="shared" si="5"/>
        <v>64</v>
      </c>
      <c r="F58">
        <f t="shared" si="9"/>
        <v>260</v>
      </c>
      <c r="G58">
        <f t="shared" si="2"/>
        <v>4</v>
      </c>
      <c r="H58">
        <f t="shared" si="6"/>
        <v>36</v>
      </c>
      <c r="I58">
        <f t="shared" si="7"/>
        <v>224</v>
      </c>
    </row>
    <row r="59" spans="1:9" x14ac:dyDescent="0.35">
      <c r="A59" s="1">
        <v>46192</v>
      </c>
      <c r="B59">
        <f t="shared" si="0"/>
        <v>402</v>
      </c>
      <c r="C59">
        <f t="shared" si="3"/>
        <v>2</v>
      </c>
      <c r="D59">
        <f t="shared" si="8"/>
        <v>0.67</v>
      </c>
      <c r="E59">
        <f t="shared" si="5"/>
        <v>64</v>
      </c>
      <c r="F59">
        <f t="shared" si="9"/>
        <v>288</v>
      </c>
      <c r="G59">
        <f t="shared" si="2"/>
        <v>5</v>
      </c>
      <c r="H59">
        <f t="shared" si="6"/>
        <v>36</v>
      </c>
      <c r="I59">
        <f t="shared" si="7"/>
        <v>252</v>
      </c>
    </row>
    <row r="60" spans="1:9" x14ac:dyDescent="0.35">
      <c r="A60" s="1">
        <v>46193</v>
      </c>
      <c r="B60">
        <f t="shared" si="0"/>
        <v>402</v>
      </c>
      <c r="C60">
        <f t="shared" si="3"/>
        <v>3</v>
      </c>
      <c r="D60">
        <f t="shared" si="8"/>
        <v>0.67</v>
      </c>
      <c r="E60">
        <f t="shared" si="5"/>
        <v>64</v>
      </c>
      <c r="F60">
        <f t="shared" si="9"/>
        <v>316</v>
      </c>
      <c r="G60">
        <f t="shared" si="2"/>
        <v>6</v>
      </c>
      <c r="H60">
        <f t="shared" si="6"/>
        <v>100</v>
      </c>
      <c r="I60">
        <f t="shared" si="7"/>
        <v>216</v>
      </c>
    </row>
    <row r="61" spans="1:9" x14ac:dyDescent="0.35">
      <c r="A61" s="1">
        <v>46194</v>
      </c>
      <c r="B61">
        <f t="shared" si="0"/>
        <v>402</v>
      </c>
      <c r="C61">
        <f t="shared" si="3"/>
        <v>4</v>
      </c>
      <c r="D61">
        <f t="shared" si="8"/>
        <v>0.67</v>
      </c>
      <c r="E61">
        <f t="shared" si="5"/>
        <v>64</v>
      </c>
      <c r="F61">
        <f t="shared" si="9"/>
        <v>280</v>
      </c>
      <c r="G61">
        <f t="shared" si="2"/>
        <v>7</v>
      </c>
      <c r="H61">
        <f t="shared" si="6"/>
        <v>100</v>
      </c>
      <c r="I61">
        <f t="shared" si="7"/>
        <v>180</v>
      </c>
    </row>
    <row r="62" spans="1:9" x14ac:dyDescent="0.35">
      <c r="A62" s="1">
        <v>46195</v>
      </c>
      <c r="B62">
        <f t="shared" si="0"/>
        <v>402</v>
      </c>
      <c r="C62">
        <f t="shared" si="3"/>
        <v>5</v>
      </c>
      <c r="D62">
        <f t="shared" si="8"/>
        <v>0.67</v>
      </c>
      <c r="E62">
        <f t="shared" si="5"/>
        <v>64</v>
      </c>
      <c r="F62">
        <f t="shared" si="9"/>
        <v>244</v>
      </c>
      <c r="G62">
        <f t="shared" si="2"/>
        <v>1</v>
      </c>
      <c r="H62">
        <f t="shared" si="6"/>
        <v>36</v>
      </c>
      <c r="I62">
        <f t="shared" si="7"/>
        <v>208</v>
      </c>
    </row>
    <row r="63" spans="1:9" x14ac:dyDescent="0.35">
      <c r="A63" s="1">
        <v>46196</v>
      </c>
      <c r="B63">
        <f t="shared" si="0"/>
        <v>402</v>
      </c>
      <c r="C63">
        <f t="shared" si="3"/>
        <v>6</v>
      </c>
      <c r="D63">
        <f t="shared" si="8"/>
        <v>0.67</v>
      </c>
      <c r="E63">
        <f t="shared" si="5"/>
        <v>64</v>
      </c>
      <c r="F63">
        <f t="shared" si="9"/>
        <v>272</v>
      </c>
      <c r="G63">
        <f t="shared" si="2"/>
        <v>2</v>
      </c>
      <c r="H63">
        <f t="shared" si="6"/>
        <v>36</v>
      </c>
      <c r="I63">
        <f t="shared" si="7"/>
        <v>236</v>
      </c>
    </row>
    <row r="64" spans="1:9" x14ac:dyDescent="0.35">
      <c r="A64" s="1">
        <v>46197</v>
      </c>
      <c r="B64">
        <f t="shared" si="0"/>
        <v>402</v>
      </c>
      <c r="C64">
        <f t="shared" si="3"/>
        <v>7</v>
      </c>
      <c r="D64">
        <f t="shared" si="8"/>
        <v>0.67</v>
      </c>
      <c r="E64">
        <f t="shared" si="5"/>
        <v>67</v>
      </c>
      <c r="F64">
        <f t="shared" si="9"/>
        <v>303</v>
      </c>
      <c r="G64">
        <f t="shared" si="2"/>
        <v>3</v>
      </c>
      <c r="H64">
        <f t="shared" si="6"/>
        <v>36</v>
      </c>
      <c r="I64">
        <f t="shared" si="7"/>
        <v>267</v>
      </c>
    </row>
    <row r="65" spans="1:9" x14ac:dyDescent="0.35">
      <c r="A65" s="1">
        <v>46198</v>
      </c>
      <c r="B65">
        <f t="shared" si="0"/>
        <v>360</v>
      </c>
      <c r="C65">
        <f t="shared" si="3"/>
        <v>1</v>
      </c>
      <c r="D65">
        <f>ROUND(IF(AND(C64=7,A65&gt;DATE(2026,6,24)),D64*90/100,D64),2)</f>
        <v>0.6</v>
      </c>
      <c r="E65">
        <f t="shared" si="5"/>
        <v>67</v>
      </c>
      <c r="F65">
        <f t="shared" si="9"/>
        <v>334</v>
      </c>
      <c r="G65">
        <f t="shared" si="2"/>
        <v>4</v>
      </c>
      <c r="H65">
        <f t="shared" si="6"/>
        <v>36</v>
      </c>
      <c r="I65">
        <f t="shared" si="7"/>
        <v>298</v>
      </c>
    </row>
    <row r="66" spans="1:9" x14ac:dyDescent="0.35">
      <c r="A66" s="1">
        <v>46199</v>
      </c>
      <c r="B66">
        <f t="shared" si="0"/>
        <v>360</v>
      </c>
      <c r="C66">
        <f t="shared" si="3"/>
        <v>2</v>
      </c>
      <c r="D66">
        <f t="shared" ref="D66:D129" si="10">ROUND(IF(AND(C65=7,A66&gt;DATE(2026,6,24)),D65*90/100,D65),2)</f>
        <v>0.6</v>
      </c>
      <c r="E66">
        <f t="shared" si="5"/>
        <v>67</v>
      </c>
      <c r="F66">
        <f t="shared" si="9"/>
        <v>365</v>
      </c>
      <c r="G66">
        <f t="shared" si="2"/>
        <v>5</v>
      </c>
      <c r="H66">
        <f t="shared" si="6"/>
        <v>36</v>
      </c>
      <c r="I66">
        <f t="shared" si="7"/>
        <v>329</v>
      </c>
    </row>
    <row r="67" spans="1:9" x14ac:dyDescent="0.35">
      <c r="A67" s="1">
        <v>46200</v>
      </c>
      <c r="B67">
        <f t="shared" ref="B67:B130" si="11">600 * D67</f>
        <v>360</v>
      </c>
      <c r="C67">
        <f t="shared" si="3"/>
        <v>3</v>
      </c>
      <c r="D67">
        <f t="shared" si="10"/>
        <v>0.6</v>
      </c>
      <c r="E67">
        <f t="shared" si="5"/>
        <v>67</v>
      </c>
      <c r="F67">
        <f t="shared" si="9"/>
        <v>396</v>
      </c>
      <c r="G67">
        <f t="shared" ref="G67:G130" si="12">WEEKDAY(A67,2)</f>
        <v>6</v>
      </c>
      <c r="H67">
        <f t="shared" si="6"/>
        <v>100</v>
      </c>
      <c r="I67">
        <f t="shared" si="7"/>
        <v>296</v>
      </c>
    </row>
    <row r="68" spans="1:9" x14ac:dyDescent="0.35">
      <c r="A68" s="1">
        <v>46201</v>
      </c>
      <c r="B68">
        <f t="shared" si="11"/>
        <v>360</v>
      </c>
      <c r="C68">
        <f t="shared" ref="C68:C131" si="13">IF(C67=7,1,C67+1)</f>
        <v>4</v>
      </c>
      <c r="D68">
        <f t="shared" si="10"/>
        <v>0.6</v>
      </c>
      <c r="E68">
        <f t="shared" si="5"/>
        <v>67</v>
      </c>
      <c r="F68">
        <f t="shared" si="9"/>
        <v>363</v>
      </c>
      <c r="G68">
        <f t="shared" si="12"/>
        <v>7</v>
      </c>
      <c r="H68">
        <f t="shared" si="6"/>
        <v>100</v>
      </c>
      <c r="I68">
        <f t="shared" si="7"/>
        <v>263</v>
      </c>
    </row>
    <row r="69" spans="1:9" x14ac:dyDescent="0.35">
      <c r="A69" s="1">
        <v>46202</v>
      </c>
      <c r="B69">
        <f t="shared" si="11"/>
        <v>360</v>
      </c>
      <c r="C69">
        <f t="shared" si="13"/>
        <v>5</v>
      </c>
      <c r="D69">
        <f t="shared" si="10"/>
        <v>0.6</v>
      </c>
      <c r="E69">
        <f t="shared" si="5"/>
        <v>67</v>
      </c>
      <c r="F69">
        <f t="shared" si="9"/>
        <v>330</v>
      </c>
      <c r="G69">
        <f t="shared" si="12"/>
        <v>1</v>
      </c>
      <c r="H69">
        <f t="shared" si="6"/>
        <v>36</v>
      </c>
      <c r="I69">
        <f t="shared" si="7"/>
        <v>294</v>
      </c>
    </row>
    <row r="70" spans="1:9" x14ac:dyDescent="0.35">
      <c r="A70" s="1">
        <v>46203</v>
      </c>
      <c r="B70">
        <f t="shared" si="11"/>
        <v>360</v>
      </c>
      <c r="C70">
        <f t="shared" si="13"/>
        <v>6</v>
      </c>
      <c r="D70">
        <f t="shared" si="10"/>
        <v>0.6</v>
      </c>
      <c r="E70">
        <f t="shared" si="5"/>
        <v>67</v>
      </c>
      <c r="F70">
        <f t="shared" si="9"/>
        <v>361</v>
      </c>
      <c r="G70">
        <f t="shared" si="12"/>
        <v>2</v>
      </c>
      <c r="H70">
        <f t="shared" si="6"/>
        <v>36</v>
      </c>
      <c r="I70">
        <f t="shared" si="7"/>
        <v>325</v>
      </c>
    </row>
    <row r="71" spans="1:9" x14ac:dyDescent="0.35">
      <c r="A71" s="1">
        <v>46204</v>
      </c>
      <c r="B71">
        <f t="shared" si="11"/>
        <v>360</v>
      </c>
      <c r="C71">
        <f t="shared" si="13"/>
        <v>7</v>
      </c>
      <c r="D71">
        <f t="shared" si="10"/>
        <v>0.6</v>
      </c>
      <c r="E71">
        <f t="shared" si="5"/>
        <v>60</v>
      </c>
      <c r="F71">
        <f t="shared" si="9"/>
        <v>385</v>
      </c>
      <c r="G71">
        <f t="shared" si="12"/>
        <v>3</v>
      </c>
      <c r="H71">
        <f t="shared" si="6"/>
        <v>36</v>
      </c>
      <c r="I71">
        <f t="shared" si="7"/>
        <v>349</v>
      </c>
    </row>
    <row r="72" spans="1:9" x14ac:dyDescent="0.35">
      <c r="A72" s="1">
        <v>46205</v>
      </c>
      <c r="B72">
        <f t="shared" si="11"/>
        <v>324</v>
      </c>
      <c r="C72">
        <f t="shared" si="13"/>
        <v>1</v>
      </c>
      <c r="D72">
        <f t="shared" si="10"/>
        <v>0.54</v>
      </c>
      <c r="E72">
        <f t="shared" si="5"/>
        <v>60</v>
      </c>
      <c r="F72">
        <f t="shared" si="9"/>
        <v>409</v>
      </c>
      <c r="G72">
        <f t="shared" si="12"/>
        <v>4</v>
      </c>
      <c r="H72">
        <f t="shared" si="6"/>
        <v>36</v>
      </c>
      <c r="I72">
        <f t="shared" si="7"/>
        <v>373</v>
      </c>
    </row>
    <row r="73" spans="1:9" x14ac:dyDescent="0.35">
      <c r="A73" s="1">
        <v>46206</v>
      </c>
      <c r="B73">
        <f t="shared" si="11"/>
        <v>324</v>
      </c>
      <c r="C73">
        <f t="shared" si="13"/>
        <v>2</v>
      </c>
      <c r="D73">
        <f t="shared" si="10"/>
        <v>0.54</v>
      </c>
      <c r="E73">
        <f t="shared" ref="E73:E136" si="14">INT(B67/6)</f>
        <v>60</v>
      </c>
      <c r="F73">
        <f t="shared" si="9"/>
        <v>433</v>
      </c>
      <c r="G73">
        <f t="shared" si="12"/>
        <v>5</v>
      </c>
      <c r="H73">
        <f t="shared" ref="H73:H136" si="15">IF(AND(G73&gt;=1,G73&lt;=5),36,100)</f>
        <v>36</v>
      </c>
      <c r="I73">
        <f t="shared" ref="I73:I136" si="16">IF(H73&gt;F73,0,F73-H73)</f>
        <v>397</v>
      </c>
    </row>
    <row r="74" spans="1:9" x14ac:dyDescent="0.35">
      <c r="A74" s="1">
        <v>46207</v>
      </c>
      <c r="B74">
        <f t="shared" si="11"/>
        <v>324</v>
      </c>
      <c r="C74">
        <f t="shared" si="13"/>
        <v>3</v>
      </c>
      <c r="D74">
        <f t="shared" si="10"/>
        <v>0.54</v>
      </c>
      <c r="E74">
        <f t="shared" si="14"/>
        <v>60</v>
      </c>
      <c r="F74">
        <f t="shared" ref="F74:F137" si="17">I73+E74</f>
        <v>457</v>
      </c>
      <c r="G74">
        <f t="shared" si="12"/>
        <v>6</v>
      </c>
      <c r="H74">
        <f t="shared" si="15"/>
        <v>100</v>
      </c>
      <c r="I74">
        <f t="shared" si="16"/>
        <v>357</v>
      </c>
    </row>
    <row r="75" spans="1:9" x14ac:dyDescent="0.35">
      <c r="A75" s="1">
        <v>46208</v>
      </c>
      <c r="B75">
        <f t="shared" si="11"/>
        <v>324</v>
      </c>
      <c r="C75">
        <f t="shared" si="13"/>
        <v>4</v>
      </c>
      <c r="D75">
        <f t="shared" si="10"/>
        <v>0.54</v>
      </c>
      <c r="E75">
        <f t="shared" si="14"/>
        <v>60</v>
      </c>
      <c r="F75">
        <f t="shared" si="17"/>
        <v>417</v>
      </c>
      <c r="G75">
        <f t="shared" si="12"/>
        <v>7</v>
      </c>
      <c r="H75">
        <f t="shared" si="15"/>
        <v>100</v>
      </c>
      <c r="I75">
        <f t="shared" si="16"/>
        <v>317</v>
      </c>
    </row>
    <row r="76" spans="1:9" x14ac:dyDescent="0.35">
      <c r="A76" s="1">
        <v>46209</v>
      </c>
      <c r="B76">
        <f t="shared" si="11"/>
        <v>324</v>
      </c>
      <c r="C76">
        <f t="shared" si="13"/>
        <v>5</v>
      </c>
      <c r="D76">
        <f t="shared" si="10"/>
        <v>0.54</v>
      </c>
      <c r="E76">
        <f t="shared" si="14"/>
        <v>60</v>
      </c>
      <c r="F76">
        <f t="shared" si="17"/>
        <v>377</v>
      </c>
      <c r="G76">
        <f t="shared" si="12"/>
        <v>1</v>
      </c>
      <c r="H76">
        <f t="shared" si="15"/>
        <v>36</v>
      </c>
      <c r="I76">
        <f t="shared" si="16"/>
        <v>341</v>
      </c>
    </row>
    <row r="77" spans="1:9" x14ac:dyDescent="0.35">
      <c r="A77" s="1">
        <v>46210</v>
      </c>
      <c r="B77">
        <f t="shared" si="11"/>
        <v>324</v>
      </c>
      <c r="C77">
        <f t="shared" si="13"/>
        <v>6</v>
      </c>
      <c r="D77">
        <f t="shared" si="10"/>
        <v>0.54</v>
      </c>
      <c r="E77">
        <f t="shared" si="14"/>
        <v>60</v>
      </c>
      <c r="F77">
        <f t="shared" si="17"/>
        <v>401</v>
      </c>
      <c r="G77">
        <f t="shared" si="12"/>
        <v>2</v>
      </c>
      <c r="H77">
        <f t="shared" si="15"/>
        <v>36</v>
      </c>
      <c r="I77">
        <f t="shared" si="16"/>
        <v>365</v>
      </c>
    </row>
    <row r="78" spans="1:9" x14ac:dyDescent="0.35">
      <c r="A78" s="1">
        <v>46211</v>
      </c>
      <c r="B78">
        <f t="shared" si="11"/>
        <v>324</v>
      </c>
      <c r="C78">
        <f t="shared" si="13"/>
        <v>7</v>
      </c>
      <c r="D78">
        <f t="shared" si="10"/>
        <v>0.54</v>
      </c>
      <c r="E78">
        <f t="shared" si="14"/>
        <v>54</v>
      </c>
      <c r="F78">
        <f t="shared" si="17"/>
        <v>419</v>
      </c>
      <c r="G78">
        <f t="shared" si="12"/>
        <v>3</v>
      </c>
      <c r="H78">
        <f t="shared" si="15"/>
        <v>36</v>
      </c>
      <c r="I78">
        <f t="shared" si="16"/>
        <v>383</v>
      </c>
    </row>
    <row r="79" spans="1:9" x14ac:dyDescent="0.35">
      <c r="A79" s="1">
        <v>46212</v>
      </c>
      <c r="B79">
        <f t="shared" si="11"/>
        <v>294</v>
      </c>
      <c r="C79">
        <f t="shared" si="13"/>
        <v>1</v>
      </c>
      <c r="D79">
        <f t="shared" si="10"/>
        <v>0.49</v>
      </c>
      <c r="E79">
        <f t="shared" si="14"/>
        <v>54</v>
      </c>
      <c r="F79">
        <f t="shared" si="17"/>
        <v>437</v>
      </c>
      <c r="G79">
        <f t="shared" si="12"/>
        <v>4</v>
      </c>
      <c r="H79">
        <f t="shared" si="15"/>
        <v>36</v>
      </c>
      <c r="I79">
        <f t="shared" si="16"/>
        <v>401</v>
      </c>
    </row>
    <row r="80" spans="1:9" x14ac:dyDescent="0.35">
      <c r="A80" s="1">
        <v>46213</v>
      </c>
      <c r="B80">
        <f t="shared" si="11"/>
        <v>294</v>
      </c>
      <c r="C80">
        <f t="shared" si="13"/>
        <v>2</v>
      </c>
      <c r="D80">
        <f t="shared" si="10"/>
        <v>0.49</v>
      </c>
      <c r="E80">
        <f t="shared" si="14"/>
        <v>54</v>
      </c>
      <c r="F80">
        <f t="shared" si="17"/>
        <v>455</v>
      </c>
      <c r="G80">
        <f t="shared" si="12"/>
        <v>5</v>
      </c>
      <c r="H80">
        <f t="shared" si="15"/>
        <v>36</v>
      </c>
      <c r="I80">
        <f t="shared" si="16"/>
        <v>419</v>
      </c>
    </row>
    <row r="81" spans="1:9" x14ac:dyDescent="0.35">
      <c r="A81" s="1">
        <v>46214</v>
      </c>
      <c r="B81">
        <f t="shared" si="11"/>
        <v>294</v>
      </c>
      <c r="C81">
        <f t="shared" si="13"/>
        <v>3</v>
      </c>
      <c r="D81">
        <f t="shared" si="10"/>
        <v>0.49</v>
      </c>
      <c r="E81">
        <f t="shared" si="14"/>
        <v>54</v>
      </c>
      <c r="F81">
        <f t="shared" si="17"/>
        <v>473</v>
      </c>
      <c r="G81">
        <f t="shared" si="12"/>
        <v>6</v>
      </c>
      <c r="H81">
        <f t="shared" si="15"/>
        <v>100</v>
      </c>
      <c r="I81">
        <f t="shared" si="16"/>
        <v>373</v>
      </c>
    </row>
    <row r="82" spans="1:9" x14ac:dyDescent="0.35">
      <c r="A82" s="1">
        <v>46215</v>
      </c>
      <c r="B82">
        <f t="shared" si="11"/>
        <v>294</v>
      </c>
      <c r="C82">
        <f t="shared" si="13"/>
        <v>4</v>
      </c>
      <c r="D82">
        <f t="shared" si="10"/>
        <v>0.49</v>
      </c>
      <c r="E82">
        <f t="shared" si="14"/>
        <v>54</v>
      </c>
      <c r="F82">
        <f t="shared" si="17"/>
        <v>427</v>
      </c>
      <c r="G82">
        <f t="shared" si="12"/>
        <v>7</v>
      </c>
      <c r="H82">
        <f t="shared" si="15"/>
        <v>100</v>
      </c>
      <c r="I82">
        <f t="shared" si="16"/>
        <v>327</v>
      </c>
    </row>
    <row r="83" spans="1:9" x14ac:dyDescent="0.35">
      <c r="A83" s="1">
        <v>46216</v>
      </c>
      <c r="B83">
        <f t="shared" si="11"/>
        <v>294</v>
      </c>
      <c r="C83">
        <f t="shared" si="13"/>
        <v>5</v>
      </c>
      <c r="D83">
        <f t="shared" si="10"/>
        <v>0.49</v>
      </c>
      <c r="E83">
        <f t="shared" si="14"/>
        <v>54</v>
      </c>
      <c r="F83">
        <f t="shared" si="17"/>
        <v>381</v>
      </c>
      <c r="G83">
        <f t="shared" si="12"/>
        <v>1</v>
      </c>
      <c r="H83">
        <f t="shared" si="15"/>
        <v>36</v>
      </c>
      <c r="I83">
        <f t="shared" si="16"/>
        <v>345</v>
      </c>
    </row>
    <row r="84" spans="1:9" x14ac:dyDescent="0.35">
      <c r="A84" s="1">
        <v>46217</v>
      </c>
      <c r="B84">
        <f t="shared" si="11"/>
        <v>294</v>
      </c>
      <c r="C84">
        <f t="shared" si="13"/>
        <v>6</v>
      </c>
      <c r="D84">
        <f t="shared" si="10"/>
        <v>0.49</v>
      </c>
      <c r="E84">
        <f t="shared" si="14"/>
        <v>54</v>
      </c>
      <c r="F84">
        <f t="shared" si="17"/>
        <v>399</v>
      </c>
      <c r="G84">
        <f t="shared" si="12"/>
        <v>2</v>
      </c>
      <c r="H84">
        <f t="shared" si="15"/>
        <v>36</v>
      </c>
      <c r="I84">
        <f t="shared" si="16"/>
        <v>363</v>
      </c>
    </row>
    <row r="85" spans="1:9" x14ac:dyDescent="0.35">
      <c r="A85" s="1">
        <v>46218</v>
      </c>
      <c r="B85">
        <f t="shared" si="11"/>
        <v>294</v>
      </c>
      <c r="C85">
        <f t="shared" si="13"/>
        <v>7</v>
      </c>
      <c r="D85">
        <f t="shared" si="10"/>
        <v>0.49</v>
      </c>
      <c r="E85">
        <f t="shared" si="14"/>
        <v>49</v>
      </c>
      <c r="F85">
        <f t="shared" si="17"/>
        <v>412</v>
      </c>
      <c r="G85">
        <f t="shared" si="12"/>
        <v>3</v>
      </c>
      <c r="H85">
        <f t="shared" si="15"/>
        <v>36</v>
      </c>
      <c r="I85">
        <f t="shared" si="16"/>
        <v>376</v>
      </c>
    </row>
    <row r="86" spans="1:9" x14ac:dyDescent="0.35">
      <c r="A86" s="1">
        <v>46219</v>
      </c>
      <c r="B86">
        <f t="shared" si="11"/>
        <v>264</v>
      </c>
      <c r="C86">
        <f t="shared" si="13"/>
        <v>1</v>
      </c>
      <c r="D86">
        <f t="shared" si="10"/>
        <v>0.44</v>
      </c>
      <c r="E86">
        <f t="shared" si="14"/>
        <v>49</v>
      </c>
      <c r="F86">
        <f t="shared" si="17"/>
        <v>425</v>
      </c>
      <c r="G86">
        <f t="shared" si="12"/>
        <v>4</v>
      </c>
      <c r="H86">
        <f t="shared" si="15"/>
        <v>36</v>
      </c>
      <c r="I86">
        <f t="shared" si="16"/>
        <v>389</v>
      </c>
    </row>
    <row r="87" spans="1:9" x14ac:dyDescent="0.35">
      <c r="A87" s="1">
        <v>46220</v>
      </c>
      <c r="B87">
        <f t="shared" si="11"/>
        <v>264</v>
      </c>
      <c r="C87">
        <f t="shared" si="13"/>
        <v>2</v>
      </c>
      <c r="D87">
        <f t="shared" si="10"/>
        <v>0.44</v>
      </c>
      <c r="E87">
        <f t="shared" si="14"/>
        <v>49</v>
      </c>
      <c r="F87">
        <f t="shared" si="17"/>
        <v>438</v>
      </c>
      <c r="G87">
        <f t="shared" si="12"/>
        <v>5</v>
      </c>
      <c r="H87">
        <f t="shared" si="15"/>
        <v>36</v>
      </c>
      <c r="I87">
        <f t="shared" si="16"/>
        <v>402</v>
      </c>
    </row>
    <row r="88" spans="1:9" x14ac:dyDescent="0.35">
      <c r="A88" s="1">
        <v>46221</v>
      </c>
      <c r="B88">
        <f t="shared" si="11"/>
        <v>264</v>
      </c>
      <c r="C88">
        <f t="shared" si="13"/>
        <v>3</v>
      </c>
      <c r="D88">
        <f t="shared" si="10"/>
        <v>0.44</v>
      </c>
      <c r="E88">
        <f t="shared" si="14"/>
        <v>49</v>
      </c>
      <c r="F88">
        <f t="shared" si="17"/>
        <v>451</v>
      </c>
      <c r="G88">
        <f t="shared" si="12"/>
        <v>6</v>
      </c>
      <c r="H88">
        <f t="shared" si="15"/>
        <v>100</v>
      </c>
      <c r="I88">
        <f t="shared" si="16"/>
        <v>351</v>
      </c>
    </row>
    <row r="89" spans="1:9" x14ac:dyDescent="0.35">
      <c r="A89" s="1">
        <v>46222</v>
      </c>
      <c r="B89">
        <f t="shared" si="11"/>
        <v>264</v>
      </c>
      <c r="C89">
        <f t="shared" si="13"/>
        <v>4</v>
      </c>
      <c r="D89">
        <f t="shared" si="10"/>
        <v>0.44</v>
      </c>
      <c r="E89">
        <f t="shared" si="14"/>
        <v>49</v>
      </c>
      <c r="F89">
        <f t="shared" si="17"/>
        <v>400</v>
      </c>
      <c r="G89">
        <f t="shared" si="12"/>
        <v>7</v>
      </c>
      <c r="H89">
        <f t="shared" si="15"/>
        <v>100</v>
      </c>
      <c r="I89">
        <f t="shared" si="16"/>
        <v>300</v>
      </c>
    </row>
    <row r="90" spans="1:9" x14ac:dyDescent="0.35">
      <c r="A90" s="1">
        <v>46223</v>
      </c>
      <c r="B90">
        <f t="shared" si="11"/>
        <v>264</v>
      </c>
      <c r="C90">
        <f t="shared" si="13"/>
        <v>5</v>
      </c>
      <c r="D90">
        <f t="shared" si="10"/>
        <v>0.44</v>
      </c>
      <c r="E90">
        <f t="shared" si="14"/>
        <v>49</v>
      </c>
      <c r="F90">
        <f t="shared" si="17"/>
        <v>349</v>
      </c>
      <c r="G90">
        <f t="shared" si="12"/>
        <v>1</v>
      </c>
      <c r="H90">
        <f t="shared" si="15"/>
        <v>36</v>
      </c>
      <c r="I90">
        <f t="shared" si="16"/>
        <v>313</v>
      </c>
    </row>
    <row r="91" spans="1:9" x14ac:dyDescent="0.35">
      <c r="A91" s="1">
        <v>46224</v>
      </c>
      <c r="B91">
        <f t="shared" si="11"/>
        <v>264</v>
      </c>
      <c r="C91">
        <f t="shared" si="13"/>
        <v>6</v>
      </c>
      <c r="D91">
        <f t="shared" si="10"/>
        <v>0.44</v>
      </c>
      <c r="E91">
        <f t="shared" si="14"/>
        <v>49</v>
      </c>
      <c r="F91">
        <f t="shared" si="17"/>
        <v>362</v>
      </c>
      <c r="G91">
        <f t="shared" si="12"/>
        <v>2</v>
      </c>
      <c r="H91">
        <f t="shared" si="15"/>
        <v>36</v>
      </c>
      <c r="I91">
        <f t="shared" si="16"/>
        <v>326</v>
      </c>
    </row>
    <row r="92" spans="1:9" x14ac:dyDescent="0.35">
      <c r="A92" s="1">
        <v>46225</v>
      </c>
      <c r="B92">
        <f t="shared" si="11"/>
        <v>264</v>
      </c>
      <c r="C92">
        <f t="shared" si="13"/>
        <v>7</v>
      </c>
      <c r="D92">
        <f t="shared" si="10"/>
        <v>0.44</v>
      </c>
      <c r="E92">
        <f t="shared" si="14"/>
        <v>44</v>
      </c>
      <c r="F92">
        <f t="shared" si="17"/>
        <v>370</v>
      </c>
      <c r="G92">
        <f t="shared" si="12"/>
        <v>3</v>
      </c>
      <c r="H92">
        <f t="shared" si="15"/>
        <v>36</v>
      </c>
      <c r="I92">
        <f t="shared" si="16"/>
        <v>334</v>
      </c>
    </row>
    <row r="93" spans="1:9" x14ac:dyDescent="0.35">
      <c r="A93" s="1">
        <v>46226</v>
      </c>
      <c r="B93">
        <f t="shared" si="11"/>
        <v>240</v>
      </c>
      <c r="C93">
        <f t="shared" si="13"/>
        <v>1</v>
      </c>
      <c r="D93">
        <f t="shared" si="10"/>
        <v>0.4</v>
      </c>
      <c r="E93">
        <f t="shared" si="14"/>
        <v>44</v>
      </c>
      <c r="F93">
        <f t="shared" si="17"/>
        <v>378</v>
      </c>
      <c r="G93">
        <f t="shared" si="12"/>
        <v>4</v>
      </c>
      <c r="H93">
        <f t="shared" si="15"/>
        <v>36</v>
      </c>
      <c r="I93">
        <f t="shared" si="16"/>
        <v>342</v>
      </c>
    </row>
    <row r="94" spans="1:9" x14ac:dyDescent="0.35">
      <c r="A94" s="1">
        <v>46227</v>
      </c>
      <c r="B94">
        <f t="shared" si="11"/>
        <v>240</v>
      </c>
      <c r="C94">
        <f t="shared" si="13"/>
        <v>2</v>
      </c>
      <c r="D94">
        <f t="shared" si="10"/>
        <v>0.4</v>
      </c>
      <c r="E94">
        <f t="shared" si="14"/>
        <v>44</v>
      </c>
      <c r="F94">
        <f t="shared" si="17"/>
        <v>386</v>
      </c>
      <c r="G94">
        <f t="shared" si="12"/>
        <v>5</v>
      </c>
      <c r="H94">
        <f t="shared" si="15"/>
        <v>36</v>
      </c>
      <c r="I94">
        <f t="shared" si="16"/>
        <v>350</v>
      </c>
    </row>
    <row r="95" spans="1:9" x14ac:dyDescent="0.35">
      <c r="A95" s="1">
        <v>46228</v>
      </c>
      <c r="B95">
        <f t="shared" si="11"/>
        <v>240</v>
      </c>
      <c r="C95">
        <f t="shared" si="13"/>
        <v>3</v>
      </c>
      <c r="D95">
        <f t="shared" si="10"/>
        <v>0.4</v>
      </c>
      <c r="E95">
        <f t="shared" si="14"/>
        <v>44</v>
      </c>
      <c r="F95">
        <f t="shared" si="17"/>
        <v>394</v>
      </c>
      <c r="G95">
        <f t="shared" si="12"/>
        <v>6</v>
      </c>
      <c r="H95">
        <f t="shared" si="15"/>
        <v>100</v>
      </c>
      <c r="I95">
        <f t="shared" si="16"/>
        <v>294</v>
      </c>
    </row>
    <row r="96" spans="1:9" x14ac:dyDescent="0.35">
      <c r="A96" s="1">
        <v>46229</v>
      </c>
      <c r="B96">
        <f t="shared" si="11"/>
        <v>240</v>
      </c>
      <c r="C96">
        <f t="shared" si="13"/>
        <v>4</v>
      </c>
      <c r="D96">
        <f t="shared" si="10"/>
        <v>0.4</v>
      </c>
      <c r="E96">
        <f t="shared" si="14"/>
        <v>44</v>
      </c>
      <c r="F96">
        <f t="shared" si="17"/>
        <v>338</v>
      </c>
      <c r="G96">
        <f t="shared" si="12"/>
        <v>7</v>
      </c>
      <c r="H96">
        <f t="shared" si="15"/>
        <v>100</v>
      </c>
      <c r="I96">
        <f t="shared" si="16"/>
        <v>238</v>
      </c>
    </row>
    <row r="97" spans="1:9" x14ac:dyDescent="0.35">
      <c r="A97" s="1">
        <v>46230</v>
      </c>
      <c r="B97">
        <f t="shared" si="11"/>
        <v>240</v>
      </c>
      <c r="C97">
        <f t="shared" si="13"/>
        <v>5</v>
      </c>
      <c r="D97">
        <f t="shared" si="10"/>
        <v>0.4</v>
      </c>
      <c r="E97">
        <f t="shared" si="14"/>
        <v>44</v>
      </c>
      <c r="F97">
        <f t="shared" si="17"/>
        <v>282</v>
      </c>
      <c r="G97">
        <f t="shared" si="12"/>
        <v>1</v>
      </c>
      <c r="H97">
        <f t="shared" si="15"/>
        <v>36</v>
      </c>
      <c r="I97">
        <f t="shared" si="16"/>
        <v>246</v>
      </c>
    </row>
    <row r="98" spans="1:9" x14ac:dyDescent="0.35">
      <c r="A98" s="1">
        <v>46231</v>
      </c>
      <c r="B98">
        <f t="shared" si="11"/>
        <v>240</v>
      </c>
      <c r="C98">
        <f t="shared" si="13"/>
        <v>6</v>
      </c>
      <c r="D98">
        <f t="shared" si="10"/>
        <v>0.4</v>
      </c>
      <c r="E98">
        <f t="shared" si="14"/>
        <v>44</v>
      </c>
      <c r="F98">
        <f t="shared" si="17"/>
        <v>290</v>
      </c>
      <c r="G98">
        <f t="shared" si="12"/>
        <v>2</v>
      </c>
      <c r="H98">
        <f t="shared" si="15"/>
        <v>36</v>
      </c>
      <c r="I98">
        <f t="shared" si="16"/>
        <v>254</v>
      </c>
    </row>
    <row r="99" spans="1:9" x14ac:dyDescent="0.35">
      <c r="A99" s="1">
        <v>46232</v>
      </c>
      <c r="B99">
        <f t="shared" si="11"/>
        <v>240</v>
      </c>
      <c r="C99">
        <f t="shared" si="13"/>
        <v>7</v>
      </c>
      <c r="D99">
        <f t="shared" si="10"/>
        <v>0.4</v>
      </c>
      <c r="E99">
        <f t="shared" si="14"/>
        <v>40</v>
      </c>
      <c r="F99">
        <f t="shared" si="17"/>
        <v>294</v>
      </c>
      <c r="G99">
        <f t="shared" si="12"/>
        <v>3</v>
      </c>
      <c r="H99">
        <f t="shared" si="15"/>
        <v>36</v>
      </c>
      <c r="I99">
        <f t="shared" si="16"/>
        <v>258</v>
      </c>
    </row>
    <row r="100" spans="1:9" x14ac:dyDescent="0.35">
      <c r="A100" s="1">
        <v>46233</v>
      </c>
      <c r="B100">
        <f t="shared" si="11"/>
        <v>216</v>
      </c>
      <c r="C100">
        <f t="shared" si="13"/>
        <v>1</v>
      </c>
      <c r="D100">
        <f t="shared" si="10"/>
        <v>0.36</v>
      </c>
      <c r="E100">
        <f t="shared" si="14"/>
        <v>40</v>
      </c>
      <c r="F100">
        <f t="shared" si="17"/>
        <v>298</v>
      </c>
      <c r="G100">
        <f t="shared" si="12"/>
        <v>4</v>
      </c>
      <c r="H100">
        <f t="shared" si="15"/>
        <v>36</v>
      </c>
      <c r="I100">
        <f t="shared" si="16"/>
        <v>262</v>
      </c>
    </row>
    <row r="101" spans="1:9" x14ac:dyDescent="0.35">
      <c r="A101" s="1">
        <v>46234</v>
      </c>
      <c r="B101">
        <f t="shared" si="11"/>
        <v>216</v>
      </c>
      <c r="C101">
        <f t="shared" si="13"/>
        <v>2</v>
      </c>
      <c r="D101">
        <f t="shared" si="10"/>
        <v>0.36</v>
      </c>
      <c r="E101">
        <f t="shared" si="14"/>
        <v>40</v>
      </c>
      <c r="F101">
        <f t="shared" si="17"/>
        <v>302</v>
      </c>
      <c r="G101">
        <f t="shared" si="12"/>
        <v>5</v>
      </c>
      <c r="H101">
        <f t="shared" si="15"/>
        <v>36</v>
      </c>
      <c r="I101">
        <f t="shared" si="16"/>
        <v>266</v>
      </c>
    </row>
    <row r="102" spans="1:9" x14ac:dyDescent="0.35">
      <c r="A102" s="1">
        <v>46235</v>
      </c>
      <c r="B102">
        <f t="shared" si="11"/>
        <v>216</v>
      </c>
      <c r="C102">
        <f t="shared" si="13"/>
        <v>3</v>
      </c>
      <c r="D102">
        <f t="shared" si="10"/>
        <v>0.36</v>
      </c>
      <c r="E102">
        <f t="shared" si="14"/>
        <v>40</v>
      </c>
      <c r="F102">
        <f t="shared" si="17"/>
        <v>306</v>
      </c>
      <c r="G102">
        <f t="shared" si="12"/>
        <v>6</v>
      </c>
      <c r="H102">
        <f t="shared" si="15"/>
        <v>100</v>
      </c>
      <c r="I102">
        <f t="shared" si="16"/>
        <v>206</v>
      </c>
    </row>
    <row r="103" spans="1:9" x14ac:dyDescent="0.35">
      <c r="A103" s="1">
        <v>46236</v>
      </c>
      <c r="B103">
        <f t="shared" si="11"/>
        <v>216</v>
      </c>
      <c r="C103">
        <f t="shared" si="13"/>
        <v>4</v>
      </c>
      <c r="D103">
        <f t="shared" si="10"/>
        <v>0.36</v>
      </c>
      <c r="E103">
        <f t="shared" si="14"/>
        <v>40</v>
      </c>
      <c r="F103">
        <f t="shared" si="17"/>
        <v>246</v>
      </c>
      <c r="G103">
        <f t="shared" si="12"/>
        <v>7</v>
      </c>
      <c r="H103">
        <f t="shared" si="15"/>
        <v>100</v>
      </c>
      <c r="I103">
        <f t="shared" si="16"/>
        <v>146</v>
      </c>
    </row>
    <row r="104" spans="1:9" x14ac:dyDescent="0.35">
      <c r="A104" s="1">
        <v>46237</v>
      </c>
      <c r="B104">
        <f t="shared" si="11"/>
        <v>216</v>
      </c>
      <c r="C104">
        <f t="shared" si="13"/>
        <v>5</v>
      </c>
      <c r="D104">
        <f t="shared" si="10"/>
        <v>0.36</v>
      </c>
      <c r="E104">
        <f t="shared" si="14"/>
        <v>40</v>
      </c>
      <c r="F104">
        <f t="shared" si="17"/>
        <v>186</v>
      </c>
      <c r="G104">
        <f t="shared" si="12"/>
        <v>1</v>
      </c>
      <c r="H104">
        <f t="shared" si="15"/>
        <v>36</v>
      </c>
      <c r="I104">
        <f t="shared" si="16"/>
        <v>150</v>
      </c>
    </row>
    <row r="105" spans="1:9" x14ac:dyDescent="0.35">
      <c r="A105" s="1">
        <v>46238</v>
      </c>
      <c r="B105">
        <f t="shared" si="11"/>
        <v>216</v>
      </c>
      <c r="C105">
        <f t="shared" si="13"/>
        <v>6</v>
      </c>
      <c r="D105">
        <f t="shared" si="10"/>
        <v>0.36</v>
      </c>
      <c r="E105">
        <f t="shared" si="14"/>
        <v>40</v>
      </c>
      <c r="F105">
        <f t="shared" si="17"/>
        <v>190</v>
      </c>
      <c r="G105">
        <f t="shared" si="12"/>
        <v>2</v>
      </c>
      <c r="H105">
        <f t="shared" si="15"/>
        <v>36</v>
      </c>
      <c r="I105">
        <f t="shared" si="16"/>
        <v>154</v>
      </c>
    </row>
    <row r="106" spans="1:9" x14ac:dyDescent="0.35">
      <c r="A106" s="1">
        <v>46239</v>
      </c>
      <c r="B106">
        <f t="shared" si="11"/>
        <v>216</v>
      </c>
      <c r="C106">
        <f t="shared" si="13"/>
        <v>7</v>
      </c>
      <c r="D106">
        <f t="shared" si="10"/>
        <v>0.36</v>
      </c>
      <c r="E106">
        <f t="shared" si="14"/>
        <v>36</v>
      </c>
      <c r="F106">
        <f t="shared" si="17"/>
        <v>190</v>
      </c>
      <c r="G106">
        <f t="shared" si="12"/>
        <v>3</v>
      </c>
      <c r="H106">
        <f t="shared" si="15"/>
        <v>36</v>
      </c>
      <c r="I106">
        <f t="shared" si="16"/>
        <v>154</v>
      </c>
    </row>
    <row r="107" spans="1:9" x14ac:dyDescent="0.35">
      <c r="A107" s="1">
        <v>46240</v>
      </c>
      <c r="B107">
        <f t="shared" si="11"/>
        <v>192</v>
      </c>
      <c r="C107">
        <f t="shared" si="13"/>
        <v>1</v>
      </c>
      <c r="D107">
        <f t="shared" si="10"/>
        <v>0.32</v>
      </c>
      <c r="E107">
        <f t="shared" si="14"/>
        <v>36</v>
      </c>
      <c r="F107">
        <f t="shared" si="17"/>
        <v>190</v>
      </c>
      <c r="G107">
        <f t="shared" si="12"/>
        <v>4</v>
      </c>
      <c r="H107">
        <f t="shared" si="15"/>
        <v>36</v>
      </c>
      <c r="I107">
        <f t="shared" si="16"/>
        <v>154</v>
      </c>
    </row>
    <row r="108" spans="1:9" x14ac:dyDescent="0.35">
      <c r="A108" s="1">
        <v>46241</v>
      </c>
      <c r="B108">
        <f t="shared" si="11"/>
        <v>192</v>
      </c>
      <c r="C108">
        <f t="shared" si="13"/>
        <v>2</v>
      </c>
      <c r="D108">
        <f t="shared" si="10"/>
        <v>0.32</v>
      </c>
      <c r="E108">
        <f t="shared" si="14"/>
        <v>36</v>
      </c>
      <c r="F108">
        <f t="shared" si="17"/>
        <v>190</v>
      </c>
      <c r="G108">
        <f t="shared" si="12"/>
        <v>5</v>
      </c>
      <c r="H108">
        <f t="shared" si="15"/>
        <v>36</v>
      </c>
      <c r="I108">
        <f t="shared" si="16"/>
        <v>154</v>
      </c>
    </row>
    <row r="109" spans="1:9" x14ac:dyDescent="0.35">
      <c r="A109" s="1">
        <v>46242</v>
      </c>
      <c r="B109">
        <f t="shared" si="11"/>
        <v>192</v>
      </c>
      <c r="C109">
        <f t="shared" si="13"/>
        <v>3</v>
      </c>
      <c r="D109">
        <f t="shared" si="10"/>
        <v>0.32</v>
      </c>
      <c r="E109">
        <f t="shared" si="14"/>
        <v>36</v>
      </c>
      <c r="F109">
        <f t="shared" si="17"/>
        <v>190</v>
      </c>
      <c r="G109">
        <f t="shared" si="12"/>
        <v>6</v>
      </c>
      <c r="H109">
        <f t="shared" si="15"/>
        <v>100</v>
      </c>
      <c r="I109">
        <f t="shared" si="16"/>
        <v>90</v>
      </c>
    </row>
    <row r="110" spans="1:9" x14ac:dyDescent="0.35">
      <c r="A110" s="1">
        <v>46243</v>
      </c>
      <c r="B110">
        <f t="shared" si="11"/>
        <v>192</v>
      </c>
      <c r="C110">
        <f t="shared" si="13"/>
        <v>4</v>
      </c>
      <c r="D110">
        <f t="shared" si="10"/>
        <v>0.32</v>
      </c>
      <c r="E110">
        <f t="shared" si="14"/>
        <v>36</v>
      </c>
      <c r="F110">
        <f t="shared" si="17"/>
        <v>126</v>
      </c>
      <c r="G110">
        <f t="shared" si="12"/>
        <v>7</v>
      </c>
      <c r="H110">
        <f t="shared" si="15"/>
        <v>100</v>
      </c>
      <c r="I110">
        <f t="shared" si="16"/>
        <v>26</v>
      </c>
    </row>
    <row r="111" spans="1:9" x14ac:dyDescent="0.35">
      <c r="A111" s="1">
        <v>46244</v>
      </c>
      <c r="B111">
        <f t="shared" si="11"/>
        <v>192</v>
      </c>
      <c r="C111">
        <f t="shared" si="13"/>
        <v>5</v>
      </c>
      <c r="D111">
        <f t="shared" si="10"/>
        <v>0.32</v>
      </c>
      <c r="E111">
        <f t="shared" si="14"/>
        <v>36</v>
      </c>
      <c r="F111">
        <f t="shared" si="17"/>
        <v>62</v>
      </c>
      <c r="G111">
        <f t="shared" si="12"/>
        <v>1</v>
      </c>
      <c r="H111">
        <f t="shared" si="15"/>
        <v>36</v>
      </c>
      <c r="I111">
        <f t="shared" si="16"/>
        <v>26</v>
      </c>
    </row>
    <row r="112" spans="1:9" x14ac:dyDescent="0.35">
      <c r="A112" s="1">
        <v>46245</v>
      </c>
      <c r="B112">
        <f t="shared" si="11"/>
        <v>192</v>
      </c>
      <c r="C112">
        <f t="shared" si="13"/>
        <v>6</v>
      </c>
      <c r="D112">
        <f t="shared" si="10"/>
        <v>0.32</v>
      </c>
      <c r="E112">
        <f t="shared" si="14"/>
        <v>36</v>
      </c>
      <c r="F112">
        <f t="shared" si="17"/>
        <v>62</v>
      </c>
      <c r="G112">
        <f t="shared" si="12"/>
        <v>2</v>
      </c>
      <c r="H112">
        <f t="shared" si="15"/>
        <v>36</v>
      </c>
      <c r="I112">
        <f t="shared" si="16"/>
        <v>26</v>
      </c>
    </row>
    <row r="113" spans="1:9" x14ac:dyDescent="0.35">
      <c r="A113" s="1">
        <v>46246</v>
      </c>
      <c r="B113">
        <f t="shared" si="11"/>
        <v>192</v>
      </c>
      <c r="C113">
        <f t="shared" si="13"/>
        <v>7</v>
      </c>
      <c r="D113">
        <f t="shared" si="10"/>
        <v>0.32</v>
      </c>
      <c r="E113">
        <f t="shared" si="14"/>
        <v>32</v>
      </c>
      <c r="F113">
        <f t="shared" si="17"/>
        <v>58</v>
      </c>
      <c r="G113">
        <f t="shared" si="12"/>
        <v>3</v>
      </c>
      <c r="H113">
        <f t="shared" si="15"/>
        <v>36</v>
      </c>
      <c r="I113">
        <f t="shared" si="16"/>
        <v>22</v>
      </c>
    </row>
    <row r="114" spans="1:9" x14ac:dyDescent="0.35">
      <c r="A114" s="1">
        <v>46247</v>
      </c>
      <c r="B114">
        <f t="shared" si="11"/>
        <v>174</v>
      </c>
      <c r="C114">
        <f t="shared" si="13"/>
        <v>1</v>
      </c>
      <c r="D114">
        <f t="shared" si="10"/>
        <v>0.28999999999999998</v>
      </c>
      <c r="E114">
        <f t="shared" si="14"/>
        <v>32</v>
      </c>
      <c r="F114">
        <f t="shared" si="17"/>
        <v>54</v>
      </c>
      <c r="G114">
        <f t="shared" si="12"/>
        <v>4</v>
      </c>
      <c r="H114">
        <f t="shared" si="15"/>
        <v>36</v>
      </c>
      <c r="I114">
        <f t="shared" si="16"/>
        <v>18</v>
      </c>
    </row>
    <row r="115" spans="1:9" x14ac:dyDescent="0.35">
      <c r="A115" s="1">
        <v>46248</v>
      </c>
      <c r="B115">
        <f t="shared" si="11"/>
        <v>174</v>
      </c>
      <c r="C115">
        <f t="shared" si="13"/>
        <v>2</v>
      </c>
      <c r="D115">
        <f t="shared" si="10"/>
        <v>0.28999999999999998</v>
      </c>
      <c r="E115">
        <f t="shared" si="14"/>
        <v>32</v>
      </c>
      <c r="F115">
        <f t="shared" si="17"/>
        <v>50</v>
      </c>
      <c r="G115">
        <f t="shared" si="12"/>
        <v>5</v>
      </c>
      <c r="H115">
        <f t="shared" si="15"/>
        <v>36</v>
      </c>
      <c r="I115">
        <f t="shared" si="16"/>
        <v>14</v>
      </c>
    </row>
    <row r="116" spans="1:9" x14ac:dyDescent="0.35">
      <c r="A116" s="1">
        <v>46249</v>
      </c>
      <c r="B116">
        <f t="shared" si="11"/>
        <v>174</v>
      </c>
      <c r="C116">
        <f t="shared" si="13"/>
        <v>3</v>
      </c>
      <c r="D116">
        <f t="shared" si="10"/>
        <v>0.28999999999999998</v>
      </c>
      <c r="E116">
        <f t="shared" si="14"/>
        <v>32</v>
      </c>
      <c r="F116">
        <f t="shared" si="17"/>
        <v>46</v>
      </c>
      <c r="G116">
        <f t="shared" si="12"/>
        <v>6</v>
      </c>
      <c r="H116">
        <f t="shared" si="15"/>
        <v>100</v>
      </c>
      <c r="I116">
        <f t="shared" si="16"/>
        <v>0</v>
      </c>
    </row>
    <row r="117" spans="1:9" x14ac:dyDescent="0.35">
      <c r="A117" s="1">
        <v>46250</v>
      </c>
      <c r="B117">
        <f t="shared" si="11"/>
        <v>174</v>
      </c>
      <c r="C117">
        <f t="shared" si="13"/>
        <v>4</v>
      </c>
      <c r="D117">
        <f t="shared" si="10"/>
        <v>0.28999999999999998</v>
      </c>
      <c r="E117">
        <f t="shared" si="14"/>
        <v>32</v>
      </c>
      <c r="F117">
        <f t="shared" si="17"/>
        <v>32</v>
      </c>
      <c r="G117">
        <f t="shared" si="12"/>
        <v>7</v>
      </c>
      <c r="H117">
        <f t="shared" si="15"/>
        <v>100</v>
      </c>
      <c r="I117">
        <f t="shared" si="16"/>
        <v>0</v>
      </c>
    </row>
    <row r="118" spans="1:9" x14ac:dyDescent="0.35">
      <c r="A118" s="1">
        <v>46251</v>
      </c>
      <c r="B118">
        <f t="shared" si="11"/>
        <v>174</v>
      </c>
      <c r="C118">
        <f t="shared" si="13"/>
        <v>5</v>
      </c>
      <c r="D118">
        <f t="shared" si="10"/>
        <v>0.28999999999999998</v>
      </c>
      <c r="E118">
        <f t="shared" si="14"/>
        <v>32</v>
      </c>
      <c r="F118">
        <f t="shared" si="17"/>
        <v>32</v>
      </c>
      <c r="G118">
        <f t="shared" si="12"/>
        <v>1</v>
      </c>
      <c r="H118">
        <f t="shared" si="15"/>
        <v>36</v>
      </c>
      <c r="I118">
        <f t="shared" si="16"/>
        <v>0</v>
      </c>
    </row>
    <row r="119" spans="1:9" x14ac:dyDescent="0.35">
      <c r="A119" s="1">
        <v>46252</v>
      </c>
      <c r="B119">
        <f t="shared" si="11"/>
        <v>174</v>
      </c>
      <c r="C119">
        <f t="shared" si="13"/>
        <v>6</v>
      </c>
      <c r="D119">
        <f t="shared" si="10"/>
        <v>0.28999999999999998</v>
      </c>
      <c r="E119">
        <f t="shared" si="14"/>
        <v>32</v>
      </c>
      <c r="F119">
        <f t="shared" si="17"/>
        <v>32</v>
      </c>
      <c r="G119">
        <f t="shared" si="12"/>
        <v>2</v>
      </c>
      <c r="H119">
        <f t="shared" si="15"/>
        <v>36</v>
      </c>
      <c r="I119">
        <f t="shared" si="16"/>
        <v>0</v>
      </c>
    </row>
    <row r="120" spans="1:9" x14ac:dyDescent="0.35">
      <c r="A120" s="1">
        <v>46253</v>
      </c>
      <c r="B120">
        <f t="shared" si="11"/>
        <v>174</v>
      </c>
      <c r="C120">
        <f t="shared" si="13"/>
        <v>7</v>
      </c>
      <c r="D120">
        <f t="shared" si="10"/>
        <v>0.28999999999999998</v>
      </c>
      <c r="E120">
        <f t="shared" si="14"/>
        <v>29</v>
      </c>
      <c r="F120">
        <f t="shared" si="17"/>
        <v>29</v>
      </c>
      <c r="G120">
        <f t="shared" si="12"/>
        <v>3</v>
      </c>
      <c r="H120">
        <f t="shared" si="15"/>
        <v>36</v>
      </c>
      <c r="I120">
        <f t="shared" si="16"/>
        <v>0</v>
      </c>
    </row>
    <row r="121" spans="1:9" x14ac:dyDescent="0.35">
      <c r="A121" s="1">
        <v>46254</v>
      </c>
      <c r="B121">
        <f t="shared" si="11"/>
        <v>156</v>
      </c>
      <c r="C121">
        <f t="shared" si="13"/>
        <v>1</v>
      </c>
      <c r="D121">
        <f t="shared" si="10"/>
        <v>0.26</v>
      </c>
      <c r="E121">
        <f t="shared" si="14"/>
        <v>29</v>
      </c>
      <c r="F121">
        <f t="shared" si="17"/>
        <v>29</v>
      </c>
      <c r="G121">
        <f t="shared" si="12"/>
        <v>4</v>
      </c>
      <c r="H121">
        <f t="shared" si="15"/>
        <v>36</v>
      </c>
      <c r="I121">
        <f t="shared" si="16"/>
        <v>0</v>
      </c>
    </row>
    <row r="122" spans="1:9" x14ac:dyDescent="0.35">
      <c r="A122" s="1">
        <v>46255</v>
      </c>
      <c r="B122">
        <f t="shared" si="11"/>
        <v>156</v>
      </c>
      <c r="C122">
        <f t="shared" si="13"/>
        <v>2</v>
      </c>
      <c r="D122">
        <f t="shared" si="10"/>
        <v>0.26</v>
      </c>
      <c r="E122">
        <f t="shared" si="14"/>
        <v>29</v>
      </c>
      <c r="F122">
        <f t="shared" si="17"/>
        <v>29</v>
      </c>
      <c r="G122">
        <f t="shared" si="12"/>
        <v>5</v>
      </c>
      <c r="H122">
        <f t="shared" si="15"/>
        <v>36</v>
      </c>
      <c r="I122">
        <f t="shared" si="16"/>
        <v>0</v>
      </c>
    </row>
    <row r="123" spans="1:9" x14ac:dyDescent="0.35">
      <c r="A123" s="1">
        <v>46256</v>
      </c>
      <c r="B123">
        <f t="shared" si="11"/>
        <v>156</v>
      </c>
      <c r="C123">
        <f t="shared" si="13"/>
        <v>3</v>
      </c>
      <c r="D123">
        <f t="shared" si="10"/>
        <v>0.26</v>
      </c>
      <c r="E123">
        <f t="shared" si="14"/>
        <v>29</v>
      </c>
      <c r="F123">
        <f t="shared" si="17"/>
        <v>29</v>
      </c>
      <c r="G123">
        <f t="shared" si="12"/>
        <v>6</v>
      </c>
      <c r="H123">
        <f t="shared" si="15"/>
        <v>100</v>
      </c>
      <c r="I123">
        <f t="shared" si="16"/>
        <v>0</v>
      </c>
    </row>
    <row r="124" spans="1:9" x14ac:dyDescent="0.35">
      <c r="A124" s="1">
        <v>46257</v>
      </c>
      <c r="B124">
        <f t="shared" si="11"/>
        <v>156</v>
      </c>
      <c r="C124">
        <f t="shared" si="13"/>
        <v>4</v>
      </c>
      <c r="D124">
        <f t="shared" si="10"/>
        <v>0.26</v>
      </c>
      <c r="E124">
        <f t="shared" si="14"/>
        <v>29</v>
      </c>
      <c r="F124">
        <f t="shared" si="17"/>
        <v>29</v>
      </c>
      <c r="G124">
        <f t="shared" si="12"/>
        <v>7</v>
      </c>
      <c r="H124">
        <f t="shared" si="15"/>
        <v>100</v>
      </c>
      <c r="I124">
        <f t="shared" si="16"/>
        <v>0</v>
      </c>
    </row>
    <row r="125" spans="1:9" x14ac:dyDescent="0.35">
      <c r="A125" s="1">
        <v>46258</v>
      </c>
      <c r="B125">
        <f t="shared" si="11"/>
        <v>156</v>
      </c>
      <c r="C125">
        <f t="shared" si="13"/>
        <v>5</v>
      </c>
      <c r="D125">
        <f t="shared" si="10"/>
        <v>0.26</v>
      </c>
      <c r="E125">
        <f t="shared" si="14"/>
        <v>29</v>
      </c>
      <c r="F125">
        <f t="shared" si="17"/>
        <v>29</v>
      </c>
      <c r="G125">
        <f t="shared" si="12"/>
        <v>1</v>
      </c>
      <c r="H125">
        <f t="shared" si="15"/>
        <v>36</v>
      </c>
      <c r="I125">
        <f t="shared" si="16"/>
        <v>0</v>
      </c>
    </row>
    <row r="126" spans="1:9" x14ac:dyDescent="0.35">
      <c r="A126" s="1">
        <v>46259</v>
      </c>
      <c r="B126">
        <f t="shared" si="11"/>
        <v>156</v>
      </c>
      <c r="C126">
        <f t="shared" si="13"/>
        <v>6</v>
      </c>
      <c r="D126">
        <f t="shared" si="10"/>
        <v>0.26</v>
      </c>
      <c r="E126">
        <f t="shared" si="14"/>
        <v>29</v>
      </c>
      <c r="F126">
        <f t="shared" si="17"/>
        <v>29</v>
      </c>
      <c r="G126">
        <f t="shared" si="12"/>
        <v>2</v>
      </c>
      <c r="H126">
        <f t="shared" si="15"/>
        <v>36</v>
      </c>
      <c r="I126">
        <f t="shared" si="16"/>
        <v>0</v>
      </c>
    </row>
    <row r="127" spans="1:9" x14ac:dyDescent="0.35">
      <c r="A127" s="1">
        <v>46260</v>
      </c>
      <c r="B127">
        <f t="shared" si="11"/>
        <v>156</v>
      </c>
      <c r="C127">
        <f t="shared" si="13"/>
        <v>7</v>
      </c>
      <c r="D127">
        <f t="shared" si="10"/>
        <v>0.26</v>
      </c>
      <c r="E127">
        <f t="shared" si="14"/>
        <v>26</v>
      </c>
      <c r="F127">
        <f t="shared" si="17"/>
        <v>26</v>
      </c>
      <c r="G127">
        <f t="shared" si="12"/>
        <v>3</v>
      </c>
      <c r="H127">
        <f t="shared" si="15"/>
        <v>36</v>
      </c>
      <c r="I127">
        <f t="shared" si="16"/>
        <v>0</v>
      </c>
    </row>
    <row r="128" spans="1:9" x14ac:dyDescent="0.35">
      <c r="A128" s="1">
        <v>46261</v>
      </c>
      <c r="B128">
        <f t="shared" si="11"/>
        <v>138</v>
      </c>
      <c r="C128">
        <f t="shared" si="13"/>
        <v>1</v>
      </c>
      <c r="D128">
        <f t="shared" si="10"/>
        <v>0.23</v>
      </c>
      <c r="E128">
        <f t="shared" si="14"/>
        <v>26</v>
      </c>
      <c r="F128">
        <f t="shared" si="17"/>
        <v>26</v>
      </c>
      <c r="G128">
        <f t="shared" si="12"/>
        <v>4</v>
      </c>
      <c r="H128">
        <f t="shared" si="15"/>
        <v>36</v>
      </c>
      <c r="I128">
        <f t="shared" si="16"/>
        <v>0</v>
      </c>
    </row>
    <row r="129" spans="1:9" x14ac:dyDescent="0.35">
      <c r="A129" s="1">
        <v>46262</v>
      </c>
      <c r="B129">
        <f t="shared" si="11"/>
        <v>138</v>
      </c>
      <c r="C129">
        <f t="shared" si="13"/>
        <v>2</v>
      </c>
      <c r="D129">
        <f t="shared" si="10"/>
        <v>0.23</v>
      </c>
      <c r="E129">
        <f t="shared" si="14"/>
        <v>26</v>
      </c>
      <c r="F129">
        <f t="shared" si="17"/>
        <v>26</v>
      </c>
      <c r="G129">
        <f t="shared" si="12"/>
        <v>5</v>
      </c>
      <c r="H129">
        <f t="shared" si="15"/>
        <v>36</v>
      </c>
      <c r="I129">
        <f t="shared" si="16"/>
        <v>0</v>
      </c>
    </row>
    <row r="130" spans="1:9" x14ac:dyDescent="0.35">
      <c r="A130" s="1">
        <v>46263</v>
      </c>
      <c r="B130">
        <f t="shared" si="11"/>
        <v>138</v>
      </c>
      <c r="C130">
        <f t="shared" si="13"/>
        <v>3</v>
      </c>
      <c r="D130">
        <f t="shared" ref="D130:D161" si="18">ROUND(IF(AND(C129=7,A130&gt;DATE(2026,6,24)),D129*90/100,D129),2)</f>
        <v>0.23</v>
      </c>
      <c r="E130">
        <f t="shared" si="14"/>
        <v>26</v>
      </c>
      <c r="F130">
        <f t="shared" si="17"/>
        <v>26</v>
      </c>
      <c r="G130">
        <f t="shared" si="12"/>
        <v>6</v>
      </c>
      <c r="H130">
        <f t="shared" si="15"/>
        <v>100</v>
      </c>
      <c r="I130">
        <f t="shared" si="16"/>
        <v>0</v>
      </c>
    </row>
    <row r="131" spans="1:9" x14ac:dyDescent="0.35">
      <c r="A131" s="1">
        <v>46264</v>
      </c>
      <c r="B131">
        <f t="shared" ref="B131:B161" si="19">600 * D131</f>
        <v>138</v>
      </c>
      <c r="C131">
        <f t="shared" si="13"/>
        <v>4</v>
      </c>
      <c r="D131">
        <f t="shared" si="18"/>
        <v>0.23</v>
      </c>
      <c r="E131">
        <f t="shared" si="14"/>
        <v>26</v>
      </c>
      <c r="F131">
        <f t="shared" si="17"/>
        <v>26</v>
      </c>
      <c r="G131">
        <f t="shared" ref="G131:G161" si="20">WEEKDAY(A131,2)</f>
        <v>7</v>
      </c>
      <c r="H131">
        <f t="shared" si="15"/>
        <v>100</v>
      </c>
      <c r="I131">
        <f t="shared" si="16"/>
        <v>0</v>
      </c>
    </row>
    <row r="132" spans="1:9" x14ac:dyDescent="0.35">
      <c r="A132" s="1">
        <v>46265</v>
      </c>
      <c r="B132">
        <f t="shared" si="19"/>
        <v>138</v>
      </c>
      <c r="C132">
        <f t="shared" ref="C132:C161" si="21">IF(C131=7,1,C131+1)</f>
        <v>5</v>
      </c>
      <c r="D132">
        <f t="shared" si="18"/>
        <v>0.23</v>
      </c>
      <c r="E132">
        <f t="shared" si="14"/>
        <v>26</v>
      </c>
      <c r="F132">
        <f t="shared" si="17"/>
        <v>26</v>
      </c>
      <c r="G132">
        <f t="shared" si="20"/>
        <v>1</v>
      </c>
      <c r="H132">
        <f t="shared" si="15"/>
        <v>36</v>
      </c>
      <c r="I132">
        <f t="shared" si="16"/>
        <v>0</v>
      </c>
    </row>
    <row r="133" spans="1:9" x14ac:dyDescent="0.35">
      <c r="A133" s="1">
        <v>46266</v>
      </c>
      <c r="B133">
        <f t="shared" si="19"/>
        <v>138</v>
      </c>
      <c r="C133">
        <f t="shared" si="21"/>
        <v>6</v>
      </c>
      <c r="D133">
        <f t="shared" si="18"/>
        <v>0.23</v>
      </c>
      <c r="E133">
        <f t="shared" si="14"/>
        <v>26</v>
      </c>
      <c r="F133">
        <f t="shared" si="17"/>
        <v>26</v>
      </c>
      <c r="G133">
        <f t="shared" si="20"/>
        <v>2</v>
      </c>
      <c r="H133">
        <f t="shared" si="15"/>
        <v>36</v>
      </c>
      <c r="I133">
        <f t="shared" si="16"/>
        <v>0</v>
      </c>
    </row>
    <row r="134" spans="1:9" x14ac:dyDescent="0.35">
      <c r="A134" s="1">
        <v>46267</v>
      </c>
      <c r="B134">
        <f t="shared" si="19"/>
        <v>138</v>
      </c>
      <c r="C134">
        <f t="shared" si="21"/>
        <v>7</v>
      </c>
      <c r="D134">
        <f t="shared" si="18"/>
        <v>0.23</v>
      </c>
      <c r="E134">
        <f t="shared" si="14"/>
        <v>23</v>
      </c>
      <c r="F134">
        <f t="shared" si="17"/>
        <v>23</v>
      </c>
      <c r="G134">
        <f t="shared" si="20"/>
        <v>3</v>
      </c>
      <c r="H134">
        <f t="shared" si="15"/>
        <v>36</v>
      </c>
      <c r="I134">
        <f t="shared" si="16"/>
        <v>0</v>
      </c>
    </row>
    <row r="135" spans="1:9" x14ac:dyDescent="0.35">
      <c r="A135" s="1">
        <v>46268</v>
      </c>
      <c r="B135">
        <f t="shared" si="19"/>
        <v>126</v>
      </c>
      <c r="C135">
        <f t="shared" si="21"/>
        <v>1</v>
      </c>
      <c r="D135">
        <f t="shared" si="18"/>
        <v>0.21</v>
      </c>
      <c r="E135">
        <f t="shared" si="14"/>
        <v>23</v>
      </c>
      <c r="F135">
        <f t="shared" si="17"/>
        <v>23</v>
      </c>
      <c r="G135">
        <f t="shared" si="20"/>
        <v>4</v>
      </c>
      <c r="H135">
        <f t="shared" si="15"/>
        <v>36</v>
      </c>
      <c r="I135">
        <f t="shared" si="16"/>
        <v>0</v>
      </c>
    </row>
    <row r="136" spans="1:9" x14ac:dyDescent="0.35">
      <c r="A136" s="1">
        <v>46269</v>
      </c>
      <c r="B136">
        <f t="shared" si="19"/>
        <v>126</v>
      </c>
      <c r="C136">
        <f t="shared" si="21"/>
        <v>2</v>
      </c>
      <c r="D136">
        <f t="shared" si="18"/>
        <v>0.21</v>
      </c>
      <c r="E136">
        <f t="shared" si="14"/>
        <v>23</v>
      </c>
      <c r="F136">
        <f t="shared" si="17"/>
        <v>23</v>
      </c>
      <c r="G136">
        <f t="shared" si="20"/>
        <v>5</v>
      </c>
      <c r="H136">
        <f t="shared" si="15"/>
        <v>36</v>
      </c>
      <c r="I136">
        <f t="shared" si="16"/>
        <v>0</v>
      </c>
    </row>
    <row r="137" spans="1:9" x14ac:dyDescent="0.35">
      <c r="A137" s="1">
        <v>46270</v>
      </c>
      <c r="B137">
        <f t="shared" si="19"/>
        <v>126</v>
      </c>
      <c r="C137">
        <f t="shared" si="21"/>
        <v>3</v>
      </c>
      <c r="D137">
        <f t="shared" si="18"/>
        <v>0.21</v>
      </c>
      <c r="E137">
        <f t="shared" ref="E137:E161" si="22">INT(B131/6)</f>
        <v>23</v>
      </c>
      <c r="F137">
        <f t="shared" si="17"/>
        <v>23</v>
      </c>
      <c r="G137">
        <f t="shared" si="20"/>
        <v>6</v>
      </c>
      <c r="H137">
        <f t="shared" ref="H137:H161" si="23">IF(AND(G137&gt;=1,G137&lt;=5),36,100)</f>
        <v>100</v>
      </c>
      <c r="I137">
        <f t="shared" ref="I137:I161" si="24">IF(H137&gt;F137,0,F137-H137)</f>
        <v>0</v>
      </c>
    </row>
    <row r="138" spans="1:9" x14ac:dyDescent="0.35">
      <c r="A138" s="1">
        <v>46271</v>
      </c>
      <c r="B138">
        <f t="shared" si="19"/>
        <v>126</v>
      </c>
      <c r="C138">
        <f t="shared" si="21"/>
        <v>4</v>
      </c>
      <c r="D138">
        <f t="shared" si="18"/>
        <v>0.21</v>
      </c>
      <c r="E138">
        <f t="shared" si="22"/>
        <v>23</v>
      </c>
      <c r="F138">
        <f t="shared" ref="F138:F161" si="25">I137+E138</f>
        <v>23</v>
      </c>
      <c r="G138">
        <f t="shared" si="20"/>
        <v>7</v>
      </c>
      <c r="H138">
        <f t="shared" si="23"/>
        <v>100</v>
      </c>
      <c r="I138">
        <f t="shared" si="24"/>
        <v>0</v>
      </c>
    </row>
    <row r="139" spans="1:9" x14ac:dyDescent="0.35">
      <c r="A139" s="1">
        <v>46272</v>
      </c>
      <c r="B139">
        <f t="shared" si="19"/>
        <v>126</v>
      </c>
      <c r="C139">
        <f t="shared" si="21"/>
        <v>5</v>
      </c>
      <c r="D139">
        <f t="shared" si="18"/>
        <v>0.21</v>
      </c>
      <c r="E139">
        <f t="shared" si="22"/>
        <v>23</v>
      </c>
      <c r="F139">
        <f t="shared" si="25"/>
        <v>23</v>
      </c>
      <c r="G139">
        <f t="shared" si="20"/>
        <v>1</v>
      </c>
      <c r="H139">
        <f t="shared" si="23"/>
        <v>36</v>
      </c>
      <c r="I139">
        <f t="shared" si="24"/>
        <v>0</v>
      </c>
    </row>
    <row r="140" spans="1:9" x14ac:dyDescent="0.35">
      <c r="A140" s="1">
        <v>46273</v>
      </c>
      <c r="B140">
        <f t="shared" si="19"/>
        <v>126</v>
      </c>
      <c r="C140">
        <f t="shared" si="21"/>
        <v>6</v>
      </c>
      <c r="D140">
        <f t="shared" si="18"/>
        <v>0.21</v>
      </c>
      <c r="E140">
        <f t="shared" si="22"/>
        <v>23</v>
      </c>
      <c r="F140">
        <f t="shared" si="25"/>
        <v>23</v>
      </c>
      <c r="G140">
        <f t="shared" si="20"/>
        <v>2</v>
      </c>
      <c r="H140">
        <f t="shared" si="23"/>
        <v>36</v>
      </c>
      <c r="I140">
        <f t="shared" si="24"/>
        <v>0</v>
      </c>
    </row>
    <row r="141" spans="1:9" x14ac:dyDescent="0.35">
      <c r="A141" s="1">
        <v>46274</v>
      </c>
      <c r="B141">
        <f t="shared" si="19"/>
        <v>126</v>
      </c>
      <c r="C141">
        <f t="shared" si="21"/>
        <v>7</v>
      </c>
      <c r="D141">
        <f t="shared" si="18"/>
        <v>0.21</v>
      </c>
      <c r="E141">
        <f t="shared" si="22"/>
        <v>21</v>
      </c>
      <c r="F141">
        <f t="shared" si="25"/>
        <v>21</v>
      </c>
      <c r="G141">
        <f t="shared" si="20"/>
        <v>3</v>
      </c>
      <c r="H141">
        <f t="shared" si="23"/>
        <v>36</v>
      </c>
      <c r="I141">
        <f t="shared" si="24"/>
        <v>0</v>
      </c>
    </row>
    <row r="142" spans="1:9" x14ac:dyDescent="0.35">
      <c r="A142" s="1">
        <v>46275</v>
      </c>
      <c r="B142">
        <f t="shared" si="19"/>
        <v>114</v>
      </c>
      <c r="C142">
        <f t="shared" si="21"/>
        <v>1</v>
      </c>
      <c r="D142">
        <f t="shared" si="18"/>
        <v>0.19</v>
      </c>
      <c r="E142">
        <f t="shared" si="22"/>
        <v>21</v>
      </c>
      <c r="F142">
        <f t="shared" si="25"/>
        <v>21</v>
      </c>
      <c r="G142">
        <f t="shared" si="20"/>
        <v>4</v>
      </c>
      <c r="H142">
        <f t="shared" si="23"/>
        <v>36</v>
      </c>
      <c r="I142">
        <f t="shared" si="24"/>
        <v>0</v>
      </c>
    </row>
    <row r="143" spans="1:9" x14ac:dyDescent="0.35">
      <c r="A143" s="1">
        <v>46276</v>
      </c>
      <c r="B143">
        <f t="shared" si="19"/>
        <v>114</v>
      </c>
      <c r="C143">
        <f t="shared" si="21"/>
        <v>2</v>
      </c>
      <c r="D143">
        <f t="shared" si="18"/>
        <v>0.19</v>
      </c>
      <c r="E143">
        <f t="shared" si="22"/>
        <v>21</v>
      </c>
      <c r="F143">
        <f t="shared" si="25"/>
        <v>21</v>
      </c>
      <c r="G143">
        <f t="shared" si="20"/>
        <v>5</v>
      </c>
      <c r="H143">
        <f t="shared" si="23"/>
        <v>36</v>
      </c>
      <c r="I143">
        <f t="shared" si="24"/>
        <v>0</v>
      </c>
    </row>
    <row r="144" spans="1:9" x14ac:dyDescent="0.35">
      <c r="A144" s="1">
        <v>46277</v>
      </c>
      <c r="B144">
        <f t="shared" si="19"/>
        <v>114</v>
      </c>
      <c r="C144">
        <f t="shared" si="21"/>
        <v>3</v>
      </c>
      <c r="D144">
        <f t="shared" si="18"/>
        <v>0.19</v>
      </c>
      <c r="E144">
        <f t="shared" si="22"/>
        <v>21</v>
      </c>
      <c r="F144">
        <f t="shared" si="25"/>
        <v>21</v>
      </c>
      <c r="G144">
        <f t="shared" si="20"/>
        <v>6</v>
      </c>
      <c r="H144">
        <f t="shared" si="23"/>
        <v>100</v>
      </c>
      <c r="I144">
        <f t="shared" si="24"/>
        <v>0</v>
      </c>
    </row>
    <row r="145" spans="1:9" x14ac:dyDescent="0.35">
      <c r="A145" s="1">
        <v>46278</v>
      </c>
      <c r="B145">
        <f t="shared" si="19"/>
        <v>114</v>
      </c>
      <c r="C145">
        <f t="shared" si="21"/>
        <v>4</v>
      </c>
      <c r="D145">
        <f t="shared" si="18"/>
        <v>0.19</v>
      </c>
      <c r="E145">
        <f t="shared" si="22"/>
        <v>21</v>
      </c>
      <c r="F145">
        <f t="shared" si="25"/>
        <v>21</v>
      </c>
      <c r="G145">
        <f t="shared" si="20"/>
        <v>7</v>
      </c>
      <c r="H145">
        <f t="shared" si="23"/>
        <v>100</v>
      </c>
      <c r="I145">
        <f t="shared" si="24"/>
        <v>0</v>
      </c>
    </row>
    <row r="146" spans="1:9" x14ac:dyDescent="0.35">
      <c r="A146" s="1">
        <v>46279</v>
      </c>
      <c r="B146">
        <f t="shared" si="19"/>
        <v>114</v>
      </c>
      <c r="C146">
        <f t="shared" si="21"/>
        <v>5</v>
      </c>
      <c r="D146">
        <f t="shared" si="18"/>
        <v>0.19</v>
      </c>
      <c r="E146">
        <f t="shared" si="22"/>
        <v>21</v>
      </c>
      <c r="F146">
        <f t="shared" si="25"/>
        <v>21</v>
      </c>
      <c r="G146">
        <f t="shared" si="20"/>
        <v>1</v>
      </c>
      <c r="H146">
        <f t="shared" si="23"/>
        <v>36</v>
      </c>
      <c r="I146">
        <f t="shared" si="24"/>
        <v>0</v>
      </c>
    </row>
    <row r="147" spans="1:9" x14ac:dyDescent="0.35">
      <c r="A147" s="1">
        <v>46280</v>
      </c>
      <c r="B147">
        <f t="shared" si="19"/>
        <v>114</v>
      </c>
      <c r="C147">
        <f t="shared" si="21"/>
        <v>6</v>
      </c>
      <c r="D147">
        <f t="shared" si="18"/>
        <v>0.19</v>
      </c>
      <c r="E147">
        <f t="shared" si="22"/>
        <v>21</v>
      </c>
      <c r="F147">
        <f t="shared" si="25"/>
        <v>21</v>
      </c>
      <c r="G147">
        <f t="shared" si="20"/>
        <v>2</v>
      </c>
      <c r="H147">
        <f t="shared" si="23"/>
        <v>36</v>
      </c>
      <c r="I147">
        <f t="shared" si="24"/>
        <v>0</v>
      </c>
    </row>
    <row r="148" spans="1:9" x14ac:dyDescent="0.35">
      <c r="A148" s="1">
        <v>46281</v>
      </c>
      <c r="B148">
        <f t="shared" si="19"/>
        <v>114</v>
      </c>
      <c r="C148">
        <f t="shared" si="21"/>
        <v>7</v>
      </c>
      <c r="D148">
        <f t="shared" si="18"/>
        <v>0.19</v>
      </c>
      <c r="E148">
        <f t="shared" si="22"/>
        <v>19</v>
      </c>
      <c r="F148">
        <f t="shared" si="25"/>
        <v>19</v>
      </c>
      <c r="G148">
        <f t="shared" si="20"/>
        <v>3</v>
      </c>
      <c r="H148">
        <f t="shared" si="23"/>
        <v>36</v>
      </c>
      <c r="I148">
        <f t="shared" si="24"/>
        <v>0</v>
      </c>
    </row>
    <row r="149" spans="1:9" x14ac:dyDescent="0.35">
      <c r="A149" s="1">
        <v>46282</v>
      </c>
      <c r="B149">
        <f t="shared" si="19"/>
        <v>102.00000000000001</v>
      </c>
      <c r="C149">
        <f t="shared" si="21"/>
        <v>1</v>
      </c>
      <c r="D149">
        <f t="shared" si="18"/>
        <v>0.17</v>
      </c>
      <c r="E149">
        <f t="shared" si="22"/>
        <v>19</v>
      </c>
      <c r="F149">
        <f t="shared" si="25"/>
        <v>19</v>
      </c>
      <c r="G149">
        <f t="shared" si="20"/>
        <v>4</v>
      </c>
      <c r="H149">
        <f t="shared" si="23"/>
        <v>36</v>
      </c>
      <c r="I149">
        <f t="shared" si="24"/>
        <v>0</v>
      </c>
    </row>
    <row r="150" spans="1:9" x14ac:dyDescent="0.35">
      <c r="A150" s="1">
        <v>46283</v>
      </c>
      <c r="B150">
        <f t="shared" si="19"/>
        <v>102.00000000000001</v>
      </c>
      <c r="C150">
        <f t="shared" si="21"/>
        <v>2</v>
      </c>
      <c r="D150">
        <f t="shared" si="18"/>
        <v>0.17</v>
      </c>
      <c r="E150">
        <f t="shared" si="22"/>
        <v>19</v>
      </c>
      <c r="F150">
        <f t="shared" si="25"/>
        <v>19</v>
      </c>
      <c r="G150">
        <f t="shared" si="20"/>
        <v>5</v>
      </c>
      <c r="H150">
        <f t="shared" si="23"/>
        <v>36</v>
      </c>
      <c r="I150">
        <f t="shared" si="24"/>
        <v>0</v>
      </c>
    </row>
    <row r="151" spans="1:9" x14ac:dyDescent="0.35">
      <c r="A151" s="1">
        <v>46284</v>
      </c>
      <c r="B151">
        <f t="shared" si="19"/>
        <v>102.00000000000001</v>
      </c>
      <c r="C151">
        <f t="shared" si="21"/>
        <v>3</v>
      </c>
      <c r="D151">
        <f t="shared" si="18"/>
        <v>0.17</v>
      </c>
      <c r="E151">
        <f t="shared" si="22"/>
        <v>19</v>
      </c>
      <c r="F151">
        <f t="shared" si="25"/>
        <v>19</v>
      </c>
      <c r="G151">
        <f t="shared" si="20"/>
        <v>6</v>
      </c>
      <c r="H151">
        <f t="shared" si="23"/>
        <v>100</v>
      </c>
      <c r="I151">
        <f t="shared" si="24"/>
        <v>0</v>
      </c>
    </row>
    <row r="152" spans="1:9" x14ac:dyDescent="0.35">
      <c r="A152" s="1">
        <v>46285</v>
      </c>
      <c r="B152">
        <f t="shared" si="19"/>
        <v>102.00000000000001</v>
      </c>
      <c r="C152">
        <f t="shared" si="21"/>
        <v>4</v>
      </c>
      <c r="D152">
        <f t="shared" si="18"/>
        <v>0.17</v>
      </c>
      <c r="E152">
        <f t="shared" si="22"/>
        <v>19</v>
      </c>
      <c r="F152">
        <f t="shared" si="25"/>
        <v>19</v>
      </c>
      <c r="G152">
        <f t="shared" si="20"/>
        <v>7</v>
      </c>
      <c r="H152">
        <f t="shared" si="23"/>
        <v>100</v>
      </c>
      <c r="I152">
        <f t="shared" si="24"/>
        <v>0</v>
      </c>
    </row>
    <row r="153" spans="1:9" x14ac:dyDescent="0.35">
      <c r="A153" s="1">
        <v>46286</v>
      </c>
      <c r="B153">
        <f t="shared" si="19"/>
        <v>102.00000000000001</v>
      </c>
      <c r="C153">
        <f t="shared" si="21"/>
        <v>5</v>
      </c>
      <c r="D153">
        <f t="shared" si="18"/>
        <v>0.17</v>
      </c>
      <c r="E153">
        <f t="shared" si="22"/>
        <v>19</v>
      </c>
      <c r="F153">
        <f t="shared" si="25"/>
        <v>19</v>
      </c>
      <c r="G153">
        <f t="shared" si="20"/>
        <v>1</v>
      </c>
      <c r="H153">
        <f t="shared" si="23"/>
        <v>36</v>
      </c>
      <c r="I153">
        <f t="shared" si="24"/>
        <v>0</v>
      </c>
    </row>
    <row r="154" spans="1:9" x14ac:dyDescent="0.35">
      <c r="A154" s="1">
        <v>46287</v>
      </c>
      <c r="B154">
        <f t="shared" si="19"/>
        <v>102.00000000000001</v>
      </c>
      <c r="C154">
        <f t="shared" si="21"/>
        <v>6</v>
      </c>
      <c r="D154">
        <f t="shared" si="18"/>
        <v>0.17</v>
      </c>
      <c r="E154">
        <f t="shared" si="22"/>
        <v>19</v>
      </c>
      <c r="F154">
        <f t="shared" si="25"/>
        <v>19</v>
      </c>
      <c r="G154">
        <f t="shared" si="20"/>
        <v>2</v>
      </c>
      <c r="H154">
        <f t="shared" si="23"/>
        <v>36</v>
      </c>
      <c r="I154">
        <f t="shared" si="24"/>
        <v>0</v>
      </c>
    </row>
    <row r="155" spans="1:9" x14ac:dyDescent="0.35">
      <c r="A155" s="1">
        <v>46288</v>
      </c>
      <c r="B155">
        <f t="shared" si="19"/>
        <v>102.00000000000001</v>
      </c>
      <c r="C155">
        <f t="shared" si="21"/>
        <v>7</v>
      </c>
      <c r="D155">
        <f t="shared" si="18"/>
        <v>0.17</v>
      </c>
      <c r="E155">
        <f t="shared" si="22"/>
        <v>17</v>
      </c>
      <c r="F155">
        <f t="shared" si="25"/>
        <v>17</v>
      </c>
      <c r="G155">
        <f t="shared" si="20"/>
        <v>3</v>
      </c>
      <c r="H155">
        <f t="shared" si="23"/>
        <v>36</v>
      </c>
      <c r="I155">
        <f t="shared" si="24"/>
        <v>0</v>
      </c>
    </row>
    <row r="156" spans="1:9" x14ac:dyDescent="0.35">
      <c r="A156" s="1">
        <v>46289</v>
      </c>
      <c r="B156">
        <f t="shared" si="19"/>
        <v>90</v>
      </c>
      <c r="C156">
        <f t="shared" si="21"/>
        <v>1</v>
      </c>
      <c r="D156">
        <f t="shared" si="18"/>
        <v>0.15</v>
      </c>
      <c r="E156">
        <f t="shared" si="22"/>
        <v>17</v>
      </c>
      <c r="F156">
        <f t="shared" si="25"/>
        <v>17</v>
      </c>
      <c r="G156">
        <f t="shared" si="20"/>
        <v>4</v>
      </c>
      <c r="H156">
        <f t="shared" si="23"/>
        <v>36</v>
      </c>
      <c r="I156">
        <f t="shared" si="24"/>
        <v>0</v>
      </c>
    </row>
    <row r="157" spans="1:9" x14ac:dyDescent="0.35">
      <c r="A157" s="1">
        <v>46290</v>
      </c>
      <c r="B157">
        <f t="shared" si="19"/>
        <v>90</v>
      </c>
      <c r="C157">
        <f t="shared" si="21"/>
        <v>2</v>
      </c>
      <c r="D157">
        <f t="shared" si="18"/>
        <v>0.15</v>
      </c>
      <c r="E157">
        <f t="shared" si="22"/>
        <v>17</v>
      </c>
      <c r="F157">
        <f t="shared" si="25"/>
        <v>17</v>
      </c>
      <c r="G157">
        <f t="shared" si="20"/>
        <v>5</v>
      </c>
      <c r="H157">
        <f t="shared" si="23"/>
        <v>36</v>
      </c>
      <c r="I157">
        <f t="shared" si="24"/>
        <v>0</v>
      </c>
    </row>
    <row r="158" spans="1:9" x14ac:dyDescent="0.35">
      <c r="A158" s="1">
        <v>46291</v>
      </c>
      <c r="B158">
        <f t="shared" si="19"/>
        <v>90</v>
      </c>
      <c r="C158">
        <f t="shared" si="21"/>
        <v>3</v>
      </c>
      <c r="D158">
        <f t="shared" si="18"/>
        <v>0.15</v>
      </c>
      <c r="E158">
        <f t="shared" si="22"/>
        <v>17</v>
      </c>
      <c r="F158">
        <f t="shared" si="25"/>
        <v>17</v>
      </c>
      <c r="G158">
        <f t="shared" si="20"/>
        <v>6</v>
      </c>
      <c r="H158">
        <f t="shared" si="23"/>
        <v>100</v>
      </c>
      <c r="I158">
        <f t="shared" si="24"/>
        <v>0</v>
      </c>
    </row>
    <row r="159" spans="1:9" x14ac:dyDescent="0.35">
      <c r="A159" s="1">
        <v>46292</v>
      </c>
      <c r="B159">
        <f t="shared" si="19"/>
        <v>90</v>
      </c>
      <c r="C159">
        <f t="shared" si="21"/>
        <v>4</v>
      </c>
      <c r="D159">
        <f t="shared" si="18"/>
        <v>0.15</v>
      </c>
      <c r="E159">
        <f t="shared" si="22"/>
        <v>17</v>
      </c>
      <c r="F159">
        <f t="shared" si="25"/>
        <v>17</v>
      </c>
      <c r="G159">
        <f t="shared" si="20"/>
        <v>7</v>
      </c>
      <c r="H159">
        <f t="shared" si="23"/>
        <v>100</v>
      </c>
      <c r="I159">
        <f t="shared" si="24"/>
        <v>0</v>
      </c>
    </row>
    <row r="160" spans="1:9" x14ac:dyDescent="0.35">
      <c r="A160" s="1">
        <v>46293</v>
      </c>
      <c r="B160">
        <f t="shared" si="19"/>
        <v>90</v>
      </c>
      <c r="C160">
        <f t="shared" si="21"/>
        <v>5</v>
      </c>
      <c r="D160">
        <f t="shared" si="18"/>
        <v>0.15</v>
      </c>
      <c r="E160">
        <f t="shared" si="22"/>
        <v>17</v>
      </c>
      <c r="F160">
        <f t="shared" si="25"/>
        <v>17</v>
      </c>
      <c r="G160">
        <f t="shared" si="20"/>
        <v>1</v>
      </c>
      <c r="H160">
        <f t="shared" si="23"/>
        <v>36</v>
      </c>
      <c r="I160">
        <f t="shared" si="24"/>
        <v>0</v>
      </c>
    </row>
    <row r="161" spans="1:9" x14ac:dyDescent="0.35">
      <c r="A161" s="1">
        <v>46294</v>
      </c>
      <c r="B161">
        <f t="shared" si="19"/>
        <v>90</v>
      </c>
      <c r="C161">
        <f t="shared" si="21"/>
        <v>6</v>
      </c>
      <c r="D161">
        <f t="shared" si="18"/>
        <v>0.15</v>
      </c>
      <c r="E161">
        <f t="shared" si="22"/>
        <v>17</v>
      </c>
      <c r="F161">
        <f t="shared" si="25"/>
        <v>17</v>
      </c>
      <c r="G161">
        <f t="shared" si="20"/>
        <v>2</v>
      </c>
      <c r="H161">
        <f t="shared" si="23"/>
        <v>36</v>
      </c>
      <c r="I161">
        <f t="shared" si="24"/>
        <v>0</v>
      </c>
    </row>
    <row r="162" spans="1:9" x14ac:dyDescent="0.35">
      <c r="A162" s="1"/>
      <c r="B162">
        <f>SUM(B2:B161)</f>
        <v>41406</v>
      </c>
    </row>
    <row r="163" spans="1:9" x14ac:dyDescent="0.35">
      <c r="A163" s="1"/>
    </row>
    <row r="164" spans="1:9" x14ac:dyDescent="0.35">
      <c r="A164" s="1"/>
    </row>
    <row r="165" spans="1:9" x14ac:dyDescent="0.35">
      <c r="A165" s="1"/>
    </row>
    <row r="166" spans="1:9" x14ac:dyDescent="0.35">
      <c r="A166" s="1"/>
    </row>
    <row r="167" spans="1:9" x14ac:dyDescent="0.35">
      <c r="A167" s="1"/>
    </row>
    <row r="168" spans="1:9" x14ac:dyDescent="0.35">
      <c r="A168" s="1"/>
    </row>
    <row r="169" spans="1:9" x14ac:dyDescent="0.35">
      <c r="A169" s="1"/>
    </row>
    <row r="170" spans="1:9" x14ac:dyDescent="0.35">
      <c r="A170" s="1"/>
    </row>
    <row r="171" spans="1:9" x14ac:dyDescent="0.35">
      <c r="A171" s="1"/>
    </row>
    <row r="172" spans="1:9" x14ac:dyDescent="0.35">
      <c r="A172" s="1"/>
    </row>
    <row r="173" spans="1:9" x14ac:dyDescent="0.35">
      <c r="A173" s="1"/>
    </row>
    <row r="174" spans="1:9" x14ac:dyDescent="0.35">
      <c r="A174" s="1"/>
    </row>
    <row r="175" spans="1:9" x14ac:dyDescent="0.35">
      <c r="A175" s="1"/>
    </row>
    <row r="176" spans="1:9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4C15-B599-4DB7-BF21-7460AA8A85CF}">
  <dimension ref="A1:N213"/>
  <sheetViews>
    <sheetView tabSelected="1" zoomScale="85" zoomScaleNormal="85" workbookViewId="0">
      <selection activeCell="E8" sqref="E8:E161"/>
    </sheetView>
  </sheetViews>
  <sheetFormatPr defaultRowHeight="14.5" x14ac:dyDescent="0.35"/>
  <cols>
    <col min="1" max="1" width="10.36328125" bestFit="1" customWidth="1"/>
    <col min="2" max="2" width="19.26953125" bestFit="1" customWidth="1"/>
    <col min="9" max="9" width="11.54296875" bestFit="1" customWidth="1"/>
  </cols>
  <sheetData>
    <row r="1" spans="1:14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t="s">
        <v>8</v>
      </c>
    </row>
    <row r="2" spans="1:14" x14ac:dyDescent="0.35">
      <c r="A2" s="1">
        <v>46135</v>
      </c>
      <c r="B2">
        <f>600 * D2</f>
        <v>300</v>
      </c>
      <c r="C2">
        <v>1</v>
      </c>
      <c r="D2">
        <f>0.5</f>
        <v>0.5</v>
      </c>
      <c r="E2">
        <v>0</v>
      </c>
      <c r="F2">
        <v>0</v>
      </c>
      <c r="G2">
        <f>WEEKDAY(A2,2)</f>
        <v>4</v>
      </c>
    </row>
    <row r="3" spans="1:14" x14ac:dyDescent="0.35">
      <c r="A3" s="1">
        <v>46136</v>
      </c>
      <c r="B3">
        <f t="shared" ref="B3:B66" si="0">600 * D3</f>
        <v>300</v>
      </c>
      <c r="C3">
        <f>IF(C2=7,1,C2+1)</f>
        <v>2</v>
      </c>
      <c r="D3">
        <f t="shared" ref="D3:D8" si="1">0.5</f>
        <v>0.5</v>
      </c>
      <c r="E3">
        <v>0</v>
      </c>
      <c r="F3">
        <f>F2+E3</f>
        <v>0</v>
      </c>
      <c r="G3">
        <f t="shared" ref="G3:G66" si="2">WEEKDAY(A3,2)</f>
        <v>5</v>
      </c>
    </row>
    <row r="4" spans="1:14" x14ac:dyDescent="0.35">
      <c r="A4" s="1">
        <v>46137</v>
      </c>
      <c r="B4">
        <f t="shared" si="0"/>
        <v>300</v>
      </c>
      <c r="C4">
        <f t="shared" ref="C4:C67" si="3">IF(C3=7,1,C3+1)</f>
        <v>3</v>
      </c>
      <c r="D4">
        <f t="shared" si="1"/>
        <v>0.5</v>
      </c>
      <c r="E4">
        <v>0</v>
      </c>
      <c r="F4">
        <f t="shared" ref="F4:F8" si="4">F3+E4</f>
        <v>0</v>
      </c>
      <c r="G4">
        <f t="shared" si="2"/>
        <v>6</v>
      </c>
    </row>
    <row r="5" spans="1:14" x14ac:dyDescent="0.35">
      <c r="A5" s="1">
        <v>46138</v>
      </c>
      <c r="B5">
        <f t="shared" si="0"/>
        <v>300</v>
      </c>
      <c r="C5">
        <f t="shared" si="3"/>
        <v>4</v>
      </c>
      <c r="D5">
        <f t="shared" si="1"/>
        <v>0.5</v>
      </c>
      <c r="E5">
        <v>0</v>
      </c>
      <c r="F5">
        <f t="shared" si="4"/>
        <v>0</v>
      </c>
      <c r="G5">
        <f t="shared" si="2"/>
        <v>7</v>
      </c>
      <c r="N5">
        <f>SUM(E2:E161)</f>
        <v>6811</v>
      </c>
    </row>
    <row r="6" spans="1:14" x14ac:dyDescent="0.35">
      <c r="A6" s="1">
        <v>46139</v>
      </c>
      <c r="B6">
        <f t="shared" si="0"/>
        <v>300</v>
      </c>
      <c r="C6">
        <f t="shared" si="3"/>
        <v>5</v>
      </c>
      <c r="D6">
        <f t="shared" si="1"/>
        <v>0.5</v>
      </c>
      <c r="E6">
        <v>0</v>
      </c>
      <c r="F6">
        <f t="shared" si="4"/>
        <v>0</v>
      </c>
      <c r="G6">
        <f t="shared" si="2"/>
        <v>1</v>
      </c>
    </row>
    <row r="7" spans="1:14" x14ac:dyDescent="0.35">
      <c r="A7" s="1">
        <v>46140</v>
      </c>
      <c r="B7">
        <f t="shared" si="0"/>
        <v>300</v>
      </c>
      <c r="C7">
        <f t="shared" si="3"/>
        <v>6</v>
      </c>
      <c r="D7">
        <f t="shared" si="1"/>
        <v>0.5</v>
      </c>
      <c r="E7">
        <v>0</v>
      </c>
      <c r="F7">
        <f t="shared" si="4"/>
        <v>0</v>
      </c>
      <c r="G7">
        <f t="shared" si="2"/>
        <v>2</v>
      </c>
    </row>
    <row r="8" spans="1:14" x14ac:dyDescent="0.35">
      <c r="A8" s="1">
        <v>46141</v>
      </c>
      <c r="B8">
        <f t="shared" si="0"/>
        <v>300</v>
      </c>
      <c r="C8">
        <f t="shared" si="3"/>
        <v>7</v>
      </c>
      <c r="D8">
        <f t="shared" si="1"/>
        <v>0.5</v>
      </c>
      <c r="E8">
        <f>ROUNDDOWN(B2/6,0)</f>
        <v>50</v>
      </c>
      <c r="F8">
        <f t="shared" si="4"/>
        <v>50</v>
      </c>
      <c r="G8">
        <f t="shared" si="2"/>
        <v>3</v>
      </c>
      <c r="H8">
        <f>IF(AND(G8&gt;=1,G8&lt;=5),36,100)</f>
        <v>36</v>
      </c>
      <c r="I8">
        <f>IF(H8&gt;F8,0,F8-H8)</f>
        <v>14</v>
      </c>
      <c r="J8">
        <f>IF(F8&lt;H8,1,0)</f>
        <v>0</v>
      </c>
      <c r="K8">
        <f>SUM(J8:J161)</f>
        <v>50</v>
      </c>
    </row>
    <row r="9" spans="1:14" x14ac:dyDescent="0.35">
      <c r="A9" s="1">
        <v>46142</v>
      </c>
      <c r="B9">
        <f t="shared" si="0"/>
        <v>312</v>
      </c>
      <c r="C9">
        <f t="shared" si="3"/>
        <v>1</v>
      </c>
      <c r="D9">
        <f>ROUND(IF(AND(C8=7,A9&lt;=DATE(2026,6,24)),D8*104/100,D8),2)</f>
        <v>0.52</v>
      </c>
      <c r="E9">
        <f t="shared" ref="E9:E72" si="5">ROUNDDOWN(B3/6,0)</f>
        <v>50</v>
      </c>
      <c r="F9">
        <f>I8+E9</f>
        <v>64</v>
      </c>
      <c r="G9">
        <f t="shared" si="2"/>
        <v>4</v>
      </c>
      <c r="H9">
        <f t="shared" ref="H9:H72" si="6">IF(AND(G9&gt;=1,G9&lt;=5),36,100)</f>
        <v>36</v>
      </c>
      <c r="I9">
        <f t="shared" ref="I9:I72" si="7">IF(H9&gt;F9,0,F9-H9)</f>
        <v>28</v>
      </c>
      <c r="J9">
        <f t="shared" ref="J9:J72" si="8">IF(F9&lt;H9,1,0)</f>
        <v>0</v>
      </c>
    </row>
    <row r="10" spans="1:14" x14ac:dyDescent="0.35">
      <c r="A10" s="1">
        <v>46143</v>
      </c>
      <c r="B10">
        <f t="shared" si="0"/>
        <v>312</v>
      </c>
      <c r="C10">
        <f t="shared" si="3"/>
        <v>2</v>
      </c>
      <c r="D10">
        <f t="shared" ref="D10:D64" si="9">ROUND(IF(AND(C9=7,A10&lt;=DATE(2026,6,24)),D9*104/100,D9),2)</f>
        <v>0.52</v>
      </c>
      <c r="E10">
        <f t="shared" si="5"/>
        <v>50</v>
      </c>
      <c r="F10">
        <f t="shared" ref="F10:F73" si="10">I9+E10</f>
        <v>78</v>
      </c>
      <c r="G10">
        <f t="shared" si="2"/>
        <v>5</v>
      </c>
      <c r="H10">
        <f t="shared" si="6"/>
        <v>36</v>
      </c>
      <c r="I10">
        <f t="shared" si="7"/>
        <v>42</v>
      </c>
      <c r="J10">
        <f t="shared" si="8"/>
        <v>0</v>
      </c>
    </row>
    <row r="11" spans="1:14" x14ac:dyDescent="0.35">
      <c r="A11" s="1">
        <v>46144</v>
      </c>
      <c r="B11">
        <f t="shared" si="0"/>
        <v>312</v>
      </c>
      <c r="C11">
        <f t="shared" si="3"/>
        <v>3</v>
      </c>
      <c r="D11">
        <f t="shared" si="9"/>
        <v>0.52</v>
      </c>
      <c r="E11">
        <f t="shared" si="5"/>
        <v>50</v>
      </c>
      <c r="F11">
        <f t="shared" si="10"/>
        <v>92</v>
      </c>
      <c r="G11">
        <f t="shared" si="2"/>
        <v>6</v>
      </c>
      <c r="H11">
        <f t="shared" si="6"/>
        <v>100</v>
      </c>
      <c r="I11">
        <f t="shared" si="7"/>
        <v>0</v>
      </c>
      <c r="J11">
        <f t="shared" si="8"/>
        <v>1</v>
      </c>
    </row>
    <row r="12" spans="1:14" x14ac:dyDescent="0.35">
      <c r="A12" s="1">
        <v>46145</v>
      </c>
      <c r="B12">
        <f t="shared" si="0"/>
        <v>312</v>
      </c>
      <c r="C12">
        <f t="shared" si="3"/>
        <v>4</v>
      </c>
      <c r="D12">
        <f t="shared" si="9"/>
        <v>0.52</v>
      </c>
      <c r="E12">
        <f t="shared" si="5"/>
        <v>50</v>
      </c>
      <c r="F12">
        <f t="shared" si="10"/>
        <v>50</v>
      </c>
      <c r="G12">
        <f t="shared" si="2"/>
        <v>7</v>
      </c>
      <c r="H12">
        <f t="shared" si="6"/>
        <v>100</v>
      </c>
      <c r="I12">
        <f t="shared" si="7"/>
        <v>0</v>
      </c>
      <c r="J12">
        <f t="shared" si="8"/>
        <v>1</v>
      </c>
    </row>
    <row r="13" spans="1:14" x14ac:dyDescent="0.35">
      <c r="A13" s="1">
        <v>46146</v>
      </c>
      <c r="B13">
        <f t="shared" si="0"/>
        <v>312</v>
      </c>
      <c r="C13">
        <f t="shared" si="3"/>
        <v>5</v>
      </c>
      <c r="D13">
        <f t="shared" si="9"/>
        <v>0.52</v>
      </c>
      <c r="E13">
        <f t="shared" si="5"/>
        <v>50</v>
      </c>
      <c r="F13">
        <f t="shared" si="10"/>
        <v>50</v>
      </c>
      <c r="G13">
        <f t="shared" si="2"/>
        <v>1</v>
      </c>
      <c r="H13">
        <f t="shared" si="6"/>
        <v>36</v>
      </c>
      <c r="I13">
        <f t="shared" si="7"/>
        <v>14</v>
      </c>
      <c r="J13">
        <f t="shared" si="8"/>
        <v>0</v>
      </c>
    </row>
    <row r="14" spans="1:14" x14ac:dyDescent="0.35">
      <c r="A14" s="1">
        <v>46147</v>
      </c>
      <c r="B14">
        <f t="shared" si="0"/>
        <v>312</v>
      </c>
      <c r="C14">
        <f t="shared" si="3"/>
        <v>6</v>
      </c>
      <c r="D14">
        <f t="shared" si="9"/>
        <v>0.52</v>
      </c>
      <c r="E14">
        <f t="shared" si="5"/>
        <v>50</v>
      </c>
      <c r="F14">
        <f t="shared" si="10"/>
        <v>64</v>
      </c>
      <c r="G14">
        <f t="shared" si="2"/>
        <v>2</v>
      </c>
      <c r="H14">
        <f t="shared" si="6"/>
        <v>36</v>
      </c>
      <c r="I14">
        <f t="shared" si="7"/>
        <v>28</v>
      </c>
      <c r="J14">
        <f t="shared" si="8"/>
        <v>0</v>
      </c>
    </row>
    <row r="15" spans="1:14" x14ac:dyDescent="0.35">
      <c r="A15" s="1">
        <v>46148</v>
      </c>
      <c r="B15">
        <f t="shared" si="0"/>
        <v>312</v>
      </c>
      <c r="C15">
        <f t="shared" si="3"/>
        <v>7</v>
      </c>
      <c r="D15">
        <f t="shared" si="9"/>
        <v>0.52</v>
      </c>
      <c r="E15">
        <f t="shared" si="5"/>
        <v>52</v>
      </c>
      <c r="F15">
        <f t="shared" si="10"/>
        <v>80</v>
      </c>
      <c r="G15">
        <f t="shared" si="2"/>
        <v>3</v>
      </c>
      <c r="H15">
        <f t="shared" si="6"/>
        <v>36</v>
      </c>
      <c r="I15">
        <f t="shared" si="7"/>
        <v>44</v>
      </c>
      <c r="J15">
        <f t="shared" si="8"/>
        <v>0</v>
      </c>
    </row>
    <row r="16" spans="1:14" x14ac:dyDescent="0.35">
      <c r="A16" s="1">
        <v>46149</v>
      </c>
      <c r="B16">
        <f t="shared" si="0"/>
        <v>324</v>
      </c>
      <c r="C16">
        <f t="shared" si="3"/>
        <v>1</v>
      </c>
      <c r="D16">
        <f t="shared" si="9"/>
        <v>0.54</v>
      </c>
      <c r="E16">
        <f t="shared" si="5"/>
        <v>52</v>
      </c>
      <c r="F16">
        <f t="shared" si="10"/>
        <v>96</v>
      </c>
      <c r="G16">
        <f t="shared" si="2"/>
        <v>4</v>
      </c>
      <c r="H16">
        <f t="shared" si="6"/>
        <v>36</v>
      </c>
      <c r="I16">
        <f t="shared" si="7"/>
        <v>60</v>
      </c>
      <c r="J16">
        <f t="shared" si="8"/>
        <v>0</v>
      </c>
    </row>
    <row r="17" spans="1:10" x14ac:dyDescent="0.35">
      <c r="A17" s="1">
        <v>46150</v>
      </c>
      <c r="B17">
        <f t="shared" si="0"/>
        <v>324</v>
      </c>
      <c r="C17">
        <f t="shared" si="3"/>
        <v>2</v>
      </c>
      <c r="D17">
        <f t="shared" si="9"/>
        <v>0.54</v>
      </c>
      <c r="E17">
        <f t="shared" si="5"/>
        <v>52</v>
      </c>
      <c r="F17">
        <f t="shared" si="10"/>
        <v>112</v>
      </c>
      <c r="G17">
        <f t="shared" si="2"/>
        <v>5</v>
      </c>
      <c r="H17">
        <f t="shared" si="6"/>
        <v>36</v>
      </c>
      <c r="I17">
        <f t="shared" si="7"/>
        <v>76</v>
      </c>
      <c r="J17">
        <f t="shared" si="8"/>
        <v>0</v>
      </c>
    </row>
    <row r="18" spans="1:10" x14ac:dyDescent="0.35">
      <c r="A18" s="1">
        <v>46151</v>
      </c>
      <c r="B18">
        <f t="shared" si="0"/>
        <v>324</v>
      </c>
      <c r="C18">
        <f t="shared" si="3"/>
        <v>3</v>
      </c>
      <c r="D18">
        <f t="shared" si="9"/>
        <v>0.54</v>
      </c>
      <c r="E18">
        <f t="shared" si="5"/>
        <v>52</v>
      </c>
      <c r="F18">
        <f t="shared" si="10"/>
        <v>128</v>
      </c>
      <c r="G18">
        <f t="shared" si="2"/>
        <v>6</v>
      </c>
      <c r="H18">
        <f t="shared" si="6"/>
        <v>100</v>
      </c>
      <c r="I18">
        <f t="shared" si="7"/>
        <v>28</v>
      </c>
      <c r="J18">
        <f t="shared" si="8"/>
        <v>0</v>
      </c>
    </row>
    <row r="19" spans="1:10" x14ac:dyDescent="0.35">
      <c r="A19" s="1">
        <v>46152</v>
      </c>
      <c r="B19">
        <f t="shared" si="0"/>
        <v>324</v>
      </c>
      <c r="C19">
        <f t="shared" si="3"/>
        <v>4</v>
      </c>
      <c r="D19">
        <f t="shared" si="9"/>
        <v>0.54</v>
      </c>
      <c r="E19">
        <f t="shared" si="5"/>
        <v>52</v>
      </c>
      <c r="F19">
        <f t="shared" si="10"/>
        <v>80</v>
      </c>
      <c r="G19">
        <f t="shared" si="2"/>
        <v>7</v>
      </c>
      <c r="H19">
        <f t="shared" si="6"/>
        <v>100</v>
      </c>
      <c r="I19">
        <f t="shared" si="7"/>
        <v>0</v>
      </c>
      <c r="J19">
        <f t="shared" si="8"/>
        <v>1</v>
      </c>
    </row>
    <row r="20" spans="1:10" x14ac:dyDescent="0.35">
      <c r="A20" s="1">
        <v>46153</v>
      </c>
      <c r="B20">
        <f t="shared" si="0"/>
        <v>324</v>
      </c>
      <c r="C20">
        <f t="shared" si="3"/>
        <v>5</v>
      </c>
      <c r="D20">
        <f t="shared" si="9"/>
        <v>0.54</v>
      </c>
      <c r="E20">
        <f t="shared" si="5"/>
        <v>52</v>
      </c>
      <c r="F20">
        <f t="shared" si="10"/>
        <v>52</v>
      </c>
      <c r="G20">
        <f t="shared" si="2"/>
        <v>1</v>
      </c>
      <c r="H20">
        <f t="shared" si="6"/>
        <v>36</v>
      </c>
      <c r="I20">
        <f t="shared" si="7"/>
        <v>16</v>
      </c>
      <c r="J20">
        <f t="shared" si="8"/>
        <v>0</v>
      </c>
    </row>
    <row r="21" spans="1:10" x14ac:dyDescent="0.35">
      <c r="A21" s="1">
        <v>46154</v>
      </c>
      <c r="B21">
        <f t="shared" si="0"/>
        <v>324</v>
      </c>
      <c r="C21">
        <f t="shared" si="3"/>
        <v>6</v>
      </c>
      <c r="D21">
        <f t="shared" si="9"/>
        <v>0.54</v>
      </c>
      <c r="E21">
        <f t="shared" si="5"/>
        <v>52</v>
      </c>
      <c r="F21">
        <f t="shared" si="10"/>
        <v>68</v>
      </c>
      <c r="G21">
        <f t="shared" si="2"/>
        <v>2</v>
      </c>
      <c r="H21">
        <f t="shared" si="6"/>
        <v>36</v>
      </c>
      <c r="I21">
        <f t="shared" si="7"/>
        <v>32</v>
      </c>
      <c r="J21">
        <f t="shared" si="8"/>
        <v>0</v>
      </c>
    </row>
    <row r="22" spans="1:10" x14ac:dyDescent="0.35">
      <c r="A22" s="1">
        <v>46155</v>
      </c>
      <c r="B22">
        <f t="shared" si="0"/>
        <v>324</v>
      </c>
      <c r="C22">
        <f t="shared" si="3"/>
        <v>7</v>
      </c>
      <c r="D22">
        <f t="shared" si="9"/>
        <v>0.54</v>
      </c>
      <c r="E22">
        <f t="shared" si="5"/>
        <v>54</v>
      </c>
      <c r="F22">
        <f t="shared" si="10"/>
        <v>86</v>
      </c>
      <c r="G22">
        <f t="shared" si="2"/>
        <v>3</v>
      </c>
      <c r="H22">
        <f t="shared" si="6"/>
        <v>36</v>
      </c>
      <c r="I22">
        <f t="shared" si="7"/>
        <v>50</v>
      </c>
      <c r="J22">
        <f t="shared" si="8"/>
        <v>0</v>
      </c>
    </row>
    <row r="23" spans="1:10" x14ac:dyDescent="0.35">
      <c r="A23" s="1">
        <v>46156</v>
      </c>
      <c r="B23">
        <f t="shared" si="0"/>
        <v>336.00000000000006</v>
      </c>
      <c r="C23">
        <f t="shared" si="3"/>
        <v>1</v>
      </c>
      <c r="D23">
        <f t="shared" si="9"/>
        <v>0.56000000000000005</v>
      </c>
      <c r="E23">
        <f t="shared" si="5"/>
        <v>54</v>
      </c>
      <c r="F23">
        <f t="shared" si="10"/>
        <v>104</v>
      </c>
      <c r="G23">
        <f t="shared" si="2"/>
        <v>4</v>
      </c>
      <c r="H23">
        <f t="shared" si="6"/>
        <v>36</v>
      </c>
      <c r="I23">
        <f t="shared" si="7"/>
        <v>68</v>
      </c>
      <c r="J23">
        <f t="shared" si="8"/>
        <v>0</v>
      </c>
    </row>
    <row r="24" spans="1:10" x14ac:dyDescent="0.35">
      <c r="A24" s="1">
        <v>46157</v>
      </c>
      <c r="B24">
        <f t="shared" si="0"/>
        <v>336.00000000000006</v>
      </c>
      <c r="C24">
        <f t="shared" si="3"/>
        <v>2</v>
      </c>
      <c r="D24">
        <f t="shared" si="9"/>
        <v>0.56000000000000005</v>
      </c>
      <c r="E24">
        <f t="shared" si="5"/>
        <v>54</v>
      </c>
      <c r="F24">
        <f t="shared" si="10"/>
        <v>122</v>
      </c>
      <c r="G24">
        <f t="shared" si="2"/>
        <v>5</v>
      </c>
      <c r="H24">
        <f t="shared" si="6"/>
        <v>36</v>
      </c>
      <c r="I24">
        <f t="shared" si="7"/>
        <v>86</v>
      </c>
      <c r="J24">
        <f t="shared" si="8"/>
        <v>0</v>
      </c>
    </row>
    <row r="25" spans="1:10" x14ac:dyDescent="0.35">
      <c r="A25" s="1">
        <v>46158</v>
      </c>
      <c r="B25">
        <f t="shared" si="0"/>
        <v>336.00000000000006</v>
      </c>
      <c r="C25">
        <f t="shared" si="3"/>
        <v>3</v>
      </c>
      <c r="D25">
        <f t="shared" si="9"/>
        <v>0.56000000000000005</v>
      </c>
      <c r="E25">
        <f t="shared" si="5"/>
        <v>54</v>
      </c>
      <c r="F25">
        <f t="shared" si="10"/>
        <v>140</v>
      </c>
      <c r="G25">
        <f t="shared" si="2"/>
        <v>6</v>
      </c>
      <c r="H25">
        <f t="shared" si="6"/>
        <v>100</v>
      </c>
      <c r="I25">
        <f t="shared" si="7"/>
        <v>40</v>
      </c>
      <c r="J25">
        <f t="shared" si="8"/>
        <v>0</v>
      </c>
    </row>
    <row r="26" spans="1:10" x14ac:dyDescent="0.35">
      <c r="A26" s="1">
        <v>46159</v>
      </c>
      <c r="B26">
        <f t="shared" si="0"/>
        <v>336.00000000000006</v>
      </c>
      <c r="C26">
        <f t="shared" si="3"/>
        <v>4</v>
      </c>
      <c r="D26">
        <f t="shared" si="9"/>
        <v>0.56000000000000005</v>
      </c>
      <c r="E26">
        <f t="shared" si="5"/>
        <v>54</v>
      </c>
      <c r="F26">
        <f t="shared" si="10"/>
        <v>94</v>
      </c>
      <c r="G26">
        <f t="shared" si="2"/>
        <v>7</v>
      </c>
      <c r="H26">
        <f t="shared" si="6"/>
        <v>100</v>
      </c>
      <c r="I26">
        <f t="shared" si="7"/>
        <v>0</v>
      </c>
      <c r="J26">
        <f t="shared" si="8"/>
        <v>1</v>
      </c>
    </row>
    <row r="27" spans="1:10" x14ac:dyDescent="0.35">
      <c r="A27" s="1">
        <v>46160</v>
      </c>
      <c r="B27">
        <f t="shared" si="0"/>
        <v>336.00000000000006</v>
      </c>
      <c r="C27">
        <f t="shared" si="3"/>
        <v>5</v>
      </c>
      <c r="D27">
        <f t="shared" si="9"/>
        <v>0.56000000000000005</v>
      </c>
      <c r="E27">
        <f t="shared" si="5"/>
        <v>54</v>
      </c>
      <c r="F27">
        <f t="shared" si="10"/>
        <v>54</v>
      </c>
      <c r="G27">
        <f t="shared" si="2"/>
        <v>1</v>
      </c>
      <c r="H27">
        <f t="shared" si="6"/>
        <v>36</v>
      </c>
      <c r="I27">
        <f t="shared" si="7"/>
        <v>18</v>
      </c>
      <c r="J27">
        <f t="shared" si="8"/>
        <v>0</v>
      </c>
    </row>
    <row r="28" spans="1:10" x14ac:dyDescent="0.35">
      <c r="A28" s="1">
        <v>46161</v>
      </c>
      <c r="B28">
        <f t="shared" si="0"/>
        <v>336.00000000000006</v>
      </c>
      <c r="C28">
        <f t="shared" si="3"/>
        <v>6</v>
      </c>
      <c r="D28">
        <f t="shared" si="9"/>
        <v>0.56000000000000005</v>
      </c>
      <c r="E28">
        <f t="shared" si="5"/>
        <v>54</v>
      </c>
      <c r="F28">
        <f t="shared" si="10"/>
        <v>72</v>
      </c>
      <c r="G28">
        <f t="shared" si="2"/>
        <v>2</v>
      </c>
      <c r="H28">
        <f t="shared" si="6"/>
        <v>36</v>
      </c>
      <c r="I28">
        <f t="shared" si="7"/>
        <v>36</v>
      </c>
      <c r="J28">
        <f t="shared" si="8"/>
        <v>0</v>
      </c>
    </row>
    <row r="29" spans="1:10" x14ac:dyDescent="0.35">
      <c r="A29" s="1">
        <v>46162</v>
      </c>
      <c r="B29">
        <f t="shared" si="0"/>
        <v>336.00000000000006</v>
      </c>
      <c r="C29">
        <f t="shared" si="3"/>
        <v>7</v>
      </c>
      <c r="D29">
        <f t="shared" si="9"/>
        <v>0.56000000000000005</v>
      </c>
      <c r="E29">
        <f t="shared" si="5"/>
        <v>56</v>
      </c>
      <c r="F29">
        <f t="shared" si="10"/>
        <v>92</v>
      </c>
      <c r="G29">
        <f t="shared" si="2"/>
        <v>3</v>
      </c>
      <c r="H29">
        <f t="shared" si="6"/>
        <v>36</v>
      </c>
      <c r="I29">
        <f t="shared" si="7"/>
        <v>56</v>
      </c>
      <c r="J29">
        <f t="shared" si="8"/>
        <v>0</v>
      </c>
    </row>
    <row r="30" spans="1:10" x14ac:dyDescent="0.35">
      <c r="A30" s="1">
        <v>46163</v>
      </c>
      <c r="B30">
        <f t="shared" si="0"/>
        <v>348</v>
      </c>
      <c r="C30">
        <f t="shared" si="3"/>
        <v>1</v>
      </c>
      <c r="D30">
        <f t="shared" si="9"/>
        <v>0.57999999999999996</v>
      </c>
      <c r="E30">
        <f t="shared" si="5"/>
        <v>56</v>
      </c>
      <c r="F30">
        <f t="shared" si="10"/>
        <v>112</v>
      </c>
      <c r="G30">
        <f t="shared" si="2"/>
        <v>4</v>
      </c>
      <c r="H30">
        <f t="shared" si="6"/>
        <v>36</v>
      </c>
      <c r="I30">
        <f t="shared" si="7"/>
        <v>76</v>
      </c>
      <c r="J30">
        <f t="shared" si="8"/>
        <v>0</v>
      </c>
    </row>
    <row r="31" spans="1:10" x14ac:dyDescent="0.35">
      <c r="A31" s="1">
        <v>46164</v>
      </c>
      <c r="B31">
        <f t="shared" si="0"/>
        <v>348</v>
      </c>
      <c r="C31">
        <f t="shared" si="3"/>
        <v>2</v>
      </c>
      <c r="D31">
        <f t="shared" si="9"/>
        <v>0.57999999999999996</v>
      </c>
      <c r="E31">
        <f t="shared" si="5"/>
        <v>56</v>
      </c>
      <c r="F31">
        <f t="shared" si="10"/>
        <v>132</v>
      </c>
      <c r="G31">
        <f t="shared" si="2"/>
        <v>5</v>
      </c>
      <c r="H31">
        <f t="shared" si="6"/>
        <v>36</v>
      </c>
      <c r="I31">
        <f t="shared" si="7"/>
        <v>96</v>
      </c>
      <c r="J31">
        <f t="shared" si="8"/>
        <v>0</v>
      </c>
    </row>
    <row r="32" spans="1:10" x14ac:dyDescent="0.35">
      <c r="A32" s="1">
        <v>46165</v>
      </c>
      <c r="B32">
        <f t="shared" si="0"/>
        <v>348</v>
      </c>
      <c r="C32">
        <f t="shared" si="3"/>
        <v>3</v>
      </c>
      <c r="D32">
        <f t="shared" si="9"/>
        <v>0.57999999999999996</v>
      </c>
      <c r="E32">
        <f t="shared" si="5"/>
        <v>56</v>
      </c>
      <c r="F32">
        <f t="shared" si="10"/>
        <v>152</v>
      </c>
      <c r="G32">
        <f t="shared" si="2"/>
        <v>6</v>
      </c>
      <c r="H32">
        <f t="shared" si="6"/>
        <v>100</v>
      </c>
      <c r="I32">
        <f t="shared" si="7"/>
        <v>52</v>
      </c>
      <c r="J32">
        <f t="shared" si="8"/>
        <v>0</v>
      </c>
    </row>
    <row r="33" spans="1:10" x14ac:dyDescent="0.35">
      <c r="A33" s="1">
        <v>46166</v>
      </c>
      <c r="B33">
        <f t="shared" si="0"/>
        <v>348</v>
      </c>
      <c r="C33">
        <f t="shared" si="3"/>
        <v>4</v>
      </c>
      <c r="D33">
        <f t="shared" si="9"/>
        <v>0.57999999999999996</v>
      </c>
      <c r="E33">
        <f t="shared" si="5"/>
        <v>56</v>
      </c>
      <c r="F33">
        <f t="shared" si="10"/>
        <v>108</v>
      </c>
      <c r="G33">
        <f t="shared" si="2"/>
        <v>7</v>
      </c>
      <c r="H33">
        <f t="shared" si="6"/>
        <v>100</v>
      </c>
      <c r="I33">
        <f t="shared" si="7"/>
        <v>8</v>
      </c>
      <c r="J33">
        <f t="shared" si="8"/>
        <v>0</v>
      </c>
    </row>
    <row r="34" spans="1:10" x14ac:dyDescent="0.35">
      <c r="A34" s="1">
        <v>46167</v>
      </c>
      <c r="B34">
        <f t="shared" si="0"/>
        <v>348</v>
      </c>
      <c r="C34">
        <f t="shared" si="3"/>
        <v>5</v>
      </c>
      <c r="D34">
        <f t="shared" si="9"/>
        <v>0.57999999999999996</v>
      </c>
      <c r="E34">
        <f t="shared" si="5"/>
        <v>56</v>
      </c>
      <c r="F34">
        <f t="shared" si="10"/>
        <v>64</v>
      </c>
      <c r="G34">
        <f t="shared" si="2"/>
        <v>1</v>
      </c>
      <c r="H34">
        <f t="shared" si="6"/>
        <v>36</v>
      </c>
      <c r="I34">
        <f t="shared" si="7"/>
        <v>28</v>
      </c>
      <c r="J34">
        <f t="shared" si="8"/>
        <v>0</v>
      </c>
    </row>
    <row r="35" spans="1:10" x14ac:dyDescent="0.35">
      <c r="A35" s="1">
        <v>46168</v>
      </c>
      <c r="B35">
        <f t="shared" si="0"/>
        <v>348</v>
      </c>
      <c r="C35">
        <f t="shared" si="3"/>
        <v>6</v>
      </c>
      <c r="D35">
        <f t="shared" si="9"/>
        <v>0.57999999999999996</v>
      </c>
      <c r="E35">
        <f t="shared" si="5"/>
        <v>56</v>
      </c>
      <c r="F35">
        <f t="shared" si="10"/>
        <v>84</v>
      </c>
      <c r="G35">
        <f t="shared" si="2"/>
        <v>2</v>
      </c>
      <c r="H35">
        <f t="shared" si="6"/>
        <v>36</v>
      </c>
      <c r="I35">
        <f t="shared" si="7"/>
        <v>48</v>
      </c>
      <c r="J35">
        <f t="shared" si="8"/>
        <v>0</v>
      </c>
    </row>
    <row r="36" spans="1:10" x14ac:dyDescent="0.35">
      <c r="A36" s="1">
        <v>46169</v>
      </c>
      <c r="B36">
        <f t="shared" si="0"/>
        <v>348</v>
      </c>
      <c r="C36">
        <f t="shared" si="3"/>
        <v>7</v>
      </c>
      <c r="D36">
        <f t="shared" si="9"/>
        <v>0.57999999999999996</v>
      </c>
      <c r="E36">
        <f t="shared" si="5"/>
        <v>58</v>
      </c>
      <c r="F36">
        <f t="shared" si="10"/>
        <v>106</v>
      </c>
      <c r="G36">
        <f t="shared" si="2"/>
        <v>3</v>
      </c>
      <c r="H36">
        <f t="shared" si="6"/>
        <v>36</v>
      </c>
      <c r="I36">
        <f t="shared" si="7"/>
        <v>70</v>
      </c>
      <c r="J36">
        <f t="shared" si="8"/>
        <v>0</v>
      </c>
    </row>
    <row r="37" spans="1:10" x14ac:dyDescent="0.35">
      <c r="A37" s="1">
        <v>46170</v>
      </c>
      <c r="B37">
        <f t="shared" si="0"/>
        <v>360</v>
      </c>
      <c r="C37">
        <f t="shared" si="3"/>
        <v>1</v>
      </c>
      <c r="D37">
        <f t="shared" si="9"/>
        <v>0.6</v>
      </c>
      <c r="E37">
        <f t="shared" si="5"/>
        <v>58</v>
      </c>
      <c r="F37">
        <f t="shared" si="10"/>
        <v>128</v>
      </c>
      <c r="G37">
        <f t="shared" si="2"/>
        <v>4</v>
      </c>
      <c r="H37">
        <f t="shared" si="6"/>
        <v>36</v>
      </c>
      <c r="I37">
        <f t="shared" si="7"/>
        <v>92</v>
      </c>
      <c r="J37">
        <f t="shared" si="8"/>
        <v>0</v>
      </c>
    </row>
    <row r="38" spans="1:10" x14ac:dyDescent="0.35">
      <c r="A38" s="1">
        <v>46171</v>
      </c>
      <c r="B38">
        <f t="shared" si="0"/>
        <v>360</v>
      </c>
      <c r="C38">
        <f t="shared" si="3"/>
        <v>2</v>
      </c>
      <c r="D38">
        <f t="shared" si="9"/>
        <v>0.6</v>
      </c>
      <c r="E38">
        <f t="shared" si="5"/>
        <v>58</v>
      </c>
      <c r="F38">
        <f t="shared" si="10"/>
        <v>150</v>
      </c>
      <c r="G38">
        <f t="shared" si="2"/>
        <v>5</v>
      </c>
      <c r="H38">
        <f t="shared" si="6"/>
        <v>36</v>
      </c>
      <c r="I38">
        <f t="shared" si="7"/>
        <v>114</v>
      </c>
      <c r="J38">
        <f t="shared" si="8"/>
        <v>0</v>
      </c>
    </row>
    <row r="39" spans="1:10" x14ac:dyDescent="0.35">
      <c r="A39" s="1">
        <v>46172</v>
      </c>
      <c r="B39">
        <f t="shared" si="0"/>
        <v>360</v>
      </c>
      <c r="C39">
        <f t="shared" si="3"/>
        <v>3</v>
      </c>
      <c r="D39">
        <f t="shared" si="9"/>
        <v>0.6</v>
      </c>
      <c r="E39">
        <f t="shared" si="5"/>
        <v>58</v>
      </c>
      <c r="F39">
        <f t="shared" si="10"/>
        <v>172</v>
      </c>
      <c r="G39">
        <f t="shared" si="2"/>
        <v>6</v>
      </c>
      <c r="H39">
        <f t="shared" si="6"/>
        <v>100</v>
      </c>
      <c r="I39">
        <f t="shared" si="7"/>
        <v>72</v>
      </c>
      <c r="J39">
        <f t="shared" si="8"/>
        <v>0</v>
      </c>
    </row>
    <row r="40" spans="1:10" x14ac:dyDescent="0.35">
      <c r="A40" s="1">
        <v>46173</v>
      </c>
      <c r="B40">
        <f t="shared" si="0"/>
        <v>360</v>
      </c>
      <c r="C40">
        <f t="shared" si="3"/>
        <v>4</v>
      </c>
      <c r="D40">
        <f t="shared" si="9"/>
        <v>0.6</v>
      </c>
      <c r="E40">
        <f t="shared" si="5"/>
        <v>58</v>
      </c>
      <c r="F40">
        <f t="shared" si="10"/>
        <v>130</v>
      </c>
      <c r="G40">
        <f t="shared" si="2"/>
        <v>7</v>
      </c>
      <c r="H40">
        <f t="shared" si="6"/>
        <v>100</v>
      </c>
      <c r="I40">
        <f t="shared" si="7"/>
        <v>30</v>
      </c>
      <c r="J40">
        <f t="shared" si="8"/>
        <v>0</v>
      </c>
    </row>
    <row r="41" spans="1:10" x14ac:dyDescent="0.35">
      <c r="A41" s="1">
        <v>46174</v>
      </c>
      <c r="B41">
        <f t="shared" si="0"/>
        <v>360</v>
      </c>
      <c r="C41">
        <f t="shared" si="3"/>
        <v>5</v>
      </c>
      <c r="D41">
        <f t="shared" si="9"/>
        <v>0.6</v>
      </c>
      <c r="E41">
        <f t="shared" si="5"/>
        <v>58</v>
      </c>
      <c r="F41">
        <f t="shared" si="10"/>
        <v>88</v>
      </c>
      <c r="G41">
        <f t="shared" si="2"/>
        <v>1</v>
      </c>
      <c r="H41">
        <f t="shared" si="6"/>
        <v>36</v>
      </c>
      <c r="I41">
        <f t="shared" si="7"/>
        <v>52</v>
      </c>
      <c r="J41">
        <f t="shared" si="8"/>
        <v>0</v>
      </c>
    </row>
    <row r="42" spans="1:10" x14ac:dyDescent="0.35">
      <c r="A42" s="1">
        <v>46175</v>
      </c>
      <c r="B42">
        <f t="shared" si="0"/>
        <v>360</v>
      </c>
      <c r="C42">
        <f t="shared" si="3"/>
        <v>6</v>
      </c>
      <c r="D42">
        <f t="shared" si="9"/>
        <v>0.6</v>
      </c>
      <c r="E42">
        <f t="shared" si="5"/>
        <v>58</v>
      </c>
      <c r="F42">
        <f t="shared" si="10"/>
        <v>110</v>
      </c>
      <c r="G42">
        <f t="shared" si="2"/>
        <v>2</v>
      </c>
      <c r="H42">
        <f t="shared" si="6"/>
        <v>36</v>
      </c>
      <c r="I42">
        <f t="shared" si="7"/>
        <v>74</v>
      </c>
      <c r="J42">
        <f t="shared" si="8"/>
        <v>0</v>
      </c>
    </row>
    <row r="43" spans="1:10" x14ac:dyDescent="0.35">
      <c r="A43" s="1">
        <v>46176</v>
      </c>
      <c r="B43">
        <f t="shared" si="0"/>
        <v>360</v>
      </c>
      <c r="C43">
        <f t="shared" si="3"/>
        <v>7</v>
      </c>
      <c r="D43">
        <f t="shared" si="9"/>
        <v>0.6</v>
      </c>
      <c r="E43">
        <f t="shared" si="5"/>
        <v>60</v>
      </c>
      <c r="F43">
        <f t="shared" si="10"/>
        <v>134</v>
      </c>
      <c r="G43">
        <f t="shared" si="2"/>
        <v>3</v>
      </c>
      <c r="H43">
        <f t="shared" si="6"/>
        <v>36</v>
      </c>
      <c r="I43">
        <f t="shared" si="7"/>
        <v>98</v>
      </c>
      <c r="J43">
        <f t="shared" si="8"/>
        <v>0</v>
      </c>
    </row>
    <row r="44" spans="1:10" x14ac:dyDescent="0.35">
      <c r="A44" s="1">
        <v>46177</v>
      </c>
      <c r="B44">
        <f t="shared" si="0"/>
        <v>372</v>
      </c>
      <c r="C44">
        <f t="shared" si="3"/>
        <v>1</v>
      </c>
      <c r="D44">
        <f t="shared" si="9"/>
        <v>0.62</v>
      </c>
      <c r="E44">
        <f t="shared" si="5"/>
        <v>60</v>
      </c>
      <c r="F44">
        <f t="shared" si="10"/>
        <v>158</v>
      </c>
      <c r="G44">
        <f t="shared" si="2"/>
        <v>4</v>
      </c>
      <c r="H44">
        <f t="shared" si="6"/>
        <v>36</v>
      </c>
      <c r="I44">
        <f t="shared" si="7"/>
        <v>122</v>
      </c>
      <c r="J44">
        <f t="shared" si="8"/>
        <v>0</v>
      </c>
    </row>
    <row r="45" spans="1:10" x14ac:dyDescent="0.35">
      <c r="A45" s="1">
        <v>46178</v>
      </c>
      <c r="B45">
        <f t="shared" si="0"/>
        <v>372</v>
      </c>
      <c r="C45">
        <f t="shared" si="3"/>
        <v>2</v>
      </c>
      <c r="D45">
        <f t="shared" si="9"/>
        <v>0.62</v>
      </c>
      <c r="E45">
        <f t="shared" si="5"/>
        <v>60</v>
      </c>
      <c r="F45">
        <f t="shared" si="10"/>
        <v>182</v>
      </c>
      <c r="G45">
        <f t="shared" si="2"/>
        <v>5</v>
      </c>
      <c r="H45">
        <f t="shared" si="6"/>
        <v>36</v>
      </c>
      <c r="I45">
        <f t="shared" si="7"/>
        <v>146</v>
      </c>
      <c r="J45">
        <f t="shared" si="8"/>
        <v>0</v>
      </c>
    </row>
    <row r="46" spans="1:10" x14ac:dyDescent="0.35">
      <c r="A46" s="1">
        <v>46179</v>
      </c>
      <c r="B46">
        <f t="shared" si="0"/>
        <v>372</v>
      </c>
      <c r="C46">
        <f t="shared" si="3"/>
        <v>3</v>
      </c>
      <c r="D46">
        <f t="shared" si="9"/>
        <v>0.62</v>
      </c>
      <c r="E46">
        <f t="shared" si="5"/>
        <v>60</v>
      </c>
      <c r="F46">
        <f t="shared" si="10"/>
        <v>206</v>
      </c>
      <c r="G46">
        <f t="shared" si="2"/>
        <v>6</v>
      </c>
      <c r="H46">
        <f t="shared" si="6"/>
        <v>100</v>
      </c>
      <c r="I46">
        <f t="shared" si="7"/>
        <v>106</v>
      </c>
      <c r="J46">
        <f t="shared" si="8"/>
        <v>0</v>
      </c>
    </row>
    <row r="47" spans="1:10" x14ac:dyDescent="0.35">
      <c r="A47" s="1">
        <v>46180</v>
      </c>
      <c r="B47">
        <f t="shared" si="0"/>
        <v>372</v>
      </c>
      <c r="C47">
        <f t="shared" si="3"/>
        <v>4</v>
      </c>
      <c r="D47">
        <f t="shared" si="9"/>
        <v>0.62</v>
      </c>
      <c r="E47">
        <f t="shared" si="5"/>
        <v>60</v>
      </c>
      <c r="F47">
        <f t="shared" si="10"/>
        <v>166</v>
      </c>
      <c r="G47">
        <f t="shared" si="2"/>
        <v>7</v>
      </c>
      <c r="H47">
        <f t="shared" si="6"/>
        <v>100</v>
      </c>
      <c r="I47">
        <f t="shared" si="7"/>
        <v>66</v>
      </c>
      <c r="J47">
        <f t="shared" si="8"/>
        <v>0</v>
      </c>
    </row>
    <row r="48" spans="1:10" x14ac:dyDescent="0.35">
      <c r="A48" s="1">
        <v>46181</v>
      </c>
      <c r="B48">
        <f t="shared" si="0"/>
        <v>372</v>
      </c>
      <c r="C48">
        <f t="shared" si="3"/>
        <v>5</v>
      </c>
      <c r="D48">
        <f t="shared" si="9"/>
        <v>0.62</v>
      </c>
      <c r="E48">
        <f t="shared" si="5"/>
        <v>60</v>
      </c>
      <c r="F48">
        <f t="shared" si="10"/>
        <v>126</v>
      </c>
      <c r="G48">
        <f t="shared" si="2"/>
        <v>1</v>
      </c>
      <c r="H48">
        <f t="shared" si="6"/>
        <v>36</v>
      </c>
      <c r="I48">
        <f t="shared" si="7"/>
        <v>90</v>
      </c>
      <c r="J48">
        <f t="shared" si="8"/>
        <v>0</v>
      </c>
    </row>
    <row r="49" spans="1:10" x14ac:dyDescent="0.35">
      <c r="A49" s="1">
        <v>46182</v>
      </c>
      <c r="B49">
        <f t="shared" si="0"/>
        <v>372</v>
      </c>
      <c r="C49">
        <f t="shared" si="3"/>
        <v>6</v>
      </c>
      <c r="D49">
        <f t="shared" si="9"/>
        <v>0.62</v>
      </c>
      <c r="E49">
        <f t="shared" si="5"/>
        <v>60</v>
      </c>
      <c r="F49">
        <f t="shared" si="10"/>
        <v>150</v>
      </c>
      <c r="G49">
        <f t="shared" si="2"/>
        <v>2</v>
      </c>
      <c r="H49">
        <f t="shared" si="6"/>
        <v>36</v>
      </c>
      <c r="I49">
        <f t="shared" si="7"/>
        <v>114</v>
      </c>
      <c r="J49">
        <f t="shared" si="8"/>
        <v>0</v>
      </c>
    </row>
    <row r="50" spans="1:10" x14ac:dyDescent="0.35">
      <c r="A50" s="1">
        <v>46183</v>
      </c>
      <c r="B50">
        <f t="shared" si="0"/>
        <v>372</v>
      </c>
      <c r="C50">
        <f t="shared" si="3"/>
        <v>7</v>
      </c>
      <c r="D50">
        <f t="shared" si="9"/>
        <v>0.62</v>
      </c>
      <c r="E50">
        <f t="shared" si="5"/>
        <v>62</v>
      </c>
      <c r="F50">
        <f t="shared" si="10"/>
        <v>176</v>
      </c>
      <c r="G50">
        <f t="shared" si="2"/>
        <v>3</v>
      </c>
      <c r="H50">
        <f t="shared" si="6"/>
        <v>36</v>
      </c>
      <c r="I50">
        <f t="shared" si="7"/>
        <v>140</v>
      </c>
      <c r="J50">
        <f t="shared" si="8"/>
        <v>0</v>
      </c>
    </row>
    <row r="51" spans="1:10" x14ac:dyDescent="0.35">
      <c r="A51" s="1">
        <v>46184</v>
      </c>
      <c r="B51">
        <f t="shared" si="0"/>
        <v>384</v>
      </c>
      <c r="C51">
        <f t="shared" si="3"/>
        <v>1</v>
      </c>
      <c r="D51">
        <f t="shared" si="9"/>
        <v>0.64</v>
      </c>
      <c r="E51">
        <f t="shared" si="5"/>
        <v>62</v>
      </c>
      <c r="F51">
        <f t="shared" si="10"/>
        <v>202</v>
      </c>
      <c r="G51">
        <f t="shared" si="2"/>
        <v>4</v>
      </c>
      <c r="H51">
        <f t="shared" si="6"/>
        <v>36</v>
      </c>
      <c r="I51">
        <f t="shared" si="7"/>
        <v>166</v>
      </c>
      <c r="J51">
        <f t="shared" si="8"/>
        <v>0</v>
      </c>
    </row>
    <row r="52" spans="1:10" x14ac:dyDescent="0.35">
      <c r="A52" s="1">
        <v>46185</v>
      </c>
      <c r="B52">
        <f t="shared" si="0"/>
        <v>384</v>
      </c>
      <c r="C52">
        <f t="shared" si="3"/>
        <v>2</v>
      </c>
      <c r="D52">
        <f t="shared" si="9"/>
        <v>0.64</v>
      </c>
      <c r="E52">
        <f t="shared" si="5"/>
        <v>62</v>
      </c>
      <c r="F52">
        <f t="shared" si="10"/>
        <v>228</v>
      </c>
      <c r="G52">
        <f t="shared" si="2"/>
        <v>5</v>
      </c>
      <c r="H52">
        <f t="shared" si="6"/>
        <v>36</v>
      </c>
      <c r="I52">
        <f t="shared" si="7"/>
        <v>192</v>
      </c>
      <c r="J52">
        <f t="shared" si="8"/>
        <v>0</v>
      </c>
    </row>
    <row r="53" spans="1:10" x14ac:dyDescent="0.35">
      <c r="A53" s="1">
        <v>46186</v>
      </c>
      <c r="B53">
        <f t="shared" si="0"/>
        <v>384</v>
      </c>
      <c r="C53">
        <f t="shared" si="3"/>
        <v>3</v>
      </c>
      <c r="D53">
        <f t="shared" si="9"/>
        <v>0.64</v>
      </c>
      <c r="E53">
        <f t="shared" si="5"/>
        <v>62</v>
      </c>
      <c r="F53">
        <f t="shared" si="10"/>
        <v>254</v>
      </c>
      <c r="G53">
        <f t="shared" si="2"/>
        <v>6</v>
      </c>
      <c r="H53">
        <f t="shared" si="6"/>
        <v>100</v>
      </c>
      <c r="I53">
        <f t="shared" si="7"/>
        <v>154</v>
      </c>
      <c r="J53">
        <f t="shared" si="8"/>
        <v>0</v>
      </c>
    </row>
    <row r="54" spans="1:10" x14ac:dyDescent="0.35">
      <c r="A54" s="1">
        <v>46187</v>
      </c>
      <c r="B54">
        <f t="shared" si="0"/>
        <v>384</v>
      </c>
      <c r="C54">
        <f t="shared" si="3"/>
        <v>4</v>
      </c>
      <c r="D54">
        <f t="shared" si="9"/>
        <v>0.64</v>
      </c>
      <c r="E54">
        <f t="shared" si="5"/>
        <v>62</v>
      </c>
      <c r="F54">
        <f t="shared" si="10"/>
        <v>216</v>
      </c>
      <c r="G54">
        <f t="shared" si="2"/>
        <v>7</v>
      </c>
      <c r="H54">
        <f t="shared" si="6"/>
        <v>100</v>
      </c>
      <c r="I54">
        <f t="shared" si="7"/>
        <v>116</v>
      </c>
      <c r="J54">
        <f t="shared" si="8"/>
        <v>0</v>
      </c>
    </row>
    <row r="55" spans="1:10" x14ac:dyDescent="0.35">
      <c r="A55" s="1">
        <v>46188</v>
      </c>
      <c r="B55">
        <f t="shared" si="0"/>
        <v>384</v>
      </c>
      <c r="C55">
        <f t="shared" si="3"/>
        <v>5</v>
      </c>
      <c r="D55">
        <f t="shared" si="9"/>
        <v>0.64</v>
      </c>
      <c r="E55">
        <f t="shared" si="5"/>
        <v>62</v>
      </c>
      <c r="F55">
        <f t="shared" si="10"/>
        <v>178</v>
      </c>
      <c r="G55">
        <f t="shared" si="2"/>
        <v>1</v>
      </c>
      <c r="H55">
        <f t="shared" si="6"/>
        <v>36</v>
      </c>
      <c r="I55">
        <f t="shared" si="7"/>
        <v>142</v>
      </c>
      <c r="J55">
        <f t="shared" si="8"/>
        <v>0</v>
      </c>
    </row>
    <row r="56" spans="1:10" x14ac:dyDescent="0.35">
      <c r="A56" s="1">
        <v>46189</v>
      </c>
      <c r="B56">
        <f t="shared" si="0"/>
        <v>384</v>
      </c>
      <c r="C56">
        <f t="shared" si="3"/>
        <v>6</v>
      </c>
      <c r="D56">
        <f t="shared" si="9"/>
        <v>0.64</v>
      </c>
      <c r="E56">
        <f t="shared" si="5"/>
        <v>62</v>
      </c>
      <c r="F56">
        <f t="shared" si="10"/>
        <v>204</v>
      </c>
      <c r="G56">
        <f t="shared" si="2"/>
        <v>2</v>
      </c>
      <c r="H56">
        <f t="shared" si="6"/>
        <v>36</v>
      </c>
      <c r="I56">
        <f t="shared" si="7"/>
        <v>168</v>
      </c>
      <c r="J56">
        <f t="shared" si="8"/>
        <v>0</v>
      </c>
    </row>
    <row r="57" spans="1:10" x14ac:dyDescent="0.35">
      <c r="A57" s="1">
        <v>46190</v>
      </c>
      <c r="B57">
        <f t="shared" si="0"/>
        <v>384</v>
      </c>
      <c r="C57">
        <f t="shared" si="3"/>
        <v>7</v>
      </c>
      <c r="D57">
        <f t="shared" si="9"/>
        <v>0.64</v>
      </c>
      <c r="E57">
        <f t="shared" si="5"/>
        <v>64</v>
      </c>
      <c r="F57">
        <f t="shared" si="10"/>
        <v>232</v>
      </c>
      <c r="G57">
        <f t="shared" si="2"/>
        <v>3</v>
      </c>
      <c r="H57">
        <f t="shared" si="6"/>
        <v>36</v>
      </c>
      <c r="I57">
        <f t="shared" si="7"/>
        <v>196</v>
      </c>
      <c r="J57">
        <f t="shared" si="8"/>
        <v>0</v>
      </c>
    </row>
    <row r="58" spans="1:10" x14ac:dyDescent="0.35">
      <c r="A58" s="1">
        <v>46191</v>
      </c>
      <c r="B58">
        <f t="shared" si="0"/>
        <v>402</v>
      </c>
      <c r="C58">
        <f t="shared" si="3"/>
        <v>1</v>
      </c>
      <c r="D58">
        <f t="shared" si="9"/>
        <v>0.67</v>
      </c>
      <c r="E58">
        <f t="shared" si="5"/>
        <v>64</v>
      </c>
      <c r="F58">
        <f t="shared" si="10"/>
        <v>260</v>
      </c>
      <c r="G58">
        <f t="shared" si="2"/>
        <v>4</v>
      </c>
      <c r="H58">
        <f t="shared" si="6"/>
        <v>36</v>
      </c>
      <c r="I58">
        <f t="shared" si="7"/>
        <v>224</v>
      </c>
      <c r="J58">
        <f t="shared" si="8"/>
        <v>0</v>
      </c>
    </row>
    <row r="59" spans="1:10" x14ac:dyDescent="0.35">
      <c r="A59" s="1">
        <v>46192</v>
      </c>
      <c r="B59">
        <f t="shared" si="0"/>
        <v>402</v>
      </c>
      <c r="C59">
        <f t="shared" si="3"/>
        <v>2</v>
      </c>
      <c r="D59">
        <f t="shared" si="9"/>
        <v>0.67</v>
      </c>
      <c r="E59">
        <f t="shared" si="5"/>
        <v>64</v>
      </c>
      <c r="F59">
        <f t="shared" si="10"/>
        <v>288</v>
      </c>
      <c r="G59">
        <f t="shared" si="2"/>
        <v>5</v>
      </c>
      <c r="H59">
        <f t="shared" si="6"/>
        <v>36</v>
      </c>
      <c r="I59">
        <f t="shared" si="7"/>
        <v>252</v>
      </c>
      <c r="J59">
        <f t="shared" si="8"/>
        <v>0</v>
      </c>
    </row>
    <row r="60" spans="1:10" x14ac:dyDescent="0.35">
      <c r="A60" s="1">
        <v>46193</v>
      </c>
      <c r="B60">
        <f t="shared" si="0"/>
        <v>402</v>
      </c>
      <c r="C60">
        <f t="shared" si="3"/>
        <v>3</v>
      </c>
      <c r="D60">
        <f t="shared" si="9"/>
        <v>0.67</v>
      </c>
      <c r="E60">
        <f t="shared" si="5"/>
        <v>64</v>
      </c>
      <c r="F60">
        <f t="shared" si="10"/>
        <v>316</v>
      </c>
      <c r="G60">
        <f t="shared" si="2"/>
        <v>6</v>
      </c>
      <c r="H60">
        <f t="shared" si="6"/>
        <v>100</v>
      </c>
      <c r="I60">
        <f t="shared" si="7"/>
        <v>216</v>
      </c>
      <c r="J60">
        <f t="shared" si="8"/>
        <v>0</v>
      </c>
    </row>
    <row r="61" spans="1:10" x14ac:dyDescent="0.35">
      <c r="A61" s="1">
        <v>46194</v>
      </c>
      <c r="B61">
        <f t="shared" si="0"/>
        <v>402</v>
      </c>
      <c r="C61">
        <f t="shared" si="3"/>
        <v>4</v>
      </c>
      <c r="D61">
        <f t="shared" si="9"/>
        <v>0.67</v>
      </c>
      <c r="E61">
        <f t="shared" si="5"/>
        <v>64</v>
      </c>
      <c r="F61">
        <f t="shared" si="10"/>
        <v>280</v>
      </c>
      <c r="G61">
        <f t="shared" si="2"/>
        <v>7</v>
      </c>
      <c r="H61">
        <f t="shared" si="6"/>
        <v>100</v>
      </c>
      <c r="I61">
        <f t="shared" si="7"/>
        <v>180</v>
      </c>
      <c r="J61">
        <f t="shared" si="8"/>
        <v>0</v>
      </c>
    </row>
    <row r="62" spans="1:10" x14ac:dyDescent="0.35">
      <c r="A62" s="1">
        <v>46195</v>
      </c>
      <c r="B62">
        <f t="shared" si="0"/>
        <v>402</v>
      </c>
      <c r="C62">
        <f t="shared" si="3"/>
        <v>5</v>
      </c>
      <c r="D62">
        <f t="shared" si="9"/>
        <v>0.67</v>
      </c>
      <c r="E62">
        <f t="shared" si="5"/>
        <v>64</v>
      </c>
      <c r="F62">
        <f t="shared" si="10"/>
        <v>244</v>
      </c>
      <c r="G62">
        <f t="shared" si="2"/>
        <v>1</v>
      </c>
      <c r="H62">
        <f t="shared" si="6"/>
        <v>36</v>
      </c>
      <c r="I62">
        <f t="shared" si="7"/>
        <v>208</v>
      </c>
      <c r="J62">
        <f t="shared" si="8"/>
        <v>0</v>
      </c>
    </row>
    <row r="63" spans="1:10" x14ac:dyDescent="0.35">
      <c r="A63" s="1">
        <v>46196</v>
      </c>
      <c r="B63">
        <f t="shared" si="0"/>
        <v>402</v>
      </c>
      <c r="C63">
        <f t="shared" si="3"/>
        <v>6</v>
      </c>
      <c r="D63">
        <f t="shared" si="9"/>
        <v>0.67</v>
      </c>
      <c r="E63">
        <f t="shared" si="5"/>
        <v>64</v>
      </c>
      <c r="F63">
        <f t="shared" si="10"/>
        <v>272</v>
      </c>
      <c r="G63">
        <f t="shared" si="2"/>
        <v>2</v>
      </c>
      <c r="H63">
        <f t="shared" si="6"/>
        <v>36</v>
      </c>
      <c r="I63">
        <f t="shared" si="7"/>
        <v>236</v>
      </c>
      <c r="J63">
        <f t="shared" si="8"/>
        <v>0</v>
      </c>
    </row>
    <row r="64" spans="1:10" x14ac:dyDescent="0.35">
      <c r="A64" s="1">
        <v>46197</v>
      </c>
      <c r="B64">
        <f t="shared" si="0"/>
        <v>402</v>
      </c>
      <c r="C64">
        <f t="shared" si="3"/>
        <v>7</v>
      </c>
      <c r="D64">
        <f t="shared" si="9"/>
        <v>0.67</v>
      </c>
      <c r="E64">
        <f t="shared" si="5"/>
        <v>67</v>
      </c>
      <c r="F64">
        <f t="shared" si="10"/>
        <v>303</v>
      </c>
      <c r="G64">
        <f t="shared" si="2"/>
        <v>3</v>
      </c>
      <c r="H64">
        <f t="shared" si="6"/>
        <v>36</v>
      </c>
      <c r="I64">
        <f t="shared" si="7"/>
        <v>267</v>
      </c>
      <c r="J64">
        <f t="shared" si="8"/>
        <v>0</v>
      </c>
    </row>
    <row r="65" spans="1:10" x14ac:dyDescent="0.35">
      <c r="A65" s="1">
        <v>46198</v>
      </c>
      <c r="B65">
        <f t="shared" si="0"/>
        <v>360</v>
      </c>
      <c r="C65">
        <f t="shared" si="3"/>
        <v>1</v>
      </c>
      <c r="D65">
        <f>ROUND(IF(AND(C64=7,A65&gt;DATE(2026,6,24)),D64*90/100,D64),2)</f>
        <v>0.6</v>
      </c>
      <c r="E65">
        <f t="shared" si="5"/>
        <v>67</v>
      </c>
      <c r="F65">
        <f t="shared" si="10"/>
        <v>334</v>
      </c>
      <c r="G65">
        <f t="shared" si="2"/>
        <v>4</v>
      </c>
      <c r="H65">
        <f t="shared" si="6"/>
        <v>36</v>
      </c>
      <c r="I65">
        <f t="shared" si="7"/>
        <v>298</v>
      </c>
      <c r="J65">
        <f t="shared" si="8"/>
        <v>0</v>
      </c>
    </row>
    <row r="66" spans="1:10" x14ac:dyDescent="0.35">
      <c r="A66" s="1">
        <v>46199</v>
      </c>
      <c r="B66">
        <f t="shared" si="0"/>
        <v>360</v>
      </c>
      <c r="C66">
        <f t="shared" si="3"/>
        <v>2</v>
      </c>
      <c r="D66">
        <f t="shared" ref="D66:D129" si="11">ROUND(IF(AND(C65=7,A66&gt;DATE(2026,6,24)),D65*90/100,D65),2)</f>
        <v>0.6</v>
      </c>
      <c r="E66">
        <f t="shared" si="5"/>
        <v>67</v>
      </c>
      <c r="F66">
        <f t="shared" si="10"/>
        <v>365</v>
      </c>
      <c r="G66">
        <f t="shared" si="2"/>
        <v>5</v>
      </c>
      <c r="H66">
        <f t="shared" si="6"/>
        <v>36</v>
      </c>
      <c r="I66">
        <f t="shared" si="7"/>
        <v>329</v>
      </c>
      <c r="J66">
        <f t="shared" si="8"/>
        <v>0</v>
      </c>
    </row>
    <row r="67" spans="1:10" x14ac:dyDescent="0.35">
      <c r="A67" s="1">
        <v>46200</v>
      </c>
      <c r="B67">
        <f t="shared" ref="B67:B130" si="12">600 * D67</f>
        <v>360</v>
      </c>
      <c r="C67">
        <f t="shared" si="3"/>
        <v>3</v>
      </c>
      <c r="D67">
        <f t="shared" si="11"/>
        <v>0.6</v>
      </c>
      <c r="E67">
        <f t="shared" si="5"/>
        <v>67</v>
      </c>
      <c r="F67">
        <f t="shared" si="10"/>
        <v>396</v>
      </c>
      <c r="G67">
        <f t="shared" ref="G67:G130" si="13">WEEKDAY(A67,2)</f>
        <v>6</v>
      </c>
      <c r="H67">
        <f t="shared" si="6"/>
        <v>100</v>
      </c>
      <c r="I67">
        <f t="shared" si="7"/>
        <v>296</v>
      </c>
      <c r="J67">
        <f t="shared" si="8"/>
        <v>0</v>
      </c>
    </row>
    <row r="68" spans="1:10" x14ac:dyDescent="0.35">
      <c r="A68" s="1">
        <v>46201</v>
      </c>
      <c r="B68">
        <f t="shared" si="12"/>
        <v>360</v>
      </c>
      <c r="C68">
        <f t="shared" ref="C68:C131" si="14">IF(C67=7,1,C67+1)</f>
        <v>4</v>
      </c>
      <c r="D68">
        <f t="shared" si="11"/>
        <v>0.6</v>
      </c>
      <c r="E68">
        <f t="shared" si="5"/>
        <v>67</v>
      </c>
      <c r="F68">
        <f t="shared" si="10"/>
        <v>363</v>
      </c>
      <c r="G68">
        <f t="shared" si="13"/>
        <v>7</v>
      </c>
      <c r="H68">
        <f t="shared" si="6"/>
        <v>100</v>
      </c>
      <c r="I68">
        <f t="shared" si="7"/>
        <v>263</v>
      </c>
      <c r="J68">
        <f t="shared" si="8"/>
        <v>0</v>
      </c>
    </row>
    <row r="69" spans="1:10" x14ac:dyDescent="0.35">
      <c r="A69" s="1">
        <v>46202</v>
      </c>
      <c r="B69">
        <f t="shared" si="12"/>
        <v>360</v>
      </c>
      <c r="C69">
        <f t="shared" si="14"/>
        <v>5</v>
      </c>
      <c r="D69">
        <f t="shared" si="11"/>
        <v>0.6</v>
      </c>
      <c r="E69">
        <f t="shared" si="5"/>
        <v>67</v>
      </c>
      <c r="F69">
        <f t="shared" si="10"/>
        <v>330</v>
      </c>
      <c r="G69">
        <f t="shared" si="13"/>
        <v>1</v>
      </c>
      <c r="H69">
        <f t="shared" si="6"/>
        <v>36</v>
      </c>
      <c r="I69">
        <f t="shared" si="7"/>
        <v>294</v>
      </c>
      <c r="J69">
        <f t="shared" si="8"/>
        <v>0</v>
      </c>
    </row>
    <row r="70" spans="1:10" x14ac:dyDescent="0.35">
      <c r="A70" s="1">
        <v>46203</v>
      </c>
      <c r="B70">
        <f t="shared" si="12"/>
        <v>360</v>
      </c>
      <c r="C70">
        <f t="shared" si="14"/>
        <v>6</v>
      </c>
      <c r="D70">
        <f t="shared" si="11"/>
        <v>0.6</v>
      </c>
      <c r="E70">
        <f t="shared" si="5"/>
        <v>67</v>
      </c>
      <c r="F70">
        <f t="shared" si="10"/>
        <v>361</v>
      </c>
      <c r="G70">
        <f t="shared" si="13"/>
        <v>2</v>
      </c>
      <c r="H70">
        <f t="shared" si="6"/>
        <v>36</v>
      </c>
      <c r="I70">
        <f t="shared" si="7"/>
        <v>325</v>
      </c>
      <c r="J70">
        <f t="shared" si="8"/>
        <v>0</v>
      </c>
    </row>
    <row r="71" spans="1:10" x14ac:dyDescent="0.35">
      <c r="A71" s="1">
        <v>46204</v>
      </c>
      <c r="B71">
        <f t="shared" si="12"/>
        <v>360</v>
      </c>
      <c r="C71">
        <f t="shared" si="14"/>
        <v>7</v>
      </c>
      <c r="D71">
        <f t="shared" si="11"/>
        <v>0.6</v>
      </c>
      <c r="E71">
        <f t="shared" si="5"/>
        <v>60</v>
      </c>
      <c r="F71">
        <f t="shared" si="10"/>
        <v>385</v>
      </c>
      <c r="G71">
        <f t="shared" si="13"/>
        <v>3</v>
      </c>
      <c r="H71">
        <f t="shared" si="6"/>
        <v>36</v>
      </c>
      <c r="I71">
        <f t="shared" si="7"/>
        <v>349</v>
      </c>
      <c r="J71">
        <f t="shared" si="8"/>
        <v>0</v>
      </c>
    </row>
    <row r="72" spans="1:10" x14ac:dyDescent="0.35">
      <c r="A72" s="1">
        <v>46205</v>
      </c>
      <c r="B72">
        <f t="shared" si="12"/>
        <v>324</v>
      </c>
      <c r="C72">
        <f t="shared" si="14"/>
        <v>1</v>
      </c>
      <c r="D72">
        <f t="shared" si="11"/>
        <v>0.54</v>
      </c>
      <c r="E72">
        <f t="shared" si="5"/>
        <v>60</v>
      </c>
      <c r="F72">
        <f t="shared" si="10"/>
        <v>409</v>
      </c>
      <c r="G72">
        <f t="shared" si="13"/>
        <v>4</v>
      </c>
      <c r="H72">
        <f t="shared" si="6"/>
        <v>36</v>
      </c>
      <c r="I72">
        <f t="shared" si="7"/>
        <v>373</v>
      </c>
      <c r="J72">
        <f t="shared" si="8"/>
        <v>0</v>
      </c>
    </row>
    <row r="73" spans="1:10" x14ac:dyDescent="0.35">
      <c r="A73" s="1">
        <v>46206</v>
      </c>
      <c r="B73">
        <f t="shared" si="12"/>
        <v>324</v>
      </c>
      <c r="C73">
        <f t="shared" si="14"/>
        <v>2</v>
      </c>
      <c r="D73">
        <f t="shared" si="11"/>
        <v>0.54</v>
      </c>
      <c r="E73">
        <f t="shared" ref="E73:E136" si="15">ROUNDDOWN(B67/6,0)</f>
        <v>60</v>
      </c>
      <c r="F73">
        <f t="shared" si="10"/>
        <v>433</v>
      </c>
      <c r="G73">
        <f t="shared" si="13"/>
        <v>5</v>
      </c>
      <c r="H73">
        <f t="shared" ref="H73:H136" si="16">IF(AND(G73&gt;=1,G73&lt;=5),36,100)</f>
        <v>36</v>
      </c>
      <c r="I73">
        <f t="shared" ref="I73:I136" si="17">IF(H73&gt;F73,0,F73-H73)</f>
        <v>397</v>
      </c>
      <c r="J73">
        <f t="shared" ref="J73:J136" si="18">IF(F73&lt;H73,1,0)</f>
        <v>0</v>
      </c>
    </row>
    <row r="74" spans="1:10" x14ac:dyDescent="0.35">
      <c r="A74" s="1">
        <v>46207</v>
      </c>
      <c r="B74">
        <f t="shared" si="12"/>
        <v>324</v>
      </c>
      <c r="C74">
        <f t="shared" si="14"/>
        <v>3</v>
      </c>
      <c r="D74">
        <f t="shared" si="11"/>
        <v>0.54</v>
      </c>
      <c r="E74">
        <f t="shared" si="15"/>
        <v>60</v>
      </c>
      <c r="F74">
        <f t="shared" ref="F74:F137" si="19">I73+E74</f>
        <v>457</v>
      </c>
      <c r="G74">
        <f t="shared" si="13"/>
        <v>6</v>
      </c>
      <c r="H74">
        <f t="shared" si="16"/>
        <v>100</v>
      </c>
      <c r="I74">
        <f t="shared" si="17"/>
        <v>357</v>
      </c>
      <c r="J74">
        <f t="shared" si="18"/>
        <v>0</v>
      </c>
    </row>
    <row r="75" spans="1:10" x14ac:dyDescent="0.35">
      <c r="A75" s="1">
        <v>46208</v>
      </c>
      <c r="B75">
        <f t="shared" si="12"/>
        <v>324</v>
      </c>
      <c r="C75">
        <f t="shared" si="14"/>
        <v>4</v>
      </c>
      <c r="D75">
        <f t="shared" si="11"/>
        <v>0.54</v>
      </c>
      <c r="E75">
        <f t="shared" si="15"/>
        <v>60</v>
      </c>
      <c r="F75">
        <f t="shared" si="19"/>
        <v>417</v>
      </c>
      <c r="G75">
        <f t="shared" si="13"/>
        <v>7</v>
      </c>
      <c r="H75">
        <f t="shared" si="16"/>
        <v>100</v>
      </c>
      <c r="I75">
        <f t="shared" si="17"/>
        <v>317</v>
      </c>
      <c r="J75">
        <f t="shared" si="18"/>
        <v>0</v>
      </c>
    </row>
    <row r="76" spans="1:10" x14ac:dyDescent="0.35">
      <c r="A76" s="1">
        <v>46209</v>
      </c>
      <c r="B76">
        <f t="shared" si="12"/>
        <v>324</v>
      </c>
      <c r="C76">
        <f t="shared" si="14"/>
        <v>5</v>
      </c>
      <c r="D76">
        <f t="shared" si="11"/>
        <v>0.54</v>
      </c>
      <c r="E76">
        <f t="shared" si="15"/>
        <v>60</v>
      </c>
      <c r="F76">
        <f t="shared" si="19"/>
        <v>377</v>
      </c>
      <c r="G76">
        <f t="shared" si="13"/>
        <v>1</v>
      </c>
      <c r="H76">
        <f t="shared" si="16"/>
        <v>36</v>
      </c>
      <c r="I76">
        <f t="shared" si="17"/>
        <v>341</v>
      </c>
      <c r="J76">
        <f t="shared" si="18"/>
        <v>0</v>
      </c>
    </row>
    <row r="77" spans="1:10" x14ac:dyDescent="0.35">
      <c r="A77" s="1">
        <v>46210</v>
      </c>
      <c r="B77">
        <f t="shared" si="12"/>
        <v>324</v>
      </c>
      <c r="C77">
        <f t="shared" si="14"/>
        <v>6</v>
      </c>
      <c r="D77">
        <f t="shared" si="11"/>
        <v>0.54</v>
      </c>
      <c r="E77">
        <f t="shared" si="15"/>
        <v>60</v>
      </c>
      <c r="F77">
        <f t="shared" si="19"/>
        <v>401</v>
      </c>
      <c r="G77">
        <f t="shared" si="13"/>
        <v>2</v>
      </c>
      <c r="H77">
        <f t="shared" si="16"/>
        <v>36</v>
      </c>
      <c r="I77">
        <f t="shared" si="17"/>
        <v>365</v>
      </c>
      <c r="J77">
        <f t="shared" si="18"/>
        <v>0</v>
      </c>
    </row>
    <row r="78" spans="1:10" x14ac:dyDescent="0.35">
      <c r="A78" s="1">
        <v>46211</v>
      </c>
      <c r="B78">
        <f t="shared" si="12"/>
        <v>324</v>
      </c>
      <c r="C78">
        <f t="shared" si="14"/>
        <v>7</v>
      </c>
      <c r="D78">
        <f t="shared" si="11"/>
        <v>0.54</v>
      </c>
      <c r="E78">
        <f t="shared" si="15"/>
        <v>54</v>
      </c>
      <c r="F78">
        <f t="shared" si="19"/>
        <v>419</v>
      </c>
      <c r="G78">
        <f t="shared" si="13"/>
        <v>3</v>
      </c>
      <c r="H78">
        <f t="shared" si="16"/>
        <v>36</v>
      </c>
      <c r="I78">
        <f t="shared" si="17"/>
        <v>383</v>
      </c>
      <c r="J78">
        <f t="shared" si="18"/>
        <v>0</v>
      </c>
    </row>
    <row r="79" spans="1:10" x14ac:dyDescent="0.35">
      <c r="A79" s="1">
        <v>46212</v>
      </c>
      <c r="B79">
        <f t="shared" si="12"/>
        <v>294</v>
      </c>
      <c r="C79">
        <f t="shared" si="14"/>
        <v>1</v>
      </c>
      <c r="D79">
        <f t="shared" si="11"/>
        <v>0.49</v>
      </c>
      <c r="E79">
        <f t="shared" si="15"/>
        <v>54</v>
      </c>
      <c r="F79">
        <f t="shared" si="19"/>
        <v>437</v>
      </c>
      <c r="G79">
        <f t="shared" si="13"/>
        <v>4</v>
      </c>
      <c r="H79">
        <f t="shared" si="16"/>
        <v>36</v>
      </c>
      <c r="I79">
        <f t="shared" si="17"/>
        <v>401</v>
      </c>
      <c r="J79">
        <f t="shared" si="18"/>
        <v>0</v>
      </c>
    </row>
    <row r="80" spans="1:10" x14ac:dyDescent="0.35">
      <c r="A80" s="1">
        <v>46213</v>
      </c>
      <c r="B80">
        <f t="shared" si="12"/>
        <v>294</v>
      </c>
      <c r="C80">
        <f t="shared" si="14"/>
        <v>2</v>
      </c>
      <c r="D80">
        <f t="shared" si="11"/>
        <v>0.49</v>
      </c>
      <c r="E80">
        <f t="shared" si="15"/>
        <v>54</v>
      </c>
      <c r="F80">
        <f t="shared" si="19"/>
        <v>455</v>
      </c>
      <c r="G80">
        <f t="shared" si="13"/>
        <v>5</v>
      </c>
      <c r="H80">
        <f t="shared" si="16"/>
        <v>36</v>
      </c>
      <c r="I80">
        <f t="shared" si="17"/>
        <v>419</v>
      </c>
      <c r="J80">
        <f t="shared" si="18"/>
        <v>0</v>
      </c>
    </row>
    <row r="81" spans="1:10" x14ac:dyDescent="0.35">
      <c r="A81" s="1">
        <v>46214</v>
      </c>
      <c r="B81">
        <f t="shared" si="12"/>
        <v>294</v>
      </c>
      <c r="C81">
        <f t="shared" si="14"/>
        <v>3</v>
      </c>
      <c r="D81">
        <f t="shared" si="11"/>
        <v>0.49</v>
      </c>
      <c r="E81">
        <f t="shared" si="15"/>
        <v>54</v>
      </c>
      <c r="F81">
        <f t="shared" si="19"/>
        <v>473</v>
      </c>
      <c r="G81">
        <f t="shared" si="13"/>
        <v>6</v>
      </c>
      <c r="H81">
        <f t="shared" si="16"/>
        <v>100</v>
      </c>
      <c r="I81">
        <f t="shared" si="17"/>
        <v>373</v>
      </c>
      <c r="J81">
        <f t="shared" si="18"/>
        <v>0</v>
      </c>
    </row>
    <row r="82" spans="1:10" x14ac:dyDescent="0.35">
      <c r="A82" s="1">
        <v>46215</v>
      </c>
      <c r="B82">
        <f t="shared" si="12"/>
        <v>294</v>
      </c>
      <c r="C82">
        <f t="shared" si="14"/>
        <v>4</v>
      </c>
      <c r="D82">
        <f t="shared" si="11"/>
        <v>0.49</v>
      </c>
      <c r="E82">
        <f t="shared" si="15"/>
        <v>54</v>
      </c>
      <c r="F82">
        <f t="shared" si="19"/>
        <v>427</v>
      </c>
      <c r="G82">
        <f t="shared" si="13"/>
        <v>7</v>
      </c>
      <c r="H82">
        <f t="shared" si="16"/>
        <v>100</v>
      </c>
      <c r="I82">
        <f t="shared" si="17"/>
        <v>327</v>
      </c>
      <c r="J82">
        <f t="shared" si="18"/>
        <v>0</v>
      </c>
    </row>
    <row r="83" spans="1:10" x14ac:dyDescent="0.35">
      <c r="A83" s="1">
        <v>46216</v>
      </c>
      <c r="B83">
        <f t="shared" si="12"/>
        <v>294</v>
      </c>
      <c r="C83">
        <f t="shared" si="14"/>
        <v>5</v>
      </c>
      <c r="D83">
        <f t="shared" si="11"/>
        <v>0.49</v>
      </c>
      <c r="E83">
        <f t="shared" si="15"/>
        <v>54</v>
      </c>
      <c r="F83">
        <f t="shared" si="19"/>
        <v>381</v>
      </c>
      <c r="G83">
        <f t="shared" si="13"/>
        <v>1</v>
      </c>
      <c r="H83">
        <f t="shared" si="16"/>
        <v>36</v>
      </c>
      <c r="I83">
        <f t="shared" si="17"/>
        <v>345</v>
      </c>
      <c r="J83">
        <f t="shared" si="18"/>
        <v>0</v>
      </c>
    </row>
    <row r="84" spans="1:10" x14ac:dyDescent="0.35">
      <c r="A84" s="1">
        <v>46217</v>
      </c>
      <c r="B84">
        <f t="shared" si="12"/>
        <v>294</v>
      </c>
      <c r="C84">
        <f t="shared" si="14"/>
        <v>6</v>
      </c>
      <c r="D84">
        <f t="shared" si="11"/>
        <v>0.49</v>
      </c>
      <c r="E84">
        <f t="shared" si="15"/>
        <v>54</v>
      </c>
      <c r="F84">
        <f t="shared" si="19"/>
        <v>399</v>
      </c>
      <c r="G84">
        <f t="shared" si="13"/>
        <v>2</v>
      </c>
      <c r="H84">
        <f t="shared" si="16"/>
        <v>36</v>
      </c>
      <c r="I84">
        <f t="shared" si="17"/>
        <v>363</v>
      </c>
      <c r="J84">
        <f t="shared" si="18"/>
        <v>0</v>
      </c>
    </row>
    <row r="85" spans="1:10" x14ac:dyDescent="0.35">
      <c r="A85" s="1">
        <v>46218</v>
      </c>
      <c r="B85">
        <f t="shared" si="12"/>
        <v>294</v>
      </c>
      <c r="C85">
        <f t="shared" si="14"/>
        <v>7</v>
      </c>
      <c r="D85">
        <f t="shared" si="11"/>
        <v>0.49</v>
      </c>
      <c r="E85">
        <f t="shared" si="15"/>
        <v>49</v>
      </c>
      <c r="F85">
        <f t="shared" si="19"/>
        <v>412</v>
      </c>
      <c r="G85">
        <f t="shared" si="13"/>
        <v>3</v>
      </c>
      <c r="H85">
        <f t="shared" si="16"/>
        <v>36</v>
      </c>
      <c r="I85">
        <f t="shared" si="17"/>
        <v>376</v>
      </c>
      <c r="J85">
        <f t="shared" si="18"/>
        <v>0</v>
      </c>
    </row>
    <row r="86" spans="1:10" x14ac:dyDescent="0.35">
      <c r="A86" s="1">
        <v>46219</v>
      </c>
      <c r="B86">
        <f t="shared" si="12"/>
        <v>264</v>
      </c>
      <c r="C86">
        <f t="shared" si="14"/>
        <v>1</v>
      </c>
      <c r="D86">
        <f t="shared" si="11"/>
        <v>0.44</v>
      </c>
      <c r="E86">
        <f t="shared" si="15"/>
        <v>49</v>
      </c>
      <c r="F86">
        <f t="shared" si="19"/>
        <v>425</v>
      </c>
      <c r="G86">
        <f t="shared" si="13"/>
        <v>4</v>
      </c>
      <c r="H86">
        <f t="shared" si="16"/>
        <v>36</v>
      </c>
      <c r="I86">
        <f t="shared" si="17"/>
        <v>389</v>
      </c>
      <c r="J86">
        <f t="shared" si="18"/>
        <v>0</v>
      </c>
    </row>
    <row r="87" spans="1:10" x14ac:dyDescent="0.35">
      <c r="A87" s="1">
        <v>46220</v>
      </c>
      <c r="B87">
        <f t="shared" si="12"/>
        <v>264</v>
      </c>
      <c r="C87">
        <f t="shared" si="14"/>
        <v>2</v>
      </c>
      <c r="D87">
        <f t="shared" si="11"/>
        <v>0.44</v>
      </c>
      <c r="E87">
        <f t="shared" si="15"/>
        <v>49</v>
      </c>
      <c r="F87">
        <f t="shared" si="19"/>
        <v>438</v>
      </c>
      <c r="G87">
        <f t="shared" si="13"/>
        <v>5</v>
      </c>
      <c r="H87">
        <f t="shared" si="16"/>
        <v>36</v>
      </c>
      <c r="I87">
        <f t="shared" si="17"/>
        <v>402</v>
      </c>
      <c r="J87">
        <f t="shared" si="18"/>
        <v>0</v>
      </c>
    </row>
    <row r="88" spans="1:10" x14ac:dyDescent="0.35">
      <c r="A88" s="1">
        <v>46221</v>
      </c>
      <c r="B88">
        <f t="shared" si="12"/>
        <v>264</v>
      </c>
      <c r="C88">
        <f t="shared" si="14"/>
        <v>3</v>
      </c>
      <c r="D88">
        <f t="shared" si="11"/>
        <v>0.44</v>
      </c>
      <c r="E88">
        <f t="shared" si="15"/>
        <v>49</v>
      </c>
      <c r="F88">
        <f t="shared" si="19"/>
        <v>451</v>
      </c>
      <c r="G88">
        <f t="shared" si="13"/>
        <v>6</v>
      </c>
      <c r="H88">
        <f t="shared" si="16"/>
        <v>100</v>
      </c>
      <c r="I88">
        <f t="shared" si="17"/>
        <v>351</v>
      </c>
      <c r="J88">
        <f t="shared" si="18"/>
        <v>0</v>
      </c>
    </row>
    <row r="89" spans="1:10" x14ac:dyDescent="0.35">
      <c r="A89" s="1">
        <v>46222</v>
      </c>
      <c r="B89">
        <f t="shared" si="12"/>
        <v>264</v>
      </c>
      <c r="C89">
        <f t="shared" si="14"/>
        <v>4</v>
      </c>
      <c r="D89">
        <f t="shared" si="11"/>
        <v>0.44</v>
      </c>
      <c r="E89">
        <f t="shared" si="15"/>
        <v>49</v>
      </c>
      <c r="F89">
        <f t="shared" si="19"/>
        <v>400</v>
      </c>
      <c r="G89">
        <f t="shared" si="13"/>
        <v>7</v>
      </c>
      <c r="H89">
        <f t="shared" si="16"/>
        <v>100</v>
      </c>
      <c r="I89">
        <f t="shared" si="17"/>
        <v>300</v>
      </c>
      <c r="J89">
        <f t="shared" si="18"/>
        <v>0</v>
      </c>
    </row>
    <row r="90" spans="1:10" x14ac:dyDescent="0.35">
      <c r="A90" s="1">
        <v>46223</v>
      </c>
      <c r="B90">
        <f t="shared" si="12"/>
        <v>264</v>
      </c>
      <c r="C90">
        <f t="shared" si="14"/>
        <v>5</v>
      </c>
      <c r="D90">
        <f t="shared" si="11"/>
        <v>0.44</v>
      </c>
      <c r="E90">
        <f t="shared" si="15"/>
        <v>49</v>
      </c>
      <c r="F90">
        <f t="shared" si="19"/>
        <v>349</v>
      </c>
      <c r="G90">
        <f t="shared" si="13"/>
        <v>1</v>
      </c>
      <c r="H90">
        <f t="shared" si="16"/>
        <v>36</v>
      </c>
      <c r="I90">
        <f t="shared" si="17"/>
        <v>313</v>
      </c>
      <c r="J90">
        <f t="shared" si="18"/>
        <v>0</v>
      </c>
    </row>
    <row r="91" spans="1:10" x14ac:dyDescent="0.35">
      <c r="A91" s="1">
        <v>46224</v>
      </c>
      <c r="B91">
        <f t="shared" si="12"/>
        <v>264</v>
      </c>
      <c r="C91">
        <f t="shared" si="14"/>
        <v>6</v>
      </c>
      <c r="D91">
        <f t="shared" si="11"/>
        <v>0.44</v>
      </c>
      <c r="E91">
        <f t="shared" si="15"/>
        <v>49</v>
      </c>
      <c r="F91">
        <f t="shared" si="19"/>
        <v>362</v>
      </c>
      <c r="G91">
        <f t="shared" si="13"/>
        <v>2</v>
      </c>
      <c r="H91">
        <f t="shared" si="16"/>
        <v>36</v>
      </c>
      <c r="I91">
        <f t="shared" si="17"/>
        <v>326</v>
      </c>
      <c r="J91">
        <f t="shared" si="18"/>
        <v>0</v>
      </c>
    </row>
    <row r="92" spans="1:10" x14ac:dyDescent="0.35">
      <c r="A92" s="1">
        <v>46225</v>
      </c>
      <c r="B92">
        <f t="shared" si="12"/>
        <v>264</v>
      </c>
      <c r="C92">
        <f t="shared" si="14"/>
        <v>7</v>
      </c>
      <c r="D92">
        <f t="shared" si="11"/>
        <v>0.44</v>
      </c>
      <c r="E92">
        <f t="shared" si="15"/>
        <v>44</v>
      </c>
      <c r="F92">
        <f t="shared" si="19"/>
        <v>370</v>
      </c>
      <c r="G92">
        <f t="shared" si="13"/>
        <v>3</v>
      </c>
      <c r="H92">
        <f t="shared" si="16"/>
        <v>36</v>
      </c>
      <c r="I92">
        <f t="shared" si="17"/>
        <v>334</v>
      </c>
      <c r="J92">
        <f t="shared" si="18"/>
        <v>0</v>
      </c>
    </row>
    <row r="93" spans="1:10" x14ac:dyDescent="0.35">
      <c r="A93" s="1">
        <v>46226</v>
      </c>
      <c r="B93">
        <f t="shared" si="12"/>
        <v>240</v>
      </c>
      <c r="C93">
        <f t="shared" si="14"/>
        <v>1</v>
      </c>
      <c r="D93">
        <f t="shared" si="11"/>
        <v>0.4</v>
      </c>
      <c r="E93">
        <f t="shared" si="15"/>
        <v>44</v>
      </c>
      <c r="F93">
        <f t="shared" si="19"/>
        <v>378</v>
      </c>
      <c r="G93">
        <f t="shared" si="13"/>
        <v>4</v>
      </c>
      <c r="H93">
        <f t="shared" si="16"/>
        <v>36</v>
      </c>
      <c r="I93">
        <f t="shared" si="17"/>
        <v>342</v>
      </c>
      <c r="J93">
        <f t="shared" si="18"/>
        <v>0</v>
      </c>
    </row>
    <row r="94" spans="1:10" x14ac:dyDescent="0.35">
      <c r="A94" s="1">
        <v>46227</v>
      </c>
      <c r="B94">
        <f t="shared" si="12"/>
        <v>240</v>
      </c>
      <c r="C94">
        <f t="shared" si="14"/>
        <v>2</v>
      </c>
      <c r="D94">
        <f t="shared" si="11"/>
        <v>0.4</v>
      </c>
      <c r="E94">
        <f t="shared" si="15"/>
        <v>44</v>
      </c>
      <c r="F94">
        <f t="shared" si="19"/>
        <v>386</v>
      </c>
      <c r="G94">
        <f t="shared" si="13"/>
        <v>5</v>
      </c>
      <c r="H94">
        <f t="shared" si="16"/>
        <v>36</v>
      </c>
      <c r="I94">
        <f t="shared" si="17"/>
        <v>350</v>
      </c>
      <c r="J94">
        <f t="shared" si="18"/>
        <v>0</v>
      </c>
    </row>
    <row r="95" spans="1:10" x14ac:dyDescent="0.35">
      <c r="A95" s="1">
        <v>46228</v>
      </c>
      <c r="B95">
        <f t="shared" si="12"/>
        <v>240</v>
      </c>
      <c r="C95">
        <f t="shared" si="14"/>
        <v>3</v>
      </c>
      <c r="D95">
        <f t="shared" si="11"/>
        <v>0.4</v>
      </c>
      <c r="E95">
        <f t="shared" si="15"/>
        <v>44</v>
      </c>
      <c r="F95">
        <f t="shared" si="19"/>
        <v>394</v>
      </c>
      <c r="G95">
        <f t="shared" si="13"/>
        <v>6</v>
      </c>
      <c r="H95">
        <f t="shared" si="16"/>
        <v>100</v>
      </c>
      <c r="I95">
        <f t="shared" si="17"/>
        <v>294</v>
      </c>
      <c r="J95">
        <f t="shared" si="18"/>
        <v>0</v>
      </c>
    </row>
    <row r="96" spans="1:10" x14ac:dyDescent="0.35">
      <c r="A96" s="1">
        <v>46229</v>
      </c>
      <c r="B96">
        <f t="shared" si="12"/>
        <v>240</v>
      </c>
      <c r="C96">
        <f t="shared" si="14"/>
        <v>4</v>
      </c>
      <c r="D96">
        <f t="shared" si="11"/>
        <v>0.4</v>
      </c>
      <c r="E96">
        <f t="shared" si="15"/>
        <v>44</v>
      </c>
      <c r="F96">
        <f t="shared" si="19"/>
        <v>338</v>
      </c>
      <c r="G96">
        <f t="shared" si="13"/>
        <v>7</v>
      </c>
      <c r="H96">
        <f t="shared" si="16"/>
        <v>100</v>
      </c>
      <c r="I96">
        <f t="shared" si="17"/>
        <v>238</v>
      </c>
      <c r="J96">
        <f t="shared" si="18"/>
        <v>0</v>
      </c>
    </row>
    <row r="97" spans="1:10" x14ac:dyDescent="0.35">
      <c r="A97" s="1">
        <v>46230</v>
      </c>
      <c r="B97">
        <f t="shared" si="12"/>
        <v>240</v>
      </c>
      <c r="C97">
        <f t="shared" si="14"/>
        <v>5</v>
      </c>
      <c r="D97">
        <f t="shared" si="11"/>
        <v>0.4</v>
      </c>
      <c r="E97">
        <f t="shared" si="15"/>
        <v>44</v>
      </c>
      <c r="F97">
        <f t="shared" si="19"/>
        <v>282</v>
      </c>
      <c r="G97">
        <f t="shared" si="13"/>
        <v>1</v>
      </c>
      <c r="H97">
        <f t="shared" si="16"/>
        <v>36</v>
      </c>
      <c r="I97">
        <f t="shared" si="17"/>
        <v>246</v>
      </c>
      <c r="J97">
        <f t="shared" si="18"/>
        <v>0</v>
      </c>
    </row>
    <row r="98" spans="1:10" x14ac:dyDescent="0.35">
      <c r="A98" s="1">
        <v>46231</v>
      </c>
      <c r="B98">
        <f t="shared" si="12"/>
        <v>240</v>
      </c>
      <c r="C98">
        <f t="shared" si="14"/>
        <v>6</v>
      </c>
      <c r="D98">
        <f t="shared" si="11"/>
        <v>0.4</v>
      </c>
      <c r="E98">
        <f t="shared" si="15"/>
        <v>44</v>
      </c>
      <c r="F98">
        <f t="shared" si="19"/>
        <v>290</v>
      </c>
      <c r="G98">
        <f t="shared" si="13"/>
        <v>2</v>
      </c>
      <c r="H98">
        <f t="shared" si="16"/>
        <v>36</v>
      </c>
      <c r="I98">
        <f t="shared" si="17"/>
        <v>254</v>
      </c>
      <c r="J98">
        <f t="shared" si="18"/>
        <v>0</v>
      </c>
    </row>
    <row r="99" spans="1:10" x14ac:dyDescent="0.35">
      <c r="A99" s="1">
        <v>46232</v>
      </c>
      <c r="B99">
        <f t="shared" si="12"/>
        <v>240</v>
      </c>
      <c r="C99">
        <f t="shared" si="14"/>
        <v>7</v>
      </c>
      <c r="D99">
        <f t="shared" si="11"/>
        <v>0.4</v>
      </c>
      <c r="E99">
        <f t="shared" si="15"/>
        <v>40</v>
      </c>
      <c r="F99">
        <f t="shared" si="19"/>
        <v>294</v>
      </c>
      <c r="G99">
        <f t="shared" si="13"/>
        <v>3</v>
      </c>
      <c r="H99">
        <f t="shared" si="16"/>
        <v>36</v>
      </c>
      <c r="I99">
        <f t="shared" si="17"/>
        <v>258</v>
      </c>
      <c r="J99">
        <f t="shared" si="18"/>
        <v>0</v>
      </c>
    </row>
    <row r="100" spans="1:10" x14ac:dyDescent="0.35">
      <c r="A100" s="1">
        <v>46233</v>
      </c>
      <c r="B100">
        <f t="shared" si="12"/>
        <v>216</v>
      </c>
      <c r="C100">
        <f t="shared" si="14"/>
        <v>1</v>
      </c>
      <c r="D100">
        <f t="shared" si="11"/>
        <v>0.36</v>
      </c>
      <c r="E100">
        <f t="shared" si="15"/>
        <v>40</v>
      </c>
      <c r="F100">
        <f t="shared" si="19"/>
        <v>298</v>
      </c>
      <c r="G100">
        <f t="shared" si="13"/>
        <v>4</v>
      </c>
      <c r="H100">
        <f t="shared" si="16"/>
        <v>36</v>
      </c>
      <c r="I100">
        <f t="shared" si="17"/>
        <v>262</v>
      </c>
      <c r="J100">
        <f t="shared" si="18"/>
        <v>0</v>
      </c>
    </row>
    <row r="101" spans="1:10" x14ac:dyDescent="0.35">
      <c r="A101" s="1">
        <v>46234</v>
      </c>
      <c r="B101">
        <f t="shared" si="12"/>
        <v>216</v>
      </c>
      <c r="C101">
        <f t="shared" si="14"/>
        <v>2</v>
      </c>
      <c r="D101">
        <f t="shared" si="11"/>
        <v>0.36</v>
      </c>
      <c r="E101">
        <f t="shared" si="15"/>
        <v>40</v>
      </c>
      <c r="F101">
        <f t="shared" si="19"/>
        <v>302</v>
      </c>
      <c r="G101">
        <f t="shared" si="13"/>
        <v>5</v>
      </c>
      <c r="H101">
        <f t="shared" si="16"/>
        <v>36</v>
      </c>
      <c r="I101">
        <f t="shared" si="17"/>
        <v>266</v>
      </c>
      <c r="J101">
        <f t="shared" si="18"/>
        <v>0</v>
      </c>
    </row>
    <row r="102" spans="1:10" x14ac:dyDescent="0.35">
      <c r="A102" s="1">
        <v>46235</v>
      </c>
      <c r="B102">
        <f t="shared" si="12"/>
        <v>216</v>
      </c>
      <c r="C102">
        <f t="shared" si="14"/>
        <v>3</v>
      </c>
      <c r="D102">
        <f t="shared" si="11"/>
        <v>0.36</v>
      </c>
      <c r="E102">
        <f t="shared" si="15"/>
        <v>40</v>
      </c>
      <c r="F102">
        <f t="shared" si="19"/>
        <v>306</v>
      </c>
      <c r="G102">
        <f t="shared" si="13"/>
        <v>6</v>
      </c>
      <c r="H102">
        <f t="shared" si="16"/>
        <v>100</v>
      </c>
      <c r="I102">
        <f t="shared" si="17"/>
        <v>206</v>
      </c>
      <c r="J102">
        <f t="shared" si="18"/>
        <v>0</v>
      </c>
    </row>
    <row r="103" spans="1:10" x14ac:dyDescent="0.35">
      <c r="A103" s="1">
        <v>46236</v>
      </c>
      <c r="B103">
        <f t="shared" si="12"/>
        <v>216</v>
      </c>
      <c r="C103">
        <f t="shared" si="14"/>
        <v>4</v>
      </c>
      <c r="D103">
        <f t="shared" si="11"/>
        <v>0.36</v>
      </c>
      <c r="E103">
        <f t="shared" si="15"/>
        <v>40</v>
      </c>
      <c r="F103">
        <f t="shared" si="19"/>
        <v>246</v>
      </c>
      <c r="G103">
        <f t="shared" si="13"/>
        <v>7</v>
      </c>
      <c r="H103">
        <f t="shared" si="16"/>
        <v>100</v>
      </c>
      <c r="I103">
        <f t="shared" si="17"/>
        <v>146</v>
      </c>
      <c r="J103">
        <f t="shared" si="18"/>
        <v>0</v>
      </c>
    </row>
    <row r="104" spans="1:10" x14ac:dyDescent="0.35">
      <c r="A104" s="1">
        <v>46237</v>
      </c>
      <c r="B104">
        <f t="shared" si="12"/>
        <v>216</v>
      </c>
      <c r="C104">
        <f t="shared" si="14"/>
        <v>5</v>
      </c>
      <c r="D104">
        <f t="shared" si="11"/>
        <v>0.36</v>
      </c>
      <c r="E104">
        <f t="shared" si="15"/>
        <v>40</v>
      </c>
      <c r="F104">
        <f t="shared" si="19"/>
        <v>186</v>
      </c>
      <c r="G104">
        <f t="shared" si="13"/>
        <v>1</v>
      </c>
      <c r="H104">
        <f t="shared" si="16"/>
        <v>36</v>
      </c>
      <c r="I104">
        <f t="shared" si="17"/>
        <v>150</v>
      </c>
      <c r="J104">
        <f t="shared" si="18"/>
        <v>0</v>
      </c>
    </row>
    <row r="105" spans="1:10" x14ac:dyDescent="0.35">
      <c r="A105" s="1">
        <v>46238</v>
      </c>
      <c r="B105">
        <f t="shared" si="12"/>
        <v>216</v>
      </c>
      <c r="C105">
        <f t="shared" si="14"/>
        <v>6</v>
      </c>
      <c r="D105">
        <f t="shared" si="11"/>
        <v>0.36</v>
      </c>
      <c r="E105">
        <f t="shared" si="15"/>
        <v>40</v>
      </c>
      <c r="F105">
        <f t="shared" si="19"/>
        <v>190</v>
      </c>
      <c r="G105">
        <f t="shared" si="13"/>
        <v>2</v>
      </c>
      <c r="H105">
        <f t="shared" si="16"/>
        <v>36</v>
      </c>
      <c r="I105">
        <f t="shared" si="17"/>
        <v>154</v>
      </c>
      <c r="J105">
        <f t="shared" si="18"/>
        <v>0</v>
      </c>
    </row>
    <row r="106" spans="1:10" x14ac:dyDescent="0.35">
      <c r="A106" s="1">
        <v>46239</v>
      </c>
      <c r="B106">
        <f t="shared" si="12"/>
        <v>216</v>
      </c>
      <c r="C106">
        <f t="shared" si="14"/>
        <v>7</v>
      </c>
      <c r="D106">
        <f t="shared" si="11"/>
        <v>0.36</v>
      </c>
      <c r="E106">
        <f t="shared" si="15"/>
        <v>36</v>
      </c>
      <c r="F106">
        <f t="shared" si="19"/>
        <v>190</v>
      </c>
      <c r="G106">
        <f t="shared" si="13"/>
        <v>3</v>
      </c>
      <c r="H106">
        <f t="shared" si="16"/>
        <v>36</v>
      </c>
      <c r="I106">
        <f t="shared" si="17"/>
        <v>154</v>
      </c>
      <c r="J106">
        <f t="shared" si="18"/>
        <v>0</v>
      </c>
    </row>
    <row r="107" spans="1:10" x14ac:dyDescent="0.35">
      <c r="A107" s="1">
        <v>46240</v>
      </c>
      <c r="B107">
        <f t="shared" si="12"/>
        <v>192</v>
      </c>
      <c r="C107">
        <f t="shared" si="14"/>
        <v>1</v>
      </c>
      <c r="D107">
        <f t="shared" si="11"/>
        <v>0.32</v>
      </c>
      <c r="E107">
        <f t="shared" si="15"/>
        <v>36</v>
      </c>
      <c r="F107">
        <f t="shared" si="19"/>
        <v>190</v>
      </c>
      <c r="G107">
        <f t="shared" si="13"/>
        <v>4</v>
      </c>
      <c r="H107">
        <f t="shared" si="16"/>
        <v>36</v>
      </c>
      <c r="I107">
        <f t="shared" si="17"/>
        <v>154</v>
      </c>
      <c r="J107">
        <f t="shared" si="18"/>
        <v>0</v>
      </c>
    </row>
    <row r="108" spans="1:10" x14ac:dyDescent="0.35">
      <c r="A108" s="1">
        <v>46241</v>
      </c>
      <c r="B108">
        <f t="shared" si="12"/>
        <v>192</v>
      </c>
      <c r="C108">
        <f t="shared" si="14"/>
        <v>2</v>
      </c>
      <c r="D108">
        <f t="shared" si="11"/>
        <v>0.32</v>
      </c>
      <c r="E108">
        <f t="shared" si="15"/>
        <v>36</v>
      </c>
      <c r="F108">
        <f t="shared" si="19"/>
        <v>190</v>
      </c>
      <c r="G108">
        <f t="shared" si="13"/>
        <v>5</v>
      </c>
      <c r="H108">
        <f t="shared" si="16"/>
        <v>36</v>
      </c>
      <c r="I108">
        <f t="shared" si="17"/>
        <v>154</v>
      </c>
      <c r="J108">
        <f t="shared" si="18"/>
        <v>0</v>
      </c>
    </row>
    <row r="109" spans="1:10" x14ac:dyDescent="0.35">
      <c r="A109" s="1">
        <v>46242</v>
      </c>
      <c r="B109">
        <f t="shared" si="12"/>
        <v>192</v>
      </c>
      <c r="C109">
        <f t="shared" si="14"/>
        <v>3</v>
      </c>
      <c r="D109">
        <f t="shared" si="11"/>
        <v>0.32</v>
      </c>
      <c r="E109">
        <f t="shared" si="15"/>
        <v>36</v>
      </c>
      <c r="F109">
        <f t="shared" si="19"/>
        <v>190</v>
      </c>
      <c r="G109">
        <f t="shared" si="13"/>
        <v>6</v>
      </c>
      <c r="H109">
        <f t="shared" si="16"/>
        <v>100</v>
      </c>
      <c r="I109">
        <f t="shared" si="17"/>
        <v>90</v>
      </c>
      <c r="J109">
        <f t="shared" si="18"/>
        <v>0</v>
      </c>
    </row>
    <row r="110" spans="1:10" x14ac:dyDescent="0.35">
      <c r="A110" s="1">
        <v>46243</v>
      </c>
      <c r="B110">
        <f t="shared" si="12"/>
        <v>192</v>
      </c>
      <c r="C110">
        <f t="shared" si="14"/>
        <v>4</v>
      </c>
      <c r="D110">
        <f t="shared" si="11"/>
        <v>0.32</v>
      </c>
      <c r="E110">
        <f t="shared" si="15"/>
        <v>36</v>
      </c>
      <c r="F110">
        <f t="shared" si="19"/>
        <v>126</v>
      </c>
      <c r="G110">
        <f t="shared" si="13"/>
        <v>7</v>
      </c>
      <c r="H110">
        <f t="shared" si="16"/>
        <v>100</v>
      </c>
      <c r="I110">
        <f t="shared" si="17"/>
        <v>26</v>
      </c>
      <c r="J110">
        <f t="shared" si="18"/>
        <v>0</v>
      </c>
    </row>
    <row r="111" spans="1:10" x14ac:dyDescent="0.35">
      <c r="A111" s="1">
        <v>46244</v>
      </c>
      <c r="B111">
        <f t="shared" si="12"/>
        <v>192</v>
      </c>
      <c r="C111">
        <f t="shared" si="14"/>
        <v>5</v>
      </c>
      <c r="D111">
        <f t="shared" si="11"/>
        <v>0.32</v>
      </c>
      <c r="E111">
        <f t="shared" si="15"/>
        <v>36</v>
      </c>
      <c r="F111">
        <f t="shared" si="19"/>
        <v>62</v>
      </c>
      <c r="G111">
        <f t="shared" si="13"/>
        <v>1</v>
      </c>
      <c r="H111">
        <f t="shared" si="16"/>
        <v>36</v>
      </c>
      <c r="I111">
        <f t="shared" si="17"/>
        <v>26</v>
      </c>
      <c r="J111">
        <f t="shared" si="18"/>
        <v>0</v>
      </c>
    </row>
    <row r="112" spans="1:10" x14ac:dyDescent="0.35">
      <c r="A112" s="1">
        <v>46245</v>
      </c>
      <c r="B112">
        <f t="shared" si="12"/>
        <v>192</v>
      </c>
      <c r="C112">
        <f t="shared" si="14"/>
        <v>6</v>
      </c>
      <c r="D112">
        <f t="shared" si="11"/>
        <v>0.32</v>
      </c>
      <c r="E112">
        <f t="shared" si="15"/>
        <v>36</v>
      </c>
      <c r="F112">
        <f t="shared" si="19"/>
        <v>62</v>
      </c>
      <c r="G112">
        <f t="shared" si="13"/>
        <v>2</v>
      </c>
      <c r="H112">
        <f t="shared" si="16"/>
        <v>36</v>
      </c>
      <c r="I112">
        <f t="shared" si="17"/>
        <v>26</v>
      </c>
      <c r="J112">
        <f t="shared" si="18"/>
        <v>0</v>
      </c>
    </row>
    <row r="113" spans="1:10" x14ac:dyDescent="0.35">
      <c r="A113" s="1">
        <v>46246</v>
      </c>
      <c r="B113">
        <f t="shared" si="12"/>
        <v>192</v>
      </c>
      <c r="C113">
        <f t="shared" si="14"/>
        <v>7</v>
      </c>
      <c r="D113">
        <f t="shared" si="11"/>
        <v>0.32</v>
      </c>
      <c r="E113">
        <f t="shared" si="15"/>
        <v>32</v>
      </c>
      <c r="F113">
        <f t="shared" si="19"/>
        <v>58</v>
      </c>
      <c r="G113">
        <f t="shared" si="13"/>
        <v>3</v>
      </c>
      <c r="H113">
        <f t="shared" si="16"/>
        <v>36</v>
      </c>
      <c r="I113">
        <f t="shared" si="17"/>
        <v>22</v>
      </c>
      <c r="J113">
        <f t="shared" si="18"/>
        <v>0</v>
      </c>
    </row>
    <row r="114" spans="1:10" x14ac:dyDescent="0.35">
      <c r="A114" s="1">
        <v>46247</v>
      </c>
      <c r="B114">
        <f t="shared" si="12"/>
        <v>174</v>
      </c>
      <c r="C114">
        <f t="shared" si="14"/>
        <v>1</v>
      </c>
      <c r="D114">
        <f t="shared" si="11"/>
        <v>0.28999999999999998</v>
      </c>
      <c r="E114">
        <f t="shared" si="15"/>
        <v>32</v>
      </c>
      <c r="F114">
        <f t="shared" si="19"/>
        <v>54</v>
      </c>
      <c r="G114">
        <f t="shared" si="13"/>
        <v>4</v>
      </c>
      <c r="H114">
        <f t="shared" si="16"/>
        <v>36</v>
      </c>
      <c r="I114">
        <f t="shared" si="17"/>
        <v>18</v>
      </c>
      <c r="J114">
        <f t="shared" si="18"/>
        <v>0</v>
      </c>
    </row>
    <row r="115" spans="1:10" x14ac:dyDescent="0.35">
      <c r="A115" s="1">
        <v>46248</v>
      </c>
      <c r="B115">
        <f t="shared" si="12"/>
        <v>174</v>
      </c>
      <c r="C115">
        <f t="shared" si="14"/>
        <v>2</v>
      </c>
      <c r="D115">
        <f t="shared" si="11"/>
        <v>0.28999999999999998</v>
      </c>
      <c r="E115">
        <f t="shared" si="15"/>
        <v>32</v>
      </c>
      <c r="F115">
        <f t="shared" si="19"/>
        <v>50</v>
      </c>
      <c r="G115">
        <f t="shared" si="13"/>
        <v>5</v>
      </c>
      <c r="H115">
        <f t="shared" si="16"/>
        <v>36</v>
      </c>
      <c r="I115">
        <f t="shared" si="17"/>
        <v>14</v>
      </c>
      <c r="J115">
        <f t="shared" si="18"/>
        <v>0</v>
      </c>
    </row>
    <row r="116" spans="1:10" x14ac:dyDescent="0.35">
      <c r="A116" s="1">
        <v>46249</v>
      </c>
      <c r="B116">
        <f t="shared" si="12"/>
        <v>174</v>
      </c>
      <c r="C116">
        <f t="shared" si="14"/>
        <v>3</v>
      </c>
      <c r="D116">
        <f t="shared" si="11"/>
        <v>0.28999999999999998</v>
      </c>
      <c r="E116">
        <f t="shared" si="15"/>
        <v>32</v>
      </c>
      <c r="F116">
        <f t="shared" si="19"/>
        <v>46</v>
      </c>
      <c r="G116">
        <f t="shared" si="13"/>
        <v>6</v>
      </c>
      <c r="H116">
        <f t="shared" si="16"/>
        <v>100</v>
      </c>
      <c r="I116">
        <f t="shared" si="17"/>
        <v>0</v>
      </c>
      <c r="J116">
        <f t="shared" si="18"/>
        <v>1</v>
      </c>
    </row>
    <row r="117" spans="1:10" x14ac:dyDescent="0.35">
      <c r="A117" s="1">
        <v>46250</v>
      </c>
      <c r="B117">
        <f t="shared" si="12"/>
        <v>174</v>
      </c>
      <c r="C117">
        <f t="shared" si="14"/>
        <v>4</v>
      </c>
      <c r="D117">
        <f t="shared" si="11"/>
        <v>0.28999999999999998</v>
      </c>
      <c r="E117">
        <f t="shared" si="15"/>
        <v>32</v>
      </c>
      <c r="F117">
        <f t="shared" si="19"/>
        <v>32</v>
      </c>
      <c r="G117">
        <f t="shared" si="13"/>
        <v>7</v>
      </c>
      <c r="H117">
        <f t="shared" si="16"/>
        <v>100</v>
      </c>
      <c r="I117">
        <f t="shared" si="17"/>
        <v>0</v>
      </c>
      <c r="J117">
        <f t="shared" si="18"/>
        <v>1</v>
      </c>
    </row>
    <row r="118" spans="1:10" x14ac:dyDescent="0.35">
      <c r="A118" s="1">
        <v>46251</v>
      </c>
      <c r="B118">
        <f t="shared" si="12"/>
        <v>174</v>
      </c>
      <c r="C118">
        <f t="shared" si="14"/>
        <v>5</v>
      </c>
      <c r="D118">
        <f t="shared" si="11"/>
        <v>0.28999999999999998</v>
      </c>
      <c r="E118">
        <f t="shared" si="15"/>
        <v>32</v>
      </c>
      <c r="F118">
        <f t="shared" si="19"/>
        <v>32</v>
      </c>
      <c r="G118">
        <f t="shared" si="13"/>
        <v>1</v>
      </c>
      <c r="H118">
        <f t="shared" si="16"/>
        <v>36</v>
      </c>
      <c r="I118">
        <f t="shared" si="17"/>
        <v>0</v>
      </c>
      <c r="J118">
        <f t="shared" si="18"/>
        <v>1</v>
      </c>
    </row>
    <row r="119" spans="1:10" x14ac:dyDescent="0.35">
      <c r="A119" s="1">
        <v>46252</v>
      </c>
      <c r="B119">
        <f t="shared" si="12"/>
        <v>174</v>
      </c>
      <c r="C119">
        <f t="shared" si="14"/>
        <v>6</v>
      </c>
      <c r="D119">
        <f t="shared" si="11"/>
        <v>0.28999999999999998</v>
      </c>
      <c r="E119">
        <f t="shared" si="15"/>
        <v>32</v>
      </c>
      <c r="F119">
        <f t="shared" si="19"/>
        <v>32</v>
      </c>
      <c r="G119">
        <f t="shared" si="13"/>
        <v>2</v>
      </c>
      <c r="H119">
        <f t="shared" si="16"/>
        <v>36</v>
      </c>
      <c r="I119">
        <f t="shared" si="17"/>
        <v>0</v>
      </c>
      <c r="J119">
        <f t="shared" si="18"/>
        <v>1</v>
      </c>
    </row>
    <row r="120" spans="1:10" x14ac:dyDescent="0.35">
      <c r="A120" s="1">
        <v>46253</v>
      </c>
      <c r="B120">
        <f t="shared" si="12"/>
        <v>174</v>
      </c>
      <c r="C120">
        <f t="shared" si="14"/>
        <v>7</v>
      </c>
      <c r="D120">
        <f t="shared" si="11"/>
        <v>0.28999999999999998</v>
      </c>
      <c r="E120">
        <f t="shared" si="15"/>
        <v>29</v>
      </c>
      <c r="F120">
        <f t="shared" si="19"/>
        <v>29</v>
      </c>
      <c r="G120">
        <f t="shared" si="13"/>
        <v>3</v>
      </c>
      <c r="H120">
        <f t="shared" si="16"/>
        <v>36</v>
      </c>
      <c r="I120">
        <f t="shared" si="17"/>
        <v>0</v>
      </c>
      <c r="J120">
        <f t="shared" si="18"/>
        <v>1</v>
      </c>
    </row>
    <row r="121" spans="1:10" x14ac:dyDescent="0.35">
      <c r="A121" s="1">
        <v>46254</v>
      </c>
      <c r="B121">
        <f t="shared" si="12"/>
        <v>156</v>
      </c>
      <c r="C121">
        <f t="shared" si="14"/>
        <v>1</v>
      </c>
      <c r="D121">
        <f t="shared" si="11"/>
        <v>0.26</v>
      </c>
      <c r="E121">
        <f t="shared" si="15"/>
        <v>29</v>
      </c>
      <c r="F121">
        <f t="shared" si="19"/>
        <v>29</v>
      </c>
      <c r="G121">
        <f t="shared" si="13"/>
        <v>4</v>
      </c>
      <c r="H121">
        <f t="shared" si="16"/>
        <v>36</v>
      </c>
      <c r="I121">
        <f t="shared" si="17"/>
        <v>0</v>
      </c>
      <c r="J121">
        <f t="shared" si="18"/>
        <v>1</v>
      </c>
    </row>
    <row r="122" spans="1:10" x14ac:dyDescent="0.35">
      <c r="A122" s="1">
        <v>46255</v>
      </c>
      <c r="B122">
        <f t="shared" si="12"/>
        <v>156</v>
      </c>
      <c r="C122">
        <f t="shared" si="14"/>
        <v>2</v>
      </c>
      <c r="D122">
        <f t="shared" si="11"/>
        <v>0.26</v>
      </c>
      <c r="E122">
        <f t="shared" si="15"/>
        <v>29</v>
      </c>
      <c r="F122">
        <f t="shared" si="19"/>
        <v>29</v>
      </c>
      <c r="G122">
        <f t="shared" si="13"/>
        <v>5</v>
      </c>
      <c r="H122">
        <f t="shared" si="16"/>
        <v>36</v>
      </c>
      <c r="I122">
        <f t="shared" si="17"/>
        <v>0</v>
      </c>
      <c r="J122">
        <f t="shared" si="18"/>
        <v>1</v>
      </c>
    </row>
    <row r="123" spans="1:10" x14ac:dyDescent="0.35">
      <c r="A123" s="1">
        <v>46256</v>
      </c>
      <c r="B123">
        <f t="shared" si="12"/>
        <v>156</v>
      </c>
      <c r="C123">
        <f t="shared" si="14"/>
        <v>3</v>
      </c>
      <c r="D123">
        <f t="shared" si="11"/>
        <v>0.26</v>
      </c>
      <c r="E123">
        <f t="shared" si="15"/>
        <v>29</v>
      </c>
      <c r="F123">
        <f t="shared" si="19"/>
        <v>29</v>
      </c>
      <c r="G123">
        <f t="shared" si="13"/>
        <v>6</v>
      </c>
      <c r="H123">
        <f t="shared" si="16"/>
        <v>100</v>
      </c>
      <c r="I123">
        <f t="shared" si="17"/>
        <v>0</v>
      </c>
      <c r="J123">
        <f t="shared" si="18"/>
        <v>1</v>
      </c>
    </row>
    <row r="124" spans="1:10" x14ac:dyDescent="0.35">
      <c r="A124" s="1">
        <v>46257</v>
      </c>
      <c r="B124">
        <f t="shared" si="12"/>
        <v>156</v>
      </c>
      <c r="C124">
        <f t="shared" si="14"/>
        <v>4</v>
      </c>
      <c r="D124">
        <f t="shared" si="11"/>
        <v>0.26</v>
      </c>
      <c r="E124">
        <f t="shared" si="15"/>
        <v>29</v>
      </c>
      <c r="F124">
        <f t="shared" si="19"/>
        <v>29</v>
      </c>
      <c r="G124">
        <f t="shared" si="13"/>
        <v>7</v>
      </c>
      <c r="H124">
        <f t="shared" si="16"/>
        <v>100</v>
      </c>
      <c r="I124">
        <f t="shared" si="17"/>
        <v>0</v>
      </c>
      <c r="J124">
        <f t="shared" si="18"/>
        <v>1</v>
      </c>
    </row>
    <row r="125" spans="1:10" x14ac:dyDescent="0.35">
      <c r="A125" s="1">
        <v>46258</v>
      </c>
      <c r="B125">
        <f t="shared" si="12"/>
        <v>156</v>
      </c>
      <c r="C125">
        <f t="shared" si="14"/>
        <v>5</v>
      </c>
      <c r="D125">
        <f t="shared" si="11"/>
        <v>0.26</v>
      </c>
      <c r="E125">
        <f t="shared" si="15"/>
        <v>29</v>
      </c>
      <c r="F125">
        <f t="shared" si="19"/>
        <v>29</v>
      </c>
      <c r="G125">
        <f t="shared" si="13"/>
        <v>1</v>
      </c>
      <c r="H125">
        <f t="shared" si="16"/>
        <v>36</v>
      </c>
      <c r="I125">
        <f t="shared" si="17"/>
        <v>0</v>
      </c>
      <c r="J125">
        <f t="shared" si="18"/>
        <v>1</v>
      </c>
    </row>
    <row r="126" spans="1:10" x14ac:dyDescent="0.35">
      <c r="A126" s="1">
        <v>46259</v>
      </c>
      <c r="B126">
        <f t="shared" si="12"/>
        <v>156</v>
      </c>
      <c r="C126">
        <f t="shared" si="14"/>
        <v>6</v>
      </c>
      <c r="D126">
        <f t="shared" si="11"/>
        <v>0.26</v>
      </c>
      <c r="E126">
        <f t="shared" si="15"/>
        <v>29</v>
      </c>
      <c r="F126">
        <f t="shared" si="19"/>
        <v>29</v>
      </c>
      <c r="G126">
        <f t="shared" si="13"/>
        <v>2</v>
      </c>
      <c r="H126">
        <f t="shared" si="16"/>
        <v>36</v>
      </c>
      <c r="I126">
        <f t="shared" si="17"/>
        <v>0</v>
      </c>
      <c r="J126">
        <f t="shared" si="18"/>
        <v>1</v>
      </c>
    </row>
    <row r="127" spans="1:10" x14ac:dyDescent="0.35">
      <c r="A127" s="1">
        <v>46260</v>
      </c>
      <c r="B127">
        <f t="shared" si="12"/>
        <v>156</v>
      </c>
      <c r="C127">
        <f t="shared" si="14"/>
        <v>7</v>
      </c>
      <c r="D127">
        <f t="shared" si="11"/>
        <v>0.26</v>
      </c>
      <c r="E127">
        <f t="shared" si="15"/>
        <v>26</v>
      </c>
      <c r="F127">
        <f t="shared" si="19"/>
        <v>26</v>
      </c>
      <c r="G127">
        <f t="shared" si="13"/>
        <v>3</v>
      </c>
      <c r="H127">
        <f t="shared" si="16"/>
        <v>36</v>
      </c>
      <c r="I127">
        <f t="shared" si="17"/>
        <v>0</v>
      </c>
      <c r="J127">
        <f t="shared" si="18"/>
        <v>1</v>
      </c>
    </row>
    <row r="128" spans="1:10" x14ac:dyDescent="0.35">
      <c r="A128" s="1">
        <v>46261</v>
      </c>
      <c r="B128">
        <f t="shared" si="12"/>
        <v>138</v>
      </c>
      <c r="C128">
        <f t="shared" si="14"/>
        <v>1</v>
      </c>
      <c r="D128">
        <f t="shared" si="11"/>
        <v>0.23</v>
      </c>
      <c r="E128">
        <f t="shared" si="15"/>
        <v>26</v>
      </c>
      <c r="F128">
        <f t="shared" si="19"/>
        <v>26</v>
      </c>
      <c r="G128">
        <f t="shared" si="13"/>
        <v>4</v>
      </c>
      <c r="H128">
        <f t="shared" si="16"/>
        <v>36</v>
      </c>
      <c r="I128">
        <f t="shared" si="17"/>
        <v>0</v>
      </c>
      <c r="J128">
        <f t="shared" si="18"/>
        <v>1</v>
      </c>
    </row>
    <row r="129" spans="1:10" x14ac:dyDescent="0.35">
      <c r="A129" s="1">
        <v>46262</v>
      </c>
      <c r="B129">
        <f t="shared" si="12"/>
        <v>138</v>
      </c>
      <c r="C129">
        <f t="shared" si="14"/>
        <v>2</v>
      </c>
      <c r="D129">
        <f t="shared" si="11"/>
        <v>0.23</v>
      </c>
      <c r="E129">
        <f t="shared" si="15"/>
        <v>26</v>
      </c>
      <c r="F129">
        <f t="shared" si="19"/>
        <v>26</v>
      </c>
      <c r="G129">
        <f t="shared" si="13"/>
        <v>5</v>
      </c>
      <c r="H129">
        <f t="shared" si="16"/>
        <v>36</v>
      </c>
      <c r="I129">
        <f t="shared" si="17"/>
        <v>0</v>
      </c>
      <c r="J129">
        <f t="shared" si="18"/>
        <v>1</v>
      </c>
    </row>
    <row r="130" spans="1:10" x14ac:dyDescent="0.35">
      <c r="A130" s="1">
        <v>46263</v>
      </c>
      <c r="B130">
        <f t="shared" si="12"/>
        <v>138</v>
      </c>
      <c r="C130">
        <f t="shared" si="14"/>
        <v>3</v>
      </c>
      <c r="D130">
        <f t="shared" ref="D130:D161" si="20">ROUND(IF(AND(C129=7,A130&gt;DATE(2026,6,24)),D129*90/100,D129),2)</f>
        <v>0.23</v>
      </c>
      <c r="E130">
        <f t="shared" si="15"/>
        <v>26</v>
      </c>
      <c r="F130">
        <f t="shared" si="19"/>
        <v>26</v>
      </c>
      <c r="G130">
        <f t="shared" si="13"/>
        <v>6</v>
      </c>
      <c r="H130">
        <f t="shared" si="16"/>
        <v>100</v>
      </c>
      <c r="I130">
        <f t="shared" si="17"/>
        <v>0</v>
      </c>
      <c r="J130">
        <f t="shared" si="18"/>
        <v>1</v>
      </c>
    </row>
    <row r="131" spans="1:10" x14ac:dyDescent="0.35">
      <c r="A131" s="1">
        <v>46264</v>
      </c>
      <c r="B131">
        <f t="shared" ref="B131:B161" si="21">600 * D131</f>
        <v>138</v>
      </c>
      <c r="C131">
        <f t="shared" si="14"/>
        <v>4</v>
      </c>
      <c r="D131">
        <f t="shared" si="20"/>
        <v>0.23</v>
      </c>
      <c r="E131">
        <f t="shared" si="15"/>
        <v>26</v>
      </c>
      <c r="F131">
        <f t="shared" si="19"/>
        <v>26</v>
      </c>
      <c r="G131">
        <f t="shared" ref="G131:G161" si="22">WEEKDAY(A131,2)</f>
        <v>7</v>
      </c>
      <c r="H131">
        <f t="shared" si="16"/>
        <v>100</v>
      </c>
      <c r="I131">
        <f t="shared" si="17"/>
        <v>0</v>
      </c>
      <c r="J131">
        <f t="shared" si="18"/>
        <v>1</v>
      </c>
    </row>
    <row r="132" spans="1:10" x14ac:dyDescent="0.35">
      <c r="A132" s="1">
        <v>46265</v>
      </c>
      <c r="B132">
        <f t="shared" si="21"/>
        <v>138</v>
      </c>
      <c r="C132">
        <f t="shared" ref="C132:C161" si="23">IF(C131=7,1,C131+1)</f>
        <v>5</v>
      </c>
      <c r="D132">
        <f t="shared" si="20"/>
        <v>0.23</v>
      </c>
      <c r="E132">
        <f t="shared" si="15"/>
        <v>26</v>
      </c>
      <c r="F132">
        <f t="shared" si="19"/>
        <v>26</v>
      </c>
      <c r="G132">
        <f t="shared" si="22"/>
        <v>1</v>
      </c>
      <c r="H132">
        <f t="shared" si="16"/>
        <v>36</v>
      </c>
      <c r="I132">
        <f t="shared" si="17"/>
        <v>0</v>
      </c>
      <c r="J132">
        <f t="shared" si="18"/>
        <v>1</v>
      </c>
    </row>
    <row r="133" spans="1:10" x14ac:dyDescent="0.35">
      <c r="A133" s="1">
        <v>46266</v>
      </c>
      <c r="B133">
        <f t="shared" si="21"/>
        <v>138</v>
      </c>
      <c r="C133">
        <f t="shared" si="23"/>
        <v>6</v>
      </c>
      <c r="D133">
        <f t="shared" si="20"/>
        <v>0.23</v>
      </c>
      <c r="E133">
        <f t="shared" si="15"/>
        <v>26</v>
      </c>
      <c r="F133">
        <f t="shared" si="19"/>
        <v>26</v>
      </c>
      <c r="G133">
        <f t="shared" si="22"/>
        <v>2</v>
      </c>
      <c r="H133">
        <f t="shared" si="16"/>
        <v>36</v>
      </c>
      <c r="I133">
        <f t="shared" si="17"/>
        <v>0</v>
      </c>
      <c r="J133">
        <f t="shared" si="18"/>
        <v>1</v>
      </c>
    </row>
    <row r="134" spans="1:10" x14ac:dyDescent="0.35">
      <c r="A134" s="1">
        <v>46267</v>
      </c>
      <c r="B134">
        <f t="shared" si="21"/>
        <v>138</v>
      </c>
      <c r="C134">
        <f t="shared" si="23"/>
        <v>7</v>
      </c>
      <c r="D134">
        <f t="shared" si="20"/>
        <v>0.23</v>
      </c>
      <c r="E134">
        <f t="shared" si="15"/>
        <v>23</v>
      </c>
      <c r="F134">
        <f t="shared" si="19"/>
        <v>23</v>
      </c>
      <c r="G134">
        <f t="shared" si="22"/>
        <v>3</v>
      </c>
      <c r="H134">
        <f t="shared" si="16"/>
        <v>36</v>
      </c>
      <c r="I134">
        <f t="shared" si="17"/>
        <v>0</v>
      </c>
      <c r="J134">
        <f t="shared" si="18"/>
        <v>1</v>
      </c>
    </row>
    <row r="135" spans="1:10" x14ac:dyDescent="0.35">
      <c r="A135" s="1">
        <v>46268</v>
      </c>
      <c r="B135">
        <f t="shared" si="21"/>
        <v>126</v>
      </c>
      <c r="C135">
        <f t="shared" si="23"/>
        <v>1</v>
      </c>
      <c r="D135">
        <f t="shared" si="20"/>
        <v>0.21</v>
      </c>
      <c r="E135">
        <f t="shared" si="15"/>
        <v>23</v>
      </c>
      <c r="F135">
        <f t="shared" si="19"/>
        <v>23</v>
      </c>
      <c r="G135">
        <f t="shared" si="22"/>
        <v>4</v>
      </c>
      <c r="H135">
        <f t="shared" si="16"/>
        <v>36</v>
      </c>
      <c r="I135">
        <f t="shared" si="17"/>
        <v>0</v>
      </c>
      <c r="J135">
        <f t="shared" si="18"/>
        <v>1</v>
      </c>
    </row>
    <row r="136" spans="1:10" x14ac:dyDescent="0.35">
      <c r="A136" s="1">
        <v>46269</v>
      </c>
      <c r="B136">
        <f t="shared" si="21"/>
        <v>126</v>
      </c>
      <c r="C136">
        <f t="shared" si="23"/>
        <v>2</v>
      </c>
      <c r="D136">
        <f t="shared" si="20"/>
        <v>0.21</v>
      </c>
      <c r="E136">
        <f t="shared" si="15"/>
        <v>23</v>
      </c>
      <c r="F136">
        <f t="shared" si="19"/>
        <v>23</v>
      </c>
      <c r="G136">
        <f t="shared" si="22"/>
        <v>5</v>
      </c>
      <c r="H136">
        <f t="shared" si="16"/>
        <v>36</v>
      </c>
      <c r="I136">
        <f t="shared" si="17"/>
        <v>0</v>
      </c>
      <c r="J136">
        <f t="shared" si="18"/>
        <v>1</v>
      </c>
    </row>
    <row r="137" spans="1:10" x14ac:dyDescent="0.35">
      <c r="A137" s="1">
        <v>46270</v>
      </c>
      <c r="B137">
        <f t="shared" si="21"/>
        <v>126</v>
      </c>
      <c r="C137">
        <f t="shared" si="23"/>
        <v>3</v>
      </c>
      <c r="D137">
        <f t="shared" si="20"/>
        <v>0.21</v>
      </c>
      <c r="E137">
        <f t="shared" ref="E137:E161" si="24">ROUNDDOWN(B131/6,0)</f>
        <v>23</v>
      </c>
      <c r="F137">
        <f t="shared" si="19"/>
        <v>23</v>
      </c>
      <c r="G137">
        <f t="shared" si="22"/>
        <v>6</v>
      </c>
      <c r="H137">
        <f t="shared" ref="H137:H161" si="25">IF(AND(G137&gt;=1,G137&lt;=5),36,100)</f>
        <v>100</v>
      </c>
      <c r="I137">
        <f t="shared" ref="I137:I161" si="26">IF(H137&gt;F137,0,F137-H137)</f>
        <v>0</v>
      </c>
      <c r="J137">
        <f t="shared" ref="J137:J161" si="27">IF(F137&lt;H137,1,0)</f>
        <v>1</v>
      </c>
    </row>
    <row r="138" spans="1:10" x14ac:dyDescent="0.35">
      <c r="A138" s="1">
        <v>46271</v>
      </c>
      <c r="B138">
        <f t="shared" si="21"/>
        <v>126</v>
      </c>
      <c r="C138">
        <f t="shared" si="23"/>
        <v>4</v>
      </c>
      <c r="D138">
        <f t="shared" si="20"/>
        <v>0.21</v>
      </c>
      <c r="E138">
        <f t="shared" si="24"/>
        <v>23</v>
      </c>
      <c r="F138">
        <f t="shared" ref="F138:F161" si="28">I137+E138</f>
        <v>23</v>
      </c>
      <c r="G138">
        <f t="shared" si="22"/>
        <v>7</v>
      </c>
      <c r="H138">
        <f t="shared" si="25"/>
        <v>100</v>
      </c>
      <c r="I138">
        <f t="shared" si="26"/>
        <v>0</v>
      </c>
      <c r="J138">
        <f t="shared" si="27"/>
        <v>1</v>
      </c>
    </row>
    <row r="139" spans="1:10" x14ac:dyDescent="0.35">
      <c r="A139" s="1">
        <v>46272</v>
      </c>
      <c r="B139">
        <f t="shared" si="21"/>
        <v>126</v>
      </c>
      <c r="C139">
        <f t="shared" si="23"/>
        <v>5</v>
      </c>
      <c r="D139">
        <f t="shared" si="20"/>
        <v>0.21</v>
      </c>
      <c r="E139">
        <f t="shared" si="24"/>
        <v>23</v>
      </c>
      <c r="F139">
        <f t="shared" si="28"/>
        <v>23</v>
      </c>
      <c r="G139">
        <f t="shared" si="22"/>
        <v>1</v>
      </c>
      <c r="H139">
        <f t="shared" si="25"/>
        <v>36</v>
      </c>
      <c r="I139">
        <f t="shared" si="26"/>
        <v>0</v>
      </c>
      <c r="J139">
        <f t="shared" si="27"/>
        <v>1</v>
      </c>
    </row>
    <row r="140" spans="1:10" x14ac:dyDescent="0.35">
      <c r="A140" s="1">
        <v>46273</v>
      </c>
      <c r="B140">
        <f t="shared" si="21"/>
        <v>126</v>
      </c>
      <c r="C140">
        <f t="shared" si="23"/>
        <v>6</v>
      </c>
      <c r="D140">
        <f t="shared" si="20"/>
        <v>0.21</v>
      </c>
      <c r="E140">
        <f t="shared" si="24"/>
        <v>23</v>
      </c>
      <c r="F140">
        <f t="shared" si="28"/>
        <v>23</v>
      </c>
      <c r="G140">
        <f t="shared" si="22"/>
        <v>2</v>
      </c>
      <c r="H140">
        <f t="shared" si="25"/>
        <v>36</v>
      </c>
      <c r="I140">
        <f t="shared" si="26"/>
        <v>0</v>
      </c>
      <c r="J140">
        <f t="shared" si="27"/>
        <v>1</v>
      </c>
    </row>
    <row r="141" spans="1:10" x14ac:dyDescent="0.35">
      <c r="A141" s="1">
        <v>46274</v>
      </c>
      <c r="B141">
        <f t="shared" si="21"/>
        <v>126</v>
      </c>
      <c r="C141">
        <f t="shared" si="23"/>
        <v>7</v>
      </c>
      <c r="D141">
        <f t="shared" si="20"/>
        <v>0.21</v>
      </c>
      <c r="E141">
        <f t="shared" si="24"/>
        <v>21</v>
      </c>
      <c r="F141">
        <f t="shared" si="28"/>
        <v>21</v>
      </c>
      <c r="G141">
        <f t="shared" si="22"/>
        <v>3</v>
      </c>
      <c r="H141">
        <f t="shared" si="25"/>
        <v>36</v>
      </c>
      <c r="I141">
        <f t="shared" si="26"/>
        <v>0</v>
      </c>
      <c r="J141">
        <f t="shared" si="27"/>
        <v>1</v>
      </c>
    </row>
    <row r="142" spans="1:10" x14ac:dyDescent="0.35">
      <c r="A142" s="1">
        <v>46275</v>
      </c>
      <c r="B142">
        <f t="shared" si="21"/>
        <v>114</v>
      </c>
      <c r="C142">
        <f t="shared" si="23"/>
        <v>1</v>
      </c>
      <c r="D142">
        <f t="shared" si="20"/>
        <v>0.19</v>
      </c>
      <c r="E142">
        <f t="shared" si="24"/>
        <v>21</v>
      </c>
      <c r="F142">
        <f t="shared" si="28"/>
        <v>21</v>
      </c>
      <c r="G142">
        <f t="shared" si="22"/>
        <v>4</v>
      </c>
      <c r="H142">
        <f t="shared" si="25"/>
        <v>36</v>
      </c>
      <c r="I142">
        <f t="shared" si="26"/>
        <v>0</v>
      </c>
      <c r="J142">
        <f t="shared" si="27"/>
        <v>1</v>
      </c>
    </row>
    <row r="143" spans="1:10" x14ac:dyDescent="0.35">
      <c r="A143" s="1">
        <v>46276</v>
      </c>
      <c r="B143">
        <f t="shared" si="21"/>
        <v>114</v>
      </c>
      <c r="C143">
        <f t="shared" si="23"/>
        <v>2</v>
      </c>
      <c r="D143">
        <f t="shared" si="20"/>
        <v>0.19</v>
      </c>
      <c r="E143">
        <f t="shared" si="24"/>
        <v>21</v>
      </c>
      <c r="F143">
        <f t="shared" si="28"/>
        <v>21</v>
      </c>
      <c r="G143">
        <f t="shared" si="22"/>
        <v>5</v>
      </c>
      <c r="H143">
        <f t="shared" si="25"/>
        <v>36</v>
      </c>
      <c r="I143">
        <f t="shared" si="26"/>
        <v>0</v>
      </c>
      <c r="J143">
        <f t="shared" si="27"/>
        <v>1</v>
      </c>
    </row>
    <row r="144" spans="1:10" x14ac:dyDescent="0.35">
      <c r="A144" s="1">
        <v>46277</v>
      </c>
      <c r="B144">
        <f t="shared" si="21"/>
        <v>114</v>
      </c>
      <c r="C144">
        <f t="shared" si="23"/>
        <v>3</v>
      </c>
      <c r="D144">
        <f t="shared" si="20"/>
        <v>0.19</v>
      </c>
      <c r="E144">
        <f t="shared" si="24"/>
        <v>21</v>
      </c>
      <c r="F144">
        <f t="shared" si="28"/>
        <v>21</v>
      </c>
      <c r="G144">
        <f t="shared" si="22"/>
        <v>6</v>
      </c>
      <c r="H144">
        <f t="shared" si="25"/>
        <v>100</v>
      </c>
      <c r="I144">
        <f t="shared" si="26"/>
        <v>0</v>
      </c>
      <c r="J144">
        <f t="shared" si="27"/>
        <v>1</v>
      </c>
    </row>
    <row r="145" spans="1:10" x14ac:dyDescent="0.35">
      <c r="A145" s="1">
        <v>46278</v>
      </c>
      <c r="B145">
        <f t="shared" si="21"/>
        <v>114</v>
      </c>
      <c r="C145">
        <f t="shared" si="23"/>
        <v>4</v>
      </c>
      <c r="D145">
        <f t="shared" si="20"/>
        <v>0.19</v>
      </c>
      <c r="E145">
        <f t="shared" si="24"/>
        <v>21</v>
      </c>
      <c r="F145">
        <f t="shared" si="28"/>
        <v>21</v>
      </c>
      <c r="G145">
        <f t="shared" si="22"/>
        <v>7</v>
      </c>
      <c r="H145">
        <f t="shared" si="25"/>
        <v>100</v>
      </c>
      <c r="I145">
        <f t="shared" si="26"/>
        <v>0</v>
      </c>
      <c r="J145">
        <f t="shared" si="27"/>
        <v>1</v>
      </c>
    </row>
    <row r="146" spans="1:10" x14ac:dyDescent="0.35">
      <c r="A146" s="1">
        <v>46279</v>
      </c>
      <c r="B146">
        <f t="shared" si="21"/>
        <v>114</v>
      </c>
      <c r="C146">
        <f t="shared" si="23"/>
        <v>5</v>
      </c>
      <c r="D146">
        <f t="shared" si="20"/>
        <v>0.19</v>
      </c>
      <c r="E146">
        <f t="shared" si="24"/>
        <v>21</v>
      </c>
      <c r="F146">
        <f t="shared" si="28"/>
        <v>21</v>
      </c>
      <c r="G146">
        <f t="shared" si="22"/>
        <v>1</v>
      </c>
      <c r="H146">
        <f t="shared" si="25"/>
        <v>36</v>
      </c>
      <c r="I146">
        <f t="shared" si="26"/>
        <v>0</v>
      </c>
      <c r="J146">
        <f t="shared" si="27"/>
        <v>1</v>
      </c>
    </row>
    <row r="147" spans="1:10" x14ac:dyDescent="0.35">
      <c r="A147" s="1">
        <v>46280</v>
      </c>
      <c r="B147">
        <f t="shared" si="21"/>
        <v>114</v>
      </c>
      <c r="C147">
        <f t="shared" si="23"/>
        <v>6</v>
      </c>
      <c r="D147">
        <f t="shared" si="20"/>
        <v>0.19</v>
      </c>
      <c r="E147">
        <f t="shared" si="24"/>
        <v>21</v>
      </c>
      <c r="F147">
        <f t="shared" si="28"/>
        <v>21</v>
      </c>
      <c r="G147">
        <f t="shared" si="22"/>
        <v>2</v>
      </c>
      <c r="H147">
        <f t="shared" si="25"/>
        <v>36</v>
      </c>
      <c r="I147">
        <f t="shared" si="26"/>
        <v>0</v>
      </c>
      <c r="J147">
        <f t="shared" si="27"/>
        <v>1</v>
      </c>
    </row>
    <row r="148" spans="1:10" x14ac:dyDescent="0.35">
      <c r="A148" s="1">
        <v>46281</v>
      </c>
      <c r="B148">
        <f t="shared" si="21"/>
        <v>114</v>
      </c>
      <c r="C148">
        <f t="shared" si="23"/>
        <v>7</v>
      </c>
      <c r="D148">
        <f t="shared" si="20"/>
        <v>0.19</v>
      </c>
      <c r="E148">
        <f t="shared" si="24"/>
        <v>19</v>
      </c>
      <c r="F148">
        <f t="shared" si="28"/>
        <v>19</v>
      </c>
      <c r="G148">
        <f t="shared" si="22"/>
        <v>3</v>
      </c>
      <c r="H148">
        <f t="shared" si="25"/>
        <v>36</v>
      </c>
      <c r="I148">
        <f t="shared" si="26"/>
        <v>0</v>
      </c>
      <c r="J148">
        <f t="shared" si="27"/>
        <v>1</v>
      </c>
    </row>
    <row r="149" spans="1:10" x14ac:dyDescent="0.35">
      <c r="A149" s="1">
        <v>46282</v>
      </c>
      <c r="B149">
        <f t="shared" si="21"/>
        <v>102.00000000000001</v>
      </c>
      <c r="C149">
        <f t="shared" si="23"/>
        <v>1</v>
      </c>
      <c r="D149">
        <f t="shared" si="20"/>
        <v>0.17</v>
      </c>
      <c r="E149">
        <f t="shared" si="24"/>
        <v>19</v>
      </c>
      <c r="F149">
        <f t="shared" si="28"/>
        <v>19</v>
      </c>
      <c r="G149">
        <f t="shared" si="22"/>
        <v>4</v>
      </c>
      <c r="H149">
        <f t="shared" si="25"/>
        <v>36</v>
      </c>
      <c r="I149">
        <f t="shared" si="26"/>
        <v>0</v>
      </c>
      <c r="J149">
        <f t="shared" si="27"/>
        <v>1</v>
      </c>
    </row>
    <row r="150" spans="1:10" x14ac:dyDescent="0.35">
      <c r="A150" s="1">
        <v>46283</v>
      </c>
      <c r="B150">
        <f t="shared" si="21"/>
        <v>102.00000000000001</v>
      </c>
      <c r="C150">
        <f t="shared" si="23"/>
        <v>2</v>
      </c>
      <c r="D150">
        <f t="shared" si="20"/>
        <v>0.17</v>
      </c>
      <c r="E150">
        <f t="shared" si="24"/>
        <v>19</v>
      </c>
      <c r="F150">
        <f t="shared" si="28"/>
        <v>19</v>
      </c>
      <c r="G150">
        <f t="shared" si="22"/>
        <v>5</v>
      </c>
      <c r="H150">
        <f t="shared" si="25"/>
        <v>36</v>
      </c>
      <c r="I150">
        <f t="shared" si="26"/>
        <v>0</v>
      </c>
      <c r="J150">
        <f t="shared" si="27"/>
        <v>1</v>
      </c>
    </row>
    <row r="151" spans="1:10" x14ac:dyDescent="0.35">
      <c r="A151" s="1">
        <v>46284</v>
      </c>
      <c r="B151">
        <f t="shared" si="21"/>
        <v>102.00000000000001</v>
      </c>
      <c r="C151">
        <f t="shared" si="23"/>
        <v>3</v>
      </c>
      <c r="D151">
        <f t="shared" si="20"/>
        <v>0.17</v>
      </c>
      <c r="E151">
        <f t="shared" si="24"/>
        <v>19</v>
      </c>
      <c r="F151">
        <f t="shared" si="28"/>
        <v>19</v>
      </c>
      <c r="G151">
        <f t="shared" si="22"/>
        <v>6</v>
      </c>
      <c r="H151">
        <f t="shared" si="25"/>
        <v>100</v>
      </c>
      <c r="I151">
        <f t="shared" si="26"/>
        <v>0</v>
      </c>
      <c r="J151">
        <f t="shared" si="27"/>
        <v>1</v>
      </c>
    </row>
    <row r="152" spans="1:10" x14ac:dyDescent="0.35">
      <c r="A152" s="1">
        <v>46285</v>
      </c>
      <c r="B152">
        <f t="shared" si="21"/>
        <v>102.00000000000001</v>
      </c>
      <c r="C152">
        <f t="shared" si="23"/>
        <v>4</v>
      </c>
      <c r="D152">
        <f t="shared" si="20"/>
        <v>0.17</v>
      </c>
      <c r="E152">
        <f t="shared" si="24"/>
        <v>19</v>
      </c>
      <c r="F152">
        <f t="shared" si="28"/>
        <v>19</v>
      </c>
      <c r="G152">
        <f t="shared" si="22"/>
        <v>7</v>
      </c>
      <c r="H152">
        <f t="shared" si="25"/>
        <v>100</v>
      </c>
      <c r="I152">
        <f t="shared" si="26"/>
        <v>0</v>
      </c>
      <c r="J152">
        <f t="shared" si="27"/>
        <v>1</v>
      </c>
    </row>
    <row r="153" spans="1:10" x14ac:dyDescent="0.35">
      <c r="A153" s="1">
        <v>46286</v>
      </c>
      <c r="B153">
        <f t="shared" si="21"/>
        <v>102.00000000000001</v>
      </c>
      <c r="C153">
        <f t="shared" si="23"/>
        <v>5</v>
      </c>
      <c r="D153">
        <f t="shared" si="20"/>
        <v>0.17</v>
      </c>
      <c r="E153">
        <f t="shared" si="24"/>
        <v>19</v>
      </c>
      <c r="F153">
        <f t="shared" si="28"/>
        <v>19</v>
      </c>
      <c r="G153">
        <f t="shared" si="22"/>
        <v>1</v>
      </c>
      <c r="H153">
        <f t="shared" si="25"/>
        <v>36</v>
      </c>
      <c r="I153">
        <f t="shared" si="26"/>
        <v>0</v>
      </c>
      <c r="J153">
        <f t="shared" si="27"/>
        <v>1</v>
      </c>
    </row>
    <row r="154" spans="1:10" x14ac:dyDescent="0.35">
      <c r="A154" s="1">
        <v>46287</v>
      </c>
      <c r="B154">
        <f t="shared" si="21"/>
        <v>102.00000000000001</v>
      </c>
      <c r="C154">
        <f t="shared" si="23"/>
        <v>6</v>
      </c>
      <c r="D154">
        <f t="shared" si="20"/>
        <v>0.17</v>
      </c>
      <c r="E154">
        <f t="shared" si="24"/>
        <v>19</v>
      </c>
      <c r="F154">
        <f t="shared" si="28"/>
        <v>19</v>
      </c>
      <c r="G154">
        <f t="shared" si="22"/>
        <v>2</v>
      </c>
      <c r="H154">
        <f t="shared" si="25"/>
        <v>36</v>
      </c>
      <c r="I154">
        <f t="shared" si="26"/>
        <v>0</v>
      </c>
      <c r="J154">
        <f t="shared" si="27"/>
        <v>1</v>
      </c>
    </row>
    <row r="155" spans="1:10" x14ac:dyDescent="0.35">
      <c r="A155" s="1">
        <v>46288</v>
      </c>
      <c r="B155">
        <f t="shared" si="21"/>
        <v>102.00000000000001</v>
      </c>
      <c r="C155">
        <f t="shared" si="23"/>
        <v>7</v>
      </c>
      <c r="D155">
        <f t="shared" si="20"/>
        <v>0.17</v>
      </c>
      <c r="E155">
        <f t="shared" si="24"/>
        <v>17</v>
      </c>
      <c r="F155">
        <f t="shared" si="28"/>
        <v>17</v>
      </c>
      <c r="G155">
        <f t="shared" si="22"/>
        <v>3</v>
      </c>
      <c r="H155">
        <f t="shared" si="25"/>
        <v>36</v>
      </c>
      <c r="I155">
        <f t="shared" si="26"/>
        <v>0</v>
      </c>
      <c r="J155">
        <f t="shared" si="27"/>
        <v>1</v>
      </c>
    </row>
    <row r="156" spans="1:10" x14ac:dyDescent="0.35">
      <c r="A156" s="1">
        <v>46289</v>
      </c>
      <c r="B156">
        <f t="shared" si="21"/>
        <v>90</v>
      </c>
      <c r="C156">
        <f t="shared" si="23"/>
        <v>1</v>
      </c>
      <c r="D156">
        <f t="shared" si="20"/>
        <v>0.15</v>
      </c>
      <c r="E156">
        <f t="shared" si="24"/>
        <v>17</v>
      </c>
      <c r="F156">
        <f t="shared" si="28"/>
        <v>17</v>
      </c>
      <c r="G156">
        <f t="shared" si="22"/>
        <v>4</v>
      </c>
      <c r="H156">
        <f t="shared" si="25"/>
        <v>36</v>
      </c>
      <c r="I156">
        <f t="shared" si="26"/>
        <v>0</v>
      </c>
      <c r="J156">
        <f t="shared" si="27"/>
        <v>1</v>
      </c>
    </row>
    <row r="157" spans="1:10" x14ac:dyDescent="0.35">
      <c r="A157" s="1">
        <v>46290</v>
      </c>
      <c r="B157">
        <f t="shared" si="21"/>
        <v>90</v>
      </c>
      <c r="C157">
        <f t="shared" si="23"/>
        <v>2</v>
      </c>
      <c r="D157">
        <f t="shared" si="20"/>
        <v>0.15</v>
      </c>
      <c r="E157">
        <f t="shared" si="24"/>
        <v>17</v>
      </c>
      <c r="F157">
        <f t="shared" si="28"/>
        <v>17</v>
      </c>
      <c r="G157">
        <f t="shared" si="22"/>
        <v>5</v>
      </c>
      <c r="H157">
        <f t="shared" si="25"/>
        <v>36</v>
      </c>
      <c r="I157">
        <f t="shared" si="26"/>
        <v>0</v>
      </c>
      <c r="J157">
        <f t="shared" si="27"/>
        <v>1</v>
      </c>
    </row>
    <row r="158" spans="1:10" x14ac:dyDescent="0.35">
      <c r="A158" s="1">
        <v>46291</v>
      </c>
      <c r="B158">
        <f t="shared" si="21"/>
        <v>90</v>
      </c>
      <c r="C158">
        <f t="shared" si="23"/>
        <v>3</v>
      </c>
      <c r="D158">
        <f t="shared" si="20"/>
        <v>0.15</v>
      </c>
      <c r="E158">
        <f t="shared" si="24"/>
        <v>17</v>
      </c>
      <c r="F158">
        <f t="shared" si="28"/>
        <v>17</v>
      </c>
      <c r="G158">
        <f t="shared" si="22"/>
        <v>6</v>
      </c>
      <c r="H158">
        <f t="shared" si="25"/>
        <v>100</v>
      </c>
      <c r="I158">
        <f t="shared" si="26"/>
        <v>0</v>
      </c>
      <c r="J158">
        <f t="shared" si="27"/>
        <v>1</v>
      </c>
    </row>
    <row r="159" spans="1:10" x14ac:dyDescent="0.35">
      <c r="A159" s="1">
        <v>46292</v>
      </c>
      <c r="B159">
        <f t="shared" si="21"/>
        <v>90</v>
      </c>
      <c r="C159">
        <f t="shared" si="23"/>
        <v>4</v>
      </c>
      <c r="D159">
        <f t="shared" si="20"/>
        <v>0.15</v>
      </c>
      <c r="E159">
        <f t="shared" si="24"/>
        <v>17</v>
      </c>
      <c r="F159">
        <f t="shared" si="28"/>
        <v>17</v>
      </c>
      <c r="G159">
        <f t="shared" si="22"/>
        <v>7</v>
      </c>
      <c r="H159">
        <f t="shared" si="25"/>
        <v>100</v>
      </c>
      <c r="I159">
        <f t="shared" si="26"/>
        <v>0</v>
      </c>
      <c r="J159">
        <f t="shared" si="27"/>
        <v>1</v>
      </c>
    </row>
    <row r="160" spans="1:10" x14ac:dyDescent="0.35">
      <c r="A160" s="1">
        <v>46293</v>
      </c>
      <c r="B160">
        <f t="shared" si="21"/>
        <v>90</v>
      </c>
      <c r="C160">
        <f t="shared" si="23"/>
        <v>5</v>
      </c>
      <c r="D160">
        <f t="shared" si="20"/>
        <v>0.15</v>
      </c>
      <c r="E160">
        <f t="shared" si="24"/>
        <v>17</v>
      </c>
      <c r="F160">
        <f t="shared" si="28"/>
        <v>17</v>
      </c>
      <c r="G160">
        <f t="shared" si="22"/>
        <v>1</v>
      </c>
      <c r="H160">
        <f t="shared" si="25"/>
        <v>36</v>
      </c>
      <c r="I160">
        <f t="shared" si="26"/>
        <v>0</v>
      </c>
      <c r="J160">
        <f t="shared" si="27"/>
        <v>1</v>
      </c>
    </row>
    <row r="161" spans="1:10" x14ac:dyDescent="0.35">
      <c r="A161" s="1">
        <v>46294</v>
      </c>
      <c r="B161">
        <f t="shared" si="21"/>
        <v>90</v>
      </c>
      <c r="C161">
        <f t="shared" si="23"/>
        <v>6</v>
      </c>
      <c r="D161">
        <f t="shared" si="20"/>
        <v>0.15</v>
      </c>
      <c r="E161">
        <f t="shared" si="24"/>
        <v>17</v>
      </c>
      <c r="F161">
        <f t="shared" si="28"/>
        <v>17</v>
      </c>
      <c r="G161">
        <f t="shared" si="22"/>
        <v>2</v>
      </c>
      <c r="H161">
        <f t="shared" si="25"/>
        <v>36</v>
      </c>
      <c r="I161">
        <f t="shared" si="26"/>
        <v>0</v>
      </c>
      <c r="J161">
        <f t="shared" si="27"/>
        <v>1</v>
      </c>
    </row>
    <row r="162" spans="1:10" x14ac:dyDescent="0.35">
      <c r="A162" s="1"/>
      <c r="B162">
        <f>SUM(B2:B161)</f>
        <v>41406</v>
      </c>
    </row>
    <row r="163" spans="1:10" x14ac:dyDescent="0.35">
      <c r="A163" s="1"/>
    </row>
    <row r="164" spans="1:10" x14ac:dyDescent="0.35">
      <c r="A164" s="1"/>
    </row>
    <row r="165" spans="1:10" x14ac:dyDescent="0.35">
      <c r="A165" s="1"/>
    </row>
    <row r="166" spans="1:10" x14ac:dyDescent="0.35">
      <c r="A166" s="1"/>
    </row>
    <row r="167" spans="1:10" x14ac:dyDescent="0.35">
      <c r="A167" s="1"/>
    </row>
    <row r="168" spans="1:10" x14ac:dyDescent="0.35">
      <c r="A168" s="1"/>
    </row>
    <row r="169" spans="1:10" x14ac:dyDescent="0.35">
      <c r="A169" s="1"/>
    </row>
    <row r="170" spans="1:10" x14ac:dyDescent="0.35">
      <c r="A170" s="1"/>
    </row>
    <row r="171" spans="1:10" x14ac:dyDescent="0.35">
      <c r="A171" s="1"/>
    </row>
    <row r="172" spans="1:10" x14ac:dyDescent="0.35">
      <c r="A172" s="1"/>
    </row>
    <row r="173" spans="1:10" x14ac:dyDescent="0.35">
      <c r="A173" s="1"/>
    </row>
    <row r="174" spans="1:10" x14ac:dyDescent="0.35">
      <c r="A174" s="1"/>
    </row>
    <row r="175" spans="1:10" x14ac:dyDescent="0.35">
      <c r="A175" s="1"/>
    </row>
    <row r="176" spans="1:10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oscypki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Oleg Psiarz</cp:lastModifiedBy>
  <dcterms:created xsi:type="dcterms:W3CDTF">2015-06-05T18:19:34Z</dcterms:created>
  <dcterms:modified xsi:type="dcterms:W3CDTF">2026-05-12T14:05:31Z</dcterms:modified>
</cp:coreProperties>
</file>